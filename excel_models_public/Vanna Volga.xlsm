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/>
  <mc:AlternateContent xmlns:mc="http://schemas.openxmlformats.org/markup-compatibility/2006">
    <mc:Choice Requires="x15">
      <x15ac:absPath xmlns:x15ac="http://schemas.microsoft.com/office/spreadsheetml/2010/11/ac" url="C:\Users\shasa\Documents\finance_calcs\frm\excel_models\"/>
    </mc:Choice>
  </mc:AlternateContent>
  <xr:revisionPtr revIDLastSave="0" documentId="13_ncr:1_{A6AC9E72-A8F9-4BE6-8203-EC7FA218B034}" xr6:coauthVersionLast="47" xr6:coauthVersionMax="47" xr10:uidLastSave="{00000000-0000-0000-0000-000000000000}"/>
  <bookViews>
    <workbookView xWindow="-120" yWindow="-120" windowWidth="29040" windowHeight="15720" xr2:uid="{ACCF6C7A-DFD5-4A1D-A32C-2AF79D4E42D5}"/>
  </bookViews>
  <sheets>
    <sheet name="VannaVolga" sheetId="1" r:id="rId1"/>
    <sheet name="DataValidation" sheetId="2" r:id="rId2"/>
  </sheets>
  <definedNames>
    <definedName name="S0">VannaVolga!$C$9</definedName>
    <definedName name="SpotDate">VannaVolga!$C$8</definedName>
    <definedName name="ValuationDate">VannaVolga!$C$7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2" i="1" l="1"/>
  <c r="V27" i="1"/>
  <c r="U22" i="1"/>
  <c r="S22" i="1"/>
  <c r="S23" i="1"/>
  <c r="S24" i="1"/>
  <c r="S25" i="1"/>
  <c r="S26" i="1"/>
  <c r="S27" i="1"/>
  <c r="S28" i="1"/>
  <c r="S29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J12" i="1"/>
  <c r="J13" i="1"/>
  <c r="J14" i="1"/>
  <c r="J15" i="1"/>
  <c r="J16" i="1"/>
  <c r="J17" i="1"/>
  <c r="J18" i="1"/>
  <c r="U18" i="1" s="1"/>
  <c r="J19" i="1"/>
  <c r="J20" i="1"/>
  <c r="J21" i="1"/>
  <c r="J22" i="1"/>
  <c r="J23" i="1"/>
  <c r="U23" i="1" s="1"/>
  <c r="J24" i="1"/>
  <c r="V24" i="1" s="1"/>
  <c r="J25" i="1"/>
  <c r="V25" i="1" s="1"/>
  <c r="J26" i="1"/>
  <c r="U26" i="1" s="1"/>
  <c r="J27" i="1"/>
  <c r="U27" i="1" s="1"/>
  <c r="J28" i="1"/>
  <c r="V28" i="1" s="1"/>
  <c r="J29" i="1"/>
  <c r="N12" i="1" a="1"/>
  <c r="N12" i="1" s="1"/>
  <c r="O12" i="1" s="1"/>
  <c r="T12" i="1" s="1"/>
  <c r="N13" i="1" a="1"/>
  <c r="N13" i="1" s="1"/>
  <c r="O13" i="1" s="1"/>
  <c r="N14" i="1" a="1"/>
  <c r="N14" i="1" s="1"/>
  <c r="O14" i="1" s="1"/>
  <c r="N15" i="1" a="1"/>
  <c r="N15" i="1" s="1"/>
  <c r="O15" i="1" s="1"/>
  <c r="N16" i="1" a="1"/>
  <c r="N16" i="1" s="1"/>
  <c r="O16" i="1" s="1"/>
  <c r="N17" i="1" a="1"/>
  <c r="N17" i="1" s="1"/>
  <c r="O17" i="1" s="1"/>
  <c r="N18" i="1" a="1"/>
  <c r="N18" i="1" s="1"/>
  <c r="O18" i="1" s="1"/>
  <c r="S18" i="1" s="1"/>
  <c r="N19" i="1" a="1"/>
  <c r="N19" i="1" s="1"/>
  <c r="O19" i="1" s="1"/>
  <c r="N20" i="1" a="1"/>
  <c r="N20" i="1" s="1"/>
  <c r="O20" i="1" s="1"/>
  <c r="N21" i="1" a="1"/>
  <c r="N21" i="1" s="1"/>
  <c r="O21" i="1" s="1"/>
  <c r="N22" i="1" a="1"/>
  <c r="N22" i="1" s="1"/>
  <c r="O22" i="1" s="1"/>
  <c r="N23" i="1" a="1"/>
  <c r="N23" i="1" s="1"/>
  <c r="O23" i="1" s="1"/>
  <c r="T23" i="1" s="1"/>
  <c r="N24" i="1" a="1"/>
  <c r="N24" i="1" s="1"/>
  <c r="O24" i="1" s="1"/>
  <c r="U24" i="1" s="1"/>
  <c r="N25" i="1" a="1"/>
  <c r="N25" i="1" s="1"/>
  <c r="O25" i="1" s="1"/>
  <c r="N26" i="1" a="1"/>
  <c r="N26" i="1" s="1"/>
  <c r="O26" i="1" s="1"/>
  <c r="N27" i="1" a="1"/>
  <c r="N27" i="1" s="1"/>
  <c r="O27" i="1" s="1"/>
  <c r="N28" i="1" a="1"/>
  <c r="N28" i="1" s="1"/>
  <c r="O28" i="1" s="1"/>
  <c r="T28" i="1" s="1"/>
  <c r="N29" i="1" a="1"/>
  <c r="N29" i="1" s="1"/>
  <c r="O29" i="1" s="1"/>
  <c r="V29" i="1" s="1"/>
  <c r="V16" i="1" l="1"/>
  <c r="U25" i="1"/>
  <c r="V26" i="1"/>
  <c r="V18" i="1"/>
  <c r="T27" i="1"/>
  <c r="U29" i="1"/>
  <c r="U28" i="1"/>
  <c r="V23" i="1"/>
  <c r="V15" i="1"/>
  <c r="T22" i="1"/>
  <c r="T14" i="1"/>
  <c r="T29" i="1"/>
  <c r="T21" i="1"/>
  <c r="T13" i="1"/>
  <c r="T26" i="1"/>
  <c r="T25" i="1"/>
  <c r="T24" i="1"/>
  <c r="T17" i="1"/>
  <c r="S17" i="1"/>
  <c r="V17" i="1" s="1"/>
  <c r="T18" i="1"/>
  <c r="T19" i="1"/>
  <c r="S19" i="1"/>
  <c r="V19" i="1" s="1"/>
  <c r="S16" i="1"/>
  <c r="U16" i="1" s="1"/>
  <c r="T16" i="1"/>
  <c r="T15" i="1"/>
  <c r="S15" i="1"/>
  <c r="U15" i="1" s="1"/>
  <c r="S20" i="1"/>
  <c r="V20" i="1" s="1"/>
  <c r="T20" i="1"/>
  <c r="S14" i="1"/>
  <c r="S21" i="1"/>
  <c r="S13" i="1"/>
  <c r="S12" i="1"/>
  <c r="V12" i="1" s="1"/>
  <c r="V13" i="1" l="1"/>
  <c r="U13" i="1"/>
  <c r="U17" i="1"/>
  <c r="V21" i="1"/>
  <c r="U21" i="1"/>
  <c r="U20" i="1"/>
  <c r="U14" i="1"/>
  <c r="V14" i="1"/>
  <c r="U12" i="1"/>
  <c r="U1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<sst xmlns="http://schemas.openxmlformats.org/spreadsheetml/2006/main" count="105" uniqueCount="53">
  <si>
    <t>1 Day</t>
  </si>
  <si>
    <t>1 Week</t>
  </si>
  <si>
    <t>2 Week</t>
  </si>
  <si>
    <t>3 Week</t>
  </si>
  <si>
    <t>1 Month</t>
  </si>
  <si>
    <t>2 Month</t>
  </si>
  <si>
    <t>3 Month</t>
  </si>
  <si>
    <t>6 Month</t>
  </si>
  <si>
    <t>9 Month</t>
  </si>
  <si>
    <t>1 Year</t>
  </si>
  <si>
    <t>15 Month</t>
  </si>
  <si>
    <t>18 Month</t>
  </si>
  <si>
    <t>2 Year</t>
  </si>
  <si>
    <t>3 Year</t>
  </si>
  <si>
    <t>4 Year</t>
  </si>
  <si>
    <t>5 Year</t>
  </si>
  <si>
    <t>7 Year</t>
  </si>
  <si>
    <t>10 Year</t>
  </si>
  <si>
    <t>Forward Points</t>
  </si>
  <si>
    <t>25Δ Butterfly</t>
  </si>
  <si>
    <t>25Δ Risk Reversal</t>
  </si>
  <si>
    <r>
      <t>r</t>
    </r>
    <r>
      <rPr>
        <vertAlign val="subscript"/>
        <sz val="10"/>
        <color theme="1"/>
        <rFont val="Arial"/>
        <family val="2"/>
      </rPr>
      <t>domestic currency</t>
    </r>
  </si>
  <si>
    <r>
      <t>r</t>
    </r>
    <r>
      <rPr>
        <vertAlign val="subscript"/>
        <sz val="10"/>
        <color theme="1"/>
        <rFont val="Arial"/>
        <family val="2"/>
      </rPr>
      <t>foreign currency</t>
    </r>
  </si>
  <si>
    <t>FX Spot Rate</t>
  </si>
  <si>
    <t>ATM Volatility</t>
  </si>
  <si>
    <t>Forward Rate</t>
  </si>
  <si>
    <t>Legend</t>
  </si>
  <si>
    <t>User input</t>
  </si>
  <si>
    <t>Tenor</t>
  </si>
  <si>
    <t>business_days</t>
  </si>
  <si>
    <t>months</t>
  </si>
  <si>
    <t>n/a</t>
  </si>
  <si>
    <t>Valuation Date</t>
  </si>
  <si>
    <t>[Date]</t>
  </si>
  <si>
    <t>FOR/DOM</t>
  </si>
  <si>
    <t>Spot Date</t>
  </si>
  <si>
    <t>Tenor Date</t>
  </si>
  <si>
    <t>Offset Type</t>
  </si>
  <si>
    <t>Months</t>
  </si>
  <si>
    <t>Business Days</t>
  </si>
  <si>
    <t>Years</t>
  </si>
  <si>
    <r>
      <t>σ</t>
    </r>
    <r>
      <rPr>
        <vertAlign val="subscript"/>
        <sz val="10"/>
        <color theme="1"/>
        <rFont val="Arial"/>
        <family val="2"/>
      </rPr>
      <t>25ΔC</t>
    </r>
  </si>
  <si>
    <r>
      <t>σ</t>
    </r>
    <r>
      <rPr>
        <vertAlign val="subscript"/>
        <sz val="10"/>
        <color theme="1"/>
        <rFont val="Arial"/>
        <family val="2"/>
      </rPr>
      <t>25ΔP</t>
    </r>
  </si>
  <si>
    <t>Delta Spot Regular</t>
  </si>
  <si>
    <t>Delta Forward Regular</t>
  </si>
  <si>
    <t>Delta Quote Type</t>
  </si>
  <si>
    <r>
      <t>σ</t>
    </r>
    <r>
      <rPr>
        <vertAlign val="subscript"/>
        <sz val="10"/>
        <color theme="1"/>
        <rFont val="Arial"/>
        <family val="2"/>
      </rPr>
      <t>ATM</t>
    </r>
  </si>
  <si>
    <r>
      <t>K</t>
    </r>
    <r>
      <rPr>
        <vertAlign val="subscript"/>
        <sz val="10"/>
        <color theme="0"/>
        <rFont val="Arial"/>
        <family val="2"/>
      </rPr>
      <t>25ΔP</t>
    </r>
  </si>
  <si>
    <r>
      <t>K</t>
    </r>
    <r>
      <rPr>
        <vertAlign val="subscript"/>
        <sz val="10"/>
        <color theme="0"/>
        <rFont val="Arial"/>
        <family val="2"/>
      </rPr>
      <t>ATM</t>
    </r>
  </si>
  <si>
    <r>
      <t>K</t>
    </r>
    <r>
      <rPr>
        <vertAlign val="subscript"/>
        <sz val="10"/>
        <color theme="0"/>
        <rFont val="Arial"/>
        <family val="2"/>
      </rPr>
      <t>25ΔC</t>
    </r>
  </si>
  <si>
    <r>
      <t>Δ</t>
    </r>
    <r>
      <rPr>
        <vertAlign val="subscript"/>
        <sz val="10"/>
        <color theme="1"/>
        <rFont val="Arial"/>
        <family val="2"/>
      </rPr>
      <t>spot</t>
    </r>
    <r>
      <rPr>
        <sz val="10"/>
        <color theme="1"/>
        <rFont val="Arial"/>
        <family val="2"/>
      </rPr>
      <t xml:space="preserve"> Multiplier</t>
    </r>
  </si>
  <si>
    <t>*Calculations assumed FX option pair is quoted as 'regular', not as 'premium adjusted'.</t>
  </si>
  <si>
    <t xml:space="preserve">Premium adjusted quotes require a numerical solve hence out of scope of this excel model.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</si>
</sst>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9" formatCode="_-* #,##0.0000_-;\-* #,##0.0000_-;_-* &quot;-&quot;??_-;_-@_-"/>
    <numFmt numFmtId="170" formatCode="_-* #,##0.00000_-;\-* #,##0.00000_-;_-* &quot;-&quot;??_-;_-@_-"/>
    <numFmt numFmtId="171" formatCode="d\-mmm\-yy_-;;"/>
    <numFmt numFmtId="174" formatCode="#,##0_-;\(#,##0\)_-;\-_-"/>
  </numFmts>
  <fonts count="7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vertAlign val="subscript"/>
      <sz val="10"/>
      <color theme="1"/>
      <name val="Arial"/>
      <family val="2"/>
    </font>
    <font>
      <sz val="10"/>
      <color rgb="FF0070C0"/>
      <name val="Arial"/>
      <family val="2"/>
    </font>
    <font>
      <sz val="10"/>
      <color theme="4"/>
      <name val="Arial"/>
      <family val="2"/>
    </font>
    <font>
      <vertAlign val="subscript"/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theme="1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Border="1"/>
    <xf numFmtId="0" fontId="0" fillId="0" borderId="1" xfId="0" applyBorder="1"/>
    <xf numFmtId="0" fontId="4" fillId="2" borderId="0" xfId="0" applyFont="1" applyFill="1"/>
    <xf numFmtId="0" fontId="5" fillId="2" borderId="0" xfId="0" applyFont="1" applyFill="1"/>
    <xf numFmtId="0" fontId="0" fillId="0" borderId="2" xfId="0" applyBorder="1"/>
    <xf numFmtId="0" fontId="0" fillId="0" borderId="3" xfId="0" applyBorder="1"/>
    <xf numFmtId="0" fontId="5" fillId="2" borderId="0" xfId="0" applyFont="1" applyFill="1" applyBorder="1"/>
    <xf numFmtId="0" fontId="5" fillId="2" borderId="1" xfId="0" applyFont="1" applyFill="1" applyBorder="1"/>
    <xf numFmtId="169" fontId="0" fillId="0" borderId="0" xfId="1" applyNumberFormat="1" applyFont="1"/>
    <xf numFmtId="170" fontId="0" fillId="0" borderId="0" xfId="1" applyNumberFormat="1" applyFont="1"/>
    <xf numFmtId="171" fontId="1" fillId="0" borderId="0" xfId="0" applyNumberFormat="1" applyFont="1"/>
    <xf numFmtId="171" fontId="0" fillId="0" borderId="0" xfId="0" applyNumberFormat="1"/>
    <xf numFmtId="171" fontId="5" fillId="2" borderId="0" xfId="0" applyNumberFormat="1" applyFont="1" applyFill="1"/>
    <xf numFmtId="0" fontId="0" fillId="0" borderId="0" xfId="0" applyFill="1" applyBorder="1"/>
    <xf numFmtId="0" fontId="0" fillId="0" borderId="1" xfId="0" applyFill="1" applyBorder="1"/>
    <xf numFmtId="0" fontId="0" fillId="0" borderId="0" xfId="0" applyAlignment="1">
      <alignment horizontal="left"/>
    </xf>
    <xf numFmtId="10" fontId="0" fillId="0" borderId="0" xfId="2" applyNumberFormat="1" applyFont="1"/>
    <xf numFmtId="0" fontId="2" fillId="3" borderId="4" xfId="0" applyFont="1" applyFill="1" applyBorder="1"/>
    <xf numFmtId="9" fontId="0" fillId="0" borderId="0" xfId="0" applyNumberFormat="1"/>
    <xf numFmtId="174" fontId="0" fillId="0" borderId="0" xfId="0" applyNumberFormat="1"/>
    <xf numFmtId="169" fontId="0" fillId="0" borderId="0" xfId="2" applyNumberFormat="1" applyFont="1"/>
    <xf numFmtId="0" fontId="5" fillId="2" borderId="5" xfId="0" applyFont="1" applyFill="1" applyBorder="1"/>
    <xf numFmtId="0" fontId="0" fillId="0" borderId="0" xfId="0" applyAlignment="1">
      <alignment horizontal="left" wrapText="1"/>
    </xf>
  </cellXfs>
  <cellStyles count="3">
    <cellStyle name="Comma" xfId="1" builtinId="3"/>
    <cellStyle name="Normal" xfId="0" builtinId="0"/>
    <cellStyle name="Percent" xfId="2" builtinId="5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numFmt numFmtId="169" formatCode="_-* #,##0.0000_-;\-* #,##0.0000_-;_-* &quot;-&quot;??_-;_-@_-"/>
    </dxf>
    <dxf>
      <numFmt numFmtId="169" formatCode="_-* #,##0.0000_-;\-* #,##0.0000_-;_-* &quot;-&quot;??_-;_-@_-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9" formatCode="_-* #,##0.0000_-;\-* #,##0.0000_-;_-* &quot;-&quot;??_-;_-@_-"/>
    </dxf>
    <dxf>
      <numFmt numFmtId="169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9" formatCode="_-* #,##0.0000_-;\-* #,##0.0000_-;_-* &quot;-&quot;??_-;_-@_-"/>
    </dxf>
    <dxf>
      <numFmt numFmtId="14" formatCode="0.00%"/>
    </dxf>
    <dxf>
      <numFmt numFmtId="14" formatCode="0.00%"/>
    </dxf>
    <dxf>
      <numFmt numFmtId="171" formatCode="d\-mmm\-yy_-;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0" formatCode="_-* #,##0.00000_-;\-* #,##0.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border outline="0">
        <left style="thin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819150</xdr:colOff>
      <xdr:row>2</xdr:row>
      <xdr:rowOff>19050</xdr:rowOff>
    </xdr:from>
    <xdr:to>
      <xdr:col>16</xdr:col>
      <xdr:colOff>258247</xdr:colOff>
      <xdr:row>7</xdr:row>
      <xdr:rowOff>85847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180C827-1BEC-9DBC-477C-B2D240C140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39025" y="342900"/>
          <a:ext cx="7678222" cy="876422"/>
        </a:xfrm>
        <a:prstGeom prst="rect">
          <a:avLst/>
        </a:prstGeom>
      </xdr:spPr>
    </xdr:pic>
    <xdr:clientData/>
  </xdr:twoCellAnchor>
  <xdr:twoCellAnchor>
    <xdr:from>
      <xdr:col>8</xdr:col>
      <xdr:colOff>1057275</xdr:colOff>
      <xdr:row>32</xdr:row>
      <xdr:rowOff>47625</xdr:rowOff>
    </xdr:from>
    <xdr:to>
      <xdr:col>18</xdr:col>
      <xdr:colOff>838200</xdr:colOff>
      <xdr:row>36</xdr:row>
      <xdr:rowOff>104775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3F19CED5-21CC-C75E-9CB5-325A9F5F5B2A}"/>
            </a:ext>
          </a:extLst>
        </xdr:cNvPr>
        <xdr:cNvSpPr txBox="1"/>
      </xdr:nvSpPr>
      <xdr:spPr>
        <a:xfrm>
          <a:off x="8982075" y="5105400"/>
          <a:ext cx="5124450" cy="704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1100"/>
            <a:t>1. Create Strike Grid</a:t>
          </a:r>
        </a:p>
        <a:p>
          <a:r>
            <a:rPr lang="en-NZ" sz="1100"/>
            <a:t>2. Get VannaVolgaVol</a:t>
          </a:r>
        </a:p>
        <a:p>
          <a:r>
            <a:rPr lang="en-NZ" sz="1100"/>
            <a:t>3. Price</a:t>
          </a:r>
        </a:p>
        <a:p>
          <a:r>
            <a:rPr lang="en-NZ" sz="1100" baseline="0"/>
            <a:t>4. Calc Delta</a:t>
          </a:r>
          <a:endParaRPr lang="en-NZ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6F91E7-669C-487C-9F5B-0F9FA941245F}" name="Table1" displayName="Table1" ref="B11:V29" totalsRowShown="0" tableBorderDxfId="17">
  <autoFilter ref="B11:V29" xr:uid="{EB6F91E7-669C-487C-9F5B-0F9FA941245F}"/>
  <tableColumns count="21">
    <tableColumn id="1" xr3:uid="{CC26E8B1-6938-416D-A1A0-5353BB3A8F3A}" name="Tenor"/>
    <tableColumn id="2" xr3:uid="{42636DB8-195C-46B9-868C-D741B7016FC3}" name="ATM Volatility" dataDxfId="16"/>
    <tableColumn id="3" xr3:uid="{87F22594-7012-45CA-9A14-01A18B84BB24}" name="Forward Points" dataDxfId="15"/>
    <tableColumn id="4" xr3:uid="{38015A40-107C-4E13-B8BC-2509BD446AF0}" name="rforeign currency" dataDxfId="14"/>
    <tableColumn id="5" xr3:uid="{E2DEA063-78DC-4A4E-896D-E994682101AE}" name="rdomestic currency" dataDxfId="13"/>
    <tableColumn id="6" xr3:uid="{8604EEC5-FDBE-45A2-BC16-961E9C89B898}" name="25Δ Butterfly" dataDxfId="12"/>
    <tableColumn id="7" xr3:uid="{CCA67DE0-FD76-4A18-AFC8-C86289FA1284}" name="25Δ Risk Reversal" dataDxfId="11"/>
    <tableColumn id="17" xr3:uid="{3F2A8098-C9CF-426C-B4DA-8AA938829BC0}" name="Delta Quote Type" dataDxfId="0"/>
    <tableColumn id="8" xr3:uid="{89489B12-AF11-4BD8-ACF4-998E51723192}" name="Forward Rate" dataDxfId="10" dataCellStyle="Comma">
      <calculatedColumnFormula>S0+Table1[[#This Row],[Forward Points]]</calculatedColumnFormula>
    </tableColumn>
    <tableColumn id="9" xr3:uid="{85941855-7805-4BEF-BB9E-F3114D5D2E0C}" name="Business Days"/>
    <tableColumn id="10" xr3:uid="{572DC313-ED1F-4155-834A-A9F2E6ABBB28}" name="Months"/>
    <tableColumn id="11" xr3:uid="{A57A0B88-8366-45E1-8AE3-FB56DC3EFE3F}" name="Offset Type"/>
    <tableColumn id="12" xr3:uid="{4D5D87D6-C916-4E5B-8382-67A847041C2B}" name="Tenor Date" dataDxfId="9">
      <calculatedColumnFormula array="1">_xlfn.IFS(Table1[[#This Row],[Offset Type]]="business_days",WORKDAY(ValuationDate,Table1[[#This Row],[Business Days]]),Table1[[#This Row],[Offset Type]]="months",WORKDAY(EDATE(ValuationDate,Table1[[#This Row],[Months]])-1,1))</calculatedColumnFormula>
    </tableColumn>
    <tableColumn id="13" xr3:uid="{ABDC1B51-9B23-4958-AD3A-4DFDC9010F31}" name="Years" dataDxfId="4" dataCellStyle="Comma">
      <calculatedColumnFormula>YEARFRAC(ValuationDate,Table1[[#This Row],[Tenor Date]],1)</calculatedColumnFormula>
    </tableColumn>
    <tableColumn id="21" xr3:uid="{77FD8D94-416E-41B7-AB95-4C24BF9D1A3A}" name="σATM" dataDxfId="3" dataCellStyle="Percent">
      <calculatedColumnFormula>Table1[[#This Row],[ATM Volatility]]%</calculatedColumnFormula>
    </tableColumn>
    <tableColumn id="15" xr3:uid="{ECC73C94-67F1-43D9-9332-714FBB3166D9}" name="σ25ΔP" dataDxfId="8" dataCellStyle="Percent">
      <calculatedColumnFormula>(Table1[[#This Row],[ATM Volatility]]+Table1[[#This Row],[25Δ Butterfly]]-0.5*Table1[[#This Row],[25Δ Risk Reversal]])%</calculatedColumnFormula>
    </tableColumn>
    <tableColumn id="14" xr3:uid="{C385F144-66CB-4545-A0A1-A3C2536AAA20}" name="σ25ΔC" dataDxfId="7" dataCellStyle="Percent">
      <calculatedColumnFormula>(Table1[[#This Row],[ATM Volatility]]+Table1[[#This Row],[25Δ Butterfly]]+0.5*Table1[[#This Row],[25Δ Risk Reversal]])%</calculatedColumnFormula>
    </tableColumn>
    <tableColumn id="23" xr3:uid="{90E0CDEB-9647-4E49-9BC0-933A32642C75}" name="Δspot Multiplier" dataDxfId="6" dataCellStyle="Comma">
      <calculatedColumnFormula>IF(Table1[[#This Row],[Delta Quote Type]]="Delta Spot Regular",EXP(-Table1[[#This Row],[rforeign currency]]*Table1[[#This Row],[Years]]),1)</calculatedColumnFormula>
    </tableColumn>
    <tableColumn id="18" xr3:uid="{053597BD-2810-4789-B92B-F839C43764FF}" name="KATM" dataDxfId="5" dataCellStyle="Comma">
      <calculatedColumnFormula>Table1[[#This Row],[Forward Rate]]*EXP(0.5*Table1[[#This Row],[σATM]]*Table1[[#This Row],[σATM]]*Table1[[#This Row],[Years]])</calculatedColumnFormula>
    </tableColumn>
    <tableColumn id="19" xr3:uid="{7028E9D2-2DA9-4034-804A-89F192C24DC4}" name="K25ΔP" dataDxfId="2" dataCellStyle="Comma">
      <calculatedColumnFormula>Table1[[#This Row],[Forward Rate]]*EXP(-1*-1*_xlfn.NORM.S.INV(-1*-25%*Table1[[#This Row],[Δspot Multiplier]])*Table1[[#This Row],[σ25ΔP]]*SQRT(Table1[[#This Row],[Years]])+0.5*Table1[[#This Row],[σ25ΔP]]*Table1[[#This Row],[σ25ΔP]]*Table1[[#This Row],[Years]])</calculatedColumnFormula>
    </tableColumn>
    <tableColumn id="22" xr3:uid="{562082BC-3B58-4A10-9457-FAEFA7A43005}" name="K25ΔC" dataDxfId="1" dataCellStyle="Percent">
      <calculatedColumnFormula>Table1[[#This Row],[Forward Rate]]*EXP(-1*1*_xlfn.NORM.S.INV(1*25%*Table1[[#This Row],[Δspot Multiplier]])*Table1[[#This Row],[σ25ΔC]]*SQRT(Table1[[#This Row],[Years]])+0.5*Table1[[#This Row],[σ25ΔC]]*Table1[[#This Row],[σ25ΔC]]*Table1[[#This Row],[Years]])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E3FB1-5E77-4E19-8B50-CA20EB8983A8}">
  <dimension ref="B2:W29"/>
  <sheetViews>
    <sheetView tabSelected="1" workbookViewId="0"/>
  </sheetViews>
  <sheetFormatPr defaultRowHeight="12.75" outlineLevelCol="1" x14ac:dyDescent="0.2"/>
  <cols>
    <col min="2" max="2" width="13.28515625" bestFit="1" customWidth="1"/>
    <col min="3" max="3" width="16" bestFit="1" customWidth="1"/>
    <col min="4" max="4" width="17.140625" bestFit="1" customWidth="1"/>
    <col min="5" max="5" width="13.85546875" bestFit="1" customWidth="1"/>
    <col min="6" max="6" width="15.140625" bestFit="1" customWidth="1"/>
    <col min="7" max="7" width="14.7109375" bestFit="1" customWidth="1"/>
    <col min="8" max="8" width="19.5703125" bestFit="1" customWidth="1"/>
    <col min="9" max="9" width="19.5703125" customWidth="1"/>
    <col min="10" max="10" width="15.7109375" bestFit="1" customWidth="1"/>
    <col min="11" max="11" width="16.140625" bestFit="1" customWidth="1" outlineLevel="1"/>
    <col min="12" max="12" width="9.7109375" bestFit="1" customWidth="1" outlineLevel="1"/>
    <col min="13" max="13" width="13.5703125" bestFit="1" customWidth="1" outlineLevel="1"/>
    <col min="14" max="14" width="13.28515625" bestFit="1" customWidth="1"/>
    <col min="15" max="15" width="8.7109375" bestFit="1" customWidth="1"/>
    <col min="16" max="16" width="7.28515625" bestFit="1" customWidth="1"/>
    <col min="17" max="17" width="7.7109375" bestFit="1" customWidth="1"/>
    <col min="18" max="18" width="7.85546875" bestFit="1" customWidth="1"/>
    <col min="19" max="19" width="15.140625" bestFit="1" customWidth="1"/>
    <col min="20" max="21" width="7.7109375" bestFit="1" customWidth="1"/>
    <col min="22" max="22" width="7.85546875" bestFit="1" customWidth="1"/>
    <col min="23" max="23" width="12" bestFit="1" customWidth="1"/>
    <col min="24" max="24" width="7.85546875" bestFit="1" customWidth="1"/>
    <col min="26" max="26" width="4.85546875" bestFit="1" customWidth="1"/>
  </cols>
  <sheetData>
    <row r="2" spans="2:23" x14ac:dyDescent="0.2">
      <c r="B2" t="s">
        <v>26</v>
      </c>
      <c r="C2" s="3" t="s">
        <v>27</v>
      </c>
    </row>
    <row r="4" spans="2:23" x14ac:dyDescent="0.2">
      <c r="B4" s="23" t="s">
        <v>51</v>
      </c>
      <c r="C4" s="16"/>
      <c r="D4" s="16"/>
      <c r="E4" s="16"/>
      <c r="F4" s="16"/>
    </row>
    <row r="5" spans="2:23" x14ac:dyDescent="0.2">
      <c r="B5" s="23" t="s">
        <v>52</v>
      </c>
      <c r="C5" s="23"/>
      <c r="D5" s="23"/>
      <c r="E5" s="23"/>
      <c r="F5" s="23"/>
      <c r="G5" s="23"/>
    </row>
    <row r="7" spans="2:23" x14ac:dyDescent="0.2">
      <c r="B7" t="s">
        <v>32</v>
      </c>
      <c r="C7" s="13">
        <v>45107</v>
      </c>
      <c r="D7" t="s">
        <v>33</v>
      </c>
      <c r="U7" s="20"/>
      <c r="V7" s="20"/>
    </row>
    <row r="8" spans="2:23" x14ac:dyDescent="0.2">
      <c r="B8" t="s">
        <v>35</v>
      </c>
      <c r="C8" s="13">
        <v>45112</v>
      </c>
      <c r="D8" t="s">
        <v>33</v>
      </c>
      <c r="U8" s="19"/>
      <c r="V8" s="19"/>
    </row>
    <row r="9" spans="2:23" x14ac:dyDescent="0.2">
      <c r="B9" t="s">
        <v>23</v>
      </c>
      <c r="C9" s="4">
        <v>0.66620000000000001</v>
      </c>
      <c r="D9" t="s">
        <v>34</v>
      </c>
    </row>
    <row r="11" spans="2:23" ht="15.75" x14ac:dyDescent="0.3">
      <c r="B11" s="5" t="s">
        <v>28</v>
      </c>
      <c r="C11" s="5" t="s">
        <v>24</v>
      </c>
      <c r="D11" s="5" t="s">
        <v>18</v>
      </c>
      <c r="E11" s="5" t="s">
        <v>22</v>
      </c>
      <c r="F11" s="5" t="s">
        <v>21</v>
      </c>
      <c r="G11" s="5" t="s">
        <v>19</v>
      </c>
      <c r="H11" s="6" t="s">
        <v>20</v>
      </c>
      <c r="I11" s="2" t="s">
        <v>45</v>
      </c>
      <c r="J11" s="2" t="s">
        <v>25</v>
      </c>
      <c r="K11" s="2" t="s">
        <v>39</v>
      </c>
      <c r="L11" s="2" t="s">
        <v>38</v>
      </c>
      <c r="M11" s="2" t="s">
        <v>37</v>
      </c>
      <c r="N11" s="2" t="s">
        <v>36</v>
      </c>
      <c r="O11" s="15" t="s">
        <v>40</v>
      </c>
      <c r="P11" s="14" t="s">
        <v>46</v>
      </c>
      <c r="Q11" s="14" t="s">
        <v>42</v>
      </c>
      <c r="R11" s="14" t="s">
        <v>41</v>
      </c>
      <c r="S11" s="14" t="s">
        <v>50</v>
      </c>
      <c r="T11" s="18" t="s">
        <v>48</v>
      </c>
      <c r="U11" s="18" t="s">
        <v>47</v>
      </c>
      <c r="V11" s="18" t="s">
        <v>49</v>
      </c>
      <c r="W11" s="14"/>
    </row>
    <row r="12" spans="2:23" x14ac:dyDescent="0.2">
      <c r="B12" s="1" t="s">
        <v>0</v>
      </c>
      <c r="C12" s="7">
        <v>6.2249999999999996</v>
      </c>
      <c r="D12" s="7">
        <v>1.8199999999999999E-5</v>
      </c>
      <c r="E12" s="7">
        <v>4.1269999999999998</v>
      </c>
      <c r="F12" s="7">
        <v>5.0540000000000003</v>
      </c>
      <c r="G12" s="7">
        <v>9.5000000000000001E-2</v>
      </c>
      <c r="H12" s="7">
        <v>-0.31900000000000001</v>
      </c>
      <c r="I12" s="22" t="s">
        <v>43</v>
      </c>
      <c r="J12" s="10">
        <f>S0+Table1[[#This Row],[Forward Points]]</f>
        <v>0.66621819999999998</v>
      </c>
      <c r="K12">
        <v>1</v>
      </c>
      <c r="L12" t="s">
        <v>31</v>
      </c>
      <c r="M12" t="s">
        <v>29</v>
      </c>
      <c r="N12" s="11" cm="1">
        <f t="array" ref="N12">_xlfn.IFS(Table1[[#This Row],[Offset Type]]="business_days",WORKDAY(ValuationDate,Table1[[#This Row],[Business Days]]),Table1[[#This Row],[Offset Type]]="months",WORKDAY(EDATE(ValuationDate,Table1[[#This Row],[Months]])-1,1))</f>
        <v>45110</v>
      </c>
      <c r="O12" s="9">
        <f>YEARFRAC(ValuationDate,Table1[[#This Row],[Tenor Date]],1)</f>
        <v>8.21917808219178E-3</v>
      </c>
      <c r="P12" s="17">
        <f>Table1[[#This Row],[ATM Volatility]]%</f>
        <v>6.225E-2</v>
      </c>
      <c r="Q12" s="17">
        <f>(Table1[[#This Row],[ATM Volatility]]+Table1[[#This Row],[25Δ Butterfly]]-0.5*Table1[[#This Row],[25Δ Risk Reversal]])%</f>
        <v>6.4794999999999991E-2</v>
      </c>
      <c r="R12" s="17">
        <f>(Table1[[#This Row],[ATM Volatility]]+Table1[[#This Row],[25Δ Butterfly]]+0.5*Table1[[#This Row],[25Δ Risk Reversal]])%</f>
        <v>6.1604999999999993E-2</v>
      </c>
      <c r="S12" s="9">
        <f>IF(Table1[[#This Row],[Delta Quote Type]]="Delta Spot Regular",EXP(-Table1[[#This Row],[rforeign currency]]*Table1[[#This Row],[Years]]),1)</f>
        <v>0.96664830378054045</v>
      </c>
      <c r="T12" s="9">
        <f>Table1[[#This Row],[Forward Rate]]*EXP(0.5*Table1[[#This Row],[σATM]]*Table1[[#This Row],[σATM]]*Table1[[#This Row],[Years]])</f>
        <v>0.6662288095522737</v>
      </c>
      <c r="U12" s="9">
        <f>Table1[[#This Row],[Forward Rate]]*EXP(-1*-1*_xlfn.NORM.S.INV(-1*-25%*Table1[[#This Row],[Δspot Multiplier]])*Table1[[#This Row],[σ25ΔP]]*SQRT(Table1[[#This Row],[Years]])+0.5*Table1[[#This Row],[σ25ΔP]]*Table1[[#This Row],[σ25ΔP]]*Table1[[#This Row],[Years]])</f>
        <v>0.66349201360576626</v>
      </c>
      <c r="V12" s="9">
        <f>Table1[[#This Row],[Forward Rate]]*EXP(-1*1*_xlfn.NORM.S.INV(1*25%*Table1[[#This Row],[Δspot Multiplier]])*Table1[[#This Row],[σ25ΔC]]*SQRT(Table1[[#This Row],[Years]])+0.5*Table1[[#This Row],[σ25ΔC]]*Table1[[#This Row],[σ25ΔC]]*Table1[[#This Row],[Years]])</f>
        <v>0.66884196056680412</v>
      </c>
    </row>
    <row r="13" spans="2:23" x14ac:dyDescent="0.2">
      <c r="B13" s="1" t="s">
        <v>1</v>
      </c>
      <c r="C13" s="7">
        <v>10.222</v>
      </c>
      <c r="D13" s="7">
        <v>1.2740000000000001E-4</v>
      </c>
      <c r="E13" s="7">
        <v>4.1349999999999998</v>
      </c>
      <c r="F13" s="7">
        <v>5.0620000000000003</v>
      </c>
      <c r="G13" s="7">
        <v>0.104</v>
      </c>
      <c r="H13" s="7">
        <v>-0.48299999999999998</v>
      </c>
      <c r="I13" s="7" t="s">
        <v>43</v>
      </c>
      <c r="J13" s="10">
        <f>S0+Table1[[#This Row],[Forward Points]]</f>
        <v>0.66632740000000001</v>
      </c>
      <c r="K13">
        <v>5</v>
      </c>
      <c r="L13" t="s">
        <v>31</v>
      </c>
      <c r="M13" t="s">
        <v>29</v>
      </c>
      <c r="N13" s="12" cm="1">
        <f t="array" ref="N13">_xlfn.IFS(Table1[[#This Row],[Offset Type]]="business_days",WORKDAY(ValuationDate,Table1[[#This Row],[Business Days]]),Table1[[#This Row],[Offset Type]]="months",WORKDAY(EDATE(ValuationDate,Table1[[#This Row],[Months]])-1,1))</f>
        <v>45114</v>
      </c>
      <c r="O13" s="9">
        <f>YEARFRAC(ValuationDate,Table1[[#This Row],[Tenor Date]],1)</f>
        <v>1.9178082191780823E-2</v>
      </c>
      <c r="P13" s="17">
        <f>Table1[[#This Row],[ATM Volatility]]%</f>
        <v>0.10221999999999999</v>
      </c>
      <c r="Q13" s="17">
        <f>(Table1[[#This Row],[ATM Volatility]]+Table1[[#This Row],[25Δ Butterfly]]-0.5*Table1[[#This Row],[25Δ Risk Reversal]])%</f>
        <v>0.10567499999999999</v>
      </c>
      <c r="R13" s="17">
        <f>(Table1[[#This Row],[ATM Volatility]]+Table1[[#This Row],[25Δ Butterfly]]+0.5*Table1[[#This Row],[25Δ Risk Reversal]])%</f>
        <v>0.10084499999999999</v>
      </c>
      <c r="S13" s="9">
        <f>IF(Table1[[#This Row],[Delta Quote Type]]="Delta Spot Regular",EXP(-Table1[[#This Row],[rforeign currency]]*Table1[[#This Row],[Years]]),1)</f>
        <v>0.92376148861782859</v>
      </c>
      <c r="T13" s="9">
        <f>Table1[[#This Row],[Forward Rate]]*EXP(0.5*Table1[[#This Row],[σATM]]*Table1[[#This Row],[σATM]]*Table1[[#This Row],[Years]])</f>
        <v>0.66639416615443259</v>
      </c>
      <c r="U13" s="9">
        <f>Table1[[#This Row],[Forward Rate]]*EXP(-1*-1*_xlfn.NORM.S.INV(-1*-25%*Table1[[#This Row],[Δspot Multiplier]])*Table1[[#This Row],[σ25ΔP]]*SQRT(Table1[[#This Row],[Years]])+0.5*Table1[[#This Row],[σ25ΔP]]*Table1[[#This Row],[σ25ΔP]]*Table1[[#This Row],[Years]])</f>
        <v>0.65926192611694356</v>
      </c>
      <c r="V13" s="21">
        <f>Table1[[#This Row],[Forward Rate]]*EXP(-1*1*_xlfn.NORM.S.INV(1*25%*Table1[[#This Row],[Δspot Multiplier]])*Table1[[#This Row],[σ25ΔC]]*SQRT(Table1[[#This Row],[Years]])+0.5*Table1[[#This Row],[σ25ΔC]]*Table1[[#This Row],[σ25ΔC]]*Table1[[#This Row],[Years]])</f>
        <v>0.67327498046147283</v>
      </c>
    </row>
    <row r="14" spans="2:23" x14ac:dyDescent="0.2">
      <c r="B14" s="1" t="s">
        <v>2</v>
      </c>
      <c r="C14" s="7">
        <v>9.9120000000000008</v>
      </c>
      <c r="D14" s="7">
        <v>2.5453999999999999E-4</v>
      </c>
      <c r="E14" s="7">
        <v>4.1379999999999999</v>
      </c>
      <c r="F14" s="7">
        <v>5.0650000000000004</v>
      </c>
      <c r="G14" s="7">
        <v>0.12</v>
      </c>
      <c r="H14" s="7">
        <v>-0.6</v>
      </c>
      <c r="I14" s="7" t="s">
        <v>43</v>
      </c>
      <c r="J14" s="10">
        <f>S0+Table1[[#This Row],[Forward Points]]</f>
        <v>0.66645454000000004</v>
      </c>
      <c r="K14">
        <v>10</v>
      </c>
      <c r="L14" t="s">
        <v>31</v>
      </c>
      <c r="M14" t="s">
        <v>29</v>
      </c>
      <c r="N14" s="12" cm="1">
        <f t="array" ref="N14">_xlfn.IFS(Table1[[#This Row],[Offset Type]]="business_days",WORKDAY(ValuationDate,Table1[[#This Row],[Business Days]]),Table1[[#This Row],[Offset Type]]="months",WORKDAY(EDATE(ValuationDate,Table1[[#This Row],[Months]])-1,1))</f>
        <v>45121</v>
      </c>
      <c r="O14" s="9">
        <f>YEARFRAC(ValuationDate,Table1[[#This Row],[Tenor Date]],1)</f>
        <v>3.8356164383561646E-2</v>
      </c>
      <c r="P14" s="17">
        <f>Table1[[#This Row],[ATM Volatility]]%</f>
        <v>9.9120000000000014E-2</v>
      </c>
      <c r="Q14" s="17">
        <f>(Table1[[#This Row],[ATM Volatility]]+Table1[[#This Row],[25Δ Butterfly]]-0.5*Table1[[#This Row],[25Δ Risk Reversal]])%</f>
        <v>0.10332000000000001</v>
      </c>
      <c r="R14" s="17">
        <f>(Table1[[#This Row],[ATM Volatility]]+Table1[[#This Row],[25Δ Butterfly]]+0.5*Table1[[#This Row],[25Δ Risk Reversal]])%</f>
        <v>9.731999999999999E-2</v>
      </c>
      <c r="S14" s="9">
        <f>IF(Table1[[#This Row],[Delta Quote Type]]="Delta Spot Regular",EXP(-Table1[[#This Row],[rforeign currency]]*Table1[[#This Row],[Years]]),1)</f>
        <v>0.85323710149688736</v>
      </c>
      <c r="T14" s="9">
        <f>Table1[[#This Row],[Forward Rate]]*EXP(0.5*Table1[[#This Row],[σATM]]*Table1[[#This Row],[σATM]]*Table1[[#This Row],[Years]])</f>
        <v>0.66658012541604728</v>
      </c>
      <c r="U14" s="9">
        <f>Table1[[#This Row],[Forward Rate]]*EXP(-1*-1*_xlfn.NORM.S.INV(-1*-25%*Table1[[#This Row],[Δspot Multiplier]])*Table1[[#This Row],[σ25ΔP]]*SQRT(Table1[[#This Row],[Years]])+0.5*Table1[[#This Row],[σ25ΔP]]*Table1[[#This Row],[σ25ΔP]]*Table1[[#This Row],[Years]])</f>
        <v>0.65595359867547665</v>
      </c>
      <c r="V14" s="21">
        <f>Table1[[#This Row],[Forward Rate]]*EXP(-1*1*_xlfn.NORM.S.INV(1*25%*Table1[[#This Row],[Δspot Multiplier]])*Table1[[#This Row],[σ25ΔC]]*SQRT(Table1[[#This Row],[Years]])+0.5*Table1[[#This Row],[σ25ΔC]]*Table1[[#This Row],[σ25ΔC]]*Table1[[#This Row],[Years]])</f>
        <v>0.67675274992970613</v>
      </c>
    </row>
    <row r="15" spans="2:23" x14ac:dyDescent="0.2">
      <c r="B15" s="1" t="s">
        <v>3</v>
      </c>
      <c r="C15" s="7">
        <v>9.9629999999999992</v>
      </c>
      <c r="D15" s="7">
        <v>3.8224E-4</v>
      </c>
      <c r="E15" s="7">
        <v>4.1390000000000002</v>
      </c>
      <c r="F15" s="7">
        <v>5.0679999999999996</v>
      </c>
      <c r="G15" s="7">
        <v>0.11</v>
      </c>
      <c r="H15" s="7">
        <v>-0.69399999999999995</v>
      </c>
      <c r="I15" s="7" t="s">
        <v>43</v>
      </c>
      <c r="J15" s="10">
        <f>S0+Table1[[#This Row],[Forward Points]]</f>
        <v>0.66658223999999999</v>
      </c>
      <c r="K15">
        <v>15</v>
      </c>
      <c r="L15" t="s">
        <v>31</v>
      </c>
      <c r="M15" t="s">
        <v>29</v>
      </c>
      <c r="N15" s="12" cm="1">
        <f t="array" ref="N15">_xlfn.IFS(Table1[[#This Row],[Offset Type]]="business_days",WORKDAY(ValuationDate,Table1[[#This Row],[Business Days]]),Table1[[#This Row],[Offset Type]]="months",WORKDAY(EDATE(ValuationDate,Table1[[#This Row],[Months]])-1,1))</f>
        <v>45128</v>
      </c>
      <c r="O15" s="9">
        <f>YEARFRAC(ValuationDate,Table1[[#This Row],[Tenor Date]],1)</f>
        <v>5.7534246575342465E-2</v>
      </c>
      <c r="P15" s="17">
        <f>Table1[[#This Row],[ATM Volatility]]%</f>
        <v>9.9629999999999996E-2</v>
      </c>
      <c r="Q15" s="17">
        <f>(Table1[[#This Row],[ATM Volatility]]+Table1[[#This Row],[25Δ Butterfly]]-0.5*Table1[[#This Row],[25Δ Risk Reversal]])%</f>
        <v>0.10419999999999999</v>
      </c>
      <c r="R15" s="17">
        <f>(Table1[[#This Row],[ATM Volatility]]+Table1[[#This Row],[25Δ Butterfly]]+0.5*Table1[[#This Row],[25Δ Risk Reversal]])%</f>
        <v>9.7259999999999985E-2</v>
      </c>
      <c r="S15" s="9">
        <f>IF(Table1[[#This Row],[Delta Quote Type]]="Delta Spot Regular",EXP(-Table1[[#This Row],[rforeign currency]]*Table1[[#This Row],[Years]]),1)</f>
        <v>0.78809688468404837</v>
      </c>
      <c r="T15" s="9">
        <f>Table1[[#This Row],[Forward Rate]]*EXP(0.5*Table1[[#This Row],[σATM]]*Table1[[#This Row],[σATM]]*Table1[[#This Row],[Years]])</f>
        <v>0.66677260733964516</v>
      </c>
      <c r="U15" s="9">
        <f>Table1[[#This Row],[Forward Rate]]*EXP(-1*-1*_xlfn.NORM.S.INV(-1*-25%*Table1[[#This Row],[Δspot Multiplier]])*Table1[[#This Row],[σ25ΔP]]*SQRT(Table1[[#This Row],[Years]])+0.5*Table1[[#This Row],[σ25ΔP]]*Table1[[#This Row],[σ25ΔP]]*Table1[[#This Row],[Years]])</f>
        <v>0.65273664930648023</v>
      </c>
      <c r="V15" s="21">
        <f>Table1[[#This Row],[Forward Rate]]*EXP(-1*1*_xlfn.NORM.S.INV(1*25%*Table1[[#This Row],[Δspot Multiplier]])*Table1[[#This Row],[σ25ΔC]]*SQRT(Table1[[#This Row],[Years]])+0.5*Table1[[#This Row],[σ25ΔC]]*Table1[[#This Row],[σ25ΔC]]*Table1[[#This Row],[Years]])</f>
        <v>0.68015382060024299</v>
      </c>
    </row>
    <row r="16" spans="2:23" x14ac:dyDescent="0.2">
      <c r="B16" s="1" t="s">
        <v>4</v>
      </c>
      <c r="C16" s="7">
        <v>9.6720000000000006</v>
      </c>
      <c r="D16" s="7">
        <v>6.3033000000000002E-4</v>
      </c>
      <c r="E16" s="7">
        <v>4.194</v>
      </c>
      <c r="F16" s="7">
        <v>5.1429999999999998</v>
      </c>
      <c r="G16" s="7">
        <v>9.1999999999999998E-2</v>
      </c>
      <c r="H16" s="7">
        <v>-0.73299999999999998</v>
      </c>
      <c r="I16" s="7" t="s">
        <v>43</v>
      </c>
      <c r="J16" s="10">
        <f>S0+Table1[[#This Row],[Forward Points]]</f>
        <v>0.66683033000000003</v>
      </c>
      <c r="K16" t="s">
        <v>31</v>
      </c>
      <c r="L16">
        <v>1</v>
      </c>
      <c r="M16" t="s">
        <v>30</v>
      </c>
      <c r="N16" s="12" cm="1">
        <f t="array" ref="N16">_xlfn.IFS(Table1[[#This Row],[Offset Type]]="business_days",WORKDAY(ValuationDate,Table1[[#This Row],[Business Days]]),Table1[[#This Row],[Offset Type]]="months",WORKDAY(EDATE(ValuationDate,Table1[[#This Row],[Months]])-1,1))</f>
        <v>45138</v>
      </c>
      <c r="O16" s="9">
        <f>YEARFRAC(ValuationDate,Table1[[#This Row],[Tenor Date]],1)</f>
        <v>8.4931506849315067E-2</v>
      </c>
      <c r="P16" s="17">
        <f>Table1[[#This Row],[ATM Volatility]]%</f>
        <v>9.672E-2</v>
      </c>
      <c r="Q16" s="17">
        <f>(Table1[[#This Row],[ATM Volatility]]+Table1[[#This Row],[25Δ Butterfly]]-0.5*Table1[[#This Row],[25Δ Risk Reversal]])%</f>
        <v>0.10130500000000002</v>
      </c>
      <c r="R16" s="17">
        <f>(Table1[[#This Row],[ATM Volatility]]+Table1[[#This Row],[25Δ Butterfly]]+0.5*Table1[[#This Row],[25Δ Risk Reversal]])%</f>
        <v>9.3975000000000003E-2</v>
      </c>
      <c r="S16" s="9">
        <f>IF(Table1[[#This Row],[Delta Quote Type]]="Delta Spot Regular",EXP(-Table1[[#This Row],[rforeign currency]]*Table1[[#This Row],[Years]]),1)</f>
        <v>0.70033062100306531</v>
      </c>
      <c r="T16" s="9">
        <f>Table1[[#This Row],[Forward Rate]]*EXP(0.5*Table1[[#This Row],[σATM]]*Table1[[#This Row],[σATM]]*Table1[[#This Row],[Years]])</f>
        <v>0.66709528554964437</v>
      </c>
      <c r="U16" s="9">
        <f>Table1[[#This Row],[Forward Rate]]*EXP(-1*-1*_xlfn.NORM.S.INV(-1*-25%*Table1[[#This Row],[Δspot Multiplier]])*Table1[[#This Row],[σ25ΔP]]*SQRT(Table1[[#This Row],[Years]])+0.5*Table1[[#This Row],[σ25ΔP]]*Table1[[#This Row],[σ25ΔP]]*Table1[[#This Row],[Years]])</f>
        <v>0.64897145272438195</v>
      </c>
      <c r="V16" s="21">
        <f>Table1[[#This Row],[Forward Rate]]*EXP(-1*1*_xlfn.NORM.S.INV(1*25%*Table1[[#This Row],[Δspot Multiplier]])*Table1[[#This Row],[σ25ΔC]]*SQRT(Table1[[#This Row],[Years]])+0.5*Table1[[#This Row],[σ25ΔC]]*Table1[[#This Row],[σ25ΔC]]*Table1[[#This Row],[Years]])</f>
        <v>0.68436925261693049</v>
      </c>
    </row>
    <row r="17" spans="2:22" x14ac:dyDescent="0.2">
      <c r="B17" s="1" t="s">
        <v>5</v>
      </c>
      <c r="C17" s="7">
        <v>9.6259999999999994</v>
      </c>
      <c r="D17" s="7">
        <v>1.1498599999999999E-3</v>
      </c>
      <c r="E17" s="7">
        <v>4.2679999999999998</v>
      </c>
      <c r="F17" s="7">
        <v>5.2190000000000003</v>
      </c>
      <c r="G17" s="7">
        <v>0.14299999999999999</v>
      </c>
      <c r="H17" s="7">
        <v>-0.86799999999999999</v>
      </c>
      <c r="I17" s="7" t="s">
        <v>43</v>
      </c>
      <c r="J17" s="10">
        <f>S0+Table1[[#This Row],[Forward Points]]</f>
        <v>0.66734985999999996</v>
      </c>
      <c r="K17" t="s">
        <v>31</v>
      </c>
      <c r="L17">
        <v>2</v>
      </c>
      <c r="M17" t="s">
        <v>30</v>
      </c>
      <c r="N17" s="12" cm="1">
        <f t="array" ref="N17">_xlfn.IFS(Table1[[#This Row],[Offset Type]]="business_days",WORKDAY(ValuationDate,Table1[[#This Row],[Business Days]]),Table1[[#This Row],[Offset Type]]="months",WORKDAY(EDATE(ValuationDate,Table1[[#This Row],[Months]])-1,1))</f>
        <v>45168</v>
      </c>
      <c r="O17" s="9">
        <f>YEARFRAC(ValuationDate,Table1[[#This Row],[Tenor Date]],1)</f>
        <v>0.16712328767123288</v>
      </c>
      <c r="P17" s="17">
        <f>Table1[[#This Row],[ATM Volatility]]%</f>
        <v>9.6259999999999998E-2</v>
      </c>
      <c r="Q17" s="17">
        <f>(Table1[[#This Row],[ATM Volatility]]+Table1[[#This Row],[25Δ Butterfly]]-0.5*Table1[[#This Row],[25Δ Risk Reversal]])%</f>
        <v>0.10203</v>
      </c>
      <c r="R17" s="17">
        <f>(Table1[[#This Row],[ATM Volatility]]+Table1[[#This Row],[25Δ Butterfly]]+0.5*Table1[[#This Row],[25Δ Risk Reversal]])%</f>
        <v>9.3350000000000002E-2</v>
      </c>
      <c r="S17" s="9">
        <f>IF(Table1[[#This Row],[Delta Quote Type]]="Delta Spot Regular",EXP(-Table1[[#This Row],[rforeign currency]]*Table1[[#This Row],[Years]]),1)</f>
        <v>0.49003317221015691</v>
      </c>
      <c r="T17" s="9">
        <f>Table1[[#This Row],[Forward Rate]]*EXP(0.5*Table1[[#This Row],[σATM]]*Table1[[#This Row],[σATM]]*Table1[[#This Row],[Years]])</f>
        <v>0.66786677651433446</v>
      </c>
      <c r="U17" s="9">
        <f>Table1[[#This Row],[Forward Rate]]*EXP(-1*-1*_xlfn.NORM.S.INV(-1*-25%*Table1[[#This Row],[Δspot Multiplier]])*Table1[[#This Row],[σ25ΔP]]*SQRT(Table1[[#This Row],[Years]])+0.5*Table1[[#This Row],[σ25ΔP]]*Table1[[#This Row],[σ25ΔP]]*Table1[[#This Row],[Years]])</f>
        <v>0.6363152587342783</v>
      </c>
      <c r="V17" s="21">
        <f>Table1[[#This Row],[Forward Rate]]*EXP(-1*1*_xlfn.NORM.S.INV(1*25%*Table1[[#This Row],[Δspot Multiplier]])*Table1[[#This Row],[σ25ΔC]]*SQRT(Table1[[#This Row],[Years]])+0.5*Table1[[#This Row],[σ25ΔC]]*Table1[[#This Row],[σ25ΔC]]*Table1[[#This Row],[Years]])</f>
        <v>0.69813158100684425</v>
      </c>
    </row>
    <row r="18" spans="2:22" x14ac:dyDescent="0.2">
      <c r="B18" s="1" t="s">
        <v>6</v>
      </c>
      <c r="C18" s="7">
        <v>9.6210000000000004</v>
      </c>
      <c r="D18" s="7">
        <v>1.68209E-3</v>
      </c>
      <c r="E18" s="7">
        <v>4.3250000000000002</v>
      </c>
      <c r="F18" s="7">
        <v>5.2649999999999997</v>
      </c>
      <c r="G18" s="7">
        <v>0.17</v>
      </c>
      <c r="H18" s="7">
        <v>-0.98599999999999999</v>
      </c>
      <c r="I18" s="7" t="s">
        <v>43</v>
      </c>
      <c r="J18" s="10">
        <f>S0+Table1[[#This Row],[Forward Points]]</f>
        <v>0.66788208999999998</v>
      </c>
      <c r="K18" t="s">
        <v>31</v>
      </c>
      <c r="L18">
        <v>3</v>
      </c>
      <c r="M18" t="s">
        <v>30</v>
      </c>
      <c r="N18" s="12" cm="1">
        <f t="array" ref="N18">_xlfn.IFS(Table1[[#This Row],[Offset Type]]="business_days",WORKDAY(ValuationDate,Table1[[#This Row],[Business Days]]),Table1[[#This Row],[Offset Type]]="months",WORKDAY(EDATE(ValuationDate,Table1[[#This Row],[Months]])-1,1))</f>
        <v>45201</v>
      </c>
      <c r="O18" s="9">
        <f>YEARFRAC(ValuationDate,Table1[[#This Row],[Tenor Date]],1)</f>
        <v>0.25753424657534246</v>
      </c>
      <c r="P18" s="17">
        <f>Table1[[#This Row],[ATM Volatility]]%</f>
        <v>9.6210000000000004E-2</v>
      </c>
      <c r="Q18" s="17">
        <f>(Table1[[#This Row],[ATM Volatility]]+Table1[[#This Row],[25Δ Butterfly]]-0.5*Table1[[#This Row],[25Δ Risk Reversal]])%</f>
        <v>0.10284</v>
      </c>
      <c r="R18" s="17">
        <f>(Table1[[#This Row],[ATM Volatility]]+Table1[[#This Row],[25Δ Butterfly]]+0.5*Table1[[#This Row],[25Δ Risk Reversal]])%</f>
        <v>9.2980000000000007E-2</v>
      </c>
      <c r="S18" s="9">
        <f>IF(Table1[[#This Row],[Delta Quote Type]]="Delta Spot Regular",EXP(-Table1[[#This Row],[rforeign currency]]*Table1[[#This Row],[Years]]),1)</f>
        <v>0.32829732043823079</v>
      </c>
      <c r="T18" s="9">
        <f>Table1[[#This Row],[Forward Rate]]*EXP(0.5*Table1[[#This Row],[σATM]]*Table1[[#This Row],[σATM]]*Table1[[#This Row],[Years]])</f>
        <v>0.66867862353925422</v>
      </c>
      <c r="U18" s="9">
        <f>Table1[[#This Row],[Forward Rate]]*EXP(-1*-1*_xlfn.NORM.S.INV(-1*-25%*Table1[[#This Row],[Δspot Multiplier]])*Table1[[#This Row],[σ25ΔP]]*SQRT(Table1[[#This Row],[Years]])+0.5*Table1[[#This Row],[σ25ΔP]]*Table1[[#This Row],[σ25ΔP]]*Table1[[#This Row],[Years]])</f>
        <v>0.6219534707914075</v>
      </c>
      <c r="V18" s="21">
        <f>Table1[[#This Row],[Forward Rate]]*EXP(-1*1*_xlfn.NORM.S.INV(1*25%*Table1[[#This Row],[Δspot Multiplier]])*Table1[[#This Row],[σ25ΔC]]*SQRT(Table1[[#This Row],[Years]])+0.5*Table1[[#This Row],[σ25ΔC]]*Table1[[#This Row],[σ25ΔC]]*Table1[[#This Row],[Years]])</f>
        <v>0.71399190246413058</v>
      </c>
    </row>
    <row r="19" spans="2:22" x14ac:dyDescent="0.2">
      <c r="B19" s="1" t="s">
        <v>7</v>
      </c>
      <c r="C19" s="7">
        <v>9.7249999999999996</v>
      </c>
      <c r="D19" s="7">
        <v>3.25078E-3</v>
      </c>
      <c r="E19" s="7">
        <v>4.4619999999999997</v>
      </c>
      <c r="F19" s="7">
        <v>5.3769999999999998</v>
      </c>
      <c r="G19" s="7">
        <v>0.21</v>
      </c>
      <c r="H19" s="7">
        <v>-1.175</v>
      </c>
      <c r="I19" s="7" t="s">
        <v>43</v>
      </c>
      <c r="J19" s="10">
        <f>S0+Table1[[#This Row],[Forward Points]]</f>
        <v>0.66945078000000002</v>
      </c>
      <c r="K19" t="s">
        <v>31</v>
      </c>
      <c r="L19">
        <v>6</v>
      </c>
      <c r="M19" t="s">
        <v>30</v>
      </c>
      <c r="N19" s="12" cm="1">
        <f t="array" ref="N19">_xlfn.IFS(Table1[[#This Row],[Offset Type]]="business_days",WORKDAY(ValuationDate,Table1[[#This Row],[Business Days]]),Table1[[#This Row],[Offset Type]]="months",WORKDAY(EDATE(ValuationDate,Table1[[#This Row],[Months]])-1,1))</f>
        <v>45292</v>
      </c>
      <c r="O19" s="9">
        <f>YEARFRAC(ValuationDate,Table1[[#This Row],[Tenor Date]],1)</f>
        <v>0.50684931506849318</v>
      </c>
      <c r="P19" s="17">
        <f>Table1[[#This Row],[ATM Volatility]]%</f>
        <v>9.7250000000000003E-2</v>
      </c>
      <c r="Q19" s="17">
        <f>(Table1[[#This Row],[ATM Volatility]]+Table1[[#This Row],[25Δ Butterfly]]-0.5*Table1[[#This Row],[25Δ Risk Reversal]])%</f>
        <v>0.10522500000000001</v>
      </c>
      <c r="R19" s="17">
        <f>(Table1[[#This Row],[ATM Volatility]]+Table1[[#This Row],[25Δ Butterfly]]+0.5*Table1[[#This Row],[25Δ Risk Reversal]])%</f>
        <v>9.3475000000000003E-2</v>
      </c>
      <c r="S19" s="9">
        <f>IF(Table1[[#This Row],[Delta Quote Type]]="Delta Spot Regular",EXP(-Table1[[#This Row],[rforeign currency]]*Table1[[#This Row],[Years]]),1)</f>
        <v>0.10418765363870026</v>
      </c>
      <c r="T19" s="9">
        <f>Table1[[#This Row],[Forward Rate]]*EXP(0.5*Table1[[#This Row],[σATM]]*Table1[[#This Row],[σATM]]*Table1[[#This Row],[Years]])</f>
        <v>0.6710572303155764</v>
      </c>
      <c r="U19" s="9">
        <f>Table1[[#This Row],[Forward Rate]]*EXP(-1*-1*_xlfn.NORM.S.INV(-1*-25%*Table1[[#This Row],[Δspot Multiplier]])*Table1[[#This Row],[σ25ΔP]]*SQRT(Table1[[#This Row],[Years]])+0.5*Table1[[#This Row],[σ25ΔP]]*Table1[[#This Row],[σ25ΔP]]*Table1[[#This Row],[Years]])</f>
        <v>0.58042199182012877</v>
      </c>
      <c r="V19" s="21">
        <f>Table1[[#This Row],[Forward Rate]]*EXP(-1*1*_xlfn.NORM.S.INV(1*25%*Table1[[#This Row],[Δspot Multiplier]])*Table1[[#This Row],[σ25ΔC]]*SQRT(Table1[[#This Row],[Years]])+0.5*Table1[[#This Row],[σ25ΔC]]*Table1[[#This Row],[σ25ΔC]]*Table1[[#This Row],[Years]])</f>
        <v>0.76351436859081778</v>
      </c>
    </row>
    <row r="20" spans="2:22" x14ac:dyDescent="0.2">
      <c r="B20" s="1" t="s">
        <v>8</v>
      </c>
      <c r="C20" s="7">
        <v>9.8260000000000005</v>
      </c>
      <c r="D20" s="7">
        <v>4.4418299999999999E-3</v>
      </c>
      <c r="E20" s="7">
        <v>4.5720000000000001</v>
      </c>
      <c r="F20" s="7">
        <v>5.4130000000000003</v>
      </c>
      <c r="G20" s="7">
        <v>0.26300000000000001</v>
      </c>
      <c r="H20" s="7">
        <v>-1.2749999999999999</v>
      </c>
      <c r="I20" s="7" t="s">
        <v>43</v>
      </c>
      <c r="J20" s="10">
        <f>S0+Table1[[#This Row],[Forward Points]]</f>
        <v>0.67064182999999999</v>
      </c>
      <c r="K20" t="s">
        <v>31</v>
      </c>
      <c r="L20">
        <v>9</v>
      </c>
      <c r="M20" t="s">
        <v>30</v>
      </c>
      <c r="N20" s="12" cm="1">
        <f t="array" ref="N20">_xlfn.IFS(Table1[[#This Row],[Offset Type]]="business_days",WORKDAY(ValuationDate,Table1[[#This Row],[Business Days]]),Table1[[#This Row],[Offset Type]]="months",WORKDAY(EDATE(ValuationDate,Table1[[#This Row],[Months]])-1,1))</f>
        <v>45383</v>
      </c>
      <c r="O20" s="9">
        <f>YEARFRAC(ValuationDate,Table1[[#This Row],[Tenor Date]],1)</f>
        <v>0.75409836065573765</v>
      </c>
      <c r="P20" s="17">
        <f>Table1[[#This Row],[ATM Volatility]]%</f>
        <v>9.826E-2</v>
      </c>
      <c r="Q20" s="17">
        <f>(Table1[[#This Row],[ATM Volatility]]+Table1[[#This Row],[25Δ Butterfly]]-0.5*Table1[[#This Row],[25Δ Risk Reversal]])%</f>
        <v>0.107265</v>
      </c>
      <c r="R20" s="17">
        <f>(Table1[[#This Row],[ATM Volatility]]+Table1[[#This Row],[25Δ Butterfly]]+0.5*Table1[[#This Row],[25Δ Risk Reversal]])%</f>
        <v>9.4515000000000016E-2</v>
      </c>
      <c r="S20" s="9">
        <f>IF(Table1[[#This Row],[Delta Quote Type]]="Delta Spot Regular",EXP(-Table1[[#This Row],[rforeign currency]]*Table1[[#This Row],[Years]]),1)</f>
        <v>3.1817535673165906E-2</v>
      </c>
      <c r="T20" s="9">
        <f>Table1[[#This Row],[Forward Rate]]*EXP(0.5*Table1[[#This Row],[σATM]]*Table1[[#This Row],[σATM]]*Table1[[#This Row],[Years]])</f>
        <v>0.6730876973848644</v>
      </c>
      <c r="U20" s="9">
        <f>Table1[[#This Row],[Forward Rate]]*EXP(-1*-1*_xlfn.NORM.S.INV(-1*-25%*Table1[[#This Row],[Δspot Multiplier]])*Table1[[#This Row],[σ25ΔP]]*SQRT(Table1[[#This Row],[Years]])+0.5*Table1[[#This Row],[σ25ΔP]]*Table1[[#This Row],[σ25ΔP]]*Table1[[#This Row],[Years]])</f>
        <v>0.53807299485520399</v>
      </c>
      <c r="V20" s="21">
        <f>Table1[[#This Row],[Forward Rate]]*EXP(-1*1*_xlfn.NORM.S.INV(1*25%*Table1[[#This Row],[Δspot Multiplier]])*Table1[[#This Row],[σ25ΔC]]*SQRT(Table1[[#This Row],[Years]])+0.5*Table1[[#This Row],[σ25ΔC]]*Table1[[#This Row],[σ25ΔC]]*Table1[[#This Row],[Years]])</f>
        <v>0.82015073818579487</v>
      </c>
    </row>
    <row r="21" spans="2:22" x14ac:dyDescent="0.2">
      <c r="B21" s="1" t="s">
        <v>9</v>
      </c>
      <c r="C21" s="7">
        <v>9.9450000000000003</v>
      </c>
      <c r="D21" s="7">
        <v>5.0893600000000002E-3</v>
      </c>
      <c r="E21" s="7">
        <v>4.6550000000000002</v>
      </c>
      <c r="F21" s="7">
        <v>5.3760000000000003</v>
      </c>
      <c r="G21" s="7">
        <v>0.316</v>
      </c>
      <c r="H21" s="7">
        <v>-1.3169999999999999</v>
      </c>
      <c r="I21" s="7" t="s">
        <v>43</v>
      </c>
      <c r="J21" s="10">
        <f>S0+Table1[[#This Row],[Forward Points]]</f>
        <v>0.67128936000000006</v>
      </c>
      <c r="K21" t="s">
        <v>31</v>
      </c>
      <c r="L21">
        <v>12</v>
      </c>
      <c r="M21" t="s">
        <v>30</v>
      </c>
      <c r="N21" s="12" cm="1">
        <f t="array" ref="N21">_xlfn.IFS(Table1[[#This Row],[Offset Type]]="business_days",WORKDAY(ValuationDate,Table1[[#This Row],[Business Days]]),Table1[[#This Row],[Offset Type]]="months",WORKDAY(EDATE(ValuationDate,Table1[[#This Row],[Months]])-1,1))</f>
        <v>45474</v>
      </c>
      <c r="O21" s="9">
        <f>YEARFRAC(ValuationDate,Table1[[#This Row],[Tenor Date]],1)</f>
        <v>1.0041039671682626</v>
      </c>
      <c r="P21" s="17">
        <f>Table1[[#This Row],[ATM Volatility]]%</f>
        <v>9.9449999999999997E-2</v>
      </c>
      <c r="Q21" s="17">
        <f>(Table1[[#This Row],[ATM Volatility]]+Table1[[#This Row],[25Δ Butterfly]]-0.5*Table1[[#This Row],[25Δ Risk Reversal]])%</f>
        <v>0.10919500000000001</v>
      </c>
      <c r="R21" s="17">
        <f>(Table1[[#This Row],[ATM Volatility]]+Table1[[#This Row],[25Δ Butterfly]]+0.5*Table1[[#This Row],[25Δ Risk Reversal]])%</f>
        <v>9.6025000000000013E-2</v>
      </c>
      <c r="S21" s="9">
        <f>IF(Table1[[#This Row],[Delta Quote Type]]="Delta Spot Regular",EXP(-Table1[[#This Row],[rforeign currency]]*Table1[[#This Row],[Years]]),1)</f>
        <v>9.333884859158037E-3</v>
      </c>
      <c r="T21" s="9">
        <f>Table1[[#This Row],[Forward Rate]]*EXP(0.5*Table1[[#This Row],[σATM]]*Table1[[#This Row],[σATM]]*Table1[[#This Row],[Years]])</f>
        <v>0.67463090031296757</v>
      </c>
      <c r="U21" s="9">
        <f>Table1[[#This Row],[Forward Rate]]*EXP(-1*-1*_xlfn.NORM.S.INV(-1*-25%*Table1[[#This Row],[Δspot Multiplier]])*Table1[[#This Row],[σ25ΔP]]*SQRT(Table1[[#This Row],[Years]])+0.5*Table1[[#This Row],[σ25ΔP]]*Table1[[#This Row],[σ25ΔP]]*Table1[[#This Row],[Years]])</f>
        <v>0.49552728761198211</v>
      </c>
      <c r="V21" s="21">
        <f>Table1[[#This Row],[Forward Rate]]*EXP(-1*1*_xlfn.NORM.S.INV(1*25%*Table1[[#This Row],[Δspot Multiplier]])*Table1[[#This Row],[σ25ΔC]]*SQRT(Table1[[#This Row],[Years]])+0.5*Table1[[#This Row],[σ25ΔC]]*Table1[[#This Row],[σ25ΔC]]*Table1[[#This Row],[Years]])</f>
        <v>0.88541565413068746</v>
      </c>
    </row>
    <row r="22" spans="2:22" x14ac:dyDescent="0.2">
      <c r="B22" s="1" t="s">
        <v>10</v>
      </c>
      <c r="C22" s="7">
        <v>9.5039999999999996</v>
      </c>
      <c r="D22" s="7">
        <v>5.0252099999999996E-3</v>
      </c>
      <c r="E22" s="7">
        <v>4.6929999999999996</v>
      </c>
      <c r="F22" s="7">
        <v>5.2430000000000003</v>
      </c>
      <c r="G22" s="7">
        <v>0.33200000000000002</v>
      </c>
      <c r="H22" s="7">
        <v>-1.28</v>
      </c>
      <c r="I22" s="7" t="s">
        <v>44</v>
      </c>
      <c r="J22" s="10">
        <f>S0+Table1[[#This Row],[Forward Points]]</f>
        <v>0.67122521000000002</v>
      </c>
      <c r="K22" t="s">
        <v>31</v>
      </c>
      <c r="L22">
        <v>15</v>
      </c>
      <c r="M22" t="s">
        <v>30</v>
      </c>
      <c r="N22" s="12" cm="1">
        <f t="array" ref="N22">_xlfn.IFS(Table1[[#This Row],[Offset Type]]="business_days",WORKDAY(ValuationDate,Table1[[#This Row],[Business Days]]),Table1[[#This Row],[Offset Type]]="months",WORKDAY(EDATE(ValuationDate,Table1[[#This Row],[Months]])-1,1))</f>
        <v>45565</v>
      </c>
      <c r="O22" s="9">
        <f>YEARFRAC(ValuationDate,Table1[[#This Row],[Tenor Date]],1)</f>
        <v>1.2530779753761969</v>
      </c>
      <c r="P22" s="17">
        <f>Table1[[#This Row],[ATM Volatility]]%</f>
        <v>9.5039999999999999E-2</v>
      </c>
      <c r="Q22" s="17">
        <f>(Table1[[#This Row],[ATM Volatility]]+Table1[[#This Row],[25Δ Butterfly]]-0.5*Table1[[#This Row],[25Δ Risk Reversal]])%</f>
        <v>0.10476000000000001</v>
      </c>
      <c r="R22" s="17">
        <f>(Table1[[#This Row],[ATM Volatility]]+Table1[[#This Row],[25Δ Butterfly]]+0.5*Table1[[#This Row],[25Δ Risk Reversal]])%</f>
        <v>9.196E-2</v>
      </c>
      <c r="S22" s="9">
        <f>IF(Table1[[#This Row],[Delta Quote Type]]="Delta Spot Regular",EXP(-Table1[[#This Row],[rforeign currency]]*Table1[[#This Row],[Years]]),1)</f>
        <v>1</v>
      </c>
      <c r="T22" s="9">
        <f>Table1[[#This Row],[Forward Rate]]*EXP(0.5*Table1[[#This Row],[σATM]]*Table1[[#This Row],[σATM]]*Table1[[#This Row],[Years]])</f>
        <v>0.67503462854517793</v>
      </c>
      <c r="U22" s="9">
        <f>Table1[[#This Row],[Forward Rate]]*EXP(-1*-1*_xlfn.NORM.S.INV(-1*-25%*Table1[[#This Row],[Δspot Multiplier]])*Table1[[#This Row],[σ25ΔP]]*SQRT(Table1[[#This Row],[Years]])+0.5*Table1[[#This Row],[σ25ΔP]]*Table1[[#This Row],[σ25ΔP]]*Table1[[#This Row],[Years]])</f>
        <v>0.62445782087202817</v>
      </c>
      <c r="V22" s="21">
        <f>Table1[[#This Row],[Forward Rate]]*EXP(-1*1*_xlfn.NORM.S.INV(1*25%*Table1[[#This Row],[Δspot Multiplier]])*Table1[[#This Row],[σ25ΔC]]*SQRT(Table1[[#This Row],[Years]])+0.5*Table1[[#This Row],[σ25ΔC]]*Table1[[#This Row],[σ25ΔC]]*Table1[[#This Row],[Years]])</f>
        <v>0.72330842344173962</v>
      </c>
    </row>
    <row r="23" spans="2:22" x14ac:dyDescent="0.2">
      <c r="B23" s="1" t="s">
        <v>11</v>
      </c>
      <c r="C23" s="7">
        <v>9.7959999999999994</v>
      </c>
      <c r="D23" s="7">
        <v>4.9678099999999996E-3</v>
      </c>
      <c r="E23" s="7">
        <v>4.673</v>
      </c>
      <c r="F23" s="7">
        <v>5.117</v>
      </c>
      <c r="G23" s="7">
        <v>0.34799999999999998</v>
      </c>
      <c r="H23" s="7">
        <v>-1.353</v>
      </c>
      <c r="I23" s="7" t="s">
        <v>44</v>
      </c>
      <c r="J23" s="10">
        <f>S0+Table1[[#This Row],[Forward Points]]</f>
        <v>0.67116781000000003</v>
      </c>
      <c r="K23" t="s">
        <v>31</v>
      </c>
      <c r="L23">
        <v>18</v>
      </c>
      <c r="M23" t="s">
        <v>30</v>
      </c>
      <c r="N23" s="12" cm="1">
        <f t="array" ref="N23">_xlfn.IFS(Table1[[#This Row],[Offset Type]]="business_days",WORKDAY(ValuationDate,Table1[[#This Row],[Business Days]]),Table1[[#This Row],[Offset Type]]="months",WORKDAY(EDATE(ValuationDate,Table1[[#This Row],[Months]])-1,1))</f>
        <v>45656</v>
      </c>
      <c r="O23" s="9">
        <f>YEARFRAC(ValuationDate,Table1[[#This Row],[Tenor Date]],1)</f>
        <v>1.5020519835841313</v>
      </c>
      <c r="P23" s="17">
        <f>Table1[[#This Row],[ATM Volatility]]%</f>
        <v>9.7959999999999992E-2</v>
      </c>
      <c r="Q23" s="17">
        <f>(Table1[[#This Row],[ATM Volatility]]+Table1[[#This Row],[25Δ Butterfly]]-0.5*Table1[[#This Row],[25Δ Risk Reversal]])%</f>
        <v>0.10820500000000001</v>
      </c>
      <c r="R23" s="17">
        <f>(Table1[[#This Row],[ATM Volatility]]+Table1[[#This Row],[25Δ Butterfly]]+0.5*Table1[[#This Row],[25Δ Risk Reversal]])%</f>
        <v>9.4674999999999995E-2</v>
      </c>
      <c r="S23" s="9">
        <f>IF(Table1[[#This Row],[Delta Quote Type]]="Delta Spot Regular",EXP(-Table1[[#This Row],[rforeign currency]]*Table1[[#This Row],[Years]]),1)</f>
        <v>1</v>
      </c>
      <c r="T23" s="9">
        <f>Table1[[#This Row],[Forward Rate]]*EXP(0.5*Table1[[#This Row],[σATM]]*Table1[[#This Row],[σATM]]*Table1[[#This Row],[Years]])</f>
        <v>0.67602236641365354</v>
      </c>
      <c r="U23" s="9">
        <f>Table1[[#This Row],[Forward Rate]]*EXP(-1*-1*_xlfn.NORM.S.INV(-1*-25%*Table1[[#This Row],[Δspot Multiplier]])*Table1[[#This Row],[σ25ΔP]]*SQRT(Table1[[#This Row],[Years]])+0.5*Table1[[#This Row],[σ25ΔP]]*Table1[[#This Row],[σ25ΔP]]*Table1[[#This Row],[Years]])</f>
        <v>0.6191611485490448</v>
      </c>
      <c r="V23" s="21">
        <f>Table1[[#This Row],[Forward Rate]]*EXP(-1*1*_xlfn.NORM.S.INV(1*25%*Table1[[#This Row],[Δspot Multiplier]])*Table1[[#This Row],[σ25ΔC]]*SQRT(Table1[[#This Row],[Years]])+0.5*Table1[[#This Row],[σ25ΔC]]*Table1[[#This Row],[σ25ΔC]]*Table1[[#This Row],[Years]])</f>
        <v>0.7307075461130349</v>
      </c>
    </row>
    <row r="24" spans="2:22" x14ac:dyDescent="0.2">
      <c r="B24" s="1" t="s">
        <v>12</v>
      </c>
      <c r="C24" s="7">
        <v>10.15</v>
      </c>
      <c r="D24" s="7">
        <v>4.0469499999999997E-3</v>
      </c>
      <c r="E24" s="7">
        <v>4.5640000000000001</v>
      </c>
      <c r="F24" s="7">
        <v>4.8120000000000003</v>
      </c>
      <c r="G24" s="7">
        <v>0.38</v>
      </c>
      <c r="H24" s="7">
        <v>-1.44</v>
      </c>
      <c r="I24" s="7" t="s">
        <v>44</v>
      </c>
      <c r="J24" s="10">
        <f>S0+Table1[[#This Row],[Forward Points]]</f>
        <v>0.67024695000000001</v>
      </c>
      <c r="K24" t="s">
        <v>31</v>
      </c>
      <c r="L24">
        <v>24</v>
      </c>
      <c r="M24" t="s">
        <v>30</v>
      </c>
      <c r="N24" s="12" cm="1">
        <f t="array" ref="N24">_xlfn.IFS(Table1[[#This Row],[Offset Type]]="business_days",WORKDAY(ValuationDate,Table1[[#This Row],[Business Days]]),Table1[[#This Row],[Offset Type]]="months",WORKDAY(EDATE(ValuationDate,Table1[[#This Row],[Months]])-1,1))</f>
        <v>45838</v>
      </c>
      <c r="O24" s="9">
        <f>YEARFRAC(ValuationDate,Table1[[#This Row],[Tenor Date]],1)</f>
        <v>2.0009124087591244</v>
      </c>
      <c r="P24" s="17">
        <f>Table1[[#This Row],[ATM Volatility]]%</f>
        <v>0.10150000000000001</v>
      </c>
      <c r="Q24" s="17">
        <f>(Table1[[#This Row],[ATM Volatility]]+Table1[[#This Row],[25Δ Butterfly]]-0.5*Table1[[#This Row],[25Δ Risk Reversal]])%</f>
        <v>0.11250000000000002</v>
      </c>
      <c r="R24" s="17">
        <f>(Table1[[#This Row],[ATM Volatility]]+Table1[[#This Row],[25Δ Butterfly]]+0.5*Table1[[#This Row],[25Δ Risk Reversal]])%</f>
        <v>9.8100000000000007E-2</v>
      </c>
      <c r="S24" s="9">
        <f>IF(Table1[[#This Row],[Delta Quote Type]]="Delta Spot Regular",EXP(-Table1[[#This Row],[rforeign currency]]*Table1[[#This Row],[Years]]),1)</f>
        <v>1</v>
      </c>
      <c r="T24" s="9">
        <f>Table1[[#This Row],[Forward Rate]]*EXP(0.5*Table1[[#This Row],[σATM]]*Table1[[#This Row],[σATM]]*Table1[[#This Row],[Years]])</f>
        <v>0.67719087562947866</v>
      </c>
      <c r="U24" s="9">
        <f>Table1[[#This Row],[Forward Rate]]*EXP(-1*-1*_xlfn.NORM.S.INV(-1*-25%*Table1[[#This Row],[Δspot Multiplier]])*Table1[[#This Row],[σ25ΔP]]*SQRT(Table1[[#This Row],[Years]])+0.5*Table1[[#This Row],[σ25ΔP]]*Table1[[#This Row],[σ25ΔP]]*Table1[[#This Row],[Years]])</f>
        <v>0.60970370719202915</v>
      </c>
      <c r="V24" s="21">
        <f>Table1[[#This Row],[Forward Rate]]*EXP(-1*1*_xlfn.NORM.S.INV(1*25%*Table1[[#This Row],[Δspot Multiplier]])*Table1[[#This Row],[σ25ΔC]]*SQRT(Table1[[#This Row],[Years]])+0.5*Table1[[#This Row],[σ25ΔC]]*Table1[[#This Row],[σ25ΔC]]*Table1[[#This Row],[Years]])</f>
        <v>0.74312960668282746</v>
      </c>
    </row>
    <row r="25" spans="2:22" x14ac:dyDescent="0.2">
      <c r="B25" s="1" t="s">
        <v>13</v>
      </c>
      <c r="C25" s="7">
        <v>10.3</v>
      </c>
      <c r="D25" s="7">
        <v>4.4947999999999999E-4</v>
      </c>
      <c r="E25" s="7">
        <v>4.4180000000000001</v>
      </c>
      <c r="F25" s="7">
        <v>4.3789999999999996</v>
      </c>
      <c r="G25" s="7">
        <v>0.40600000000000003</v>
      </c>
      <c r="H25" s="7">
        <v>-1.625</v>
      </c>
      <c r="I25" s="7" t="s">
        <v>44</v>
      </c>
      <c r="J25" s="10">
        <f>S0+Table1[[#This Row],[Forward Points]]</f>
        <v>0.66664948000000002</v>
      </c>
      <c r="K25" t="s">
        <v>31</v>
      </c>
      <c r="L25">
        <v>36</v>
      </c>
      <c r="M25" t="s">
        <v>30</v>
      </c>
      <c r="N25" s="12" cm="1">
        <f t="array" ref="N25">_xlfn.IFS(Table1[[#This Row],[Offset Type]]="business_days",WORKDAY(ValuationDate,Table1[[#This Row],[Business Days]]),Table1[[#This Row],[Offset Type]]="months",WORKDAY(EDATE(ValuationDate,Table1[[#This Row],[Months]])-1,1))</f>
        <v>46203</v>
      </c>
      <c r="O25" s="9">
        <f>YEARFRAC(ValuationDate,Table1[[#This Row],[Tenor Date]],1)</f>
        <v>3.0006844626967832</v>
      </c>
      <c r="P25" s="17">
        <f>Table1[[#This Row],[ATM Volatility]]%</f>
        <v>0.10300000000000001</v>
      </c>
      <c r="Q25" s="17">
        <f>(Table1[[#This Row],[ATM Volatility]]+Table1[[#This Row],[25Δ Butterfly]]-0.5*Table1[[#This Row],[25Δ Risk Reversal]])%</f>
        <v>0.11518500000000001</v>
      </c>
      <c r="R25" s="17">
        <f>(Table1[[#This Row],[ATM Volatility]]+Table1[[#This Row],[25Δ Butterfly]]+0.5*Table1[[#This Row],[25Δ Risk Reversal]])%</f>
        <v>9.8935000000000009E-2</v>
      </c>
      <c r="S25" s="9">
        <f>IF(Table1[[#This Row],[Delta Quote Type]]="Delta Spot Regular",EXP(-Table1[[#This Row],[rforeign currency]]*Table1[[#This Row],[Years]]),1)</f>
        <v>1</v>
      </c>
      <c r="T25" s="9">
        <f>Table1[[#This Row],[Forward Rate]]*EXP(0.5*Table1[[#This Row],[σATM]]*Table1[[#This Row],[σATM]]*Table1[[#This Row],[Years]])</f>
        <v>0.67734552628552747</v>
      </c>
      <c r="U25" s="9">
        <f>Table1[[#This Row],[Forward Rate]]*EXP(-1*-1*_xlfn.NORM.S.INV(-1*-25%*Table1[[#This Row],[Δspot Multiplier]])*Table1[[#This Row],[σ25ΔP]]*SQRT(Table1[[#This Row],[Years]])+0.5*Table1[[#This Row],[σ25ΔP]]*Table1[[#This Row],[σ25ΔP]]*Table1[[#This Row],[Years]])</f>
        <v>0.59442230730471568</v>
      </c>
      <c r="V25" s="21">
        <f>Table1[[#This Row],[Forward Rate]]*EXP(-1*1*_xlfn.NORM.S.INV(1*25%*Table1[[#This Row],[Δspot Multiplier]])*Table1[[#This Row],[σ25ΔC]]*SQRT(Table1[[#This Row],[Years]])+0.5*Table1[[#This Row],[σ25ΔC]]*Table1[[#This Row],[σ25ΔC]]*Table1[[#This Row],[Years]])</f>
        <v>0.75941165165464519</v>
      </c>
    </row>
    <row r="26" spans="2:22" x14ac:dyDescent="0.2">
      <c r="B26" s="1" t="s">
        <v>14</v>
      </c>
      <c r="C26" s="7">
        <v>10.488</v>
      </c>
      <c r="D26" s="7">
        <v>-3.7813600000000001E-3</v>
      </c>
      <c r="E26" s="7">
        <v>4.2969999999999997</v>
      </c>
      <c r="F26" s="7">
        <v>4.0910000000000002</v>
      </c>
      <c r="G26" s="7">
        <v>0.43</v>
      </c>
      <c r="H26" s="7">
        <v>-1.7669999999999999</v>
      </c>
      <c r="I26" s="7" t="s">
        <v>44</v>
      </c>
      <c r="J26" s="10">
        <f>S0+Table1[[#This Row],[Forward Points]]</f>
        <v>0.66241864000000006</v>
      </c>
      <c r="K26" t="s">
        <v>31</v>
      </c>
      <c r="L26">
        <v>48</v>
      </c>
      <c r="M26" t="s">
        <v>30</v>
      </c>
      <c r="N26" s="12" cm="1">
        <f t="array" ref="N26">_xlfn.IFS(Table1[[#This Row],[Offset Type]]="business_days",WORKDAY(ValuationDate,Table1[[#This Row],[Business Days]]),Table1[[#This Row],[Offset Type]]="months",WORKDAY(EDATE(ValuationDate,Table1[[#This Row],[Months]])-1,1))</f>
        <v>46568</v>
      </c>
      <c r="O26" s="9">
        <f>YEARFRAC(ValuationDate,Table1[[#This Row],[Tenor Date]],1)</f>
        <v>4.0005476451259581</v>
      </c>
      <c r="P26" s="17">
        <f>Table1[[#This Row],[ATM Volatility]]%</f>
        <v>0.10488</v>
      </c>
      <c r="Q26" s="17">
        <f>(Table1[[#This Row],[ATM Volatility]]+Table1[[#This Row],[25Δ Butterfly]]-0.5*Table1[[#This Row],[25Δ Risk Reversal]])%</f>
        <v>0.11801499999999999</v>
      </c>
      <c r="R26" s="17">
        <f>(Table1[[#This Row],[ATM Volatility]]+Table1[[#This Row],[25Δ Butterfly]]+0.5*Table1[[#This Row],[25Δ Risk Reversal]])%</f>
        <v>0.10034499999999999</v>
      </c>
      <c r="S26" s="9">
        <f>IF(Table1[[#This Row],[Delta Quote Type]]="Delta Spot Regular",EXP(-Table1[[#This Row],[rforeign currency]]*Table1[[#This Row],[Years]]),1)</f>
        <v>1</v>
      </c>
      <c r="T26" s="9">
        <f>Table1[[#This Row],[Forward Rate]]*EXP(0.5*Table1[[#This Row],[σATM]]*Table1[[#This Row],[σATM]]*Table1[[#This Row],[Years]])</f>
        <v>0.67715512568447556</v>
      </c>
      <c r="U26" s="9">
        <f>Table1[[#This Row],[Forward Rate]]*EXP(-1*-1*_xlfn.NORM.S.INV(-1*-25%*Table1[[#This Row],[Δspot Multiplier]])*Table1[[#This Row],[σ25ΔP]]*SQRT(Table1[[#This Row],[Years]])+0.5*Table1[[#This Row],[σ25ΔP]]*Table1[[#This Row],[σ25ΔP]]*Table1[[#This Row],[Years]])</f>
        <v>0.58088100395513342</v>
      </c>
      <c r="V26" s="21">
        <f>Table1[[#This Row],[Forward Rate]]*EXP(-1*1*_xlfn.NORM.S.INV(1*25%*Table1[[#This Row],[Δspot Multiplier]])*Table1[[#This Row],[σ25ΔC]]*SQRT(Table1[[#This Row],[Years]])+0.5*Table1[[#This Row],[σ25ΔC]]*Table1[[#This Row],[σ25ΔC]]*Table1[[#This Row],[Years]])</f>
        <v>0.7738757662672201</v>
      </c>
    </row>
    <row r="27" spans="2:22" x14ac:dyDescent="0.2">
      <c r="B27" s="1" t="s">
        <v>15</v>
      </c>
      <c r="C27" s="7">
        <v>10.6</v>
      </c>
      <c r="D27" s="7">
        <v>-1.0485100000000001E-2</v>
      </c>
      <c r="E27" s="7">
        <v>4.2869999999999999</v>
      </c>
      <c r="F27" s="7">
        <v>3.9020000000000001</v>
      </c>
      <c r="G27" s="7">
        <v>0.45500000000000002</v>
      </c>
      <c r="H27" s="7">
        <v>-1.85</v>
      </c>
      <c r="I27" s="7" t="s">
        <v>44</v>
      </c>
      <c r="J27" s="10">
        <f>S0+Table1[[#This Row],[Forward Points]]</f>
        <v>0.65571489999999999</v>
      </c>
      <c r="K27" t="s">
        <v>31</v>
      </c>
      <c r="L27">
        <v>60</v>
      </c>
      <c r="M27" t="s">
        <v>30</v>
      </c>
      <c r="N27" s="12" cm="1">
        <f t="array" ref="N27">_xlfn.IFS(Table1[[#This Row],[Offset Type]]="business_days",WORKDAY(ValuationDate,Table1[[#This Row],[Business Days]]),Table1[[#This Row],[Offset Type]]="months",WORKDAY(EDATE(ValuationDate,Table1[[#This Row],[Months]])-1,1))</f>
        <v>46934</v>
      </c>
      <c r="O27" s="9">
        <f>YEARFRAC(ValuationDate,Table1[[#This Row],[Tenor Date]],1)</f>
        <v>5.0009124087591239</v>
      </c>
      <c r="P27" s="17">
        <f>Table1[[#This Row],[ATM Volatility]]%</f>
        <v>0.106</v>
      </c>
      <c r="Q27" s="17">
        <f>(Table1[[#This Row],[ATM Volatility]]+Table1[[#This Row],[25Δ Butterfly]]-0.5*Table1[[#This Row],[25Δ Risk Reversal]])%</f>
        <v>0.1198</v>
      </c>
      <c r="R27" s="17">
        <f>(Table1[[#This Row],[ATM Volatility]]+Table1[[#This Row],[25Δ Butterfly]]+0.5*Table1[[#This Row],[25Δ Risk Reversal]])%</f>
        <v>0.10129999999999999</v>
      </c>
      <c r="S27" s="9">
        <f>IF(Table1[[#This Row],[Delta Quote Type]]="Delta Spot Regular",EXP(-Table1[[#This Row],[rforeign currency]]*Table1[[#This Row],[Years]]),1)</f>
        <v>1</v>
      </c>
      <c r="T27" s="9">
        <f>Table1[[#This Row],[Forward Rate]]*EXP(0.5*Table1[[#This Row],[σATM]]*Table1[[#This Row],[σATM]]*Table1[[#This Row],[Years]])</f>
        <v>0.67439852309446391</v>
      </c>
      <c r="U27" s="9">
        <f>Table1[[#This Row],[Forward Rate]]*EXP(-1*-1*_xlfn.NORM.S.INV(-1*-25%*Table1[[#This Row],[Δspot Multiplier]])*Table1[[#This Row],[σ25ΔP]]*SQRT(Table1[[#This Row],[Years]])+0.5*Table1[[#This Row],[σ25ΔP]]*Table1[[#This Row],[σ25ΔP]]*Table1[[#This Row],[Years]])</f>
        <v>0.56731420436501923</v>
      </c>
      <c r="V27" s="21">
        <f>Table1[[#This Row],[Forward Rate]]*EXP(-1*1*_xlfn.NORM.S.INV(1*25%*Table1[[#This Row],[Δspot Multiplier]])*Table1[[#This Row],[σ25ΔC]]*SQRT(Table1[[#This Row],[Years]])+0.5*Table1[[#This Row],[σ25ΔC]]*Table1[[#This Row],[σ25ΔC]]*Table1[[#This Row],[Years]])</f>
        <v>0.78382054390150724</v>
      </c>
    </row>
    <row r="28" spans="2:22" x14ac:dyDescent="0.2">
      <c r="B28" s="1" t="s">
        <v>16</v>
      </c>
      <c r="C28" s="7">
        <v>10.85</v>
      </c>
      <c r="D28" s="7">
        <v>-2.76087E-2</v>
      </c>
      <c r="E28" s="7">
        <v>4.3639999999999999</v>
      </c>
      <c r="F28" s="7">
        <v>3.6840000000000002</v>
      </c>
      <c r="G28" s="7">
        <v>0.625</v>
      </c>
      <c r="H28" s="7">
        <v>-1.9430000000000001</v>
      </c>
      <c r="I28" s="7" t="s">
        <v>44</v>
      </c>
      <c r="J28" s="10">
        <f>S0+Table1[[#This Row],[Forward Points]]</f>
        <v>0.63859129999999997</v>
      </c>
      <c r="K28" t="s">
        <v>31</v>
      </c>
      <c r="L28">
        <v>84</v>
      </c>
      <c r="M28" t="s">
        <v>30</v>
      </c>
      <c r="N28" s="12" cm="1">
        <f t="array" ref="N28">_xlfn.IFS(Table1[[#This Row],[Offset Type]]="business_days",WORKDAY(ValuationDate,Table1[[#This Row],[Business Days]]),Table1[[#This Row],[Offset Type]]="months",WORKDAY(EDATE(ValuationDate,Table1[[#This Row],[Months]])-1,1))</f>
        <v>47665</v>
      </c>
      <c r="O28" s="9">
        <f>YEARFRAC(ValuationDate,Table1[[#This Row],[Tenor Date]],1)</f>
        <v>7.0034223134839149</v>
      </c>
      <c r="P28" s="17">
        <f>Table1[[#This Row],[ATM Volatility]]%</f>
        <v>0.1085</v>
      </c>
      <c r="Q28" s="17">
        <f>(Table1[[#This Row],[ATM Volatility]]+Table1[[#This Row],[25Δ Butterfly]]-0.5*Table1[[#This Row],[25Δ Risk Reversal]])%</f>
        <v>0.12446500000000001</v>
      </c>
      <c r="R28" s="17">
        <f>(Table1[[#This Row],[ATM Volatility]]+Table1[[#This Row],[25Δ Butterfly]]+0.5*Table1[[#This Row],[25Δ Risk Reversal]])%</f>
        <v>0.10503499999999999</v>
      </c>
      <c r="S28" s="9">
        <f>IF(Table1[[#This Row],[Delta Quote Type]]="Delta Spot Regular",EXP(-Table1[[#This Row],[rforeign currency]]*Table1[[#This Row],[Years]]),1)</f>
        <v>1</v>
      </c>
      <c r="T28" s="9">
        <f>Table1[[#This Row],[Forward Rate]]*EXP(0.5*Table1[[#This Row],[σATM]]*Table1[[#This Row],[σATM]]*Table1[[#This Row],[Years]])</f>
        <v>0.66546608563065301</v>
      </c>
      <c r="U28" s="9">
        <f>Table1[[#This Row],[Forward Rate]]*EXP(-1*-1*_xlfn.NORM.S.INV(-1*-25%*Table1[[#This Row],[Δspot Multiplier]])*Table1[[#This Row],[σ25ΔP]]*SQRT(Table1[[#This Row],[Years]])+0.5*Table1[[#This Row],[σ25ΔP]]*Table1[[#This Row],[σ25ΔP]]*Table1[[#This Row],[Years]])</f>
        <v>0.53987922662658649</v>
      </c>
      <c r="V28" s="21">
        <f>Table1[[#This Row],[Forward Rate]]*EXP(-1*1*_xlfn.NORM.S.INV(1*25%*Table1[[#This Row],[Δspot Multiplier]])*Table1[[#This Row],[σ25ΔC]]*SQRT(Table1[[#This Row],[Years]])+0.5*Table1[[#This Row],[σ25ΔC]]*Table1[[#This Row],[σ25ΔC]]*Table1[[#This Row],[Years]])</f>
        <v>0.80061558362826235</v>
      </c>
    </row>
    <row r="29" spans="2:22" x14ac:dyDescent="0.2">
      <c r="B29" s="2" t="s">
        <v>17</v>
      </c>
      <c r="C29" s="8">
        <v>11.2</v>
      </c>
      <c r="D29" s="8">
        <v>-5.6058799999999999E-2</v>
      </c>
      <c r="E29" s="8">
        <v>4.4950000000000001</v>
      </c>
      <c r="F29" s="8">
        <v>3.532</v>
      </c>
      <c r="G29" s="8">
        <v>0.625</v>
      </c>
      <c r="H29" s="8">
        <v>-2.0110000000000001</v>
      </c>
      <c r="I29" s="7" t="s">
        <v>44</v>
      </c>
      <c r="J29" s="10">
        <f>S0+Table1[[#This Row],[Forward Points]]</f>
        <v>0.61014120000000005</v>
      </c>
      <c r="K29" t="s">
        <v>31</v>
      </c>
      <c r="L29">
        <v>120</v>
      </c>
      <c r="M29" t="s">
        <v>30</v>
      </c>
      <c r="N29" s="12" cm="1">
        <f t="array" ref="N29">_xlfn.IFS(Table1[[#This Row],[Offset Type]]="business_days",WORKDAY(ValuationDate,Table1[[#This Row],[Business Days]]),Table1[[#This Row],[Offset Type]]="months",WORKDAY(EDATE(ValuationDate,Table1[[#This Row],[Months]])-1,1))</f>
        <v>48760</v>
      </c>
      <c r="O29" s="9">
        <f>YEARFRAC(ValuationDate,Table1[[#This Row],[Tenor Date]],1)</f>
        <v>10.000746640119463</v>
      </c>
      <c r="P29" s="17">
        <f>Table1[[#This Row],[ATM Volatility]]%</f>
        <v>0.11199999999999999</v>
      </c>
      <c r="Q29" s="17">
        <f>(Table1[[#This Row],[ATM Volatility]]+Table1[[#This Row],[25Δ Butterfly]]-0.5*Table1[[#This Row],[25Δ Risk Reversal]])%</f>
        <v>0.128305</v>
      </c>
      <c r="R29" s="17">
        <f>(Table1[[#This Row],[ATM Volatility]]+Table1[[#This Row],[25Δ Butterfly]]+0.5*Table1[[#This Row],[25Δ Risk Reversal]])%</f>
        <v>0.108195</v>
      </c>
      <c r="S29" s="9">
        <f>IF(Table1[[#This Row],[Delta Quote Type]]="Delta Spot Regular",EXP(-Table1[[#This Row],[rforeign currency]]*Table1[[#This Row],[Years]]),1)</f>
        <v>1</v>
      </c>
      <c r="T29" s="9">
        <f>Table1[[#This Row],[Forward Rate]]*EXP(0.5*Table1[[#This Row],[σATM]]*Table1[[#This Row],[σATM]]*Table1[[#This Row],[Years]])</f>
        <v>0.64963787269969364</v>
      </c>
      <c r="U29" s="9">
        <f>Table1[[#This Row],[Forward Rate]]*EXP(-1*-1*_xlfn.NORM.S.INV(-1*-25%*Table1[[#This Row],[Δspot Multiplier]])*Table1[[#This Row],[σ25ΔP]]*SQRT(Table1[[#This Row],[Years]])+0.5*Table1[[#This Row],[σ25ΔP]]*Table1[[#This Row],[σ25ΔP]]*Table1[[#This Row],[Years]])</f>
        <v>0.50387710713578748</v>
      </c>
      <c r="V29" s="21">
        <f>Table1[[#This Row],[Forward Rate]]*EXP(-1*1*_xlfn.NORM.S.INV(1*25%*Table1[[#This Row],[Δspot Multiplier]])*Table1[[#This Row],[σ25ΔC]]*SQRT(Table1[[#This Row],[Years]])+0.5*Table1[[#This Row],[σ25ΔC]]*Table1[[#This Row],[σ25ΔC]]*Table1[[#This Row],[Years]])</f>
        <v>0.81485149269232715</v>
      </c>
    </row>
  </sheetData>
  <mergeCells count="2">
    <mergeCell ref="B4:F4"/>
    <mergeCell ref="B5:G5"/>
  </mergeCell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F8C8CF-A5FD-407F-B3ED-B47EFE61FCC9}">
          <x14:formula1>
            <xm:f>DataValidation!$A$1:$A$2</xm:f>
          </x14:formula1>
          <xm:sqref>I12:I29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FDB40-BBCC-43DA-BA02-65F609977426}">
  <dimension ref="A1:A2"/>
  <sheetViews>
    <sheetView workbookViewId="0">
      <selection activeCell="A2" sqref="A2"/>
    </sheetView>
  </sheetViews>
  <sheetFormatPr defaultRowHeight="12.75" x14ac:dyDescent="0.2"/>
  <cols>
    <col min="1" max="1" width="19.5703125" bestFit="1" customWidth="1"/>
  </cols>
  <sheetData>
    <row r="1" spans="1:1" x14ac:dyDescent="0.2">
      <c r="A1" t="s">
        <v>43</v>
      </c>
    </row>
    <row r="2" spans="1:1" x14ac:dyDescent="0.2">
      <c r="A2" t="s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VannaVolga</vt:lpstr>
      <vt:lpstr>DataValidation</vt:lpstr>
      <vt:lpstr>S0</vt:lpstr>
      <vt:lpstr>SpotDate</vt:lpstr>
      <vt:lpstr>ValuationDate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Shasa Foster</dc:creator>
  <cp:lastModifiedBy>Shasa Foster</cp:lastModifiedBy>
  <dcterms:created xsi:type="dcterms:W3CDTF">2024-05-11T03:35:05Z</dcterms:created>
  <dcterms:modified xsi:type="dcterms:W3CDTF">2024-05-11T07:54:10Z</dcterms:modified>
</cp:coreProperties>
</file>