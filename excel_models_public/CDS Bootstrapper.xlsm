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hasa\Documents\finance_calcs\frm\excel_models_public\"/>
    </mc:Choice>
  </mc:AlternateContent>
  <xr:revisionPtr revIDLastSave="0" documentId="13_ncr:1_{56B6CDA5-B9AC-4881-8BB6-C1123B69C905}" xr6:coauthVersionLast="47" xr6:coauthVersionMax="47" xr10:uidLastSave="{00000000-0000-0000-0000-000000000000}"/>
  <bookViews>
    <workbookView xWindow="-108" yWindow="-108" windowWidth="23256" windowHeight="12456" tabRatio="610" activeTab="2" xr2:uid="{9F3C0C57-1526-4701-809E-47A083077B4D}"/>
  </bookViews>
  <sheets>
    <sheet name="UserInput" sheetId="4" r:id="rId1"/>
    <sheet name="Results" sheetId="12" r:id="rId2"/>
    <sheet name="Calculations" sheetId="11" r:id="rId3"/>
    <sheet name="Background" sheetId="10" r:id="rId4"/>
    <sheet name="c.DataValidation" sheetId="6" state="hidden" r:id="rId5"/>
    <sheet name="i.Holidays" sheetId="3" r:id="rId6"/>
  </sheets>
  <functionGroups builtInGroupCount="19"/>
  <definedNames>
    <definedName name="_xlnm._FilterDatabase" localSheetId="5" hidden="1">i.Holidays!$A$1:$C$12064</definedName>
    <definedName name="_UUID_" hidden="1">262297</definedName>
    <definedName name="Accrued_Interest">Calculations!$AD$12</definedName>
    <definedName name="BusinessDayConvention">UserInput!$C$12</definedName>
    <definedName name="CCY">UserInput!$C$10</definedName>
    <definedName name="CIQWBGuid" hidden="1">"AP UK Retail Portfolio.xlsx"</definedName>
    <definedName name="CIQWBGuid_1" hidden="1">"AP UK Retail Portfolio.xlsx"</definedName>
    <definedName name="Coupon">UserInput!$C$11</definedName>
    <definedName name="Current_Tenor" localSheetId="2">Calculations!$AD$7</definedName>
    <definedName name="CurveDate">UserInput!$C$6</definedName>
    <definedName name="DataFieldToUseForSolve">UserInput!$C$14</definedName>
    <definedName name="Day_Count_Basis_Index" localSheetId="2">Calculations!$E$47</definedName>
    <definedName name="FirstCouponEndDate" localSheetId="2">Calculations!$E$42</definedName>
    <definedName name="FlatHazardRateDifference" localSheetId="2">Calculations!$AD$24</definedName>
    <definedName name="Holidays_Applied">_xlfn.ANCHORARRAY(i.Holidays!$E$2)</definedName>
    <definedName name="Holidays_EUR">i.Holidays!$A$2:$A$616</definedName>
    <definedName name="Holidays_JPY">i.Holidays!$B$2:$B$1630</definedName>
    <definedName name="Holidays_USD">i.Holidays!$C$2:$C$973</definedName>
    <definedName name="Index" localSheetId="2">Calculations!$AD$5</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stCouponStartDate" localSheetId="2">Calculations!$E$43</definedName>
    <definedName name="LossGivenDefault">UserInput!$C$8</definedName>
    <definedName name="Notional" localSheetId="2">Calculations!$AD$6</definedName>
    <definedName name="Number_Of_Tenors">Calculations!$AD$4</definedName>
    <definedName name="ParSpreadLegPVDifference" localSheetId="2">Calculations!$AD$31</definedName>
    <definedName name="Payment_Delay" localSheetId="2">Calculations!$E$46</definedName>
    <definedName name="PaymentFrequency">UserInput!$C$13</definedName>
    <definedName name="PiecewiseHazardRateDifference" localSheetId="2">Calculations!$AD$28</definedName>
    <definedName name="QuotedSpreadInput" localSheetId="2">Calculations!$Q$5:$Q$24</definedName>
    <definedName name="QuotedSpreadLegPVDifference" localSheetId="2">Calculations!$AD$34</definedName>
    <definedName name="RecoveryRate">UserInput!$C$7</definedName>
    <definedName name="RollDay">Calculations!$F$34</definedName>
    <definedName name="RollUserSpecifiedDates" localSheetId="2">Calculations!$E$45</definedName>
    <definedName name="StubType" localSheetId="2">Calculations!$E$44</definedName>
    <definedName name="Upfront_Fee_Applied" localSheetId="2">Calculations!$AD$20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11" l="1"/>
  <c r="I23" i="11"/>
  <c r="I22" i="11"/>
  <c r="I21" i="11"/>
  <c r="I20" i="11"/>
  <c r="I19" i="11"/>
  <c r="I18" i="11"/>
  <c r="I17" i="11"/>
  <c r="I16" i="11"/>
  <c r="I15" i="11"/>
  <c r="I14" i="11"/>
  <c r="I13" i="11"/>
  <c r="I12" i="11"/>
  <c r="I11" i="11"/>
  <c r="I10" i="11"/>
  <c r="I9" i="11"/>
  <c r="I8" i="11"/>
  <c r="I7" i="11"/>
  <c r="I6" i="11"/>
  <c r="I5" i="11"/>
  <c r="E5" i="11" a="1"/>
  <c r="E5" i="11" s="1"/>
  <c r="E47" i="11"/>
  <c r="F27" i="11"/>
  <c r="F28" i="11" s="1" a="1"/>
  <c r="F28" i="11" s="1"/>
  <c r="F30" i="11" l="1"/>
  <c r="F29" i="11"/>
  <c r="B39" i="4"/>
  <c r="B38" i="4"/>
  <c r="B37" i="4"/>
  <c r="B36" i="4"/>
  <c r="B35" i="4"/>
  <c r="B34" i="4"/>
  <c r="B33" i="4"/>
  <c r="T27" i="11"/>
  <c r="S27" i="11"/>
  <c r="O27" i="11"/>
  <c r="Q27" i="11"/>
  <c r="P27" i="11"/>
  <c r="Q3" i="11"/>
  <c r="P3" i="11"/>
  <c r="H21" i="4"/>
  <c r="H22" i="4"/>
  <c r="H23" i="4"/>
  <c r="H24" i="4"/>
  <c r="H25" i="4"/>
  <c r="H26" i="4"/>
  <c r="H27" i="4"/>
  <c r="H28" i="4"/>
  <c r="H29" i="4"/>
  <c r="H30" i="4"/>
  <c r="H31" i="4"/>
  <c r="H32" i="4"/>
  <c r="H33" i="4"/>
  <c r="H34" i="4"/>
  <c r="H35" i="4"/>
  <c r="H36" i="4"/>
  <c r="H37" i="4"/>
  <c r="H38" i="4"/>
  <c r="H39" i="4"/>
  <c r="H20" i="4"/>
  <c r="B6" i="11"/>
  <c r="B7" i="11" s="1"/>
  <c r="B8" i="11" s="1"/>
  <c r="B9" i="11" s="1"/>
  <c r="B10" i="11" s="1"/>
  <c r="B11" i="11" s="1"/>
  <c r="B12" i="11" s="1"/>
  <c r="B13" i="11" s="1"/>
  <c r="B14" i="11" s="1"/>
  <c r="B15" i="11" s="1"/>
  <c r="B16" i="11" s="1"/>
  <c r="B17" i="11" s="1"/>
  <c r="B18" i="11" s="1"/>
  <c r="B19" i="11" s="1"/>
  <c r="B20" i="11" s="1"/>
  <c r="B21" i="11" s="1"/>
  <c r="B22" i="11" s="1"/>
  <c r="B42" i="4"/>
  <c r="C8" i="4"/>
  <c r="E2" i="3" a="1"/>
  <c r="E2" i="3" s="1"/>
  <c r="F31" i="11" l="1"/>
  <c r="F32" i="11" s="1"/>
  <c r="F37" i="11" s="1"/>
  <c r="R5" i="11" a="1"/>
  <c r="R5" i="11" s="1"/>
  <c r="N5" i="11" a="1"/>
  <c r="N5" i="11" s="1"/>
  <c r="Q5" i="11" a="1"/>
  <c r="Q5" i="11" s="1"/>
  <c r="P5" i="11" a="1"/>
  <c r="P5" i="11" s="1"/>
  <c r="O5" i="11" a="1"/>
  <c r="O5" i="11" s="1"/>
  <c r="BW5" i="11" a="1"/>
  <c r="BW5" i="11" s="1"/>
  <c r="BX5" i="11" l="1" a="1"/>
  <c r="BX5" i="11" s="1"/>
  <c r="F22" i="11"/>
  <c r="F17" i="11"/>
  <c r="F11" i="11"/>
  <c r="F19" i="11"/>
  <c r="F24" i="11"/>
  <c r="F12" i="11"/>
  <c r="F38" i="11"/>
  <c r="F39" i="11" s="1"/>
  <c r="G5" i="11" s="1" a="1"/>
  <c r="F8" i="11"/>
  <c r="F16" i="11"/>
  <c r="F5" i="11"/>
  <c r="F13" i="11"/>
  <c r="F15" i="11"/>
  <c r="F21" i="11"/>
  <c r="F23" i="11"/>
  <c r="F10" i="11"/>
  <c r="F20" i="11"/>
  <c r="F7" i="11"/>
  <c r="F6" i="11"/>
  <c r="F9" i="11"/>
  <c r="F14" i="11"/>
  <c r="F18" i="11"/>
  <c r="N52" i="11" a="1"/>
  <c r="N52" i="11" s="1"/>
  <c r="N75" i="11" a="1"/>
  <c r="N75" i="11" s="1"/>
  <c r="N29" i="11" a="1"/>
  <c r="N29" i="11" s="1"/>
  <c r="G5" i="11" l="1"/>
  <c r="H5" i="11" s="1"/>
  <c r="H21" i="11"/>
  <c r="H8" i="11"/>
  <c r="H16" i="11"/>
  <c r="H22" i="11"/>
  <c r="H15" i="11"/>
  <c r="H12" i="11"/>
  <c r="H6" i="11"/>
  <c r="H17" i="11"/>
  <c r="H14" i="11"/>
  <c r="H10" i="11"/>
  <c r="H24" i="11"/>
  <c r="H11" i="11"/>
  <c r="H20" i="11"/>
  <c r="H18" i="11"/>
  <c r="H23" i="11"/>
  <c r="H19" i="11"/>
  <c r="H9" i="11"/>
  <c r="H13" i="11"/>
  <c r="H7" i="11"/>
  <c r="AZ154" i="11"/>
  <c r="AZ199" i="11"/>
  <c r="AZ163" i="11"/>
  <c r="AZ183" i="11"/>
  <c r="AZ139" i="11"/>
  <c r="AZ202" i="11"/>
  <c r="AZ177" i="11"/>
  <c r="AZ182" i="11"/>
  <c r="AZ194" i="11"/>
  <c r="AZ166" i="11"/>
  <c r="AZ186" i="11"/>
  <c r="AZ165" i="11"/>
  <c r="AZ178" i="11"/>
  <c r="AZ192" i="11"/>
  <c r="AZ157" i="11"/>
  <c r="AZ170" i="11"/>
  <c r="AZ179" i="11"/>
  <c r="AZ204" i="11"/>
  <c r="AZ162" i="11"/>
  <c r="AZ185" i="11"/>
  <c r="AZ200" i="11"/>
  <c r="AZ191" i="11"/>
  <c r="AZ174" i="11"/>
  <c r="AZ130" i="11"/>
  <c r="AZ169" i="11"/>
  <c r="AZ168" i="11"/>
  <c r="AZ159" i="11"/>
  <c r="AZ142" i="11"/>
  <c r="AZ196" i="11"/>
  <c r="AZ161" i="11"/>
  <c r="AZ144" i="11"/>
  <c r="AZ135" i="11"/>
  <c r="AZ164" i="11"/>
  <c r="AZ153" i="11"/>
  <c r="AZ136" i="11"/>
  <c r="AZ127" i="11"/>
  <c r="AZ140" i="11"/>
  <c r="AZ203" i="11"/>
  <c r="AZ145" i="11"/>
  <c r="AZ128" i="11"/>
  <c r="AZ189" i="11"/>
  <c r="AZ132" i="11"/>
  <c r="AZ160" i="11"/>
  <c r="AZ155" i="11"/>
  <c r="AZ151" i="11"/>
  <c r="AZ198" i="11"/>
  <c r="AZ134" i="11"/>
  <c r="AZ181" i="11"/>
  <c r="AZ156" i="11"/>
  <c r="AZ187" i="11"/>
  <c r="AZ152" i="11"/>
  <c r="AZ147" i="11"/>
  <c r="AZ143" i="11"/>
  <c r="AZ190" i="11"/>
  <c r="AZ126" i="11"/>
  <c r="AZ173" i="11"/>
  <c r="AZ148" i="11"/>
  <c r="AZ171" i="11"/>
  <c r="AZ149" i="11"/>
  <c r="AZ188" i="11"/>
  <c r="AZ146" i="11"/>
  <c r="AZ201" i="11"/>
  <c r="AZ137" i="11"/>
  <c r="AZ184" i="11"/>
  <c r="AZ175" i="11"/>
  <c r="AZ158" i="11"/>
  <c r="AZ131" i="11"/>
  <c r="AZ141" i="11"/>
  <c r="AZ180" i="11"/>
  <c r="AZ138" i="11"/>
  <c r="AZ193" i="11"/>
  <c r="AZ129" i="11"/>
  <c r="AZ176" i="11"/>
  <c r="AZ167" i="11"/>
  <c r="AZ195" i="11"/>
  <c r="AZ150" i="11"/>
  <c r="AZ197" i="11"/>
  <c r="AZ133" i="11"/>
  <c r="AZ172" i="11"/>
  <c r="B20" i="4" l="1"/>
  <c r="B30" i="4" l="1"/>
  <c r="B31" i="4"/>
  <c r="B32" i="4"/>
  <c r="B27" i="4"/>
  <c r="B21" i="4"/>
  <c r="B26" i="4"/>
  <c r="B22" i="4"/>
  <c r="B29" i="4"/>
  <c r="B28" i="4"/>
  <c r="B25" i="4"/>
  <c r="B24" i="4"/>
  <c r="B23" i="4"/>
  <c r="L5" i="11" l="1" a="1"/>
  <c r="L5" i="11" s="1"/>
  <c r="L75" i="11" l="1" a="1"/>
  <c r="L75" i="11" s="1"/>
  <c r="L52" i="11" a="1"/>
  <c r="L52" i="11" s="1"/>
  <c r="L29" i="11" a="1"/>
  <c r="L29" i="11" s="1"/>
  <c r="M5" i="11" a="1"/>
  <c r="M5" i="11" s="1"/>
  <c r="K5" i="11" a="1"/>
  <c r="K5" i="11" s="1"/>
  <c r="AD4" i="11" s="1"/>
  <c r="K29" i="11" l="1" a="1"/>
  <c r="K29" i="11" s="1"/>
  <c r="AD7" i="11" a="1"/>
  <c r="AD7" i="11" s="1"/>
  <c r="B3" i="12" a="1"/>
  <c r="K75" i="11" a="1"/>
  <c r="K75" i="11" s="1"/>
  <c r="K52" i="11" a="1"/>
  <c r="K52" i="11" s="1"/>
  <c r="M52" i="11" a="1"/>
  <c r="M52" i="11" s="1"/>
  <c r="M75" i="11" a="1"/>
  <c r="M75" i="11" s="1"/>
  <c r="M29" i="11" a="1"/>
  <c r="M29" i="11" s="1"/>
  <c r="W5" i="11" a="1"/>
  <c r="W5" i="11" s="1"/>
  <c r="X5" i="11" s="1" a="1"/>
  <c r="X5" i="11" s="1"/>
  <c r="V5" i="11" a="1"/>
  <c r="V5" i="11" s="1"/>
  <c r="Q23" i="12" l="1"/>
  <c r="O23" i="12"/>
  <c r="O19" i="12"/>
  <c r="N23" i="12"/>
  <c r="N19" i="12"/>
  <c r="N17" i="12"/>
  <c r="O22" i="12"/>
  <c r="O18" i="12"/>
  <c r="N22" i="12"/>
  <c r="N18" i="12"/>
  <c r="N21" i="12"/>
  <c r="O21" i="12"/>
  <c r="O17" i="12"/>
  <c r="O20" i="12"/>
  <c r="O16" i="12"/>
  <c r="N20" i="12"/>
  <c r="AD9" i="11"/>
  <c r="AD8" i="11"/>
  <c r="AD18" i="11" a="1"/>
  <c r="AD18" i="11" s="1"/>
  <c r="Y5" i="11" a="1"/>
  <c r="Y5" i="11" s="1"/>
  <c r="Z5" i="11" s="1" a="1"/>
  <c r="Z5" i="11" s="1"/>
  <c r="Q52" i="11" a="1"/>
  <c r="Q52" i="11" s="1"/>
  <c r="Q75" i="11" s="1" a="1"/>
  <c r="Q75" i="11" s="1"/>
  <c r="O52" i="11" a="1"/>
  <c r="O52" i="11" s="1"/>
  <c r="O75" i="11" s="1" a="1"/>
  <c r="O75" i="11" s="1"/>
  <c r="P52" i="11" a="1"/>
  <c r="P52" i="11" s="1"/>
  <c r="P75" i="11" s="1" a="1"/>
  <c r="P75" i="11" s="1"/>
  <c r="V29" i="11" a="1"/>
  <c r="V29" i="11" s="1"/>
  <c r="Q21" i="12"/>
  <c r="P17" i="12"/>
  <c r="Q18" i="12"/>
  <c r="B3" i="12"/>
  <c r="Q19" i="12"/>
  <c r="Q22" i="12"/>
  <c r="P18" i="12"/>
  <c r="P19" i="12"/>
  <c r="P22" i="12"/>
  <c r="Q17" i="12"/>
  <c r="P21" i="12"/>
  <c r="P20" i="12"/>
  <c r="P23" i="12"/>
  <c r="Q16" i="12"/>
  <c r="Q20" i="12"/>
  <c r="AI5" i="11" a="1"/>
  <c r="AI5" i="11" l="1"/>
  <c r="AG5" i="11" s="1" a="1"/>
  <c r="AG5" i="11" s="1"/>
  <c r="AE18" i="11"/>
  <c r="AJ5" i="11" l="1" a="1"/>
  <c r="AJ5" i="11" s="1"/>
  <c r="BR5" i="11" a="1"/>
  <c r="BR5" i="11" s="1"/>
  <c r="BO5" i="11" a="1"/>
  <c r="BO5" i="11" s="1"/>
  <c r="AK5" i="11" a="1"/>
  <c r="AK5" i="11" l="1"/>
  <c r="AM5" i="11" a="1"/>
  <c r="AH5" i="11" l="1" a="1"/>
  <c r="AH5" i="11" s="1"/>
  <c r="AX5" i="11" s="1" a="1"/>
  <c r="AX5" i="11" s="1"/>
  <c r="AW5" i="11" s="1" a="1"/>
  <c r="AW5" i="11" s="1"/>
  <c r="AL5" i="11" a="1"/>
  <c r="AL5" i="11" s="1"/>
  <c r="AM5" i="11"/>
  <c r="AQ5" i="11" a="1"/>
  <c r="AQ5" i="11" l="1"/>
  <c r="AD11" i="11"/>
  <c r="BH5" i="11" a="1"/>
  <c r="BH5" i="11" s="1"/>
  <c r="AS5" i="11" a="1"/>
  <c r="AS5" i="11" s="1"/>
  <c r="AT5" i="11" s="1" a="1"/>
  <c r="AT5" i="11" s="1"/>
  <c r="AO5" i="11" a="1"/>
  <c r="AO5" i="11" s="1"/>
  <c r="AN5" i="11" s="1" a="1"/>
  <c r="AN5" i="11" s="1"/>
  <c r="AP5" i="11" s="1" a="1"/>
  <c r="AP5" i="11" s="1"/>
  <c r="AY5" i="11" s="1" a="1"/>
  <c r="AY5" i="11" s="1"/>
  <c r="AZ5" i="11" s="1"/>
  <c r="BI5" i="11" l="1" a="1"/>
  <c r="BI5" i="11" s="1"/>
  <c r="AZ125" i="11"/>
  <c r="AZ86" i="11"/>
  <c r="AZ70" i="11"/>
  <c r="AZ100" i="11"/>
  <c r="AZ123" i="11"/>
  <c r="AZ96" i="11"/>
  <c r="AZ88" i="11"/>
  <c r="AZ113" i="11"/>
  <c r="AZ94" i="11"/>
  <c r="AZ68" i="11"/>
  <c r="AZ87" i="11"/>
  <c r="AZ117" i="11"/>
  <c r="AZ92" i="11"/>
  <c r="AZ91" i="11"/>
  <c r="AZ118" i="11"/>
  <c r="AZ120" i="11"/>
  <c r="AZ66" i="11"/>
  <c r="AZ76" i="11"/>
  <c r="AZ61" i="11"/>
  <c r="AZ83" i="11"/>
  <c r="AZ25" i="11"/>
  <c r="AZ55" i="11"/>
  <c r="AZ58" i="11"/>
  <c r="AZ26" i="11"/>
  <c r="AZ41" i="11"/>
  <c r="AZ32" i="11"/>
  <c r="AZ17" i="11"/>
  <c r="AZ18" i="11"/>
  <c r="AD12" i="11"/>
  <c r="AZ16" i="11"/>
  <c r="AZ64" i="11"/>
  <c r="AZ59" i="11"/>
  <c r="AZ36" i="11"/>
  <c r="AZ43" i="11"/>
  <c r="AZ63" i="11"/>
  <c r="AZ51" i="11"/>
  <c r="AZ13" i="11"/>
  <c r="AZ77" i="11"/>
  <c r="AZ33" i="11"/>
  <c r="AZ50" i="11"/>
  <c r="AZ8" i="11"/>
  <c r="AZ109" i="11"/>
  <c r="AZ93" i="11"/>
  <c r="AZ74" i="11"/>
  <c r="AZ23" i="11"/>
  <c r="AZ115" i="11"/>
  <c r="AZ95" i="11"/>
  <c r="AZ19" i="11"/>
  <c r="AZ82" i="11"/>
  <c r="AZ69" i="11"/>
  <c r="AZ42" i="11"/>
  <c r="AZ28" i="11"/>
  <c r="AZ34" i="11"/>
  <c r="AZ20" i="11"/>
  <c r="AZ53" i="11"/>
  <c r="AZ103" i="11"/>
  <c r="AZ37" i="11"/>
  <c r="AZ22" i="11"/>
  <c r="AZ106" i="11"/>
  <c r="AZ54" i="11"/>
  <c r="AZ24" i="11"/>
  <c r="AZ99" i="11"/>
  <c r="AZ111" i="11"/>
  <c r="AZ45" i="11"/>
  <c r="AZ10" i="11"/>
  <c r="AZ110" i="11"/>
  <c r="AZ60" i="11"/>
  <c r="AZ84" i="11"/>
  <c r="AZ122" i="11"/>
  <c r="AZ112" i="11"/>
  <c r="AZ49" i="11"/>
  <c r="AZ71" i="11"/>
  <c r="AZ52" i="11"/>
  <c r="AZ35" i="11"/>
  <c r="AZ65" i="11"/>
  <c r="AZ12" i="11"/>
  <c r="AZ108" i="11"/>
  <c r="AZ90" i="11"/>
  <c r="AZ105" i="11"/>
  <c r="AZ9" i="11"/>
  <c r="AZ121" i="11"/>
  <c r="AZ7" i="11"/>
  <c r="AZ98" i="11"/>
  <c r="AZ114" i="11"/>
  <c r="AZ101" i="11"/>
  <c r="AZ57" i="11"/>
  <c r="AZ11" i="11"/>
  <c r="AZ6" i="11"/>
  <c r="AZ75" i="11"/>
  <c r="AZ124" i="11"/>
  <c r="AZ116" i="11"/>
  <c r="AZ81" i="11"/>
  <c r="AZ39" i="11"/>
  <c r="AZ38" i="11"/>
  <c r="AZ21" i="11"/>
  <c r="AZ44" i="11"/>
  <c r="AZ56" i="11"/>
  <c r="AZ73" i="11"/>
  <c r="AZ27" i="11"/>
  <c r="AZ30" i="11"/>
  <c r="AZ47" i="11"/>
  <c r="AZ85" i="11"/>
  <c r="AZ104" i="11"/>
  <c r="AZ97" i="11"/>
  <c r="AZ15" i="11"/>
  <c r="AZ31" i="11"/>
  <c r="AZ46" i="11"/>
  <c r="AZ62" i="11"/>
  <c r="AZ48" i="11"/>
  <c r="AZ102" i="11"/>
  <c r="AZ14" i="11"/>
  <c r="AZ107" i="11"/>
  <c r="AZ80" i="11"/>
  <c r="AZ40" i="11"/>
  <c r="AZ29" i="11"/>
  <c r="AZ72" i="11"/>
  <c r="AZ79" i="11"/>
  <c r="AZ78" i="11"/>
  <c r="AZ119" i="11"/>
  <c r="AZ67" i="11"/>
  <c r="AZ89" i="11"/>
  <c r="BG5" i="11" l="1" a="1"/>
  <c r="BG5" i="11" s="1"/>
  <c r="BU5" i="11" a="1"/>
  <c r="BU5" i="11" s="1"/>
  <c r="AE19" i="11" s="1"/>
  <c r="BS5" i="11" a="1"/>
  <c r="BS5" i="11" s="1"/>
  <c r="AD33" i="11" s="1"/>
  <c r="BJ5" i="11" a="1"/>
  <c r="BJ5" i="11" s="1"/>
  <c r="BA5" i="11" a="1"/>
  <c r="BA5" i="11" s="1"/>
  <c r="BP5" i="11" s="1" a="1"/>
  <c r="BP5" i="11" s="1"/>
  <c r="AD30" i="11" s="1"/>
  <c r="BK5" i="11" l="1" a="1"/>
  <c r="BK5" i="11" s="1"/>
  <c r="BK6" i="11" a="1"/>
  <c r="BK6" i="11" s="1"/>
  <c r="AD19" i="11"/>
  <c r="AD20" i="11" s="1" a="1"/>
  <c r="AD20" i="11" s="1"/>
  <c r="AE20" i="11" a="1"/>
  <c r="AE20" i="11" s="1"/>
  <c r="AD22" i="11" s="1"/>
  <c r="AD34" i="11" s="1"/>
  <c r="AV5" i="11" a="1"/>
  <c r="AV5" i="11" s="1"/>
  <c r="BB5" i="11" a="1"/>
  <c r="BB5" i="11" s="1"/>
  <c r="BC6" i="11" s="1" a="1"/>
  <c r="BC6" i="11" s="1"/>
  <c r="BL5" i="11" l="1" a="1"/>
  <c r="BL5" i="11" s="1"/>
  <c r="BM5" i="11" s="1" a="1"/>
  <c r="BM5" i="11" s="1"/>
  <c r="AD23" i="11" s="1"/>
  <c r="AD24" i="11" s="1"/>
  <c r="AD26" i="11"/>
  <c r="AD31" i="11" s="1"/>
  <c r="R29" i="11" a="1"/>
  <c r="R29" i="11" s="1"/>
  <c r="R52" i="11" s="1" a="1"/>
  <c r="R52" i="11" s="1"/>
  <c r="BC5" i="11" a="1"/>
  <c r="BC5" i="11" s="1"/>
  <c r="BD5" i="11" s="1" a="1"/>
  <c r="BD5" i="11" s="1"/>
  <c r="BE5" i="11" s="1" a="1"/>
  <c r="BE5" i="11" s="1"/>
  <c r="AD27" i="11" s="1"/>
  <c r="AD28" i="11" l="1"/>
  <c r="W29" i="11" a="1"/>
  <c r="W29" i="11" s="1"/>
  <c r="X29" i="11" s="1" a="1"/>
  <c r="X29" i="11" s="1"/>
  <c r="Y29" i="11" s="1" a="1"/>
  <c r="Y29" i="11" s="1"/>
  <c r="Z29" i="11" s="1" a="1"/>
  <c r="Z29" i="11" s="1"/>
  <c r="R75" i="11" a="1"/>
  <c r="R75" i="11" s="1"/>
  <c r="J4" i="12" a="1"/>
  <c r="O13" i="12" l="1"/>
  <c r="O5" i="12"/>
  <c r="O11" i="12"/>
  <c r="O8" i="12"/>
  <c r="O14" i="12"/>
  <c r="O7" i="12"/>
  <c r="O6" i="12"/>
  <c r="O15" i="12"/>
  <c r="O9" i="12"/>
  <c r="O12" i="12"/>
  <c r="O10" i="12"/>
  <c r="O4" i="12"/>
  <c r="N11" i="12"/>
  <c r="N15" i="12"/>
  <c r="N7" i="12"/>
  <c r="N5" i="12"/>
  <c r="N14" i="12"/>
  <c r="N10" i="12"/>
  <c r="N6" i="12"/>
  <c r="N16" i="12"/>
  <c r="N8" i="12"/>
  <c r="N9" i="12"/>
  <c r="N13" i="12"/>
  <c r="N12" i="12"/>
  <c r="P16" i="12"/>
  <c r="Q15" i="12"/>
  <c r="Q14" i="12"/>
  <c r="P14" i="12"/>
  <c r="P15" i="12"/>
  <c r="J4" i="12"/>
  <c r="N4" i="12" s="1"/>
  <c r="Q12" i="12"/>
  <c r="P13" i="12"/>
  <c r="Q11" i="12"/>
  <c r="Q7" i="12"/>
  <c r="Q4" i="12"/>
  <c r="Q9" i="12"/>
  <c r="Q13" i="12"/>
  <c r="P10" i="12"/>
  <c r="Q6" i="12"/>
  <c r="P12" i="12"/>
  <c r="P7" i="12"/>
  <c r="Q8" i="12"/>
  <c r="P4" i="12"/>
  <c r="Q5" i="12"/>
  <c r="P9" i="12"/>
  <c r="P8" i="12"/>
  <c r="P6" i="12"/>
  <c r="P11" i="12"/>
  <c r="P5" i="12"/>
  <c r="Q10"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9" authorId="0" shapeId="0" xr:uid="{BB05C1C3-08AB-4B22-987D-A475CBFEADF9}">
      <text>
        <r>
          <rPr>
            <sz val="9"/>
            <color indexed="81"/>
            <rFont val="Tahoma"/>
            <family val="2"/>
          </rPr>
          <t>Specify the tenor: 3M, 6M, …. 
Common t</t>
        </r>
        <r>
          <rPr>
            <sz val="9"/>
            <color indexed="81"/>
            <rFont val="Tahoma"/>
            <family val="2"/>
          </rPr>
          <t xml:space="preserve">enors from 3M to 50Y are supported. </t>
        </r>
      </text>
    </comment>
    <comment ref="D19" authorId="0" shapeId="0" xr:uid="{AD07E6EF-B404-4EC0-A1E9-E7CE1B178116}">
      <text>
        <r>
          <rPr>
            <sz val="9"/>
            <color indexed="81"/>
            <rFont val="Tahoma"/>
            <family val="2"/>
          </rPr>
          <t>Coupon for which the CDS has NPV=0, assuming a piece-wise constant hazard curve (considered in conjunction with all other par spreads); 
Also called Running Spread</t>
        </r>
      </text>
    </comment>
    <comment ref="E19" authorId="0" shapeId="0" xr:uid="{2A62706E-9D88-4795-B38B-97852B409C4C}">
      <text>
        <r>
          <rPr>
            <sz val="9"/>
            <color indexed="81"/>
            <rFont val="Tahoma"/>
            <family val="2"/>
          </rPr>
          <t>Value that matches the NPV of a CDS with a fixed coupon (1% or 5%), assuming a flat hazard curve (considered in isolation to all other spreads)</t>
        </r>
      </text>
    </comment>
    <comment ref="F19" authorId="0" shapeId="0" xr:uid="{E3BD195D-03B2-4DAA-A4D8-EC93CF4CBC5C}">
      <text>
        <r>
          <rPr>
            <sz val="9"/>
            <color indexed="81"/>
            <rFont val="Tahoma"/>
            <family val="2"/>
          </rPr>
          <t>Coupon for which the CDS has NPV=0, assuming a flat hazard curve (considered in isolation to all other quoted spreads); 
Also called the 'Flat Spread' or 'Conventional Spread'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T4" authorId="0" shapeId="0" xr:uid="{459D511A-E736-4664-8F3F-4C721C048F2E}">
      <text>
        <r>
          <rPr>
            <sz val="10"/>
            <color indexed="81"/>
            <rFont val="Arial"/>
            <family val="2"/>
          </rPr>
          <t>Clean as the accrued premium is included in the upfront fee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<sst xmlns="http://schemas.openxmlformats.org/spreadsheetml/2006/main" count="270" uniqueCount="185">
  <si>
    <t>EUR</t>
  </si>
  <si>
    <t>JPY</t>
  </si>
  <si>
    <t>USD</t>
  </si>
  <si>
    <t>Tenor</t>
  </si>
  <si>
    <t>3M</t>
  </si>
  <si>
    <t>6M</t>
  </si>
  <si>
    <t>1Y</t>
  </si>
  <si>
    <t>2Y</t>
  </si>
  <si>
    <t>3Y</t>
  </si>
  <si>
    <t>4Y</t>
  </si>
  <si>
    <t>5Y</t>
  </si>
  <si>
    <t>7Y</t>
  </si>
  <si>
    <t>10Y</t>
  </si>
  <si>
    <t>15Y</t>
  </si>
  <si>
    <t>20Y</t>
  </si>
  <si>
    <t>30Y</t>
  </si>
  <si>
    <t>Par Spread (bps)</t>
  </si>
  <si>
    <t>Curve Date</t>
  </si>
  <si>
    <t>Maturity Date</t>
  </si>
  <si>
    <t>Year offset</t>
  </si>
  <si>
    <t>Month offset</t>
  </si>
  <si>
    <t>Roll day</t>
  </si>
  <si>
    <t>30/360</t>
  </si>
  <si>
    <t>ACT/ACT</t>
  </si>
  <si>
    <t>ACT/360</t>
  </si>
  <si>
    <t>ACT/365</t>
  </si>
  <si>
    <t>30E/360</t>
  </si>
  <si>
    <t>Valid Day Count Basis</t>
  </si>
  <si>
    <t>Day Count Basis Index</t>
  </si>
  <si>
    <t>Index</t>
  </si>
  <si>
    <t>Day Count Basis</t>
  </si>
  <si>
    <t>Recovery Rate (%)</t>
  </si>
  <si>
    <t>Ccy (for holidays)</t>
  </si>
  <si>
    <t>Coupon</t>
  </si>
  <si>
    <t>Coupon Rates</t>
  </si>
  <si>
    <t>User input field</t>
  </si>
  <si>
    <t>FirstCouponEndDate</t>
  </si>
  <si>
    <t>LastCouponStartDate</t>
  </si>
  <si>
    <t>Valid Currencies</t>
  </si>
  <si>
    <t>Business Day Convention</t>
  </si>
  <si>
    <t>Modified Following</t>
  </si>
  <si>
    <t>Roll Convention</t>
  </si>
  <si>
    <t>Following</t>
  </si>
  <si>
    <t>Preceding</t>
  </si>
  <si>
    <t>Modified Preceding</t>
  </si>
  <si>
    <t>First Short</t>
  </si>
  <si>
    <t>Last Short</t>
  </si>
  <si>
    <t>M</t>
  </si>
  <si>
    <t>Q</t>
  </si>
  <si>
    <t>S</t>
  </si>
  <si>
    <t>A</t>
  </si>
  <si>
    <t>Payment Frequency</t>
  </si>
  <si>
    <t>Stub</t>
  </si>
  <si>
    <t>Holidays Applied</t>
  </si>
  <si>
    <t>RollUserSpecifiedDates</t>
  </si>
  <si>
    <t>Boolean</t>
  </si>
  <si>
    <t>AccrualStart</t>
  </si>
  <si>
    <t>PayDate</t>
  </si>
  <si>
    <t>Stub Type</t>
  </si>
  <si>
    <t>Payment Delay</t>
  </si>
  <si>
    <t>Effective Date</t>
  </si>
  <si>
    <t>Misc Inputs</t>
  </si>
  <si>
    <t>YearFrac</t>
  </si>
  <si>
    <t>Hazard Rate</t>
  </si>
  <si>
    <t>Risk Free Discount Factor</t>
  </si>
  <si>
    <t>Descriptor field, do not edit</t>
  </si>
  <si>
    <t>Par Spread</t>
  </si>
  <si>
    <t>Notional</t>
  </si>
  <si>
    <t>Risk Free DF</t>
  </si>
  <si>
    <t>Cpn Premium PV</t>
  </si>
  <si>
    <t>Incremental P.D</t>
  </si>
  <si>
    <t>Cumulative P.D</t>
  </si>
  <si>
    <t>Row</t>
  </si>
  <si>
    <t>Incremental P.D Helper</t>
  </si>
  <si>
    <t>Protection Leg</t>
  </si>
  <si>
    <t>Piecewise Hazard Rate Calculation</t>
  </si>
  <si>
    <t>Flat Hazard Rate Calculation</t>
  </si>
  <si>
    <t>Par Spread Leg PV</t>
  </si>
  <si>
    <t>Protection Leg PV (Flat Hazard Rate)</t>
  </si>
  <si>
    <t>Protection Leg PV (Piecewise Hazard Rate)</t>
  </si>
  <si>
    <t>Solve other fields based on:</t>
  </si>
  <si>
    <t>Upfront Fee</t>
  </si>
  <si>
    <t>Cumulative Default Probability (%)</t>
  </si>
  <si>
    <t>Cpn</t>
  </si>
  <si>
    <t>Upfront fee user input</t>
  </si>
  <si>
    <t>Upfront fee applied</t>
  </si>
  <si>
    <t>%</t>
  </si>
  <si>
    <t>$</t>
  </si>
  <si>
    <t>Quoted Spread</t>
  </si>
  <si>
    <t>Quoted Spread (bps)</t>
  </si>
  <si>
    <t>Quoted Spread Leg PV</t>
  </si>
  <si>
    <t>Cpn - Quoted Spread</t>
  </si>
  <si>
    <t>Upfront fee calculated from 'Quoted Spread'</t>
  </si>
  <si>
    <t>Premium Leg PV (Piecewise Hazard Rate)</t>
  </si>
  <si>
    <t>Premium Leg PV (Flat Hazard Rate)</t>
  </si>
  <si>
    <t>Difference (solved to nil by adjusting piecewise hazard rates)</t>
  </si>
  <si>
    <t>Difference (solved to nil by adjusting flat hazard rates)</t>
  </si>
  <si>
    <t>Difference (solved to nil by adjusting the par spread)</t>
  </si>
  <si>
    <t>Difference (solved to nil by adjusting the par quoted spread)</t>
  </si>
  <si>
    <t>Loss Given Default (%)</t>
  </si>
  <si>
    <t>Accrued interest %</t>
  </si>
  <si>
    <t>Accrued interest $</t>
  </si>
  <si>
    <t>References</t>
  </si>
  <si>
    <t>1. Microsoft Word - ISDA Standard CDS Contract Converter Specification - Sept 3 2009.doc</t>
  </si>
  <si>
    <t>3. Day count basis is ACT/360</t>
  </si>
  <si>
    <t>Quote conventions</t>
  </si>
  <si>
    <t>(Risk Free) Discount Factor</t>
  </si>
  <si>
    <t>User Provided in "i.UserInput" tab</t>
  </si>
  <si>
    <t xml:space="preserve">Solved via "Goal Seek" </t>
  </si>
  <si>
    <t>Years to maturity</t>
  </si>
  <si>
    <t>S=LN(1-P)(R-1)/t</t>
  </si>
  <si>
    <t>Check</t>
  </si>
  <si>
    <t>Piecewise Hazard Rate</t>
  </si>
  <si>
    <t>Flat Hazard Rate</t>
  </si>
  <si>
    <t>P=1-exp((-S*t)/(1-R)</t>
  </si>
  <si>
    <t>Relative Diff.</t>
  </si>
  <si>
    <t>Is field solved:</t>
  </si>
  <si>
    <t>Background</t>
  </si>
  <si>
    <t>CDS are highly standardised derivatives with the following market conventions:</t>
  </si>
  <si>
    <t>Key Assumptions</t>
  </si>
  <si>
    <t>2. Recovery Rate</t>
  </si>
  <si>
    <t>1. Standard CDS valuation methodology is to assume CDS spreads and interest rates are independent</t>
  </si>
  <si>
    <t>Credit Default Swaps (CDS) are derivatives for transferring credit risk.</t>
  </si>
  <si>
    <t>CDS are defined so $1 of CDS notional, protects against $1 of credit risk.</t>
  </si>
  <si>
    <t>Standardisation</t>
  </si>
  <si>
    <t>A CDS, like all swaps has two legs:
1. a "premium" leg, which is a similar to a fixed leg of an interest rate swap with a set of contractual coupon payments
2. a "protection" leg, which only pays out if the underlying incurs a "credit event".
The party buying credit protection, pays the premium payments and receives (only in the instance of a credit event) the protection payments.
The party selling credit protection, receives the premium payments and pays (only in the instance of a credit event) the protection payments.</t>
  </si>
  <si>
    <t>(i). In developed markets 40% assumed for senior unsecured, 20% for subordinate [1]</t>
  </si>
  <si>
    <t>(ii). 25% assumed for senior unsecured and subordinate in emerging markets [1]</t>
  </si>
  <si>
    <t xml:space="preserve">CDS are quoted as either:
(i) upfront fee, which is specified as a % of the notional amount
(ii) quoted spread, which is specified in basis or percentage points </t>
  </si>
  <si>
    <t>1. CDS premium's/coupon's are 100 bps (investment grade) or 500 bps (non-investment grade)</t>
  </si>
  <si>
    <t>2. Quarterly premium/coupon payment dates (on the 20th of March, June, September and December)</t>
  </si>
  <si>
    <r>
      <rPr>
        <u/>
        <sz val="10"/>
        <color theme="1"/>
        <rFont val="Arial"/>
        <family val="2"/>
      </rPr>
      <t>Upfront Fee:</t>
    </r>
    <r>
      <rPr>
        <sz val="10"/>
        <color theme="1"/>
        <rFont val="Arial"/>
        <family val="2"/>
      </rPr>
      <t xml:space="preserve">
Standardised CDS have a premium/coupon rate of 100bps or 500bps while the underlying entities of CDS have a continum of credit riskyness.
An upfront fee for a credit default swap (CDS) is a lump sum payment made between the buyer/seller at inception or a transaction of a CDS contract to account for this difference. 
If the underlying has credit riskyness that is lower then the premium rate, the upfront would be paid by the protection seller to the protection buyer. 
If the underlying has credit riskyness that is higher then the premium rate, the upfront would be paid by the protection buyer to the protection seller. </t>
    </r>
  </si>
  <si>
    <t>Quoted Spread:</t>
  </si>
  <si>
    <t xml:space="preserve">The quoted spread refers to the flat coupon that is equivalent to the net of the upfront fee and the contractual coupon payments. </t>
  </si>
  <si>
    <t>9M</t>
  </si>
  <si>
    <t>6Y</t>
  </si>
  <si>
    <t>8Y</t>
  </si>
  <si>
    <t>9Y</t>
  </si>
  <si>
    <t>12Y</t>
  </si>
  <si>
    <t>25Y</t>
  </si>
  <si>
    <t>40Y</t>
  </si>
  <si>
    <t>50Y</t>
  </si>
  <si>
    <t>Valid User Input</t>
  </si>
  <si>
    <t>Is input field used for solve:</t>
  </si>
  <si>
    <t>n/a</t>
  </si>
  <si>
    <t>Years</t>
  </si>
  <si>
    <t>Solved via "Goal Seek"  Arrays</t>
  </si>
  <si>
    <t>S Diff.</t>
  </si>
  <si>
    <t>Current Index</t>
  </si>
  <si>
    <t># of tenors</t>
  </si>
  <si>
    <t xml:space="preserve">Solved amounts </t>
  </si>
  <si>
    <t>Differences (bps)</t>
  </si>
  <si>
    <t>Cumulative Default Prob.</t>
  </si>
  <si>
    <t>YearFrac (t1)</t>
  </si>
  <si>
    <t>YearFrac (t2)</t>
  </si>
  <si>
    <t>HR(t2)-HR(t1)</t>
  </si>
  <si>
    <t>Hazard Rate (t1)</t>
  </si>
  <si>
    <t>Hazard Rate for t1→t2</t>
  </si>
  <si>
    <t>YearFrac (t2-t1)</t>
  </si>
  <si>
    <t>Survival Prob. (t2)</t>
  </si>
  <si>
    <t>Survival Prob (t2) NOT ARRAY FORMULA</t>
  </si>
  <si>
    <t>Survival Prob (t2) Array Formula</t>
  </si>
  <si>
    <t>Max(AccrualStart,CurveDate); t1</t>
  </si>
  <si>
    <t>AccrualEnd; t2</t>
  </si>
  <si>
    <t>^ Note the accrued premium is included in the upfront fee</t>
  </si>
  <si>
    <t>Cpn Premium CF (clean)</t>
  </si>
  <si>
    <t>Helpers for start date construction</t>
  </si>
  <si>
    <t>Curve Date Month</t>
  </si>
  <si>
    <t>Current Quarter</t>
  </si>
  <si>
    <t>Prior Quarter</t>
  </si>
  <si>
    <t>Start Month</t>
  </si>
  <si>
    <t>Start Date</t>
  </si>
  <si>
    <t>Start Year</t>
  </si>
  <si>
    <t>A "credit event" refers to certain pre-defined events that trigger the payment of compensation to the buyer of protection from the seller. 
The exact events are usually CDS contract or the associated ISDA but they would usually include:
 (i) Bankruptcy - If the reference entity files for bankruptcy protection.
 (ii) Failure to Pay - If the reference entity fails to make scheduled debt payments beyond a specified grace period.
 (iii) Debt Restructuring - If the reference entity restructures its debt obligations in a way that causes a material reduction in the value of the outstanding debt.
 (iv) Repudiation/Moratorium - If the reference entity repudiates or imposes a moratorium on its debt obligations.
 (v) Obligation Acceleration - If one or more of the reference entity's debt obligations become immediately due and payable due to default.
 (vi) Obligation Default - If there is a default event on one or more of the reference entity's debt obligations.</t>
  </si>
  <si>
    <t>4. For tenors &gt;=6M, the maturity dates are 20 June and 20 December only. 
    Only the 3M CDS has maturities on 20 March and 20 September.</t>
  </si>
  <si>
    <t>The model is designed to work with these tenor inputs only. Other tenor inputs require model changes.</t>
  </si>
  <si>
    <t>Quoted Upfront (%)</t>
  </si>
  <si>
    <t>[Start Date] + [1Y]</t>
  </si>
  <si>
    <t>Adjust</t>
  </si>
  <si>
    <t>Start Date for 1Y CDS</t>
  </si>
  <si>
    <t>Helpers for 1Y maturity date construction</t>
  </si>
  <si>
    <t>At minimum, specify the Tenor and the field you want the probability of defaults to be calculated from. 
The probability-of-defaults can be solved from (i) the upfront fee or (ii) the quoted spread.
The other fields are optional but their specification may assist in variance investigation.</t>
  </si>
  <si>
    <t>Field set per market convention. Can be overridden but not recommended.</t>
  </si>
  <si>
    <t>Difference between user input and solve</t>
  </si>
  <si>
    <t>User Provided in "UserInput"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</si>
</sst>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 #,##0.00_-;_-* &quot;-&quot;??_-;_-@_-"/>
    <numFmt numFmtId="164" formatCode="_(* #,##0.00_);_(* \(#,##0.00\);_(* &quot;-&quot;??_);_(@_)"/>
    <numFmt numFmtId="165" formatCode="#,##0_-;\(#,##0\)_-;\-_-"/>
    <numFmt numFmtId="166" formatCode="0.000%"/>
    <numFmt numFmtId="167" formatCode="d\-mmm\-yyyy_-;;"/>
    <numFmt numFmtId="168" formatCode="_(* #,##0.0000_);_(* \(#,##0.0000\);_(* &quot;-&quot;??_);_(@_)"/>
    <numFmt numFmtId="169" formatCode="_-* #,##0.000_-;\-* #,##0.000_-;_-* &quot;-&quot;??_-;_-@_-"/>
    <numFmt numFmtId="170" formatCode="_-* #,##0.0000_-;\-* #,##0.0000_-;_-* &quot;-&quot;??_-;_-@_-"/>
    <numFmt numFmtId="171" formatCode="0.0%"/>
    <numFmt numFmtId="172" formatCode="_-* #,##0.00000_-;\-* #,##0.00000_-;_-* &quot;-&quot;??_-;_-@_-"/>
    <numFmt numFmtId="173" formatCode="ddd\ d\-mmm\-yy"/>
    <numFmt numFmtId="174" formatCode="d\-mmm\-yy_-;;"/>
    <numFmt numFmtId="175" formatCode="_-* #,##0_-;\-* #,##0_-;_-* &quot;-&quot;??_-;_-@_-"/>
    <numFmt numFmtId="176" formatCode="0.000000%"/>
    <numFmt numFmtId="177" formatCode="d\-mmm\-yyyy_-;;\-\ "/>
    <numFmt numFmtId="178" formatCode="0.00%;\-0.00%;\-;"/>
    <numFmt numFmtId="179" formatCode="d\-mmm\-yy_-;;\-\ "/>
    <numFmt numFmtId="180" formatCode="_-* #,##0.0_-;\-* #,##0.0_-;_-* &quot;-&quot;??_-;_-@_-"/>
  </numFmts>
  <fonts count="15" x14ac:knownFonts="1">
    <font>
      <sz val="10"/>
      <color theme="1"/>
      <name val="Arial"/>
      <family val="2"/>
    </font>
    <font>
      <sz val="9"/>
      <color theme="1"/>
      <name val="Arial"/>
      <family val="2"/>
    </font>
    <font>
      <sz val="10"/>
      <color theme="1"/>
      <name val="Arial"/>
      <family val="2"/>
    </font>
    <font>
      <sz val="10"/>
      <color theme="0"/>
      <name val="Arial"/>
      <family val="2"/>
    </font>
    <font>
      <sz val="11"/>
      <color theme="1"/>
      <name val="Calibri"/>
      <family val="2"/>
      <scheme val="minor"/>
    </font>
    <font>
      <sz val="9"/>
      <color indexed="81"/>
      <name val="Tahoma"/>
      <family val="2"/>
    </font>
    <font>
      <sz val="10"/>
      <color rgb="FF000000"/>
      <name val="Arial"/>
      <family val="2"/>
    </font>
    <font>
      <b/>
      <sz val="10"/>
      <color theme="0"/>
      <name val="Arial"/>
      <family val="2"/>
    </font>
    <font>
      <u/>
      <sz val="10"/>
      <color theme="1"/>
      <name val="Arial"/>
      <family val="2"/>
    </font>
    <font>
      <sz val="10"/>
      <color indexed="81"/>
      <name val="Arial"/>
      <family val="2"/>
    </font>
    <font>
      <sz val="10"/>
      <color rgb="FF0070C0"/>
      <name val="Arial"/>
      <family val="2"/>
    </font>
    <font>
      <sz val="10"/>
      <name val="Arial"/>
      <family val="2"/>
    </font>
    <font>
      <sz val="9"/>
      <color theme="0"/>
      <name val="Arial"/>
      <family val="2"/>
    </font>
    <font>
      <u/>
      <sz val="9"/>
      <name val="Arial"/>
      <family val="2"/>
    </font>
    <font>
      <sz val="9"/>
      <color rgb="FF0070C0"/>
      <name val="Arial"/>
      <family val="2"/>
    </font>
  </fonts>
  <fills count="8">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6">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xf numFmtId="164" fontId="11" fillId="0" borderId="0" applyFont="0" applyFill="0" applyBorder="0" applyAlignment="0" applyProtection="0"/>
    <xf numFmtId="9" fontId="11" fillId="0" borderId="0" applyFont="0" applyFill="0" applyBorder="0" applyAlignment="0" applyProtection="0"/>
  </cellStyleXfs>
  <cellXfs count="160">
    <xf numFmtId="0" fontId="0" fillId="0" borderId="0" xfId="0"/>
    <xf numFmtId="167" fontId="0" fillId="0" borderId="0" xfId="0" applyNumberFormat="1" applyProtection="1">
      <protection locked="0"/>
    </xf>
    <xf numFmtId="167" fontId="0" fillId="0" borderId="0" xfId="0" applyNumberFormat="1"/>
    <xf numFmtId="0" fontId="0" fillId="0" borderId="0" xfId="0" applyProtection="1">
      <protection locked="0"/>
    </xf>
    <xf numFmtId="0" fontId="0" fillId="3" borderId="0" xfId="0" applyFill="1"/>
    <xf numFmtId="0" fontId="3" fillId="3" borderId="0" xfId="0" applyFont="1" applyFill="1"/>
    <xf numFmtId="0" fontId="0" fillId="4" borderId="0" xfId="0" applyFill="1"/>
    <xf numFmtId="0" fontId="3" fillId="3" borderId="3" xfId="0" applyFont="1" applyFill="1" applyBorder="1"/>
    <xf numFmtId="0" fontId="3" fillId="3" borderId="4" xfId="0" applyFont="1" applyFill="1" applyBorder="1"/>
    <xf numFmtId="167" fontId="3" fillId="3" borderId="4" xfId="0" applyNumberFormat="1" applyFont="1" applyFill="1" applyBorder="1"/>
    <xf numFmtId="0" fontId="3" fillId="3" borderId="5" xfId="0" applyFont="1" applyFill="1" applyBorder="1"/>
    <xf numFmtId="167" fontId="0" fillId="2" borderId="0" xfId="0" applyNumberFormat="1" applyFill="1"/>
    <xf numFmtId="167" fontId="3" fillId="3" borderId="2" xfId="0" applyNumberFormat="1" applyFont="1" applyFill="1" applyBorder="1"/>
    <xf numFmtId="167" fontId="0" fillId="5" borderId="2" xfId="0" applyNumberFormat="1" applyFill="1" applyBorder="1"/>
    <xf numFmtId="0" fontId="0" fillId="5" borderId="2" xfId="0" applyFill="1" applyBorder="1"/>
    <xf numFmtId="176" fontId="0" fillId="4" borderId="0" xfId="0" applyNumberFormat="1" applyFill="1"/>
    <xf numFmtId="175" fontId="2" fillId="0" borderId="7" xfId="1" applyNumberFormat="1" applyFont="1" applyFill="1" applyBorder="1" applyAlignment="1">
      <alignment horizontal="center" vertical="center"/>
    </xf>
    <xf numFmtId="171" fontId="0" fillId="5" borderId="2" xfId="2" applyNumberFormat="1" applyFont="1" applyFill="1" applyBorder="1"/>
    <xf numFmtId="167" fontId="0" fillId="6" borderId="3" xfId="0" applyNumberFormat="1" applyFill="1" applyBorder="1"/>
    <xf numFmtId="170" fontId="0" fillId="6" borderId="5" xfId="1" applyNumberFormat="1" applyFont="1" applyFill="1" applyBorder="1"/>
    <xf numFmtId="175" fontId="2" fillId="0" borderId="9" xfId="1" applyNumberFormat="1" applyFont="1" applyFill="1" applyBorder="1" applyAlignment="1">
      <alignment horizontal="center" vertical="center"/>
    </xf>
    <xf numFmtId="0" fontId="3" fillId="3" borderId="10" xfId="0" applyFont="1" applyFill="1" applyBorder="1"/>
    <xf numFmtId="0" fontId="3" fillId="3" borderId="11" xfId="0" applyFont="1" applyFill="1" applyBorder="1"/>
    <xf numFmtId="0" fontId="3" fillId="3" borderId="12" xfId="0" applyFont="1" applyFill="1" applyBorder="1"/>
    <xf numFmtId="0" fontId="7" fillId="3" borderId="0" xfId="0" applyFont="1" applyFill="1"/>
    <xf numFmtId="0" fontId="0" fillId="4" borderId="0" xfId="0" applyFill="1" applyAlignment="1">
      <alignment wrapText="1"/>
    </xf>
    <xf numFmtId="0" fontId="8" fillId="4" borderId="0" xfId="0" applyFont="1" applyFill="1" applyAlignment="1">
      <alignment wrapText="1"/>
    </xf>
    <xf numFmtId="167" fontId="0" fillId="2" borderId="6" xfId="0" applyNumberFormat="1" applyFill="1" applyBorder="1"/>
    <xf numFmtId="167" fontId="0" fillId="2" borderId="8" xfId="0" applyNumberFormat="1" applyFill="1" applyBorder="1"/>
    <xf numFmtId="165" fontId="0" fillId="4" borderId="6" xfId="0" applyNumberFormat="1" applyFill="1" applyBorder="1"/>
    <xf numFmtId="177" fontId="0" fillId="4" borderId="0" xfId="0" applyNumberFormat="1" applyFill="1"/>
    <xf numFmtId="43" fontId="0" fillId="4" borderId="0" xfId="1" applyFont="1" applyFill="1" applyBorder="1"/>
    <xf numFmtId="178" fontId="0" fillId="4" borderId="0" xfId="2" applyNumberFormat="1" applyFont="1" applyFill="1" applyBorder="1"/>
    <xf numFmtId="178" fontId="0" fillId="4" borderId="6" xfId="2" applyNumberFormat="1" applyFont="1" applyFill="1" applyBorder="1"/>
    <xf numFmtId="178" fontId="0" fillId="4" borderId="7" xfId="2" applyNumberFormat="1" applyFont="1" applyFill="1" applyBorder="1"/>
    <xf numFmtId="165" fontId="0" fillId="4" borderId="8" xfId="0" applyNumberFormat="1" applyFill="1" applyBorder="1"/>
    <xf numFmtId="177" fontId="0" fillId="4" borderId="1" xfId="0" applyNumberFormat="1" applyFill="1" applyBorder="1"/>
    <xf numFmtId="43" fontId="0" fillId="4" borderId="1" xfId="1" applyFont="1" applyFill="1" applyBorder="1"/>
    <xf numFmtId="178" fontId="0" fillId="4" borderId="1" xfId="2" applyNumberFormat="1" applyFont="1" applyFill="1" applyBorder="1"/>
    <xf numFmtId="178" fontId="0" fillId="4" borderId="8" xfId="2" applyNumberFormat="1" applyFont="1" applyFill="1" applyBorder="1"/>
    <xf numFmtId="178" fontId="0" fillId="4" borderId="9" xfId="2" applyNumberFormat="1" applyFont="1" applyFill="1" applyBorder="1"/>
    <xf numFmtId="177" fontId="3" fillId="3" borderId="10" xfId="0" applyNumberFormat="1" applyFont="1" applyFill="1" applyBorder="1"/>
    <xf numFmtId="10" fontId="0" fillId="4" borderId="0" xfId="2" applyNumberFormat="1" applyFont="1" applyFill="1"/>
    <xf numFmtId="165" fontId="0" fillId="4" borderId="0" xfId="0" applyNumberFormat="1" applyFill="1"/>
    <xf numFmtId="0" fontId="0" fillId="7" borderId="0" xfId="0" applyFill="1"/>
    <xf numFmtId="167" fontId="10" fillId="7" borderId="2" xfId="0" applyNumberFormat="1" applyFont="1" applyFill="1" applyBorder="1"/>
    <xf numFmtId="171" fontId="10" fillId="7" borderId="2" xfId="0" applyNumberFormat="1" applyFont="1" applyFill="1" applyBorder="1"/>
    <xf numFmtId="165" fontId="10" fillId="7" borderId="2" xfId="0" applyNumberFormat="1" applyFont="1" applyFill="1" applyBorder="1"/>
    <xf numFmtId="0" fontId="10" fillId="7" borderId="2" xfId="0" applyFont="1" applyFill="1" applyBorder="1"/>
    <xf numFmtId="0" fontId="10" fillId="7" borderId="6" xfId="0" applyFont="1" applyFill="1" applyBorder="1"/>
    <xf numFmtId="0" fontId="10" fillId="7" borderId="0" xfId="0" applyFont="1" applyFill="1"/>
    <xf numFmtId="170" fontId="10" fillId="7" borderId="0" xfId="1" applyNumberFormat="1" applyFont="1" applyFill="1" applyBorder="1"/>
    <xf numFmtId="0" fontId="10" fillId="7" borderId="7" xfId="0" applyFont="1" applyFill="1" applyBorder="1"/>
    <xf numFmtId="166" fontId="10" fillId="7" borderId="0" xfId="2" applyNumberFormat="1" applyFont="1" applyFill="1" applyBorder="1"/>
    <xf numFmtId="0" fontId="10" fillId="7" borderId="8" xfId="0" applyFont="1" applyFill="1" applyBorder="1"/>
    <xf numFmtId="0" fontId="10" fillId="7" borderId="1" xfId="0" applyFont="1" applyFill="1" applyBorder="1"/>
    <xf numFmtId="0" fontId="10" fillId="7" borderId="9" xfId="0" applyFont="1" applyFill="1" applyBorder="1"/>
    <xf numFmtId="167" fontId="10" fillId="7" borderId="6" xfId="0" applyNumberFormat="1" applyFont="1" applyFill="1" applyBorder="1"/>
    <xf numFmtId="180" fontId="0" fillId="4" borderId="6" xfId="1" applyNumberFormat="1" applyFont="1" applyFill="1" applyBorder="1"/>
    <xf numFmtId="180" fontId="0" fillId="4" borderId="0" xfId="1" applyNumberFormat="1" applyFont="1" applyFill="1" applyBorder="1"/>
    <xf numFmtId="180" fontId="0" fillId="4" borderId="7" xfId="1" applyNumberFormat="1" applyFont="1" applyFill="1" applyBorder="1"/>
    <xf numFmtId="180" fontId="0" fillId="4" borderId="8" xfId="1" applyNumberFormat="1" applyFont="1" applyFill="1" applyBorder="1"/>
    <xf numFmtId="180" fontId="0" fillId="4" borderId="1" xfId="1" applyNumberFormat="1" applyFont="1" applyFill="1" applyBorder="1"/>
    <xf numFmtId="180" fontId="0" fillId="4" borderId="9" xfId="1" applyNumberFormat="1" applyFont="1" applyFill="1" applyBorder="1"/>
    <xf numFmtId="43" fontId="10" fillId="7" borderId="7" xfId="1" applyFont="1" applyFill="1" applyBorder="1"/>
    <xf numFmtId="0" fontId="0" fillId="4" borderId="0" xfId="0" applyFill="1" applyAlignment="1">
      <alignment horizontal="left"/>
    </xf>
    <xf numFmtId="0" fontId="0" fillId="4" borderId="0" xfId="0" applyFill="1" applyAlignment="1">
      <alignment horizontal="left" wrapText="1"/>
    </xf>
    <xf numFmtId="0" fontId="0" fillId="4" borderId="10"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1" fillId="0" borderId="0" xfId="0" applyFont="1"/>
    <xf numFmtId="177" fontId="1" fillId="0" borderId="0" xfId="0" applyNumberFormat="1" applyFont="1"/>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165" fontId="1" fillId="0" borderId="0" xfId="0" applyNumberFormat="1" applyFont="1"/>
    <xf numFmtId="174" fontId="1" fillId="0" borderId="0" xfId="0" applyNumberFormat="1" applyFont="1"/>
    <xf numFmtId="173" fontId="1" fillId="0" borderId="0" xfId="0" applyNumberFormat="1" applyFont="1"/>
    <xf numFmtId="170" fontId="1" fillId="0" borderId="0" xfId="1" applyNumberFormat="1" applyFont="1"/>
    <xf numFmtId="169" fontId="1" fillId="0" borderId="0" xfId="1" applyNumberFormat="1" applyFont="1"/>
    <xf numFmtId="167" fontId="1" fillId="0" borderId="0" xfId="0" applyNumberFormat="1" applyFont="1"/>
    <xf numFmtId="10" fontId="1" fillId="0" borderId="0" xfId="2" applyNumberFormat="1" applyFont="1"/>
    <xf numFmtId="166" fontId="1" fillId="0" borderId="0" xfId="2" applyNumberFormat="1" applyFont="1"/>
    <xf numFmtId="0" fontId="1" fillId="0" borderId="11" xfId="0" applyFont="1" applyBorder="1"/>
    <xf numFmtId="175" fontId="1" fillId="0" borderId="11" xfId="1" applyNumberFormat="1" applyFont="1" applyFill="1" applyBorder="1" applyAlignment="1">
      <alignment horizontal="center" vertical="center"/>
    </xf>
    <xf numFmtId="0" fontId="1" fillId="0" borderId="12" xfId="0" applyFont="1" applyBorder="1"/>
    <xf numFmtId="166" fontId="13" fillId="0" borderId="10" xfId="2" applyNumberFormat="1" applyFont="1" applyFill="1" applyBorder="1" applyAlignment="1">
      <alignment horizontal="center"/>
    </xf>
    <xf numFmtId="166" fontId="13" fillId="0" borderId="11" xfId="2" applyNumberFormat="1" applyFont="1" applyFill="1" applyBorder="1" applyAlignment="1">
      <alignment horizontal="center"/>
    </xf>
    <xf numFmtId="166" fontId="13" fillId="0" borderId="12" xfId="2" applyNumberFormat="1" applyFont="1" applyFill="1" applyBorder="1" applyAlignment="1">
      <alignment horizontal="center"/>
    </xf>
    <xf numFmtId="10" fontId="1" fillId="0" borderId="0" xfId="2" applyNumberFormat="1" applyFont="1" applyAlignment="1">
      <alignment horizontal="center"/>
    </xf>
    <xf numFmtId="0" fontId="12" fillId="3" borderId="10" xfId="0" applyFont="1" applyFill="1" applyBorder="1"/>
    <xf numFmtId="0" fontId="12" fillId="3" borderId="11" xfId="0" applyFont="1" applyFill="1" applyBorder="1"/>
    <xf numFmtId="0" fontId="12" fillId="3" borderId="12" xfId="0" applyFont="1" applyFill="1" applyBorder="1"/>
    <xf numFmtId="0" fontId="12" fillId="3" borderId="3" xfId="0" applyFont="1" applyFill="1" applyBorder="1"/>
    <xf numFmtId="0" fontId="12" fillId="3" borderId="4" xfId="0" applyFont="1" applyFill="1" applyBorder="1"/>
    <xf numFmtId="0" fontId="12" fillId="3" borderId="5" xfId="0" applyFont="1" applyFill="1" applyBorder="1"/>
    <xf numFmtId="0" fontId="12" fillId="3" borderId="2" xfId="0" applyFont="1" applyFill="1" applyBorder="1"/>
    <xf numFmtId="170" fontId="12" fillId="3" borderId="0" xfId="1" applyNumberFormat="1" applyFont="1" applyFill="1"/>
    <xf numFmtId="174" fontId="12" fillId="3" borderId="0" xfId="0" applyNumberFormat="1" applyFont="1" applyFill="1"/>
    <xf numFmtId="173" fontId="12" fillId="3" borderId="0" xfId="0" applyNumberFormat="1" applyFont="1" applyFill="1"/>
    <xf numFmtId="10" fontId="12" fillId="3" borderId="0" xfId="2" applyNumberFormat="1" applyFont="1" applyFill="1"/>
    <xf numFmtId="165" fontId="12" fillId="3" borderId="0" xfId="0" applyNumberFormat="1" applyFont="1" applyFill="1"/>
    <xf numFmtId="170" fontId="12" fillId="3" borderId="13" xfId="1" applyNumberFormat="1" applyFont="1" applyFill="1" applyBorder="1"/>
    <xf numFmtId="166" fontId="12" fillId="3" borderId="0" xfId="2" applyNumberFormat="1" applyFont="1" applyFill="1"/>
    <xf numFmtId="165" fontId="12" fillId="3" borderId="0" xfId="1" applyNumberFormat="1" applyFont="1" applyFill="1"/>
    <xf numFmtId="168" fontId="12" fillId="3" borderId="0" xfId="1" applyNumberFormat="1" applyFont="1" applyFill="1" applyProtection="1"/>
    <xf numFmtId="170" fontId="12" fillId="3" borderId="0" xfId="1" applyNumberFormat="1" applyFont="1" applyFill="1" applyProtection="1"/>
    <xf numFmtId="0" fontId="1" fillId="0" borderId="6" xfId="0" applyFont="1" applyBorder="1"/>
    <xf numFmtId="43" fontId="1" fillId="0" borderId="0" xfId="1" applyFont="1" applyBorder="1"/>
    <xf numFmtId="175" fontId="1" fillId="0" borderId="7" xfId="1" applyNumberFormat="1" applyFont="1" applyFill="1" applyBorder="1" applyAlignment="1">
      <alignment horizontal="center" vertical="center"/>
    </xf>
    <xf numFmtId="165" fontId="1" fillId="0" borderId="6" xfId="0" applyNumberFormat="1" applyFont="1" applyBorder="1"/>
    <xf numFmtId="10" fontId="1" fillId="0" borderId="0" xfId="2" applyNumberFormat="1" applyFont="1" applyBorder="1"/>
    <xf numFmtId="171" fontId="1" fillId="0" borderId="7" xfId="2" applyNumberFormat="1" applyFont="1" applyBorder="1"/>
    <xf numFmtId="10" fontId="1" fillId="0" borderId="6" xfId="2" applyNumberFormat="1" applyFont="1" applyBorder="1"/>
    <xf numFmtId="9" fontId="1" fillId="0" borderId="0" xfId="2" applyFont="1" applyBorder="1"/>
    <xf numFmtId="0" fontId="14" fillId="7" borderId="0" xfId="0" applyFont="1" applyFill="1"/>
    <xf numFmtId="177" fontId="1" fillId="0" borderId="0" xfId="1" applyNumberFormat="1" applyFont="1"/>
    <xf numFmtId="165" fontId="1" fillId="0" borderId="0" xfId="2" applyNumberFormat="1" applyFont="1"/>
    <xf numFmtId="165" fontId="1" fillId="0" borderId="0" xfId="1" applyNumberFormat="1" applyFont="1"/>
    <xf numFmtId="166" fontId="1" fillId="0" borderId="14" xfId="2" applyNumberFormat="1" applyFont="1" applyBorder="1"/>
    <xf numFmtId="166" fontId="1" fillId="0" borderId="0" xfId="2" applyNumberFormat="1" applyFont="1" applyBorder="1"/>
    <xf numFmtId="166" fontId="1" fillId="0" borderId="1" xfId="2" applyNumberFormat="1" applyFont="1" applyBorder="1"/>
    <xf numFmtId="9" fontId="1" fillId="0" borderId="0" xfId="2" applyFont="1"/>
    <xf numFmtId="173" fontId="1" fillId="0" borderId="0" xfId="1" applyNumberFormat="1" applyFont="1"/>
    <xf numFmtId="0" fontId="1" fillId="0" borderId="0" xfId="0" quotePrefix="1" applyFont="1"/>
    <xf numFmtId="172" fontId="1" fillId="0" borderId="0" xfId="1" applyNumberFormat="1" applyFont="1"/>
    <xf numFmtId="0" fontId="1" fillId="0" borderId="8" xfId="0" applyFont="1" applyBorder="1"/>
    <xf numFmtId="0" fontId="1" fillId="0" borderId="1" xfId="0" applyFont="1" applyBorder="1"/>
    <xf numFmtId="177" fontId="1" fillId="0" borderId="1" xfId="0" applyNumberFormat="1" applyFont="1" applyBorder="1"/>
    <xf numFmtId="167" fontId="1" fillId="0" borderId="1" xfId="0" applyNumberFormat="1" applyFont="1" applyBorder="1"/>
    <xf numFmtId="43" fontId="1" fillId="0" borderId="1" xfId="1" applyFont="1" applyBorder="1"/>
    <xf numFmtId="175" fontId="1" fillId="0" borderId="9" xfId="1" applyNumberFormat="1" applyFont="1" applyFill="1" applyBorder="1" applyAlignment="1">
      <alignment horizontal="center" vertical="center"/>
    </xf>
    <xf numFmtId="10" fontId="1" fillId="0" borderId="1" xfId="2" applyNumberFormat="1" applyFont="1" applyBorder="1"/>
    <xf numFmtId="171" fontId="1" fillId="0" borderId="9" xfId="2" applyNumberFormat="1" applyFont="1" applyBorder="1"/>
    <xf numFmtId="10" fontId="1" fillId="0" borderId="8" xfId="2" applyNumberFormat="1" applyFont="1" applyBorder="1"/>
    <xf numFmtId="0" fontId="1" fillId="0" borderId="3" xfId="0" applyFont="1" applyBorder="1" applyAlignment="1">
      <alignment horizontal="left"/>
    </xf>
    <xf numFmtId="0" fontId="1" fillId="0" borderId="4" xfId="0" applyFont="1" applyBorder="1" applyAlignment="1">
      <alignment horizontal="left"/>
    </xf>
    <xf numFmtId="0" fontId="1" fillId="0" borderId="5" xfId="0" applyFont="1" applyBorder="1"/>
    <xf numFmtId="175" fontId="1" fillId="0" borderId="10" xfId="1" applyNumberFormat="1" applyFont="1" applyFill="1" applyBorder="1" applyAlignment="1">
      <alignment horizontal="center" vertical="center"/>
    </xf>
    <xf numFmtId="175" fontId="1" fillId="0" borderId="12" xfId="1" applyNumberFormat="1" applyFont="1" applyFill="1" applyBorder="1" applyAlignment="1">
      <alignment horizontal="center" vertical="center"/>
    </xf>
    <xf numFmtId="0" fontId="1" fillId="0" borderId="6" xfId="0" applyFont="1" applyBorder="1" applyAlignment="1">
      <alignment horizontal="left"/>
    </xf>
    <xf numFmtId="0" fontId="1" fillId="0" borderId="0" xfId="0" applyFont="1" applyAlignment="1">
      <alignment horizontal="left"/>
    </xf>
    <xf numFmtId="0" fontId="1" fillId="0" borderId="7" xfId="0" applyFont="1" applyBorder="1"/>
    <xf numFmtId="0" fontId="12" fillId="3" borderId="6" xfId="0" applyFont="1" applyFill="1" applyBorder="1"/>
    <xf numFmtId="0" fontId="12" fillId="3" borderId="7" xfId="0" applyFont="1" applyFill="1" applyBorder="1"/>
    <xf numFmtId="166" fontId="1" fillId="0" borderId="6" xfId="2" applyNumberFormat="1" applyFont="1" applyBorder="1"/>
    <xf numFmtId="166" fontId="1" fillId="0" borderId="7" xfId="2" applyNumberFormat="1" applyFont="1" applyBorder="1"/>
    <xf numFmtId="0" fontId="1" fillId="0" borderId="8" xfId="0" applyFont="1" applyBorder="1" applyAlignment="1">
      <alignment horizontal="left"/>
    </xf>
    <xf numFmtId="0" fontId="1" fillId="0" borderId="1" xfId="0" applyFont="1" applyBorder="1" applyAlignment="1">
      <alignment horizontal="left"/>
    </xf>
    <xf numFmtId="179" fontId="1" fillId="0" borderId="9" xfId="0" applyNumberFormat="1" applyFont="1" applyBorder="1"/>
    <xf numFmtId="0" fontId="1" fillId="0" borderId="10" xfId="0" applyFont="1" applyBorder="1" applyAlignment="1">
      <alignment horizontal="left"/>
    </xf>
    <xf numFmtId="0" fontId="1" fillId="0" borderId="11" xfId="0" applyFont="1" applyBorder="1" applyAlignment="1">
      <alignment horizontal="left"/>
    </xf>
    <xf numFmtId="165" fontId="1" fillId="0" borderId="12" xfId="0" applyNumberFormat="1" applyFont="1" applyBorder="1"/>
    <xf numFmtId="179" fontId="1" fillId="0" borderId="5" xfId="0" applyNumberFormat="1" applyFont="1" applyBorder="1"/>
    <xf numFmtId="167" fontId="1" fillId="0" borderId="7" xfId="0" applyNumberFormat="1" applyFont="1" applyBorder="1"/>
    <xf numFmtId="165" fontId="1" fillId="0" borderId="7" xfId="0" applyNumberFormat="1" applyFont="1" applyBorder="1"/>
    <xf numFmtId="0" fontId="1" fillId="0" borderId="9" xfId="0" applyFont="1" applyBorder="1"/>
    <xf numFmtId="166" fontId="1" fillId="0" borderId="8" xfId="2" applyNumberFormat="1" applyFont="1" applyBorder="1"/>
    <xf numFmtId="166" fontId="1" fillId="0" borderId="9" xfId="2" applyNumberFormat="1" applyFont="1" applyBorder="1"/>
    <xf numFmtId="166" fontId="1" fillId="0" borderId="15" xfId="2" applyNumberFormat="1" applyFont="1" applyBorder="1"/>
  </cellXfs>
  <cellStyles count="6">
    <cellStyle name="Comma" xfId="1" builtinId="3"/>
    <cellStyle name="Comma 2 2" xfId="4" xr:uid="{26F01583-D211-4334-9197-28D3AA279BAE}"/>
    <cellStyle name="Normal" xfId="0" builtinId="0"/>
    <cellStyle name="Normal 2" xfId="3" xr:uid="{43E217F6-20B1-4BA8-83C6-903C9E66CE2C}"/>
    <cellStyle name="Percent" xfId="2" builtinId="5"/>
    <cellStyle name="Percent 2" xfId="5" xr:uid="{5FED82BF-BFAA-4FE7-BAE3-1B8B15117BBB}"/>
  </cellStyles>
  <dxfs count="45">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10</xdr:row>
          <xdr:rowOff>0</xdr:rowOff>
        </xdr:from>
        <xdr:to>
          <xdr:col>5</xdr:col>
          <xdr:colOff>914400</xdr:colOff>
          <xdr:row>12</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1095375</xdr:colOff>
          <xdr:row>43</xdr:row>
          <xdr:rowOff>142875</xdr:rowOff>
        </xdr:from>
        <xdr:to>
          <xdr:col>29</xdr:col>
          <xdr:colOff>428625</xdr:colOff>
          <xdr:row>46</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a:t>
              </a:r>
            </a:p>
          </xdr:txBody>
        </xdr:sp>
        <xdr:clientData fPrintsWithSheet="0"/>
      </xdr:twoCellAnchor>
    </mc:Choice>
    <mc:Fallback/>
  </mc:AlternateContent>
  <xdr:twoCellAnchor>
    <xdr:from>
      <xdr:col>1</xdr:col>
      <xdr:colOff>114300</xdr:colOff>
      <xdr:row>51</xdr:row>
      <xdr:rowOff>85725</xdr:rowOff>
    </xdr:from>
    <xdr:to>
      <xdr:col>6</xdr:col>
      <xdr:colOff>264319</xdr:colOff>
      <xdr:row>63</xdr:row>
      <xdr:rowOff>85725</xdr:rowOff>
    </xdr:to>
    <xdr:sp macro="" textlink="">
      <xdr:nvSpPr>
        <xdr:cNvPr id="2" name="TextBox 1">
          <a:extLst>
            <a:ext uri="{FF2B5EF4-FFF2-40B4-BE49-F238E27FC236}">
              <a16:creationId xmlns:a16="http://schemas.microsoft.com/office/drawing/2014/main" id="{754E359B-E9A8-0B36-31E4-9DC5FA23B335}"/>
            </a:ext>
          </a:extLst>
        </xdr:cNvPr>
        <xdr:cNvSpPr txBox="1"/>
      </xdr:nvSpPr>
      <xdr:spPr>
        <a:xfrm>
          <a:off x="419100" y="7858125"/>
          <a:ext cx="3807619" cy="1828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u="sng"/>
            <a:t>To</a:t>
          </a:r>
          <a:r>
            <a:rPr lang="en-NZ" sz="1100" u="sng" baseline="0"/>
            <a:t> do:</a:t>
          </a:r>
        </a:p>
        <a:p>
          <a:r>
            <a:rPr lang="en-NZ" sz="1100" baseline="0"/>
            <a:t>1) Make stub inputs, holidays, business day roll convention, payment delay optional in AccrualStartArray VBA function</a:t>
          </a:r>
        </a:p>
        <a:p>
          <a:r>
            <a:rPr lang="en-NZ" sz="1100" baseline="0"/>
            <a:t>2) Have a "n/a" input for holidays</a:t>
          </a:r>
        </a:p>
        <a:p>
          <a:r>
            <a:rPr lang="en-NZ" sz="1100" baseline="0"/>
            <a:t>3) Holidays cleaned up (separate project) </a:t>
          </a:r>
        </a:p>
        <a:p>
          <a:r>
            <a:rPr lang="en-NZ" sz="1100" baseline="0"/>
            <a:t>4) </a:t>
          </a:r>
          <a:endParaRPr lang="en-NZ"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47625</xdr:colOff>
      <xdr:row>1</xdr:row>
      <xdr:rowOff>66674</xdr:rowOff>
    </xdr:from>
    <xdr:to>
      <xdr:col>21</xdr:col>
      <xdr:colOff>123825</xdr:colOff>
      <xdr:row>90</xdr:row>
      <xdr:rowOff>114301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934325" y="228599"/>
          <a:ext cx="8001000" cy="144589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import holidays</a:t>
          </a:r>
        </a:p>
        <a:p>
          <a:r>
            <a:rPr lang="en-AU" sz="1000">
              <a:latin typeface="Arial" panose="020B0604020202020204" pitchFamily="34" charset="0"/>
              <a:cs typeface="Arial" panose="020B0604020202020204" pitchFamily="34" charset="0"/>
            </a:rPr>
            <a:t>import pandas_market_calendars as mcal</a:t>
          </a:r>
        </a:p>
        <a:p>
          <a:r>
            <a:rPr lang="en-AU" sz="1000">
              <a:latin typeface="Arial" panose="020B0604020202020204" pitchFamily="34" charset="0"/>
              <a:cs typeface="Arial" panose="020B0604020202020204" pitchFamily="34" charset="0"/>
            </a:rPr>
            <a:t>import numpy as np</a:t>
          </a:r>
        </a:p>
        <a:p>
          <a:r>
            <a:rPr lang="en-AU" sz="1000">
              <a:latin typeface="Arial" panose="020B0604020202020204" pitchFamily="34" charset="0"/>
              <a:cs typeface="Arial" panose="020B0604020202020204" pitchFamily="34" charset="0"/>
            </a:rPr>
            <a:t>import datetime as dt</a:t>
          </a:r>
        </a:p>
        <a:p>
          <a:r>
            <a:rPr lang="en-AU" sz="1000">
              <a:latin typeface="Arial" panose="020B0604020202020204" pitchFamily="34" charset="0"/>
              <a:cs typeface="Arial" panose="020B0604020202020204" pitchFamily="34" charset="0"/>
            </a:rPr>
            <a:t>import pandas as pd</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Define your currency to country/market mapping</a:t>
          </a:r>
        </a:p>
        <a:p>
          <a:r>
            <a:rPr lang="en-AU" sz="1000">
              <a:latin typeface="Arial" panose="020B0604020202020204" pitchFamily="34" charset="0"/>
              <a:cs typeface="Arial" panose="020B0604020202020204" pitchFamily="34" charset="0"/>
            </a:rPr>
            <a:t>ccy_country_mapping =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Use market calendars from 'pandas_market_calendars' in 1st instance</a:t>
          </a:r>
        </a:p>
        <a:p>
          <a:r>
            <a:rPr lang="en-AU" sz="1000">
              <a:latin typeface="Arial" panose="020B0604020202020204" pitchFamily="34" charset="0"/>
              <a:cs typeface="Arial" panose="020B0604020202020204" pitchFamily="34" charset="0"/>
            </a:rPr>
            <a:t>    'USD': 'NYSE',  # United States Dollar - New York Stock Exchange</a:t>
          </a:r>
        </a:p>
        <a:p>
          <a:r>
            <a:rPr lang="en-AU" sz="1000">
              <a:latin typeface="Arial" panose="020B0604020202020204" pitchFamily="34" charset="0"/>
              <a:cs typeface="Arial" panose="020B0604020202020204" pitchFamily="34" charset="0"/>
            </a:rPr>
            <a:t>    'EUR': 'EUREX',  # Euro - EUREX</a:t>
          </a:r>
        </a:p>
        <a:p>
          <a:r>
            <a:rPr lang="en-AU" sz="1000">
              <a:latin typeface="Arial" panose="020B0604020202020204" pitchFamily="34" charset="0"/>
              <a:cs typeface="Arial" panose="020B0604020202020204" pitchFamily="34" charset="0"/>
            </a:rPr>
            <a:t>    'JPY': 'JPX',  # Japanese Yen - Tokyo Stock Exchange</a:t>
          </a:r>
        </a:p>
        <a:p>
          <a:r>
            <a:rPr lang="en-AU" sz="1000">
              <a:latin typeface="Arial" panose="020B0604020202020204" pitchFamily="34" charset="0"/>
              <a:cs typeface="Arial" panose="020B0604020202020204" pitchFamily="34" charset="0"/>
            </a:rPr>
            <a:t>    'GBP': 'LSE',  # British Pound - London Stock Exchange</a:t>
          </a:r>
        </a:p>
        <a:p>
          <a:r>
            <a:rPr lang="en-AU" sz="1000">
              <a:latin typeface="Arial" panose="020B0604020202020204" pitchFamily="34" charset="0"/>
              <a:cs typeface="Arial" panose="020B0604020202020204" pitchFamily="34" charset="0"/>
            </a:rPr>
            <a:t>    'AUD': 'ASX',  # Australian Dollar - Australian Securities Exchange</a:t>
          </a:r>
        </a:p>
        <a:p>
          <a:r>
            <a:rPr lang="en-AU" sz="1000">
              <a:latin typeface="Arial" panose="020B0604020202020204" pitchFamily="34" charset="0"/>
              <a:cs typeface="Arial" panose="020B0604020202020204" pitchFamily="34" charset="0"/>
            </a:rPr>
            <a:t>    'CAD': 'TSX',  # Canadian Dollar - Toronto Stock Exchange</a:t>
          </a:r>
        </a:p>
        <a:p>
          <a:r>
            <a:rPr lang="en-AU" sz="1000">
              <a:latin typeface="Arial" panose="020B0604020202020204" pitchFamily="34" charset="0"/>
              <a:cs typeface="Arial" panose="020B0604020202020204" pitchFamily="34" charset="0"/>
            </a:rPr>
            <a:t>    'CHF': 'SIX',  # Swiss Franc - SIX Swiss Exchange</a:t>
          </a:r>
        </a:p>
        <a:p>
          <a:r>
            <a:rPr lang="en-AU" sz="1000">
              <a:latin typeface="Arial" panose="020B0604020202020204" pitchFamily="34" charset="0"/>
              <a:cs typeface="Arial" panose="020B0604020202020204" pitchFamily="34" charset="0"/>
            </a:rPr>
            <a:t>    'NZD': 'XNZE',  # New Zealand Dollar - New Zealand Stock Exchange</a:t>
          </a:r>
        </a:p>
        <a:p>
          <a:r>
            <a:rPr lang="en-AU" sz="1000">
              <a:latin typeface="Arial" panose="020B0604020202020204" pitchFamily="34" charset="0"/>
              <a:cs typeface="Arial" panose="020B0604020202020204" pitchFamily="34" charset="0"/>
            </a:rPr>
            <a:t>    'BRL': 'BVMF',  # Brazilian Real - B3 - Brasil Bolsa Balcão</a:t>
          </a:r>
        </a:p>
        <a:p>
          <a:r>
            <a:rPr lang="en-AU" sz="1000">
              <a:latin typeface="Arial" panose="020B0604020202020204" pitchFamily="34" charset="0"/>
              <a:cs typeface="Arial" panose="020B0604020202020204" pitchFamily="34" charset="0"/>
            </a:rPr>
            <a:t>    'INR': 'NSE',  # Indian Rupee - National Stock Exchange of India</a:t>
          </a:r>
        </a:p>
        <a:p>
          <a:r>
            <a:rPr lang="en-AU" sz="1000">
              <a:latin typeface="Arial" panose="020B0604020202020204" pitchFamily="34" charset="0"/>
              <a:cs typeface="Arial" panose="020B0604020202020204" pitchFamily="34" charset="0"/>
            </a:rPr>
            <a:t>    'HKD': 'HKEX',  # Hong Kong Dollar - HKEX</a:t>
          </a:r>
        </a:p>
        <a:p>
          <a:r>
            <a:rPr lang="en-AU" sz="1000">
              <a:latin typeface="Arial" panose="020B0604020202020204" pitchFamily="34" charset="0"/>
              <a:cs typeface="Arial" panose="020B0604020202020204" pitchFamily="34" charset="0"/>
            </a:rPr>
            <a:t>    'NOK': 'OSE',  # Norwegian Krone - Olso Stock Exchange</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Otherwise use country holidays from 'holidays'</a:t>
          </a:r>
        </a:p>
        <a:p>
          <a:r>
            <a:rPr lang="en-AU" sz="1000">
              <a:latin typeface="Arial" panose="020B0604020202020204" pitchFamily="34" charset="0"/>
              <a:cs typeface="Arial" panose="020B0604020202020204" pitchFamily="34" charset="0"/>
            </a:rPr>
            <a:t>    'MXN': 'Mexico', # Mexican Peso - Mexican Stock Exchange</a:t>
          </a:r>
        </a:p>
        <a:p>
          <a:r>
            <a:rPr lang="en-AU" sz="1000">
              <a:latin typeface="Arial" panose="020B0604020202020204" pitchFamily="34" charset="0"/>
              <a:cs typeface="Arial" panose="020B0604020202020204" pitchFamily="34" charset="0"/>
            </a:rPr>
            <a:t>    'SGD': 'Singapore',  # Singapore Dollar</a:t>
          </a:r>
        </a:p>
        <a:p>
          <a:r>
            <a:rPr lang="en-AU" sz="1000">
              <a:latin typeface="Arial" panose="020B0604020202020204" pitchFamily="34" charset="0"/>
              <a:cs typeface="Arial" panose="020B0604020202020204" pitchFamily="34" charset="0"/>
            </a:rPr>
            <a:t>    'KRW': 'SouthKorea',  # South Korean Won</a:t>
          </a:r>
        </a:p>
        <a:p>
          <a:r>
            <a:rPr lang="en-AU" sz="1000">
              <a:latin typeface="Arial" panose="020B0604020202020204" pitchFamily="34" charset="0"/>
              <a:cs typeface="Arial" panose="020B0604020202020204" pitchFamily="34" charset="0"/>
            </a:rPr>
            <a:t>    'TRY': 'Turkey',  # Turkish Lira</a:t>
          </a:r>
        </a:p>
        <a:p>
          <a:r>
            <a:rPr lang="en-AU" sz="1000">
              <a:latin typeface="Arial" panose="020B0604020202020204" pitchFamily="34" charset="0"/>
              <a:cs typeface="Arial" panose="020B0604020202020204" pitchFamily="34" charset="0"/>
            </a:rPr>
            <a:t>    # 'CNY': 'China',  # Chinese Yuan</a:t>
          </a:r>
        </a:p>
        <a:p>
          <a:r>
            <a:rPr lang="en-AU" sz="1000">
              <a:latin typeface="Arial" panose="020B0604020202020204" pitchFamily="34" charset="0"/>
              <a:cs typeface="Arial" panose="020B0604020202020204" pitchFamily="34" charset="0"/>
            </a:rPr>
            <a:t>    'SEK': 'Sweden',  # Swedish Krona    </a:t>
          </a:r>
        </a:p>
        <a:p>
          <a:r>
            <a:rPr lang="en-AU" sz="1000">
              <a:latin typeface="Arial" panose="020B0604020202020204" pitchFamily="34" charset="0"/>
              <a:cs typeface="Arial" panose="020B0604020202020204" pitchFamily="34" charset="0"/>
            </a:rPr>
            <a:t>    'RUB': 'Russia',  # Russian Ruble    </a:t>
          </a:r>
        </a:p>
        <a:p>
          <a:r>
            <a:rPr lang="en-AU" sz="1000">
              <a:latin typeface="Arial" panose="020B0604020202020204" pitchFamily="34" charset="0"/>
              <a:cs typeface="Arial" panose="020B0604020202020204" pitchFamily="34" charset="0"/>
            </a:rPr>
            <a:t>    'ZAR': 'SouthAfrica',  # South African Rand</a:t>
          </a:r>
        </a:p>
        <a:p>
          <a:r>
            <a:rPr lang="en-AU" sz="1000">
              <a:latin typeface="Arial" panose="020B0604020202020204" pitchFamily="34" charset="0"/>
              <a:cs typeface="Arial" panose="020B0604020202020204" pitchFamily="34" charset="0"/>
            </a:rPr>
            <a:t>    'DKK': 'Denmark',  # Danish Krone</a:t>
          </a:r>
        </a:p>
        <a:p>
          <a:r>
            <a:rPr lang="en-AU" sz="1000">
              <a:latin typeface="Arial" panose="020B0604020202020204" pitchFamily="34" charset="0"/>
              <a:cs typeface="Arial" panose="020B0604020202020204" pitchFamily="34" charset="0"/>
            </a:rPr>
            <a:t>    'PLN': 'Poland',  # Polish Złoty</a:t>
          </a:r>
        </a:p>
        <a:p>
          <a:r>
            <a:rPr lang="en-AU" sz="1000">
              <a:latin typeface="Arial" panose="020B0604020202020204" pitchFamily="34" charset="0"/>
              <a:cs typeface="Arial" panose="020B0604020202020204" pitchFamily="34" charset="0"/>
            </a:rPr>
            <a:t>    'THB': 'Thailand',  # Thai Baht</a:t>
          </a:r>
        </a:p>
        <a:p>
          <a:r>
            <a:rPr lang="en-AU" sz="1000">
              <a:latin typeface="Arial" panose="020B0604020202020204" pitchFamily="34" charset="0"/>
              <a:cs typeface="Arial" panose="020B0604020202020204" pitchFamily="34" charset="0"/>
            </a:rPr>
            <a:t>    'IDR': 'Indonesia',  # Indonesian Rupiah</a:t>
          </a:r>
        </a:p>
        <a:p>
          <a:r>
            <a:rPr lang="en-AU" sz="1000">
              <a:latin typeface="Arial" panose="020B0604020202020204" pitchFamily="34" charset="0"/>
              <a:cs typeface="Arial" panose="020B0604020202020204" pitchFamily="34" charset="0"/>
            </a:rPr>
            <a:t>    'HUF': 'Hungary',  # Hungarian Forint</a:t>
          </a:r>
        </a:p>
        <a:p>
          <a:r>
            <a:rPr lang="en-AU" sz="1000">
              <a:latin typeface="Arial" panose="020B0604020202020204" pitchFamily="34" charset="0"/>
              <a:cs typeface="Arial" panose="020B0604020202020204" pitchFamily="34" charset="0"/>
            </a:rPr>
            <a:t>    'CZK': 'Czech',  # Czech Koruna</a:t>
          </a:r>
        </a:p>
        <a:p>
          <a:r>
            <a:rPr lang="en-AU" sz="1000">
              <a:latin typeface="Arial" panose="020B0604020202020204" pitchFamily="34" charset="0"/>
              <a:cs typeface="Arial" panose="020B0604020202020204" pitchFamily="34" charset="0"/>
            </a:rPr>
            <a:t>    'ILS': 'Israel',  # Israeli Shekel</a:t>
          </a:r>
        </a:p>
        <a:p>
          <a:r>
            <a:rPr lang="en-AU" sz="1000">
              <a:latin typeface="Arial" panose="020B0604020202020204" pitchFamily="34" charset="0"/>
              <a:cs typeface="Arial" panose="020B0604020202020204" pitchFamily="34" charset="0"/>
            </a:rPr>
            <a:t>    'CLP': 'Chile',  # Chilean Peso</a:t>
          </a:r>
        </a:p>
        <a:p>
          <a:r>
            <a:rPr lang="en-AU" sz="1000">
              <a:latin typeface="Arial" panose="020B0604020202020204" pitchFamily="34" charset="0"/>
              <a:cs typeface="Arial" panose="020B0604020202020204" pitchFamily="34" charset="0"/>
            </a:rPr>
            <a:t>    'PHP': 'Philippines',  # Philippine Peso</a:t>
          </a:r>
        </a:p>
        <a:p>
          <a:r>
            <a:rPr lang="en-AU" sz="1000">
              <a:latin typeface="Arial" panose="020B0604020202020204" pitchFamily="34" charset="0"/>
              <a:cs typeface="Arial" panose="020B0604020202020204" pitchFamily="34" charset="0"/>
            </a:rPr>
            <a:t>    'AED': 'UnitedArabEmirates',  # UAE Dirham</a:t>
          </a:r>
        </a:p>
        <a:p>
          <a:r>
            <a:rPr lang="en-AU" sz="1000">
              <a:latin typeface="Arial" panose="020B0604020202020204" pitchFamily="34" charset="0"/>
              <a:cs typeface="Arial" panose="020B0604020202020204" pitchFamily="34" charset="0"/>
            </a:rPr>
            <a:t>    'COP': 'Colombia',  # Colombian Peso</a:t>
          </a:r>
        </a:p>
        <a:p>
          <a:r>
            <a:rPr lang="en-AU" sz="1000">
              <a:latin typeface="Arial" panose="020B0604020202020204" pitchFamily="34" charset="0"/>
              <a:cs typeface="Arial" panose="020B0604020202020204" pitchFamily="34" charset="0"/>
            </a:rPr>
            <a:t>    'SAR': 'SaudiArabia',  # Saudi Riyal</a:t>
          </a:r>
        </a:p>
        <a:p>
          <a:r>
            <a:rPr lang="en-AU" sz="1000">
              <a:latin typeface="Arial" panose="020B0604020202020204" pitchFamily="34" charset="0"/>
              <a:cs typeface="Arial" panose="020B0604020202020204" pitchFamily="34" charset="0"/>
            </a:rPr>
            <a:t>    'MYR': 'Malaysia',  # Malaysian Ringgit</a:t>
          </a:r>
        </a:p>
        <a:p>
          <a:r>
            <a:rPr lang="en-AU" sz="1000">
              <a:latin typeface="Arial" panose="020B0604020202020204" pitchFamily="34" charset="0"/>
              <a:cs typeface="Arial" panose="020B0604020202020204" pitchFamily="34" charset="0"/>
            </a:rPr>
            <a:t>    'RON': 'Romania',  # Romanian Leu</a:t>
          </a:r>
        </a:p>
        <a:p>
          <a:r>
            <a:rPr lang="en-AU" sz="1000">
              <a:latin typeface="Arial" panose="020B0604020202020204" pitchFamily="34" charset="0"/>
              <a:cs typeface="Arial" panose="020B0604020202020204" pitchFamily="34" charset="0"/>
            </a:rPr>
            <a:t>    'ARS': 'Argentina',  # Argentine Peso</a:t>
          </a:r>
        </a:p>
        <a:p>
          <a:r>
            <a:rPr lang="en-AU" sz="1000">
              <a:latin typeface="Arial" panose="020B0604020202020204" pitchFamily="34" charset="0"/>
              <a:cs typeface="Arial" panose="020B0604020202020204" pitchFamily="34" charset="0"/>
            </a:rPr>
            <a:t>    # Add more currencies here...</a:t>
          </a: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def get_holidays(ccy,</a:t>
          </a:r>
        </a:p>
        <a:p>
          <a:r>
            <a:rPr lang="en-AU" sz="1000">
              <a:latin typeface="Arial" panose="020B0604020202020204" pitchFamily="34" charset="0"/>
              <a:cs typeface="Arial" panose="020B0604020202020204" pitchFamily="34" charset="0"/>
            </a:rPr>
            <a:t>                 start_date=None, </a:t>
          </a:r>
        </a:p>
        <a:p>
          <a:r>
            <a:rPr lang="en-AU" sz="1000">
              <a:latin typeface="Arial" panose="020B0604020202020204" pitchFamily="34" charset="0"/>
              <a:cs typeface="Arial" panose="020B0604020202020204" pitchFamily="34" charset="0"/>
            </a:rPr>
            <a:t>                 end_date=None):</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ccy = ccy.upper()</a:t>
          </a:r>
        </a:p>
        <a:p>
          <a:r>
            <a:rPr lang="en-AU" sz="1000">
              <a:latin typeface="Arial" panose="020B0604020202020204" pitchFamily="34" charset="0"/>
              <a:cs typeface="Arial" panose="020B0604020202020204" pitchFamily="34" charset="0"/>
            </a:rPr>
            <a:t>    if start_date == None:</a:t>
          </a:r>
        </a:p>
        <a:p>
          <a:r>
            <a:rPr lang="en-AU" sz="1000">
              <a:latin typeface="Arial" panose="020B0604020202020204" pitchFamily="34" charset="0"/>
              <a:cs typeface="Arial" panose="020B0604020202020204" pitchFamily="34" charset="0"/>
            </a:rPr>
            <a:t>        start_date = dt.datetime(2000, 1, 1)</a:t>
          </a:r>
        </a:p>
        <a:p>
          <a:r>
            <a:rPr lang="en-AU" sz="1000">
              <a:latin typeface="Arial" panose="020B0604020202020204" pitchFamily="34" charset="0"/>
              <a:cs typeface="Arial" panose="020B0604020202020204" pitchFamily="34" charset="0"/>
            </a:rPr>
            <a:t>    if end_date == None:</a:t>
          </a:r>
        </a:p>
        <a:p>
          <a:r>
            <a:rPr lang="en-AU" sz="1000">
              <a:latin typeface="Arial" panose="020B0604020202020204" pitchFamily="34" charset="0"/>
              <a:cs typeface="Arial" panose="020B0604020202020204" pitchFamily="34" charset="0"/>
            </a:rPr>
            <a:t>        end_date = dt.datetime(2100, 1, 1)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market_or_country = ccy_country_mapping[ccy.upper()]</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if market_or_country in mcal.get_calendar_names():</a:t>
          </a:r>
        </a:p>
        <a:p>
          <a:r>
            <a:rPr lang="en-AU" sz="1000">
              <a:latin typeface="Arial" panose="020B0604020202020204" pitchFamily="34" charset="0"/>
              <a:cs typeface="Arial" panose="020B0604020202020204" pitchFamily="34" charset="0"/>
            </a:rPr>
            <a:t>        # Get calendar for the market</a:t>
          </a:r>
        </a:p>
        <a:p>
          <a:r>
            <a:rPr lang="en-AU" sz="1000">
              <a:latin typeface="Arial" panose="020B0604020202020204" pitchFamily="34" charset="0"/>
              <a:cs typeface="Arial" panose="020B0604020202020204" pitchFamily="34" charset="0"/>
            </a:rPr>
            <a:t>        cal = mcal.get_calendar(market_or_country)</a:t>
          </a:r>
        </a:p>
        <a:p>
          <a:r>
            <a:rPr lang="en-AU" sz="1000">
              <a:latin typeface="Arial" panose="020B0604020202020204" pitchFamily="34" charset="0"/>
              <a:cs typeface="Arial" panose="020B0604020202020204" pitchFamily="34" charset="0"/>
            </a:rPr>
            <a:t>        # Get market schedule</a:t>
          </a:r>
        </a:p>
        <a:p>
          <a:r>
            <a:rPr lang="en-AU" sz="1000">
              <a:latin typeface="Arial" panose="020B0604020202020204" pitchFamily="34" charset="0"/>
              <a:cs typeface="Arial" panose="020B0604020202020204" pitchFamily="34" charset="0"/>
            </a:rPr>
            <a:t>        market_schedule = cal.schedule(start_date=start_date, end_date=end_date)</a:t>
          </a:r>
        </a:p>
        <a:p>
          <a:r>
            <a:rPr lang="en-AU" sz="1000">
              <a:latin typeface="Arial" panose="020B0604020202020204" pitchFamily="34" charset="0"/>
              <a:cs typeface="Arial" panose="020B0604020202020204" pitchFamily="34" charset="0"/>
            </a:rPr>
            <a:t>        valid_days_np  = np.array(market_schedule.index.values.astype('datetime64[D]'), dtype='datetime64[D]')</a:t>
          </a:r>
        </a:p>
        <a:p>
          <a:r>
            <a:rPr lang="en-AU" sz="1000">
              <a:latin typeface="Arial" panose="020B0604020202020204" pitchFamily="34" charset="0"/>
              <a:cs typeface="Arial" panose="020B0604020202020204" pitchFamily="34" charset="0"/>
            </a:rPr>
            <a:t>        all_days = np.arange(valid_days_np[0], valid_days_np[-1] + np.timedelta64(1, 'D'), dtype='datetime64[D]')</a:t>
          </a:r>
        </a:p>
        <a:p>
          <a:r>
            <a:rPr lang="en-AU" sz="1000">
              <a:latin typeface="Arial" panose="020B0604020202020204" pitchFamily="34" charset="0"/>
              <a:cs typeface="Arial" panose="020B0604020202020204" pitchFamily="34" charset="0"/>
            </a:rPr>
            <a:t>        # the holidays are the days that are in all_days but not in valid_days</a:t>
          </a:r>
        </a:p>
        <a:p>
          <a:r>
            <a:rPr lang="en-AU" sz="1000">
              <a:latin typeface="Arial" panose="020B0604020202020204" pitchFamily="34" charset="0"/>
              <a:cs typeface="Arial" panose="020B0604020202020204" pitchFamily="34" charset="0"/>
            </a:rPr>
            <a:t>        holidays_np = np.setdiff1d(all_days, valid_days_np)</a:t>
          </a:r>
        </a:p>
        <a:p>
          <a:r>
            <a:rPr lang="en-AU" sz="1000">
              <a:latin typeface="Arial" panose="020B0604020202020204" pitchFamily="34" charset="0"/>
              <a:cs typeface="Arial" panose="020B0604020202020204" pitchFamily="34" charset="0"/>
            </a:rPr>
            <a:t>        return holidays_np </a:t>
          </a:r>
        </a:p>
        <a:p>
          <a:r>
            <a:rPr lang="en-AU" sz="1000">
              <a:latin typeface="Arial" panose="020B0604020202020204" pitchFamily="34" charset="0"/>
              <a:cs typeface="Arial" panose="020B0604020202020204" pitchFamily="34" charset="0"/>
            </a:rPr>
            <a:t>    else:</a:t>
          </a:r>
        </a:p>
        <a:p>
          <a:r>
            <a:rPr lang="en-AU" sz="1000">
              <a:latin typeface="Arial" panose="020B0604020202020204" pitchFamily="34" charset="0"/>
              <a:cs typeface="Arial" panose="020B0604020202020204" pitchFamily="34" charset="0"/>
            </a:rPr>
            <a:t>        # If the market is not in the pandas_market_calendars package, get the country holidays</a:t>
          </a:r>
        </a:p>
        <a:p>
          <a:r>
            <a:rPr lang="en-AU" sz="1000">
              <a:latin typeface="Arial" panose="020B0604020202020204" pitchFamily="34" charset="0"/>
              <a:cs typeface="Arial" panose="020B0604020202020204" pitchFamily="34" charset="0"/>
            </a:rPr>
            <a:t>        country_holidays = holidays.CountryHoliday(market_or_country, years=list(range(start_date.year, end_date.year+1)))</a:t>
          </a:r>
        </a:p>
        <a:p>
          <a:r>
            <a:rPr lang="en-AU" sz="1000">
              <a:latin typeface="Arial" panose="020B0604020202020204" pitchFamily="34" charset="0"/>
              <a:cs typeface="Arial" panose="020B0604020202020204" pitchFamily="34" charset="0"/>
            </a:rPr>
            <a:t>        # Convert to numpy datetime64[D] format and return busdaycalendar</a:t>
          </a:r>
        </a:p>
        <a:p>
          <a:r>
            <a:rPr lang="en-AU" sz="1000">
              <a:latin typeface="Arial" panose="020B0604020202020204" pitchFamily="34" charset="0"/>
              <a:cs typeface="Arial" panose="020B0604020202020204" pitchFamily="34" charset="0"/>
            </a:rPr>
            <a:t>        holidays_np = np.array(list(country_holidays.keys()))</a:t>
          </a:r>
        </a:p>
        <a:p>
          <a:r>
            <a:rPr lang="en-AU" sz="1000">
              <a:latin typeface="Arial" panose="020B0604020202020204" pitchFamily="34" charset="0"/>
              <a:cs typeface="Arial" panose="020B0604020202020204" pitchFamily="34" charset="0"/>
            </a:rPr>
            <a:t>        return holidays_np</a:t>
          </a:r>
        </a:p>
        <a:p>
          <a:endParaRPr lang="en-AU" sz="1000">
            <a:latin typeface="Arial" panose="020B0604020202020204" pitchFamily="34" charset="0"/>
            <a:cs typeface="Arial" panose="020B0604020202020204" pitchFamily="34" charset="0"/>
          </a:endParaRP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if __name__ == "__main__":</a:t>
          </a:r>
        </a:p>
        <a:p>
          <a:r>
            <a:rPr lang="en-AU" sz="1000">
              <a:latin typeface="Arial" panose="020B0604020202020204" pitchFamily="34" charset="0"/>
              <a:cs typeface="Arial" panose="020B0604020202020204" pitchFamily="34" charset="0"/>
            </a:rPr>
            <a:t>    dict_holidays = dict()</a:t>
          </a:r>
        </a:p>
        <a:p>
          <a:r>
            <a:rPr lang="en-AU" sz="1000">
              <a:latin typeface="Arial" panose="020B0604020202020204" pitchFamily="34" charset="0"/>
              <a:cs typeface="Arial" panose="020B0604020202020204" pitchFamily="34" charset="0"/>
            </a:rPr>
            <a:t>    for ccy in ['USD','AUD','JPY','NZD','EUR','GBP']:</a:t>
          </a:r>
        </a:p>
        <a:p>
          <a:r>
            <a:rPr lang="en-AU" sz="1000">
              <a:latin typeface="Arial" panose="020B0604020202020204" pitchFamily="34" charset="0"/>
              <a:cs typeface="Arial" panose="020B0604020202020204" pitchFamily="34" charset="0"/>
            </a:rPr>
            <a:t>        df = pd.DataFrame(get_holidays(ccy))</a:t>
          </a:r>
        </a:p>
        <a:p>
          <a:r>
            <a:rPr lang="en-AU" sz="1000">
              <a:latin typeface="Arial" panose="020B0604020202020204" pitchFamily="34" charset="0"/>
              <a:cs typeface="Arial" panose="020B0604020202020204" pitchFamily="34" charset="0"/>
            </a:rPr>
            <a:t>        df[0] = pd.to_datetime(df[0])</a:t>
          </a:r>
        </a:p>
        <a:p>
          <a:r>
            <a:rPr lang="en-AU" sz="1000">
              <a:latin typeface="Arial" panose="020B0604020202020204" pitchFamily="34" charset="0"/>
              <a:cs typeface="Arial" panose="020B0604020202020204" pitchFamily="34" charset="0"/>
            </a:rPr>
            <a:t>        df = df[df[0].dt.weekday &lt; 5]</a:t>
          </a:r>
        </a:p>
        <a:p>
          <a:r>
            <a:rPr lang="en-AU" sz="1000">
              <a:latin typeface="Arial" panose="020B0604020202020204" pitchFamily="34" charset="0"/>
              <a:cs typeface="Arial" panose="020B0604020202020204" pitchFamily="34" charset="0"/>
            </a:rPr>
            <a:t>        dict_holidays [ccy] = df</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5B06-5956-4C55-8EB4-3238CE4BF22D}">
  <sheetPr codeName="Sheet3"/>
  <dimension ref="B2:I80"/>
  <sheetViews>
    <sheetView workbookViewId="0">
      <selection activeCell="H21" sqref="H21"/>
    </sheetView>
  </sheetViews>
  <sheetFormatPr defaultRowHeight="12.75" x14ac:dyDescent="0.2"/>
  <cols>
    <col min="1" max="1" width="9.140625" style="6"/>
    <col min="2" max="2" width="24.140625" style="6" bestFit="1" customWidth="1"/>
    <col min="3" max="3" width="23.140625" style="6" bestFit="1" customWidth="1"/>
    <col min="4" max="4" width="15.140625" style="6" bestFit="1" customWidth="1"/>
    <col min="5" max="5" width="17" style="6" bestFit="1" customWidth="1"/>
    <col min="6" max="6" width="18.42578125" style="6" bestFit="1" customWidth="1"/>
    <col min="7" max="7" width="29.7109375" style="6" bestFit="1" customWidth="1"/>
    <col min="8" max="8" width="14.28515625" style="6" bestFit="1" customWidth="1"/>
    <col min="9" max="9" width="19.7109375" style="6" bestFit="1" customWidth="1"/>
    <col min="10" max="10" width="20.140625" style="6" bestFit="1" customWidth="1"/>
    <col min="11" max="11" width="5.5703125" style="6" bestFit="1" customWidth="1"/>
    <col min="12" max="12" width="10" style="6" bestFit="1" customWidth="1"/>
    <col min="13" max="14" width="14.140625" style="6" bestFit="1" customWidth="1"/>
    <col min="15" max="15" width="14.42578125" style="6" bestFit="1" customWidth="1"/>
    <col min="16" max="16" width="19.7109375" style="6" bestFit="1" customWidth="1"/>
    <col min="17" max="17" width="9.140625" style="6"/>
    <col min="18" max="18" width="6.5703125" style="6" bestFit="1" customWidth="1"/>
    <col min="19" max="19" width="8.42578125" style="6" bestFit="1" customWidth="1"/>
    <col min="20" max="20" width="15" style="6" bestFit="1" customWidth="1"/>
    <col min="21" max="21" width="15.5703125" style="6" bestFit="1" customWidth="1"/>
    <col min="22" max="22" width="15.42578125" style="6" bestFit="1" customWidth="1"/>
    <col min="23" max="23" width="22.42578125" style="6" bestFit="1" customWidth="1"/>
    <col min="24" max="16384" width="9.140625" style="6"/>
  </cols>
  <sheetData>
    <row r="2" spans="2:7" x14ac:dyDescent="0.2">
      <c r="B2" s="44"/>
      <c r="C2" s="65" t="s">
        <v>35</v>
      </c>
      <c r="D2" s="65"/>
      <c r="E2" s="65"/>
      <c r="F2" s="65"/>
      <c r="G2" s="65"/>
    </row>
    <row r="3" spans="2:7" x14ac:dyDescent="0.2">
      <c r="B3" s="11"/>
      <c r="C3" s="65" t="s">
        <v>182</v>
      </c>
      <c r="D3" s="65"/>
      <c r="E3" s="65"/>
      <c r="F3" s="65"/>
      <c r="G3" s="65"/>
    </row>
    <row r="4" spans="2:7" x14ac:dyDescent="0.2">
      <c r="B4" s="4"/>
      <c r="C4" s="65" t="s">
        <v>65</v>
      </c>
      <c r="D4" s="65"/>
      <c r="E4" s="65"/>
      <c r="F4" s="65"/>
      <c r="G4" s="65"/>
    </row>
    <row r="6" spans="2:7" x14ac:dyDescent="0.2">
      <c r="B6" s="12" t="s">
        <v>17</v>
      </c>
      <c r="C6" s="45">
        <v>45107</v>
      </c>
    </row>
    <row r="7" spans="2:7" x14ac:dyDescent="0.2">
      <c r="B7" s="12" t="s">
        <v>31</v>
      </c>
      <c r="C7" s="46">
        <v>0.4</v>
      </c>
    </row>
    <row r="8" spans="2:7" x14ac:dyDescent="0.2">
      <c r="B8" s="12" t="s">
        <v>99</v>
      </c>
      <c r="C8" s="17">
        <f>1-RecoveryRate</f>
        <v>0.6</v>
      </c>
    </row>
    <row r="9" spans="2:7" x14ac:dyDescent="0.2">
      <c r="B9" s="12" t="s">
        <v>30</v>
      </c>
      <c r="C9" s="13" t="s">
        <v>24</v>
      </c>
    </row>
    <row r="10" spans="2:7" x14ac:dyDescent="0.2">
      <c r="B10" s="12" t="s">
        <v>32</v>
      </c>
      <c r="C10" s="45" t="s">
        <v>2</v>
      </c>
    </row>
    <row r="11" spans="2:7" x14ac:dyDescent="0.2">
      <c r="B11" s="12" t="s">
        <v>33</v>
      </c>
      <c r="C11" s="47">
        <v>100</v>
      </c>
    </row>
    <row r="12" spans="2:7" x14ac:dyDescent="0.2">
      <c r="B12" s="12" t="s">
        <v>39</v>
      </c>
      <c r="C12" s="14" t="s">
        <v>40</v>
      </c>
    </row>
    <row r="13" spans="2:7" x14ac:dyDescent="0.2">
      <c r="B13" s="12" t="s">
        <v>51</v>
      </c>
      <c r="C13" s="14" t="s">
        <v>48</v>
      </c>
    </row>
    <row r="14" spans="2:7" x14ac:dyDescent="0.2">
      <c r="B14" s="12" t="s">
        <v>80</v>
      </c>
      <c r="C14" s="48" t="s">
        <v>81</v>
      </c>
    </row>
    <row r="16" spans="2:7" x14ac:dyDescent="0.2">
      <c r="B16" s="66" t="s">
        <v>181</v>
      </c>
      <c r="C16" s="65"/>
      <c r="D16" s="65"/>
      <c r="E16" s="65"/>
      <c r="F16" s="65"/>
    </row>
    <row r="17" spans="2:9" x14ac:dyDescent="0.2">
      <c r="B17" s="65"/>
      <c r="C17" s="65"/>
      <c r="D17" s="65"/>
      <c r="E17" s="65"/>
      <c r="F17" s="65"/>
    </row>
    <row r="18" spans="2:9" x14ac:dyDescent="0.2">
      <c r="B18" s="65"/>
      <c r="C18" s="65"/>
      <c r="D18" s="65"/>
      <c r="E18" s="65"/>
      <c r="F18" s="65"/>
    </row>
    <row r="19" spans="2:9" x14ac:dyDescent="0.2">
      <c r="B19" s="7" t="s">
        <v>18</v>
      </c>
      <c r="C19" s="7" t="s">
        <v>3</v>
      </c>
      <c r="D19" s="9" t="s">
        <v>16</v>
      </c>
      <c r="E19" s="8" t="s">
        <v>176</v>
      </c>
      <c r="F19" s="8" t="s">
        <v>89</v>
      </c>
      <c r="G19" s="10" t="s">
        <v>82</v>
      </c>
      <c r="H19" s="10" t="s">
        <v>142</v>
      </c>
    </row>
    <row r="20" spans="2:9" x14ac:dyDescent="0.2">
      <c r="B20" s="27">
        <f>IF(C20="","",_xlfn.XLOOKUP(C20,Calculations!$C$5:$C$24,Calculations!$G$5:$G$24))</f>
        <v>45189</v>
      </c>
      <c r="C20" s="49" t="s">
        <v>4</v>
      </c>
      <c r="D20" s="50"/>
      <c r="E20" s="51"/>
      <c r="F20" s="50">
        <v>100</v>
      </c>
      <c r="G20" s="52"/>
      <c r="H20" s="16" t="b">
        <f>AND(AND(C20&lt;&gt;"",C20&lt;&gt;0),OR(AND(E20&lt;&gt;"",E20&lt;&gt;0),AND(F20&lt;&gt;"",F20&lt;&gt;0)))</f>
        <v>1</v>
      </c>
      <c r="I20" s="15"/>
    </row>
    <row r="21" spans="2:9" x14ac:dyDescent="0.2">
      <c r="B21" s="27">
        <f>IF(C21="","",_xlfn.XLOOKUP(C21,Calculations!$C$5:$C$24,Calculations!$G$5:$G$24))</f>
        <v>45280</v>
      </c>
      <c r="C21" s="49" t="s">
        <v>5</v>
      </c>
      <c r="D21" s="50"/>
      <c r="E21" s="51"/>
      <c r="F21" s="50">
        <v>100</v>
      </c>
      <c r="G21" s="52"/>
      <c r="H21" s="16" t="b">
        <f t="shared" ref="H21:H39" si="0">AND(AND(C21&lt;&gt;"",C21&lt;&gt;0),OR(AND(E21&lt;&gt;"",E21&lt;&gt;0),AND(F21&lt;&gt;"",F21&lt;&gt;0)))</f>
        <v>1</v>
      </c>
    </row>
    <row r="22" spans="2:9" x14ac:dyDescent="0.2">
      <c r="B22" s="27">
        <f>IF(C22="","",_xlfn.XLOOKUP(C22,Calculations!$C$5:$C$24,Calculations!$G$5:$G$24))</f>
        <v>45463</v>
      </c>
      <c r="C22" s="49" t="s">
        <v>6</v>
      </c>
      <c r="D22" s="50"/>
      <c r="E22" s="51"/>
      <c r="F22" s="50">
        <v>100</v>
      </c>
      <c r="G22" s="64"/>
      <c r="H22" s="16" t="b">
        <f t="shared" si="0"/>
        <v>1</v>
      </c>
    </row>
    <row r="23" spans="2:9" x14ac:dyDescent="0.2">
      <c r="B23" s="27">
        <f>IF(C23="","",_xlfn.XLOOKUP(C23,Calculations!$C$5:$C$24,Calculations!$G$5:$G$24))</f>
        <v>45828</v>
      </c>
      <c r="C23" s="49" t="s">
        <v>7</v>
      </c>
      <c r="D23" s="50"/>
      <c r="E23" s="51"/>
      <c r="F23" s="50">
        <v>100</v>
      </c>
      <c r="G23" s="64"/>
      <c r="H23" s="16" t="b">
        <f t="shared" si="0"/>
        <v>1</v>
      </c>
    </row>
    <row r="24" spans="2:9" x14ac:dyDescent="0.2">
      <c r="B24" s="27">
        <f>IF(C24="","",_xlfn.XLOOKUP(C24,Calculations!$C$5:$C$24,Calculations!$G$5:$G$24))</f>
        <v>46193</v>
      </c>
      <c r="C24" s="49" t="s">
        <v>8</v>
      </c>
      <c r="D24" s="50"/>
      <c r="E24" s="51"/>
      <c r="F24" s="50">
        <v>100</v>
      </c>
      <c r="G24" s="64"/>
      <c r="H24" s="16" t="b">
        <f t="shared" si="0"/>
        <v>1</v>
      </c>
    </row>
    <row r="25" spans="2:9" x14ac:dyDescent="0.2">
      <c r="B25" s="27">
        <f>IF(C25="","",_xlfn.XLOOKUP(C25,Calculations!$C$5:$C$24,Calculations!$G$5:$G$24))</f>
        <v>46558</v>
      </c>
      <c r="C25" s="49" t="s">
        <v>9</v>
      </c>
      <c r="D25" s="50"/>
      <c r="E25" s="51"/>
      <c r="F25" s="50">
        <v>100</v>
      </c>
      <c r="G25" s="64"/>
      <c r="H25" s="16" t="b">
        <f t="shared" si="0"/>
        <v>1</v>
      </c>
    </row>
    <row r="26" spans="2:9" x14ac:dyDescent="0.2">
      <c r="B26" s="27">
        <f>IF(C26="","",_xlfn.XLOOKUP(C26,Calculations!$C$5:$C$24,Calculations!$G$5:$G$24))</f>
        <v>46924</v>
      </c>
      <c r="C26" s="49" t="s">
        <v>10</v>
      </c>
      <c r="D26" s="50"/>
      <c r="E26" s="51"/>
      <c r="F26" s="50">
        <v>100</v>
      </c>
      <c r="G26" s="64"/>
      <c r="H26" s="16" t="b">
        <f t="shared" si="0"/>
        <v>1</v>
      </c>
    </row>
    <row r="27" spans="2:9" x14ac:dyDescent="0.2">
      <c r="B27" s="27">
        <f>IF(C27="","",_xlfn.XLOOKUP(C27,Calculations!$C$5:$C$24,Calculations!$G$5:$G$24))</f>
        <v>47654</v>
      </c>
      <c r="C27" s="49" t="s">
        <v>11</v>
      </c>
      <c r="D27" s="50"/>
      <c r="E27" s="51"/>
      <c r="F27" s="50">
        <v>100</v>
      </c>
      <c r="G27" s="64"/>
      <c r="H27" s="16" t="b">
        <f t="shared" si="0"/>
        <v>1</v>
      </c>
    </row>
    <row r="28" spans="2:9" x14ac:dyDescent="0.2">
      <c r="B28" s="27">
        <f>IF(C28="","",_xlfn.XLOOKUP(C28,Calculations!$C$5:$C$24,Calculations!$G$5:$G$24))</f>
        <v>48750</v>
      </c>
      <c r="C28" s="49" t="s">
        <v>12</v>
      </c>
      <c r="D28" s="50"/>
      <c r="E28" s="51"/>
      <c r="F28" s="50">
        <v>100</v>
      </c>
      <c r="G28" s="64"/>
      <c r="H28" s="16" t="b">
        <f t="shared" si="0"/>
        <v>1</v>
      </c>
    </row>
    <row r="29" spans="2:9" x14ac:dyDescent="0.2">
      <c r="B29" s="27">
        <f>IF(C29="","",_xlfn.XLOOKUP(C29,Calculations!$C$5:$C$24,Calculations!$G$5:$G$24))</f>
        <v>50576</v>
      </c>
      <c r="C29" s="49" t="s">
        <v>13</v>
      </c>
      <c r="D29" s="50"/>
      <c r="E29" s="51"/>
      <c r="F29" s="50">
        <v>100</v>
      </c>
      <c r="G29" s="64"/>
      <c r="H29" s="16" t="b">
        <f t="shared" si="0"/>
        <v>1</v>
      </c>
    </row>
    <row r="30" spans="2:9" x14ac:dyDescent="0.2">
      <c r="B30" s="27">
        <f>IF(C30="","",_xlfn.XLOOKUP(C30,Calculations!$C$5:$C$24,Calculations!$G$5:$G$24))</f>
        <v>52402</v>
      </c>
      <c r="C30" s="49" t="s">
        <v>14</v>
      </c>
      <c r="D30" s="50"/>
      <c r="E30" s="51"/>
      <c r="F30" s="50">
        <v>100</v>
      </c>
      <c r="G30" s="52"/>
      <c r="H30" s="16" t="b">
        <f t="shared" si="0"/>
        <v>1</v>
      </c>
    </row>
    <row r="31" spans="2:9" x14ac:dyDescent="0.2">
      <c r="B31" s="27">
        <f>IF(C31="","",_xlfn.XLOOKUP(C31,Calculations!$C$5:$C$24,Calculations!$G$5:$G$24))</f>
        <v>56055</v>
      </c>
      <c r="C31" s="49" t="s">
        <v>15</v>
      </c>
      <c r="D31" s="50"/>
      <c r="E31" s="51"/>
      <c r="F31" s="50">
        <v>100</v>
      </c>
      <c r="G31" s="52"/>
      <c r="H31" s="16" t="b">
        <f t="shared" si="0"/>
        <v>1</v>
      </c>
    </row>
    <row r="32" spans="2:9" x14ac:dyDescent="0.2">
      <c r="B32" s="27" t="str">
        <f>IF(C32="","",_xlfn.XLOOKUP(C32,Calculations!$C$5:$C$24,Calculations!$G$5:$G$24))</f>
        <v/>
      </c>
      <c r="C32" s="49"/>
      <c r="D32" s="50"/>
      <c r="E32" s="51"/>
      <c r="F32" s="50"/>
      <c r="G32" s="52"/>
      <c r="H32" s="16" t="b">
        <f t="shared" si="0"/>
        <v>0</v>
      </c>
    </row>
    <row r="33" spans="2:8" x14ac:dyDescent="0.2">
      <c r="B33" s="27" t="str">
        <f>IF(C33="","",_xlfn.XLOOKUP(C33,Calculations!$C$5:$C$24,Calculations!$G$5:$G$24))</f>
        <v/>
      </c>
      <c r="C33" s="49"/>
      <c r="D33" s="50"/>
      <c r="E33" s="53"/>
      <c r="F33" s="50"/>
      <c r="G33" s="52"/>
      <c r="H33" s="16" t="b">
        <f t="shared" si="0"/>
        <v>0</v>
      </c>
    </row>
    <row r="34" spans="2:8" x14ac:dyDescent="0.2">
      <c r="B34" s="27" t="str">
        <f>IF(C34="","",_xlfn.XLOOKUP(C34,Calculations!$C$5:$C$24,Calculations!$G$5:$G$24))</f>
        <v/>
      </c>
      <c r="C34" s="49"/>
      <c r="D34" s="50"/>
      <c r="E34" s="50"/>
      <c r="F34" s="50"/>
      <c r="G34" s="52"/>
      <c r="H34" s="16" t="b">
        <f t="shared" si="0"/>
        <v>0</v>
      </c>
    </row>
    <row r="35" spans="2:8" x14ac:dyDescent="0.2">
      <c r="B35" s="27" t="str">
        <f>IF(C35="","",_xlfn.XLOOKUP(C35,Calculations!$C$5:$C$24,Calculations!$G$5:$G$24))</f>
        <v/>
      </c>
      <c r="C35" s="49"/>
      <c r="D35" s="50"/>
      <c r="E35" s="50"/>
      <c r="F35" s="50"/>
      <c r="G35" s="52"/>
      <c r="H35" s="16" t="b">
        <f t="shared" si="0"/>
        <v>0</v>
      </c>
    </row>
    <row r="36" spans="2:8" x14ac:dyDescent="0.2">
      <c r="B36" s="27" t="str">
        <f>IF(C36="","",_xlfn.XLOOKUP(C36,Calculations!$C$5:$C$24,Calculations!$G$5:$G$24))</f>
        <v/>
      </c>
      <c r="C36" s="49"/>
      <c r="D36" s="50"/>
      <c r="E36" s="50"/>
      <c r="F36" s="50"/>
      <c r="G36" s="52"/>
      <c r="H36" s="16" t="b">
        <f t="shared" si="0"/>
        <v>0</v>
      </c>
    </row>
    <row r="37" spans="2:8" x14ac:dyDescent="0.2">
      <c r="B37" s="27" t="str">
        <f>IF(C37="","",_xlfn.XLOOKUP(C37,Calculations!$C$5:$C$24,Calculations!$G$5:$G$24))</f>
        <v/>
      </c>
      <c r="C37" s="49"/>
      <c r="D37" s="50"/>
      <c r="E37" s="50"/>
      <c r="F37" s="50"/>
      <c r="G37" s="52"/>
      <c r="H37" s="16" t="b">
        <f t="shared" si="0"/>
        <v>0</v>
      </c>
    </row>
    <row r="38" spans="2:8" x14ac:dyDescent="0.2">
      <c r="B38" s="27" t="str">
        <f>IF(C38="","",_xlfn.XLOOKUP(C38,Calculations!$C$5:$C$24,Calculations!$G$5:$G$24))</f>
        <v/>
      </c>
      <c r="C38" s="49"/>
      <c r="D38" s="50"/>
      <c r="E38" s="50"/>
      <c r="F38" s="50"/>
      <c r="G38" s="52"/>
      <c r="H38" s="16" t="b">
        <f t="shared" si="0"/>
        <v>0</v>
      </c>
    </row>
    <row r="39" spans="2:8" x14ac:dyDescent="0.2">
      <c r="B39" s="28" t="str">
        <f>IF(C39="","",_xlfn.XLOOKUP(C39,Calculations!$C$5:$C$24,Calculations!$G$5:$G$24))</f>
        <v/>
      </c>
      <c r="C39" s="54"/>
      <c r="D39" s="55"/>
      <c r="E39" s="55"/>
      <c r="F39" s="55"/>
      <c r="G39" s="56"/>
      <c r="H39" s="20" t="b">
        <f t="shared" si="0"/>
        <v>0</v>
      </c>
    </row>
    <row r="41" spans="2:8" x14ac:dyDescent="0.2">
      <c r="B41" s="8" t="s">
        <v>18</v>
      </c>
      <c r="C41" s="8" t="s">
        <v>64</v>
      </c>
    </row>
    <row r="42" spans="2:8" x14ac:dyDescent="0.2">
      <c r="B42" s="18">
        <f>CurveDate</f>
        <v>45107</v>
      </c>
      <c r="C42" s="19">
        <v>1</v>
      </c>
    </row>
    <row r="43" spans="2:8" x14ac:dyDescent="0.2">
      <c r="B43" s="57">
        <v>45391</v>
      </c>
      <c r="C43" s="52">
        <v>0.99838000000000005</v>
      </c>
    </row>
    <row r="44" spans="2:8" x14ac:dyDescent="0.2">
      <c r="B44" s="57">
        <v>45398</v>
      </c>
      <c r="C44" s="52">
        <v>0.99734999999999996</v>
      </c>
    </row>
    <row r="45" spans="2:8" x14ac:dyDescent="0.2">
      <c r="B45" s="57">
        <v>45405</v>
      </c>
      <c r="C45" s="52">
        <v>0.99631999999999998</v>
      </c>
    </row>
    <row r="46" spans="2:8" x14ac:dyDescent="0.2">
      <c r="B46" s="57">
        <v>45414</v>
      </c>
      <c r="C46" s="52">
        <v>0.995</v>
      </c>
    </row>
    <row r="47" spans="2:8" x14ac:dyDescent="0.2">
      <c r="B47" s="57">
        <v>45446</v>
      </c>
      <c r="C47" s="52">
        <v>0.99033000000000004</v>
      </c>
    </row>
    <row r="48" spans="2:8" x14ac:dyDescent="0.2">
      <c r="B48" s="57">
        <v>45475</v>
      </c>
      <c r="C48" s="52">
        <v>0.98619000000000001</v>
      </c>
    </row>
    <row r="49" spans="2:3" x14ac:dyDescent="0.2">
      <c r="B49" s="57">
        <v>45506</v>
      </c>
      <c r="C49" s="52">
        <v>0.98182000000000003</v>
      </c>
    </row>
    <row r="50" spans="2:3" x14ac:dyDescent="0.2">
      <c r="B50" s="57">
        <v>45538</v>
      </c>
      <c r="C50" s="52">
        <v>0.97741</v>
      </c>
    </row>
    <row r="51" spans="2:3" x14ac:dyDescent="0.2">
      <c r="B51" s="57">
        <v>45567</v>
      </c>
      <c r="C51" s="52">
        <v>0.97348999999999997</v>
      </c>
    </row>
    <row r="52" spans="2:3" x14ac:dyDescent="0.2">
      <c r="B52" s="57">
        <v>45600</v>
      </c>
      <c r="C52" s="52">
        <v>0.96914</v>
      </c>
    </row>
    <row r="53" spans="2:3" x14ac:dyDescent="0.2">
      <c r="B53" s="57">
        <v>45628</v>
      </c>
      <c r="C53" s="52">
        <v>0.96553999999999995</v>
      </c>
    </row>
    <row r="54" spans="2:3" x14ac:dyDescent="0.2">
      <c r="B54" s="57">
        <v>45659</v>
      </c>
      <c r="C54" s="52">
        <v>0.96164000000000005</v>
      </c>
    </row>
    <row r="55" spans="2:3" x14ac:dyDescent="0.2">
      <c r="B55" s="57">
        <v>45691</v>
      </c>
      <c r="C55" s="52">
        <v>0.95770999999999995</v>
      </c>
    </row>
    <row r="56" spans="2:3" x14ac:dyDescent="0.2">
      <c r="B56" s="57">
        <v>45719</v>
      </c>
      <c r="C56" s="52">
        <v>0.95437000000000005</v>
      </c>
    </row>
    <row r="57" spans="2:3" x14ac:dyDescent="0.2">
      <c r="B57" s="57">
        <v>45749</v>
      </c>
      <c r="C57" s="52">
        <v>0.95086999999999999</v>
      </c>
    </row>
    <row r="58" spans="2:3" x14ac:dyDescent="0.2">
      <c r="B58" s="57">
        <v>45840</v>
      </c>
      <c r="C58" s="52">
        <v>0.94074999999999998</v>
      </c>
    </row>
    <row r="59" spans="2:3" x14ac:dyDescent="0.2">
      <c r="B59" s="57">
        <v>45932</v>
      </c>
      <c r="C59" s="52">
        <v>0.93113000000000001</v>
      </c>
    </row>
    <row r="60" spans="2:3" x14ac:dyDescent="0.2">
      <c r="B60" s="57">
        <v>46024</v>
      </c>
      <c r="C60" s="52">
        <v>0.92213000000000001</v>
      </c>
    </row>
    <row r="61" spans="2:3" x14ac:dyDescent="0.2">
      <c r="B61" s="57">
        <v>46114</v>
      </c>
      <c r="C61" s="52">
        <v>0.91356999999999999</v>
      </c>
    </row>
    <row r="62" spans="2:3" x14ac:dyDescent="0.2">
      <c r="B62" s="57">
        <v>46479</v>
      </c>
      <c r="C62" s="52">
        <v>0.88119000000000003</v>
      </c>
    </row>
    <row r="63" spans="2:3" x14ac:dyDescent="0.2">
      <c r="B63" s="57">
        <v>46846</v>
      </c>
      <c r="C63" s="52">
        <v>0.85038000000000002</v>
      </c>
    </row>
    <row r="64" spans="2:3" x14ac:dyDescent="0.2">
      <c r="B64" s="57">
        <v>47210</v>
      </c>
      <c r="C64" s="52">
        <v>0.82101999999999997</v>
      </c>
    </row>
    <row r="65" spans="2:3" x14ac:dyDescent="0.2">
      <c r="B65" s="57">
        <v>47575</v>
      </c>
      <c r="C65" s="52">
        <v>0.79215999999999998</v>
      </c>
    </row>
    <row r="66" spans="2:3" x14ac:dyDescent="0.2">
      <c r="B66" s="57">
        <v>47940</v>
      </c>
      <c r="C66" s="52">
        <v>0.76404000000000005</v>
      </c>
    </row>
    <row r="67" spans="2:3" x14ac:dyDescent="0.2">
      <c r="B67" s="57">
        <v>48306</v>
      </c>
      <c r="C67" s="52">
        <v>0.73667000000000005</v>
      </c>
    </row>
    <row r="68" spans="2:3" x14ac:dyDescent="0.2">
      <c r="B68" s="57">
        <v>48673</v>
      </c>
      <c r="C68" s="52">
        <v>0.70975999999999995</v>
      </c>
    </row>
    <row r="69" spans="2:3" x14ac:dyDescent="0.2">
      <c r="B69" s="57">
        <v>49037</v>
      </c>
      <c r="C69" s="52">
        <v>0.68408999999999998</v>
      </c>
    </row>
    <row r="70" spans="2:3" x14ac:dyDescent="0.2">
      <c r="B70" s="57">
        <v>49401</v>
      </c>
      <c r="C70" s="52">
        <v>0.65876999999999997</v>
      </c>
    </row>
    <row r="71" spans="2:3" x14ac:dyDescent="0.2">
      <c r="B71" s="57">
        <v>49767</v>
      </c>
      <c r="C71" s="52">
        <v>0.63404000000000005</v>
      </c>
    </row>
    <row r="72" spans="2:3" x14ac:dyDescent="0.2">
      <c r="B72" s="57">
        <v>50864</v>
      </c>
      <c r="C72" s="52">
        <v>0.56506000000000001</v>
      </c>
    </row>
    <row r="73" spans="2:3" x14ac:dyDescent="0.2">
      <c r="B73" s="57">
        <v>52691</v>
      </c>
      <c r="C73" s="52">
        <v>0.47121000000000002</v>
      </c>
    </row>
    <row r="74" spans="2:3" x14ac:dyDescent="0.2">
      <c r="B74" s="57">
        <v>54515</v>
      </c>
      <c r="C74" s="52">
        <v>0.40283000000000002</v>
      </c>
    </row>
    <row r="75" spans="2:3" x14ac:dyDescent="0.2">
      <c r="B75" s="57">
        <v>56341</v>
      </c>
      <c r="C75" s="52">
        <v>0.35025000000000001</v>
      </c>
    </row>
    <row r="76" spans="2:3" x14ac:dyDescent="0.2">
      <c r="B76" s="57">
        <v>59994</v>
      </c>
      <c r="C76" s="52">
        <v>0.27972999999999998</v>
      </c>
    </row>
    <row r="77" spans="2:3" x14ac:dyDescent="0.2">
      <c r="B77" s="57">
        <v>63646</v>
      </c>
      <c r="C77" s="52">
        <v>0.24163999999999999</v>
      </c>
    </row>
    <row r="78" spans="2:3" x14ac:dyDescent="0.2">
      <c r="B78" s="49"/>
      <c r="C78" s="52"/>
    </row>
    <row r="79" spans="2:3" x14ac:dyDescent="0.2">
      <c r="B79" s="49"/>
      <c r="C79" s="52"/>
    </row>
    <row r="80" spans="2:3" x14ac:dyDescent="0.2">
      <c r="B80" s="54"/>
      <c r="C80" s="56"/>
    </row>
  </sheetData>
  <mergeCells count="4">
    <mergeCell ref="C3:G3"/>
    <mergeCell ref="C4:G4"/>
    <mergeCell ref="C2:G2"/>
    <mergeCell ref="B16:F18"/>
  </mergeCells>
  <conditionalFormatting sqref="H20:H39">
    <cfRule type="cellIs" priority="11" operator="equal">
      <formula>""</formula>
    </cfRule>
    <cfRule type="containsBlanks" priority="12">
      <formula>LEN(TRIM(H20))=0</formula>
    </cfRule>
    <cfRule type="cellIs" dxfId="44" priority="18" operator="equal">
      <formula>"PASS"</formula>
    </cfRule>
  </conditionalFormatting>
  <conditionalFormatting sqref="H20:H39">
    <cfRule type="cellIs" dxfId="43" priority="14" operator="equal">
      <formula>"FAIL"</formula>
    </cfRule>
  </conditionalFormatting>
  <conditionalFormatting sqref="H20:H39">
    <cfRule type="containsText" dxfId="42" priority="15" operator="containsText" text="No">
      <formula>NOT(ISERROR(SEARCH("No",H20)))</formula>
    </cfRule>
  </conditionalFormatting>
  <conditionalFormatting sqref="H20:H39">
    <cfRule type="cellIs" dxfId="41" priority="13" operator="equal">
      <formula>FALSE</formula>
    </cfRule>
    <cfRule type="cellIs" dxfId="40" priority="16" operator="equal">
      <formula>TRUE</formula>
    </cfRule>
    <cfRule type="containsText" dxfId="39" priority="17" operator="containsText" text="Yes">
      <formula>NOT(ISERROR(SEARCH("Yes",H20)))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RunCDSBootstrapper">
                <anchor moveWithCells="1" sizeWithCells="1">
                  <from>
                    <xdr:col>4</xdr:col>
                    <xdr:colOff>323850</xdr:colOff>
                    <xdr:row>10</xdr:row>
                    <xdr:rowOff>0</xdr:rowOff>
                  </from>
                  <to>
                    <xdr:col>5</xdr:col>
                    <xdr:colOff>914400</xdr:colOff>
                    <xdr:row>12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D24AE23E-CA08-4D20-802E-3A687089187D}">
          <x14:formula1>
            <xm:f>'c.DataValidation'!$A$2:$A$6</xm:f>
          </x14:formula1>
          <xm:sqref>C9</xm:sqref>
        </x14:dataValidation>
        <x14:dataValidation type="list" allowBlank="1" showInputMessage="1" showErrorMessage="1" xr:uid="{7A374BCD-D3A6-4EAC-AB2E-99BE9999882A}">
          <x14:formula1>
            <xm:f>'c.DataValidation'!$C$2:$C$3</xm:f>
          </x14:formula1>
          <xm:sqref>C11</xm:sqref>
        </x14:dataValidation>
        <x14:dataValidation type="list" allowBlank="1" showInputMessage="1" showErrorMessage="1" xr:uid="{93F39768-EC0D-4B3B-8106-07DE2C6F4A8B}">
          <x14:formula1>
            <xm:f>'c.DataValidation'!$D$2:$D$4</xm:f>
          </x14:formula1>
          <xm:sqref>C10</xm:sqref>
        </x14:dataValidation>
        <x14:dataValidation type="list" allowBlank="1" showInputMessage="1" showErrorMessage="1" xr:uid="{74D95586-5AF4-474F-AE26-2A7531349DED}">
          <x14:formula1>
            <xm:f>'c.DataValidation'!$E$2:$E$5</xm:f>
          </x14:formula1>
          <xm:sqref>C12</xm:sqref>
        </x14:dataValidation>
        <x14:dataValidation type="list" allowBlank="1" showInputMessage="1" showErrorMessage="1" xr:uid="{503CC18D-43A9-4B75-955E-9F8111B293A8}">
          <x14:formula1>
            <xm:f>'c.DataValidation'!$F$2:$F$5</xm:f>
          </x14:formula1>
          <xm:sqref>C13</xm:sqref>
        </x14:dataValidation>
        <x14:dataValidation type="list" allowBlank="1" showInputMessage="1" showErrorMessage="1" xr:uid="{0A14D015-EB6B-4EAE-BA7F-5D6905844942}">
          <x14:formula1>
            <xm:f>'c.DataValidation'!$I$2:$I$3</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DA1-B67F-4897-B997-C2B06E4B1A2D}">
  <sheetPr codeName="Sheet1"/>
  <dimension ref="B2:T23"/>
  <sheetViews>
    <sheetView zoomScaleNormal="100" workbookViewId="0">
      <selection activeCell="J4" sqref="J4"/>
    </sheetView>
  </sheetViews>
  <sheetFormatPr defaultRowHeight="12.75" x14ac:dyDescent="0.2"/>
  <cols>
    <col min="1" max="1" width="9.140625" style="6"/>
    <col min="2" max="2" width="5.42578125" style="6" bestFit="1" customWidth="1"/>
    <col min="3" max="3" width="12.140625" style="6" bestFit="1" customWidth="1"/>
    <col min="4" max="4" width="6.7109375" style="6" bestFit="1" customWidth="1"/>
    <col min="5" max="5" width="5.5703125" style="30" bestFit="1" customWidth="1"/>
    <col min="6" max="6" width="10.28515625" style="6" bestFit="1" customWidth="1"/>
    <col min="7" max="7" width="10.5703125" style="6" bestFit="1" customWidth="1"/>
    <col min="8" max="8" width="13.5703125" style="6" bestFit="1" customWidth="1"/>
    <col min="9" max="9" width="21.7109375" style="6" bestFit="1" customWidth="1"/>
    <col min="10" max="10" width="10.28515625" style="6" bestFit="1" customWidth="1"/>
    <col min="11" max="11" width="10.5703125" style="6" bestFit="1" customWidth="1"/>
    <col min="12" max="12" width="13.5703125" style="6" bestFit="1" customWidth="1"/>
    <col min="13" max="13" width="21.7109375" style="6" bestFit="1" customWidth="1"/>
    <col min="14" max="14" width="10.28515625" style="6" bestFit="1" customWidth="1"/>
    <col min="15" max="15" width="10.5703125" style="6" bestFit="1" customWidth="1"/>
    <col min="16" max="16" width="13.5703125" style="6" bestFit="1" customWidth="1"/>
    <col min="17" max="17" width="21.7109375" style="6" bestFit="1" customWidth="1"/>
    <col min="18" max="19" width="9.140625" style="6"/>
    <col min="20" max="20" width="4.5703125" style="6" bestFit="1" customWidth="1"/>
    <col min="21" max="16384" width="9.140625" style="6"/>
  </cols>
  <sheetData>
    <row r="2" spans="2:20" x14ac:dyDescent="0.2">
      <c r="B2" s="67" t="s">
        <v>184</v>
      </c>
      <c r="C2" s="68"/>
      <c r="D2" s="68"/>
      <c r="E2" s="68"/>
      <c r="F2" s="68"/>
      <c r="G2" s="68"/>
      <c r="H2" s="68"/>
      <c r="I2" s="68"/>
      <c r="J2" s="67" t="s">
        <v>150</v>
      </c>
      <c r="K2" s="68"/>
      <c r="L2" s="68"/>
      <c r="M2" s="69"/>
      <c r="N2" s="67" t="s">
        <v>151</v>
      </c>
      <c r="O2" s="68"/>
      <c r="P2" s="68"/>
      <c r="Q2" s="69"/>
    </row>
    <row r="3" spans="2:20" x14ac:dyDescent="0.2">
      <c r="B3" s="21" t="str" cm="1">
        <f t="array" ref="B3:I23">Calculations!K4:R24</f>
        <v>Index</v>
      </c>
      <c r="C3" s="21" t="str">
        <v>Maturity Date</v>
      </c>
      <c r="D3" s="21" t="str">
        <v>Years</v>
      </c>
      <c r="E3" s="41" t="str">
        <v>Tenor</v>
      </c>
      <c r="F3" s="22" t="str">
        <v>Par Spread</v>
      </c>
      <c r="G3" s="22" t="str">
        <v>Upfront Fee</v>
      </c>
      <c r="H3" s="22" t="str">
        <v>Quoted Spread</v>
      </c>
      <c r="I3" s="22" t="str">
        <v>Cumulative Default Prob.</v>
      </c>
      <c r="J3" s="21" t="s">
        <v>66</v>
      </c>
      <c r="K3" s="22" t="s">
        <v>81</v>
      </c>
      <c r="L3" s="22" t="s">
        <v>88</v>
      </c>
      <c r="M3" s="23" t="s">
        <v>152</v>
      </c>
      <c r="N3" s="21" t="s">
        <v>66</v>
      </c>
      <c r="O3" s="22" t="s">
        <v>81</v>
      </c>
      <c r="P3" s="22" t="s">
        <v>88</v>
      </c>
      <c r="Q3" s="23" t="s">
        <v>152</v>
      </c>
    </row>
    <row r="4" spans="2:20" x14ac:dyDescent="0.2">
      <c r="B4" s="29">
        <v>1</v>
      </c>
      <c r="C4" s="30">
        <v>45189</v>
      </c>
      <c r="D4" s="31">
        <v>0.22465753424657534</v>
      </c>
      <c r="E4" s="30" t="str">
        <v>3M</v>
      </c>
      <c r="F4" s="32">
        <v>0</v>
      </c>
      <c r="G4" s="32">
        <v>0</v>
      </c>
      <c r="H4" s="32">
        <v>0.01</v>
      </c>
      <c r="I4" s="32">
        <v>0</v>
      </c>
      <c r="J4" s="33" cm="1">
        <f t="array" ref="J4:M23">Calculations!O52:R71</f>
        <v>0.01</v>
      </c>
      <c r="K4" s="32">
        <v>0</v>
      </c>
      <c r="L4" s="32">
        <v>0.01</v>
      </c>
      <c r="M4" s="34">
        <v>3.7819389355194799E-3</v>
      </c>
      <c r="N4" s="58">
        <f t="shared" ref="N4:N23" si="0">IF($B4=0,"",IF(DataFieldToUseForSolve=N$3,"n/a",(F4-J4)*100*100))</f>
        <v>-100</v>
      </c>
      <c r="O4" s="59" t="str">
        <f t="shared" ref="O4:O23" si="1">IF($B4=0,"",IF(DataFieldToUseForSolve=O$3,"n/a",(G4-K4)*100*100))</f>
        <v>n/a</v>
      </c>
      <c r="P4" s="59">
        <f t="shared" ref="P4:P23" si="2">IF(H4=0,0,(H4-L4)*100*100)</f>
        <v>0</v>
      </c>
      <c r="Q4" s="60">
        <f t="shared" ref="Q4:Q23" si="3">IF(I4=0,0,(I4-M4)*100*100)</f>
        <v>0</v>
      </c>
      <c r="S4" s="42"/>
      <c r="T4" s="43"/>
    </row>
    <row r="5" spans="2:20" x14ac:dyDescent="0.2">
      <c r="B5" s="29">
        <v>2</v>
      </c>
      <c r="C5" s="30">
        <v>45280</v>
      </c>
      <c r="D5" s="31">
        <v>0.47397260273972602</v>
      </c>
      <c r="E5" s="30" t="str">
        <v>6M</v>
      </c>
      <c r="F5" s="32">
        <v>0</v>
      </c>
      <c r="G5" s="32">
        <v>0</v>
      </c>
      <c r="H5" s="32">
        <v>0.01</v>
      </c>
      <c r="I5" s="32">
        <v>0</v>
      </c>
      <c r="J5" s="33">
        <v>0.01</v>
      </c>
      <c r="K5" s="32">
        <v>0</v>
      </c>
      <c r="L5" s="32">
        <v>0.01</v>
      </c>
      <c r="M5" s="34">
        <v>7.9613609881080682E-3</v>
      </c>
      <c r="N5" s="58">
        <f t="shared" si="0"/>
        <v>-100</v>
      </c>
      <c r="O5" s="59" t="str">
        <f t="shared" si="1"/>
        <v>n/a</v>
      </c>
      <c r="P5" s="59">
        <f t="shared" si="2"/>
        <v>0</v>
      </c>
      <c r="Q5" s="60">
        <f t="shared" si="3"/>
        <v>0</v>
      </c>
      <c r="S5" s="42"/>
      <c r="T5" s="43"/>
    </row>
    <row r="6" spans="2:20" x14ac:dyDescent="0.2">
      <c r="B6" s="29">
        <v>3</v>
      </c>
      <c r="C6" s="30">
        <v>45463</v>
      </c>
      <c r="D6" s="31">
        <v>0.97267759562841527</v>
      </c>
      <c r="E6" s="30" t="str">
        <v>1Y</v>
      </c>
      <c r="F6" s="32">
        <v>0</v>
      </c>
      <c r="G6" s="32">
        <v>0</v>
      </c>
      <c r="H6" s="32">
        <v>0.01</v>
      </c>
      <c r="I6" s="32">
        <v>0</v>
      </c>
      <c r="J6" s="33">
        <v>0.01</v>
      </c>
      <c r="K6" s="32">
        <v>0</v>
      </c>
      <c r="L6" s="32">
        <v>0.01</v>
      </c>
      <c r="M6" s="34">
        <v>1.6313027703896532E-2</v>
      </c>
      <c r="N6" s="58">
        <f t="shared" si="0"/>
        <v>-100</v>
      </c>
      <c r="O6" s="59" t="str">
        <f t="shared" si="1"/>
        <v>n/a</v>
      </c>
      <c r="P6" s="59">
        <f t="shared" si="2"/>
        <v>0</v>
      </c>
      <c r="Q6" s="60">
        <f t="shared" si="3"/>
        <v>0</v>
      </c>
      <c r="S6" s="42"/>
      <c r="T6" s="43"/>
    </row>
    <row r="7" spans="2:20" x14ac:dyDescent="0.2">
      <c r="B7" s="29">
        <v>4</v>
      </c>
      <c r="C7" s="30">
        <v>45828</v>
      </c>
      <c r="D7" s="31">
        <v>1.9735401459854016</v>
      </c>
      <c r="E7" s="30" t="str">
        <v>2Y</v>
      </c>
      <c r="F7" s="32">
        <v>0</v>
      </c>
      <c r="G7" s="32">
        <v>0</v>
      </c>
      <c r="H7" s="32">
        <v>0.01</v>
      </c>
      <c r="I7" s="32">
        <v>0</v>
      </c>
      <c r="J7" s="33">
        <v>0.01</v>
      </c>
      <c r="K7" s="32">
        <v>0</v>
      </c>
      <c r="L7" s="32">
        <v>0.01</v>
      </c>
      <c r="M7" s="34">
        <v>3.2761428810834436E-2</v>
      </c>
      <c r="N7" s="58">
        <f t="shared" si="0"/>
        <v>-100</v>
      </c>
      <c r="O7" s="59" t="str">
        <f t="shared" si="1"/>
        <v>n/a</v>
      </c>
      <c r="P7" s="59">
        <f t="shared" si="2"/>
        <v>0</v>
      </c>
      <c r="Q7" s="60">
        <f t="shared" si="3"/>
        <v>0</v>
      </c>
      <c r="S7" s="42"/>
      <c r="T7" s="43"/>
    </row>
    <row r="8" spans="2:20" x14ac:dyDescent="0.2">
      <c r="B8" s="29">
        <v>5</v>
      </c>
      <c r="C8" s="30">
        <v>46193</v>
      </c>
      <c r="D8" s="31">
        <v>2.9733059548254621</v>
      </c>
      <c r="E8" s="30" t="str">
        <v>3Y</v>
      </c>
      <c r="F8" s="32">
        <v>0</v>
      </c>
      <c r="G8" s="32">
        <v>0</v>
      </c>
      <c r="H8" s="32">
        <v>0.01</v>
      </c>
      <c r="I8" s="32">
        <v>0</v>
      </c>
      <c r="J8" s="33">
        <v>0.01</v>
      </c>
      <c r="K8" s="32">
        <v>0</v>
      </c>
      <c r="L8" s="32">
        <v>0.01</v>
      </c>
      <c r="M8" s="34">
        <v>4.902264406221879E-2</v>
      </c>
      <c r="N8" s="58">
        <f t="shared" si="0"/>
        <v>-100</v>
      </c>
      <c r="O8" s="59" t="str">
        <f t="shared" si="1"/>
        <v>n/a</v>
      </c>
      <c r="P8" s="59">
        <f t="shared" si="2"/>
        <v>0</v>
      </c>
      <c r="Q8" s="60">
        <f t="shared" si="3"/>
        <v>0</v>
      </c>
      <c r="S8" s="42"/>
      <c r="T8" s="43"/>
    </row>
    <row r="9" spans="2:20" x14ac:dyDescent="0.2">
      <c r="B9" s="29">
        <v>6</v>
      </c>
      <c r="C9" s="30">
        <v>46558</v>
      </c>
      <c r="D9" s="31">
        <v>3.9731653888280394</v>
      </c>
      <c r="E9" s="30" t="str">
        <v>4Y</v>
      </c>
      <c r="F9" s="32">
        <v>0</v>
      </c>
      <c r="G9" s="32">
        <v>0</v>
      </c>
      <c r="H9" s="32">
        <v>0.01</v>
      </c>
      <c r="I9" s="32">
        <v>0</v>
      </c>
      <c r="J9" s="33">
        <v>0.01</v>
      </c>
      <c r="K9" s="32">
        <v>0</v>
      </c>
      <c r="L9" s="32">
        <v>0.01</v>
      </c>
      <c r="M9" s="34">
        <v>6.4880888527471425E-2</v>
      </c>
      <c r="N9" s="58">
        <f t="shared" si="0"/>
        <v>-100</v>
      </c>
      <c r="O9" s="59" t="str">
        <f t="shared" si="1"/>
        <v>n/a</v>
      </c>
      <c r="P9" s="59">
        <f t="shared" si="2"/>
        <v>0</v>
      </c>
      <c r="Q9" s="60">
        <f t="shared" si="3"/>
        <v>0</v>
      </c>
      <c r="S9" s="42"/>
      <c r="T9" s="43"/>
    </row>
    <row r="10" spans="2:20" x14ac:dyDescent="0.2">
      <c r="B10" s="29">
        <v>7</v>
      </c>
      <c r="C10" s="30">
        <v>46924</v>
      </c>
      <c r="D10" s="31">
        <v>4.9735401459854014</v>
      </c>
      <c r="E10" s="30" t="str">
        <v>5Y</v>
      </c>
      <c r="F10" s="32">
        <v>0</v>
      </c>
      <c r="G10" s="32">
        <v>0</v>
      </c>
      <c r="H10" s="32">
        <v>0.01</v>
      </c>
      <c r="I10" s="32">
        <v>0</v>
      </c>
      <c r="J10" s="33">
        <v>0.01</v>
      </c>
      <c r="K10" s="32">
        <v>0</v>
      </c>
      <c r="L10" s="32">
        <v>0.01</v>
      </c>
      <c r="M10" s="34">
        <v>8.0517091680352371E-2</v>
      </c>
      <c r="N10" s="58">
        <f t="shared" si="0"/>
        <v>-100</v>
      </c>
      <c r="O10" s="59" t="str">
        <f t="shared" si="1"/>
        <v>n/a</v>
      </c>
      <c r="P10" s="59">
        <f t="shared" si="2"/>
        <v>0</v>
      </c>
      <c r="Q10" s="60">
        <f t="shared" si="3"/>
        <v>0</v>
      </c>
      <c r="S10" s="42"/>
      <c r="T10" s="43"/>
    </row>
    <row r="11" spans="2:20" x14ac:dyDescent="0.2">
      <c r="B11" s="29">
        <v>8</v>
      </c>
      <c r="C11" s="30">
        <v>47654</v>
      </c>
      <c r="D11" s="31">
        <v>6.9733059548254621</v>
      </c>
      <c r="E11" s="30" t="str">
        <v>7Y</v>
      </c>
      <c r="F11" s="32">
        <v>0</v>
      </c>
      <c r="G11" s="32">
        <v>0</v>
      </c>
      <c r="H11" s="32">
        <v>0.01</v>
      </c>
      <c r="I11" s="32">
        <v>0</v>
      </c>
      <c r="J11" s="33">
        <v>0.01</v>
      </c>
      <c r="K11" s="32">
        <v>0</v>
      </c>
      <c r="L11" s="32">
        <v>0.01</v>
      </c>
      <c r="M11" s="34">
        <v>0.11100967437995124</v>
      </c>
      <c r="N11" s="58">
        <f t="shared" si="0"/>
        <v>-100</v>
      </c>
      <c r="O11" s="59" t="str">
        <f t="shared" si="1"/>
        <v>n/a</v>
      </c>
      <c r="P11" s="59">
        <f t="shared" si="2"/>
        <v>0</v>
      </c>
      <c r="Q11" s="60">
        <f t="shared" si="3"/>
        <v>0</v>
      </c>
      <c r="S11" s="42"/>
      <c r="T11" s="43"/>
    </row>
    <row r="12" spans="2:20" x14ac:dyDescent="0.2">
      <c r="B12" s="29">
        <v>9</v>
      </c>
      <c r="C12" s="30">
        <v>48750</v>
      </c>
      <c r="D12" s="31">
        <v>9.9733698357391738</v>
      </c>
      <c r="E12" s="30" t="str">
        <v>10Y</v>
      </c>
      <c r="F12" s="32">
        <v>0</v>
      </c>
      <c r="G12" s="32">
        <v>0</v>
      </c>
      <c r="H12" s="32">
        <v>0.01</v>
      </c>
      <c r="I12" s="32">
        <v>0</v>
      </c>
      <c r="J12" s="33">
        <v>0.01</v>
      </c>
      <c r="K12" s="32">
        <v>0</v>
      </c>
      <c r="L12" s="32">
        <v>0.01</v>
      </c>
      <c r="M12" s="34">
        <v>0.15494103044263641</v>
      </c>
      <c r="N12" s="58">
        <f t="shared" si="0"/>
        <v>-100</v>
      </c>
      <c r="O12" s="59" t="str">
        <f t="shared" si="1"/>
        <v>n/a</v>
      </c>
      <c r="P12" s="59">
        <f t="shared" si="2"/>
        <v>0</v>
      </c>
      <c r="Q12" s="60">
        <f t="shared" si="3"/>
        <v>0</v>
      </c>
      <c r="S12" s="42"/>
      <c r="T12" s="43"/>
    </row>
    <row r="13" spans="2:20" x14ac:dyDescent="0.2">
      <c r="B13" s="29">
        <v>10</v>
      </c>
      <c r="C13" s="30">
        <v>50576</v>
      </c>
      <c r="D13" s="31">
        <v>14.973305954825461</v>
      </c>
      <c r="E13" s="30" t="str">
        <v>15Y</v>
      </c>
      <c r="F13" s="32">
        <v>0</v>
      </c>
      <c r="G13" s="32">
        <v>0</v>
      </c>
      <c r="H13" s="32">
        <v>0.01</v>
      </c>
      <c r="I13" s="32">
        <v>0</v>
      </c>
      <c r="J13" s="33">
        <v>0.01</v>
      </c>
      <c r="K13" s="32">
        <v>0</v>
      </c>
      <c r="L13" s="32">
        <v>0.01</v>
      </c>
      <c r="M13" s="34">
        <v>0.22330511767665573</v>
      </c>
      <c r="N13" s="58">
        <f t="shared" si="0"/>
        <v>-100</v>
      </c>
      <c r="O13" s="59" t="str">
        <f t="shared" si="1"/>
        <v>n/a</v>
      </c>
      <c r="P13" s="59">
        <f t="shared" si="2"/>
        <v>0</v>
      </c>
      <c r="Q13" s="60">
        <f t="shared" si="3"/>
        <v>0</v>
      </c>
      <c r="S13" s="42"/>
      <c r="T13" s="43"/>
    </row>
    <row r="14" spans="2:20" x14ac:dyDescent="0.2">
      <c r="B14" s="29">
        <v>11</v>
      </c>
      <c r="C14" s="30">
        <v>52402</v>
      </c>
      <c r="D14" s="31">
        <v>19.973272490221643</v>
      </c>
      <c r="E14" s="30" t="str">
        <v>20Y</v>
      </c>
      <c r="F14" s="32">
        <v>0</v>
      </c>
      <c r="G14" s="32">
        <v>0</v>
      </c>
      <c r="H14" s="32">
        <v>0.01</v>
      </c>
      <c r="I14" s="32">
        <v>0</v>
      </c>
      <c r="J14" s="33">
        <v>0.01</v>
      </c>
      <c r="K14" s="32">
        <v>0</v>
      </c>
      <c r="L14" s="32">
        <v>0.01</v>
      </c>
      <c r="M14" s="34">
        <v>0.28617163260051992</v>
      </c>
      <c r="N14" s="58">
        <f t="shared" si="0"/>
        <v>-100</v>
      </c>
      <c r="O14" s="59" t="str">
        <f t="shared" si="1"/>
        <v>n/a</v>
      </c>
      <c r="P14" s="59">
        <f t="shared" si="2"/>
        <v>0</v>
      </c>
      <c r="Q14" s="60">
        <f t="shared" si="3"/>
        <v>0</v>
      </c>
    </row>
    <row r="15" spans="2:20" x14ac:dyDescent="0.2">
      <c r="B15" s="29">
        <v>12</v>
      </c>
      <c r="C15" s="30">
        <v>56055</v>
      </c>
      <c r="D15" s="31">
        <v>29.973328623156409</v>
      </c>
      <c r="E15" s="30" t="str">
        <v>30Y</v>
      </c>
      <c r="F15" s="32">
        <v>0</v>
      </c>
      <c r="G15" s="32">
        <v>0</v>
      </c>
      <c r="H15" s="32">
        <v>0.01</v>
      </c>
      <c r="I15" s="32">
        <v>0</v>
      </c>
      <c r="J15" s="33">
        <v>0.01</v>
      </c>
      <c r="K15" s="32">
        <v>0</v>
      </c>
      <c r="L15" s="32">
        <v>0.01</v>
      </c>
      <c r="M15" s="34">
        <v>0.39696745857731863</v>
      </c>
      <c r="N15" s="58">
        <f t="shared" si="0"/>
        <v>-100</v>
      </c>
      <c r="O15" s="59" t="str">
        <f t="shared" si="1"/>
        <v>n/a</v>
      </c>
      <c r="P15" s="59">
        <f t="shared" si="2"/>
        <v>0</v>
      </c>
      <c r="Q15" s="60">
        <f t="shared" si="3"/>
        <v>0</v>
      </c>
    </row>
    <row r="16" spans="2:20" x14ac:dyDescent="0.2">
      <c r="B16" s="29">
        <v>0</v>
      </c>
      <c r="C16" s="30">
        <v>0</v>
      </c>
      <c r="D16" s="31">
        <v>0</v>
      </c>
      <c r="E16" s="30">
        <v>0</v>
      </c>
      <c r="F16" s="32">
        <v>0</v>
      </c>
      <c r="G16" s="32">
        <v>0</v>
      </c>
      <c r="H16" s="32">
        <v>0</v>
      </c>
      <c r="I16" s="32">
        <v>0</v>
      </c>
      <c r="J16" s="33">
        <v>0</v>
      </c>
      <c r="K16" s="32">
        <v>0</v>
      </c>
      <c r="L16" s="32">
        <v>0</v>
      </c>
      <c r="M16" s="34">
        <v>0</v>
      </c>
      <c r="N16" s="58" t="str">
        <f t="shared" si="0"/>
        <v/>
      </c>
      <c r="O16" s="59" t="str">
        <f t="shared" si="1"/>
        <v/>
      </c>
      <c r="P16" s="59">
        <f t="shared" si="2"/>
        <v>0</v>
      </c>
      <c r="Q16" s="60">
        <f t="shared" si="3"/>
        <v>0</v>
      </c>
    </row>
    <row r="17" spans="2:17" x14ac:dyDescent="0.2">
      <c r="B17" s="29">
        <v>0</v>
      </c>
      <c r="C17" s="30">
        <v>0</v>
      </c>
      <c r="D17" s="31">
        <v>0</v>
      </c>
      <c r="E17" s="30">
        <v>0</v>
      </c>
      <c r="F17" s="32">
        <v>0</v>
      </c>
      <c r="G17" s="32">
        <v>0</v>
      </c>
      <c r="H17" s="32">
        <v>0</v>
      </c>
      <c r="I17" s="32">
        <v>0</v>
      </c>
      <c r="J17" s="33">
        <v>0</v>
      </c>
      <c r="K17" s="32">
        <v>0</v>
      </c>
      <c r="L17" s="32">
        <v>0</v>
      </c>
      <c r="M17" s="34">
        <v>0</v>
      </c>
      <c r="N17" s="58" t="str">
        <f t="shared" si="0"/>
        <v/>
      </c>
      <c r="O17" s="59" t="str">
        <f t="shared" si="1"/>
        <v/>
      </c>
      <c r="P17" s="59">
        <f t="shared" si="2"/>
        <v>0</v>
      </c>
      <c r="Q17" s="60">
        <f t="shared" si="3"/>
        <v>0</v>
      </c>
    </row>
    <row r="18" spans="2:17" x14ac:dyDescent="0.2">
      <c r="B18" s="29">
        <v>0</v>
      </c>
      <c r="C18" s="30">
        <v>0</v>
      </c>
      <c r="D18" s="31">
        <v>0</v>
      </c>
      <c r="E18" s="30">
        <v>0</v>
      </c>
      <c r="F18" s="32">
        <v>0</v>
      </c>
      <c r="G18" s="32">
        <v>0</v>
      </c>
      <c r="H18" s="32">
        <v>0</v>
      </c>
      <c r="I18" s="32">
        <v>0</v>
      </c>
      <c r="J18" s="33">
        <v>0</v>
      </c>
      <c r="K18" s="32">
        <v>0</v>
      </c>
      <c r="L18" s="32">
        <v>0</v>
      </c>
      <c r="M18" s="34">
        <v>0</v>
      </c>
      <c r="N18" s="58" t="str">
        <f t="shared" si="0"/>
        <v/>
      </c>
      <c r="O18" s="59" t="str">
        <f t="shared" si="1"/>
        <v/>
      </c>
      <c r="P18" s="59">
        <f t="shared" si="2"/>
        <v>0</v>
      </c>
      <c r="Q18" s="60">
        <f t="shared" si="3"/>
        <v>0</v>
      </c>
    </row>
    <row r="19" spans="2:17" x14ac:dyDescent="0.2">
      <c r="B19" s="29">
        <v>0</v>
      </c>
      <c r="C19" s="30">
        <v>0</v>
      </c>
      <c r="D19" s="31">
        <v>0</v>
      </c>
      <c r="E19" s="30">
        <v>0</v>
      </c>
      <c r="F19" s="32">
        <v>0</v>
      </c>
      <c r="G19" s="32">
        <v>0</v>
      </c>
      <c r="H19" s="32">
        <v>0</v>
      </c>
      <c r="I19" s="32">
        <v>0</v>
      </c>
      <c r="J19" s="33">
        <v>0</v>
      </c>
      <c r="K19" s="32">
        <v>0</v>
      </c>
      <c r="L19" s="32">
        <v>0</v>
      </c>
      <c r="M19" s="34">
        <v>0</v>
      </c>
      <c r="N19" s="58" t="str">
        <f t="shared" si="0"/>
        <v/>
      </c>
      <c r="O19" s="59" t="str">
        <f t="shared" si="1"/>
        <v/>
      </c>
      <c r="P19" s="59">
        <f t="shared" si="2"/>
        <v>0</v>
      </c>
      <c r="Q19" s="60">
        <f t="shared" si="3"/>
        <v>0</v>
      </c>
    </row>
    <row r="20" spans="2:17" x14ac:dyDescent="0.2">
      <c r="B20" s="29">
        <v>0</v>
      </c>
      <c r="C20" s="30">
        <v>0</v>
      </c>
      <c r="D20" s="31">
        <v>0</v>
      </c>
      <c r="E20" s="30">
        <v>0</v>
      </c>
      <c r="F20" s="32">
        <v>0</v>
      </c>
      <c r="G20" s="32">
        <v>0</v>
      </c>
      <c r="H20" s="32">
        <v>0</v>
      </c>
      <c r="I20" s="32">
        <v>0</v>
      </c>
      <c r="J20" s="33">
        <v>0</v>
      </c>
      <c r="K20" s="32">
        <v>0</v>
      </c>
      <c r="L20" s="32">
        <v>0</v>
      </c>
      <c r="M20" s="34">
        <v>0</v>
      </c>
      <c r="N20" s="58" t="str">
        <f t="shared" si="0"/>
        <v/>
      </c>
      <c r="O20" s="59" t="str">
        <f t="shared" si="1"/>
        <v/>
      </c>
      <c r="P20" s="59">
        <f t="shared" si="2"/>
        <v>0</v>
      </c>
      <c r="Q20" s="60">
        <f t="shared" si="3"/>
        <v>0</v>
      </c>
    </row>
    <row r="21" spans="2:17" x14ac:dyDescent="0.2">
      <c r="B21" s="29">
        <v>0</v>
      </c>
      <c r="C21" s="30">
        <v>0</v>
      </c>
      <c r="D21" s="31">
        <v>0</v>
      </c>
      <c r="E21" s="30">
        <v>0</v>
      </c>
      <c r="F21" s="32">
        <v>0</v>
      </c>
      <c r="G21" s="32">
        <v>0</v>
      </c>
      <c r="H21" s="32">
        <v>0</v>
      </c>
      <c r="I21" s="32">
        <v>0</v>
      </c>
      <c r="J21" s="33">
        <v>0</v>
      </c>
      <c r="K21" s="32">
        <v>0</v>
      </c>
      <c r="L21" s="32">
        <v>0</v>
      </c>
      <c r="M21" s="34">
        <v>0</v>
      </c>
      <c r="N21" s="58" t="str">
        <f t="shared" si="0"/>
        <v/>
      </c>
      <c r="O21" s="59" t="str">
        <f t="shared" si="1"/>
        <v/>
      </c>
      <c r="P21" s="59">
        <f t="shared" si="2"/>
        <v>0</v>
      </c>
      <c r="Q21" s="60">
        <f t="shared" si="3"/>
        <v>0</v>
      </c>
    </row>
    <row r="22" spans="2:17" x14ac:dyDescent="0.2">
      <c r="B22" s="29">
        <v>0</v>
      </c>
      <c r="C22" s="30">
        <v>0</v>
      </c>
      <c r="D22" s="31">
        <v>0</v>
      </c>
      <c r="E22" s="30">
        <v>0</v>
      </c>
      <c r="F22" s="32">
        <v>0</v>
      </c>
      <c r="G22" s="32">
        <v>0</v>
      </c>
      <c r="H22" s="32">
        <v>0</v>
      </c>
      <c r="I22" s="32">
        <v>0</v>
      </c>
      <c r="J22" s="33">
        <v>0</v>
      </c>
      <c r="K22" s="32">
        <v>0</v>
      </c>
      <c r="L22" s="32">
        <v>0</v>
      </c>
      <c r="M22" s="34">
        <v>0</v>
      </c>
      <c r="N22" s="58" t="str">
        <f t="shared" si="0"/>
        <v/>
      </c>
      <c r="O22" s="59" t="str">
        <f t="shared" si="1"/>
        <v/>
      </c>
      <c r="P22" s="59">
        <f t="shared" si="2"/>
        <v>0</v>
      </c>
      <c r="Q22" s="60">
        <f t="shared" si="3"/>
        <v>0</v>
      </c>
    </row>
    <row r="23" spans="2:17" x14ac:dyDescent="0.2">
      <c r="B23" s="35">
        <v>0</v>
      </c>
      <c r="C23" s="36">
        <v>0</v>
      </c>
      <c r="D23" s="37">
        <v>0</v>
      </c>
      <c r="E23" s="36">
        <v>0</v>
      </c>
      <c r="F23" s="38">
        <v>0</v>
      </c>
      <c r="G23" s="38">
        <v>0</v>
      </c>
      <c r="H23" s="38">
        <v>0</v>
      </c>
      <c r="I23" s="38">
        <v>0</v>
      </c>
      <c r="J23" s="39">
        <v>0</v>
      </c>
      <c r="K23" s="38">
        <v>0</v>
      </c>
      <c r="L23" s="38">
        <v>0</v>
      </c>
      <c r="M23" s="40">
        <v>0</v>
      </c>
      <c r="N23" s="61" t="str">
        <f t="shared" si="0"/>
        <v/>
      </c>
      <c r="O23" s="62" t="str">
        <f t="shared" si="1"/>
        <v/>
      </c>
      <c r="P23" s="62">
        <f t="shared" si="2"/>
        <v>0</v>
      </c>
      <c r="Q23" s="63">
        <f t="shared" si="3"/>
        <v>0</v>
      </c>
    </row>
  </sheetData>
  <mergeCells count="3">
    <mergeCell ref="B2:I2"/>
    <mergeCell ref="J2:M2"/>
    <mergeCell ref="N2:Q2"/>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56AC-ECA4-4F3D-B5EA-55A3F5E76DC9}">
  <sheetPr codeName="Sheet6"/>
  <dimension ref="B2:BX204"/>
  <sheetViews>
    <sheetView tabSelected="1" topLeftCell="U1" zoomScaleNormal="100" workbookViewId="0">
      <selection activeCell="AI5" sqref="AI5"/>
    </sheetView>
  </sheetViews>
  <sheetFormatPr defaultRowHeight="12" x14ac:dyDescent="0.2"/>
  <cols>
    <col min="1" max="1" width="4.5703125" style="70" customWidth="1"/>
    <col min="2" max="2" width="18" style="70" bestFit="1" customWidth="1"/>
    <col min="3" max="3" width="5.5703125" style="70" bestFit="1" customWidth="1"/>
    <col min="4" max="4" width="9.28515625" style="70" bestFit="1" customWidth="1"/>
    <col min="5" max="5" width="10.42578125" style="70" bestFit="1" customWidth="1"/>
    <col min="6" max="6" width="11.5703125" style="70" bestFit="1" customWidth="1"/>
    <col min="7" max="7" width="11.85546875" style="70" bestFit="1" customWidth="1"/>
    <col min="8" max="8" width="14.140625" style="70" bestFit="1" customWidth="1"/>
    <col min="9" max="9" width="13.5703125" style="70" bestFit="1" customWidth="1"/>
    <col min="10" max="10" width="5.140625" style="70" customWidth="1"/>
    <col min="11" max="11" width="5.140625" style="70" bestFit="1" customWidth="1"/>
    <col min="12" max="12" width="11.85546875" style="70" bestFit="1" customWidth="1"/>
    <col min="13" max="13" width="6.5703125" style="70" bestFit="1" customWidth="1"/>
    <col min="14" max="14" width="5.5703125" style="70" bestFit="1" customWidth="1"/>
    <col min="15" max="15" width="9.85546875" style="70" bestFit="1" customWidth="1"/>
    <col min="16" max="16" width="10.140625" style="70" bestFit="1" customWidth="1"/>
    <col min="17" max="17" width="12.85546875" style="70" bestFit="1" customWidth="1"/>
    <col min="18" max="18" width="20.7109375" style="70" bestFit="1" customWidth="1"/>
    <col min="19" max="19" width="19.5703125" style="70" bestFit="1" customWidth="1"/>
    <col min="20" max="20" width="14.140625" style="70" bestFit="1" customWidth="1"/>
    <col min="21" max="21" width="5.140625" style="70" customWidth="1"/>
    <col min="22" max="22" width="16.5703125" style="70" bestFit="1" customWidth="1"/>
    <col min="23" max="23" width="14.28515625" style="70" bestFit="1" customWidth="1"/>
    <col min="24" max="24" width="6.5703125" style="70" bestFit="1" customWidth="1"/>
    <col min="25" max="25" width="10.7109375" style="70" bestFit="1" customWidth="1"/>
    <col min="26" max="26" width="7.42578125" style="70" bestFit="1" customWidth="1"/>
    <col min="27" max="28" width="5.140625" style="70" customWidth="1"/>
    <col min="29" max="29" width="49.5703125" style="70" bestFit="1" customWidth="1"/>
    <col min="30" max="30" width="11.5703125" style="70" bestFit="1" customWidth="1"/>
    <col min="31" max="31" width="2.140625" style="70" bestFit="1" customWidth="1"/>
    <col min="32" max="32" width="4.5703125" style="70" customWidth="1"/>
    <col min="33" max="33" width="5.7109375" style="75" bestFit="1" customWidth="1"/>
    <col min="34" max="34" width="9.85546875" style="76" bestFit="1" customWidth="1"/>
    <col min="35" max="35" width="13.42578125" style="77" bestFit="1" customWidth="1"/>
    <col min="36" max="36" width="26" style="77" bestFit="1" customWidth="1"/>
    <col min="37" max="37" width="13.42578125" style="77" bestFit="1" customWidth="1"/>
    <col min="38" max="38" width="9.140625" style="78" bestFit="1" customWidth="1"/>
    <col min="39" max="39" width="13.42578125" style="77" bestFit="1" customWidth="1"/>
    <col min="40" max="41" width="12.140625" style="79" bestFit="1" customWidth="1"/>
    <col min="42" max="42" width="14.28515625" style="79" bestFit="1" customWidth="1"/>
    <col min="43" max="43" width="12.42578125" style="78" bestFit="1" customWidth="1"/>
    <col min="44" max="44" width="3.28515625" style="80" customWidth="1"/>
    <col min="45" max="45" width="6" style="81" bestFit="1" customWidth="1"/>
    <col min="46" max="46" width="20.85546875" style="75" bestFit="1" customWidth="1"/>
    <col min="47" max="47" width="4.140625" style="80" customWidth="1"/>
    <col min="48" max="48" width="14.7109375" style="75" bestFit="1" customWidth="1"/>
    <col min="49" max="49" width="15" style="82" bestFit="1" customWidth="1"/>
    <col min="50" max="50" width="19.5703125" style="82" bestFit="1" customWidth="1"/>
    <col min="51" max="51" width="13.140625" style="82" bestFit="1" customWidth="1"/>
    <col min="52" max="52" width="34.7109375" style="82" bestFit="1" customWidth="1"/>
    <col min="53" max="53" width="27.140625" style="82" bestFit="1" customWidth="1"/>
    <col min="54" max="54" width="14.42578125" style="82" bestFit="1" customWidth="1"/>
    <col min="55" max="55" width="20.7109375" style="82" bestFit="1" customWidth="1"/>
    <col min="56" max="56" width="14.85546875" style="82" bestFit="1" customWidth="1"/>
    <col min="57" max="57" width="13.5703125" style="75" bestFit="1" customWidth="1"/>
    <col min="58" max="58" width="3.28515625" style="80" customWidth="1"/>
    <col min="59" max="59" width="14.7109375" style="75" bestFit="1" customWidth="1"/>
    <col min="60" max="60" width="10.7109375" style="82" bestFit="1" customWidth="1"/>
    <col min="61" max="61" width="14.7109375" style="82" bestFit="1" customWidth="1"/>
    <col min="62" max="62" width="13.28515625" style="82" bestFit="1" customWidth="1"/>
    <col min="63" max="63" width="19.5703125" style="82" bestFit="1" customWidth="1"/>
    <col min="64" max="64" width="13.7109375" style="82" bestFit="1" customWidth="1"/>
    <col min="65" max="65" width="12.28515625" style="75" bestFit="1" customWidth="1"/>
    <col min="66" max="66" width="3.28515625" style="80" customWidth="1"/>
    <col min="67" max="67" width="9.85546875" style="81" bestFit="1" customWidth="1"/>
    <col min="68" max="68" width="16" style="75" bestFit="1" customWidth="1"/>
    <col min="69" max="69" width="3.28515625" style="80" customWidth="1"/>
    <col min="70" max="70" width="12.85546875" style="81" bestFit="1" customWidth="1"/>
    <col min="71" max="71" width="19.140625" style="70" bestFit="1" customWidth="1"/>
    <col min="72" max="72" width="3.28515625" style="80" customWidth="1"/>
    <col min="73" max="73" width="17.85546875" style="80" bestFit="1" customWidth="1"/>
    <col min="74" max="74" width="3.28515625" style="80" customWidth="1"/>
    <col min="75" max="75" width="12.140625" style="70" bestFit="1" customWidth="1"/>
    <col min="76" max="76" width="24" style="78" bestFit="1" customWidth="1"/>
    <col min="77" max="16384" width="9.140625" style="70"/>
  </cols>
  <sheetData>
    <row r="2" spans="2:76" x14ac:dyDescent="0.2">
      <c r="F2" s="71"/>
      <c r="K2" s="72" t="s">
        <v>107</v>
      </c>
      <c r="L2" s="73"/>
      <c r="M2" s="73"/>
      <c r="N2" s="73"/>
      <c r="O2" s="73"/>
      <c r="P2" s="73"/>
      <c r="Q2" s="73"/>
      <c r="R2" s="74"/>
    </row>
    <row r="3" spans="2:76" x14ac:dyDescent="0.2">
      <c r="B3" s="72" t="s">
        <v>175</v>
      </c>
      <c r="C3" s="73"/>
      <c r="D3" s="73"/>
      <c r="E3" s="73"/>
      <c r="F3" s="73"/>
      <c r="G3" s="73"/>
      <c r="H3" s="73"/>
      <c r="I3" s="74"/>
      <c r="K3" s="72" t="s">
        <v>143</v>
      </c>
      <c r="L3" s="73"/>
      <c r="M3" s="73"/>
      <c r="N3" s="73"/>
      <c r="O3" s="83" t="s">
        <v>144</v>
      </c>
      <c r="P3" s="84" t="b">
        <f>DataFieldToUseForSolve=P4</f>
        <v>1</v>
      </c>
      <c r="Q3" s="84" t="b">
        <f>DataFieldToUseForSolve=Q4</f>
        <v>0</v>
      </c>
      <c r="R3" s="85" t="s">
        <v>144</v>
      </c>
      <c r="AV3" s="86" t="s">
        <v>75</v>
      </c>
      <c r="AW3" s="87"/>
      <c r="AX3" s="87"/>
      <c r="AY3" s="87"/>
      <c r="AZ3" s="87"/>
      <c r="BA3" s="87"/>
      <c r="BB3" s="87"/>
      <c r="BC3" s="87"/>
      <c r="BD3" s="87"/>
      <c r="BE3" s="88"/>
      <c r="BG3" s="86" t="s">
        <v>76</v>
      </c>
      <c r="BH3" s="87"/>
      <c r="BI3" s="87"/>
      <c r="BJ3" s="87"/>
      <c r="BK3" s="87"/>
      <c r="BL3" s="87"/>
      <c r="BM3" s="88"/>
      <c r="BO3" s="89"/>
      <c r="BP3" s="89"/>
    </row>
    <row r="4" spans="2:76" x14ac:dyDescent="0.2">
      <c r="B4" s="90" t="s">
        <v>29</v>
      </c>
      <c r="C4" s="91" t="s">
        <v>3</v>
      </c>
      <c r="D4" s="91" t="s">
        <v>19</v>
      </c>
      <c r="E4" s="91" t="s">
        <v>20</v>
      </c>
      <c r="F4" s="91" t="s">
        <v>60</v>
      </c>
      <c r="G4" s="92" t="s">
        <v>18</v>
      </c>
      <c r="H4" s="92" t="s">
        <v>109</v>
      </c>
      <c r="I4" s="92" t="s">
        <v>142</v>
      </c>
      <c r="K4" s="93" t="s">
        <v>29</v>
      </c>
      <c r="L4" s="93" t="s">
        <v>18</v>
      </c>
      <c r="M4" s="93" t="s">
        <v>145</v>
      </c>
      <c r="N4" s="93" t="s">
        <v>3</v>
      </c>
      <c r="O4" s="94" t="s">
        <v>66</v>
      </c>
      <c r="P4" s="94" t="s">
        <v>81</v>
      </c>
      <c r="Q4" s="94" t="s">
        <v>88</v>
      </c>
      <c r="R4" s="95" t="s">
        <v>152</v>
      </c>
      <c r="V4" s="90" t="s">
        <v>114</v>
      </c>
      <c r="W4" s="96" t="s">
        <v>110</v>
      </c>
      <c r="X4" s="96" t="s">
        <v>147</v>
      </c>
      <c r="Y4" s="96" t="s">
        <v>115</v>
      </c>
      <c r="Z4" s="96" t="s">
        <v>111</v>
      </c>
      <c r="AC4" s="70" t="s">
        <v>149</v>
      </c>
      <c r="AD4" s="70">
        <f>COUNT(_xlfn.ANCHORARRAY(K5))</f>
        <v>12</v>
      </c>
      <c r="AG4" s="97" t="s">
        <v>72</v>
      </c>
      <c r="AH4" s="98" t="s">
        <v>29</v>
      </c>
      <c r="AI4" s="99" t="s">
        <v>56</v>
      </c>
      <c r="AJ4" s="99" t="s">
        <v>162</v>
      </c>
      <c r="AK4" s="99" t="s">
        <v>163</v>
      </c>
      <c r="AL4" s="97" t="s">
        <v>62</v>
      </c>
      <c r="AM4" s="99" t="s">
        <v>57</v>
      </c>
      <c r="AN4" s="97" t="s">
        <v>153</v>
      </c>
      <c r="AO4" s="97" t="s">
        <v>154</v>
      </c>
      <c r="AP4" s="97" t="s">
        <v>158</v>
      </c>
      <c r="AQ4" s="97" t="s">
        <v>68</v>
      </c>
      <c r="AS4" s="100" t="s">
        <v>83</v>
      </c>
      <c r="AT4" s="101" t="s">
        <v>165</v>
      </c>
      <c r="AV4" s="101" t="s">
        <v>69</v>
      </c>
      <c r="AW4" s="97" t="s">
        <v>156</v>
      </c>
      <c r="AX4" s="97" t="s">
        <v>157</v>
      </c>
      <c r="AY4" s="97" t="s">
        <v>155</v>
      </c>
      <c r="AZ4" s="102" t="s">
        <v>160</v>
      </c>
      <c r="BA4" s="102" t="s">
        <v>161</v>
      </c>
      <c r="BB4" s="97" t="s">
        <v>71</v>
      </c>
      <c r="BC4" s="97" t="s">
        <v>73</v>
      </c>
      <c r="BD4" s="97" t="s">
        <v>70</v>
      </c>
      <c r="BE4" s="97" t="s">
        <v>74</v>
      </c>
      <c r="BG4" s="101" t="s">
        <v>69</v>
      </c>
      <c r="BH4" s="103" t="s">
        <v>63</v>
      </c>
      <c r="BI4" s="103" t="s">
        <v>159</v>
      </c>
      <c r="BJ4" s="103" t="s">
        <v>71</v>
      </c>
      <c r="BK4" s="103" t="s">
        <v>73</v>
      </c>
      <c r="BL4" s="103" t="s">
        <v>70</v>
      </c>
      <c r="BM4" s="104" t="s">
        <v>74</v>
      </c>
      <c r="BO4" s="100" t="s">
        <v>66</v>
      </c>
      <c r="BP4" s="101" t="s">
        <v>77</v>
      </c>
      <c r="BR4" s="100" t="s">
        <v>88</v>
      </c>
      <c r="BS4" s="101" t="s">
        <v>90</v>
      </c>
      <c r="BU4" s="101" t="s">
        <v>91</v>
      </c>
      <c r="BW4" s="105" t="s">
        <v>18</v>
      </c>
      <c r="BX4" s="106" t="s">
        <v>106</v>
      </c>
    </row>
    <row r="5" spans="2:76" x14ac:dyDescent="0.2">
      <c r="B5" s="107">
        <v>1</v>
      </c>
      <c r="C5" s="70" t="s">
        <v>4</v>
      </c>
      <c r="D5" s="70">
        <v>0.25</v>
      </c>
      <c r="E5" s="70" cm="1">
        <f t="array" ref="E5:E24">D5:D24*12</f>
        <v>3</v>
      </c>
      <c r="F5" s="80">
        <f t="shared" ref="F5:F24" si="0">$F$32</f>
        <v>45097</v>
      </c>
      <c r="G5" s="80" cm="1">
        <f t="array" ref="G5:G24">EDATE($F$39,_xlfn.ANCHORARRAY(E5)-12)</f>
        <v>45189</v>
      </c>
      <c r="H5" s="108">
        <f t="shared" ref="H5:H24" si="1">YEARFRAC(CurveDate,G5,1)</f>
        <v>0.22465753424657534</v>
      </c>
      <c r="I5" s="109" t="b">
        <f>_xlfn.XLOOKUP(C5,UserInput!$C$20:$C$39,UserInput!$H$20:$H$39,FALSE)</f>
        <v>1</v>
      </c>
      <c r="J5" s="80"/>
      <c r="K5" s="110" cm="1">
        <f t="array" ref="K5:K16">ROW(_xlfn.ANCHORARRAY(L5))-4</f>
        <v>1</v>
      </c>
      <c r="L5" s="71" cm="1">
        <f t="array" ref="L5:L16">_xlfn._xlws.FILTER(UserInput!B$20:B$39,UserInput!$H$20:$H$39=TRUE)</f>
        <v>45189</v>
      </c>
      <c r="M5" s="108" cm="1">
        <f t="array" ref="M5:M16">_xlfn.XLOOKUP(_xlfn.ANCHORARRAY(L5),$G$5:$G$24,$H$5:$H$24)</f>
        <v>0.22465753424657534</v>
      </c>
      <c r="N5" s="80" t="str" cm="1">
        <f t="array" ref="N5:N16">_xlfn._xlws.FILTER(UserInput!C$20:C$39,UserInput!$H$20:$H$39=TRUE)</f>
        <v>3M</v>
      </c>
      <c r="O5" s="111" cm="1">
        <f t="array" ref="O5:O16">_xlfn._xlws.FILTER(UserInput!D$20:D$39,UserInput!$H$20:$H$39=TRUE)%%</f>
        <v>0</v>
      </c>
      <c r="P5" s="111" cm="1">
        <f t="array" ref="P5:P16">_xlfn._xlws.FILTER(UserInput!E$20:E$39,UserInput!$H$20:$H$39=TRUE)%</f>
        <v>0</v>
      </c>
      <c r="Q5" s="111" cm="1">
        <f t="array" ref="Q5:Q16">_xlfn._xlws.FILTER(UserInput!F$20:F$39,UserInput!$H$20:$H$39=TRUE)%%</f>
        <v>0.01</v>
      </c>
      <c r="R5" s="112" cm="1">
        <f t="array" ref="R5:R16">_xlfn._xlws.FILTER(UserInput!G$20:G$39,UserInput!$H$20:$H$39=TRUE)%</f>
        <v>0</v>
      </c>
      <c r="S5" s="80"/>
      <c r="T5" s="80"/>
      <c r="U5" s="80"/>
      <c r="V5" s="113" cm="1">
        <f t="array" ref="V5:V16">1-EXP((-_xlfn.ANCHORARRAY(Q5)*_xlfn.ANCHORARRAY(M5))/(1-RecoveryRate))</f>
        <v>3.7372911160704625E-3</v>
      </c>
      <c r="W5" s="111" cm="1">
        <f t="array" ref="W5:W16">LN(1-_xlfn.ANCHORARRAY(R5))*(RecoveryRate-1)/_xlfn.ANCHORARRAY(M5)</f>
        <v>0</v>
      </c>
      <c r="X5" s="111" cm="1">
        <f t="array" ref="X5:X16">_xlfn.ANCHORARRAY(W5)-_xlfn.ANCHORARRAY(Q5)</f>
        <v>-0.01</v>
      </c>
      <c r="Y5" s="114" cm="1">
        <f t="array" ref="Y5:Y16">_xlfn.ANCHORARRAY(X5)/_xlfn.ANCHORARRAY(Q5)</f>
        <v>-1</v>
      </c>
      <c r="Z5" s="109" t="b" cm="1">
        <f t="array" ref="Z5:Z16">((ABS(_xlfn.ANCHORARRAY(X5))&lt;0.05%)*1+(ABS(_xlfn.ANCHORARRAY(Y5))&lt;10%)*1)&gt;0</f>
        <v>0</v>
      </c>
      <c r="AA5" s="80"/>
      <c r="AB5" s="80"/>
      <c r="AC5" s="70" t="s">
        <v>148</v>
      </c>
      <c r="AD5" s="115">
        <v>12</v>
      </c>
      <c r="AG5" s="75" cm="1">
        <f t="array" ref="AG5:AG124">ROW(_xlfn.ANCHORARRAY(AI5))-4</f>
        <v>1</v>
      </c>
      <c r="AH5" s="76" cm="1">
        <f t="array" ref="AH5:AH124">DATE(YEAR(_xlfn.ANCHORARRAY(AK5)),MONTH(_xlfn.ANCHORARRAY(AK5)),RollDay)</f>
        <v>45189</v>
      </c>
      <c r="AI5" s="77" cm="1">
        <f t="array" ref="AI5:AI124">_xlfn._xlws.SORT(TRANSPOSE(AccrualStartArray(AD8,AD9,PaymentFrequency,FirstCouponEndDate,LastCouponStartDate,Holidays_Applied,RollUserSpecifiedDates,StubType)))</f>
        <v>45097</v>
      </c>
      <c r="AJ5" s="116" cm="1">
        <f t="array" ref="AJ5:AJ124">(_xlfn.ANCHORARRAY(AI5)&gt;CurveDate)*_xlfn.ANCHORARRAY(AI5)+(_xlfn.ANCHORARRAY(AI5)&lt;=CurveDate)*CurveDate</f>
        <v>45107</v>
      </c>
      <c r="AK5" s="77" cm="1">
        <f t="array" ref="AK5:AK124">_xlfn._xlws.SORT(AccrualEndArray(_xlfn.ANCHORARRAY(AI5),AD9,Holidays_Applied,RollUserSpecifiedDates))</f>
        <v>45189</v>
      </c>
      <c r="AL5" s="78" cm="1">
        <f t="array" ref="AL5:AL124">YEARFRAC(_xlfn.CHOOSECOLS(_xlfn.ANCHORARRAY(AJ5),1),_xlfn.CHOOSECOLS(_xlfn.ANCHORARRAY(AK5),1),Day_Count_Basis_Index)</f>
        <v>0.22777777777777777</v>
      </c>
      <c r="AM5" s="77" cm="1">
        <f t="array" ref="AM5:AM124">OffsetDateRangeByBusinessDays(_xlfn.ANCHORARRAY(AK5),Payment_Delay,Holidays_Applied)</f>
        <v>45189</v>
      </c>
      <c r="AN5" s="79" cm="1">
        <f t="array" ref="AN5:AN124">IF(COUNT(_xlfn.ANCHORARRAY(AO5))=1,0,_xlfn.VSTACK(0,_xlfn.DROP(_xlfn.ANCHORARRAY(AO5),-1)))</f>
        <v>0</v>
      </c>
      <c r="AO5" s="79" cm="1">
        <f t="array" ref="AO5:AO124">YEARFRAC(_xlfn.CHOOSECOLS(_xlfn.ANCHORARRAY(AL5)*0+CurveDate,1),_xlfn.CHOOSECOLS(_xlfn.ANCHORARRAY(AM5),1),Day_Count_Basis_Index)</f>
        <v>0.22777777777777777</v>
      </c>
      <c r="AP5" s="79" cm="1">
        <f t="array" ref="AP5:AP124">_xlfn.ANCHORARRAY(AO5)-_xlfn.ANCHORARRAY(AN5)</f>
        <v>0.22777777777777777</v>
      </c>
      <c r="AQ5" s="78" cm="1">
        <f t="array" ref="AQ5:AQ124">Linterp(_xlfn.ANCHORARRAY($BW$5),_xlfn.ANCHORARRAY($BX$5),_xlfn.ANCHORARRAY($AM$5),FALSE,TRUE)</f>
        <v>0.99953198379056585</v>
      </c>
      <c r="AS5" s="81" cm="1">
        <f t="array" ref="AS5:AS124">(_xlfn.ANCHORARRAY(AL5)*0+Coupon*1%%)</f>
        <v>0.01</v>
      </c>
      <c r="AT5" s="117" cm="1">
        <f t="array" ref="AT5:AT124">_xlfn.ANCHORARRAY(AS5)*Notional*_xlfn.ANCHORARRAY(AL5)</f>
        <v>227777.77777777778</v>
      </c>
      <c r="AV5" s="118" cm="1">
        <f t="array" ref="AV5:AV124">_xlfn.ANCHORARRAY(AT5)*_xlfn.ANCHORARRAY(AQ5)*_xlfn.ANCHORARRAY(BA5)</f>
        <v>226810.135607859</v>
      </c>
      <c r="AW5" s="82" cm="1">
        <f t="array" ref="AW5:AW124">IF(COUNT(_xlfn.ANCHORARRAY(AX5))=1,0%,_xlfn.VSTACK(0%,_xlfn.DROP(_xlfn.ANCHORARRAY(AX5),-1)))</f>
        <v>0</v>
      </c>
      <c r="AX5" s="82" cm="1">
        <f t="array" ref="AX5:AX124">_xlfn.XLOOKUP(_xlfn.ANCHORARRAY(AH5),$L$29:$L$48,$S$29:$S$48,,1)</f>
        <v>1.6635110702828509E-2</v>
      </c>
      <c r="AY5" s="82" cm="1">
        <f t="array" ref="AY5:AY124">EXP(-_xlfn.ANCHORARRAY(AX5)*_xlfn.ANCHORARRAY(AP5))</f>
        <v>0.99621806106448052</v>
      </c>
      <c r="AZ5" s="119">
        <f>IF(AY5="","",PRODUCT($AY$5:AY5))</f>
        <v>0.99621806106448052</v>
      </c>
      <c r="BA5" s="120" cm="1">
        <f t="array" ref="BA5:BA124">_xlfn._xlws.FILTER($AZ$5:$AZ$204,$AZ$5:$AZ$204&lt;&gt;"")</f>
        <v>0.99621806106448052</v>
      </c>
      <c r="BB5" s="82" cm="1">
        <f t="array" ref="BB5:BB124">100%-_xlfn.ANCHORARRAY(BA5)</f>
        <v>3.7819389355194799E-3</v>
      </c>
      <c r="BC5" s="121" cm="1">
        <f t="array" ref="BC5">_xlfn._xlws.FILTER(_xlfn.ANCHORARRAY(BB5),_xlfn.ANCHORARRAY(AG5)=1)</f>
        <v>3.7819389355194799E-3</v>
      </c>
      <c r="BD5" s="82" cm="1">
        <f t="array" ref="BD5:BD124">IF(COUNT(_xlfn.ANCHORARRAY(AG5))=1,BC5,_xlfn.VSTACK(BC5,_xlfn.ANCHORARRAY(BC6)))</f>
        <v>3.7819389355194799E-3</v>
      </c>
      <c r="BE5" s="117" cm="1">
        <f t="array" ref="BE5:BE124">Notional*_xlfn.ANCHORARRAY(BD5)*_xlfn.ANCHORARRAY(AQ5)*LossGivenDefault</f>
        <v>226810.13560767399</v>
      </c>
      <c r="BG5" s="118" cm="1">
        <f t="array" ref="BG5:BG124">_xlfn.ANCHORARRAY(AT5)*_xlfn.ANCHORARRAY(AQ5)*_xlfn.ANCHORARRAY(BI5)</f>
        <v>226810.31780470506</v>
      </c>
      <c r="BH5" s="82" cm="1">
        <f t="array" ref="BH5:BH124">_xlfn.ANCHORARRAY(AL5)*0+_xlfn.XLOOKUP(Current_Tenor,$N$29:$N$48,$T$29:$T$48)</f>
        <v>1.6631584016205979E-2</v>
      </c>
      <c r="BI5" s="82" cm="1">
        <f t="array" ref="BI5:BI124">EXP(-_xlfn.ANCHORARRAY(BH5)*_xlfn.ANCHORARRAY(AO5))</f>
        <v>0.99621886132760906</v>
      </c>
      <c r="BJ5" s="82" cm="1">
        <f t="array" ref="BJ5:BJ124">100%-_xlfn.ANCHORARRAY(BI5)</f>
        <v>3.7811386723909379E-3</v>
      </c>
      <c r="BK5" s="82" cm="1">
        <f t="array" ref="BK5">_xlfn._xlws.FILTER(_xlfn.ANCHORARRAY(BJ5),_xlfn.ANCHORARRAY(AG5)=1)</f>
        <v>3.7811386723909379E-3</v>
      </c>
      <c r="BL5" s="82" cm="1">
        <f t="array" ref="BL5:BL124">IF(COUNT(_xlfn.ANCHORARRAY(AG5))=1,BK5,_xlfn.VSTACK(BK5,_xlfn.ANCHORARRAY(BK6)))</f>
        <v>3.7811386723909379E-3</v>
      </c>
      <c r="BM5" s="75" cm="1">
        <f t="array" ref="BM5:BM124">Notional*_xlfn.ANCHORARRAY(BL5)*_xlfn.ANCHORARRAY(AQ5)*LossGivenDefault</f>
        <v>226762.14229212844</v>
      </c>
      <c r="BO5" s="81" cm="1">
        <f t="array" ref="BO5:BO124">_xlfn.ANCHORARRAY(AG5)*0+_xlfn.XLOOKUP(Current_Tenor,$N$29:$N$48,$O$29:$O$48)</f>
        <v>0.01</v>
      </c>
      <c r="BP5" s="117" cm="1">
        <f t="array" ref="BP5:BP124">_xlfn.ANCHORARRAY(BO5)*_xlfn.ANCHORARRAY(AL5)*_xlfn.ANCHORARRAY(AQ5)*Notional*_xlfn.ANCHORARRAY(BA5)</f>
        <v>226810.135607859</v>
      </c>
      <c r="BR5" s="81" cm="1">
        <f t="array" ref="BR5:BR124">_xlfn.IFS(
$Q$3,_xlfn.ANCHORARRAY(AG5)*0+_xlfn.XLOOKUP(Current_Tenor,_xlfn.ANCHORARRAY(N5),_xlfn.ANCHORARRAY(Q5)),
$Q$27,_xlfn.ANCHORARRAY(AG5)*0+_xlfn.XLOOKUP(Current_Tenor,$N$29:$N$48,$Q$29:$Q$48))</f>
        <v>0.01</v>
      </c>
      <c r="BS5" s="117" cm="1">
        <f t="array" ref="BS5:BS124">_xlfn.ANCHORARRAY(BR5)*_xlfn.ANCHORARRAY(AL5)*_xlfn.ANCHORARRAY(AQ5)*Notional*_xlfn.ANCHORARRAY(BI5)</f>
        <v>226810.31780470506</v>
      </c>
      <c r="BU5" s="75" cm="1">
        <f t="array" ref="BU5:BU124">Notional*(_xlfn.ANCHORARRAY(AS5)-_xlfn.ANCHORARRAY(BR5))*_xlfn.ANCHORARRAY(AL5)*_xlfn.ANCHORARRAY(AQ5)*_xlfn.ANCHORARRAY(BI5)</f>
        <v>0</v>
      </c>
      <c r="BW5" s="80" cm="1">
        <f t="array" ref="BW5:BW40">_xlfn._xlws.FILTER(UserInput!$B$42:$B$80,UserInput!$B$42:$B$80&lt;&gt;"")</f>
        <v>45107</v>
      </c>
      <c r="BX5" s="78" cm="1">
        <f t="array" ref="BX5:BX40">_xlfn.XLOOKUP(_xlfn.ANCHORARRAY(BW5),UserInput!$B$42:$B$80,UserInput!$C$42:$C$80)</f>
        <v>1</v>
      </c>
    </row>
    <row r="6" spans="2:76" x14ac:dyDescent="0.2">
      <c r="B6" s="107">
        <f>B5+1</f>
        <v>2</v>
      </c>
      <c r="C6" s="70" t="s">
        <v>5</v>
      </c>
      <c r="D6" s="70">
        <v>0.5</v>
      </c>
      <c r="E6" s="70">
        <v>6</v>
      </c>
      <c r="F6" s="80">
        <f t="shared" si="0"/>
        <v>45097</v>
      </c>
      <c r="G6" s="80">
        <v>45280</v>
      </c>
      <c r="H6" s="108">
        <f t="shared" si="1"/>
        <v>0.47397260273972602</v>
      </c>
      <c r="I6" s="109" t="b">
        <f>_xlfn.XLOOKUP(C6,UserInput!$C$20:$C$39,UserInput!$H$20:$H$39,FALSE)</f>
        <v>1</v>
      </c>
      <c r="J6" s="80"/>
      <c r="K6" s="110">
        <v>2</v>
      </c>
      <c r="L6" s="71">
        <v>45280</v>
      </c>
      <c r="M6" s="108">
        <v>0.47397260273972602</v>
      </c>
      <c r="N6" s="80" t="str">
        <v>6M</v>
      </c>
      <c r="O6" s="111">
        <v>0</v>
      </c>
      <c r="P6" s="111">
        <v>0</v>
      </c>
      <c r="Q6" s="111">
        <v>0.01</v>
      </c>
      <c r="R6" s="112">
        <v>0</v>
      </c>
      <c r="S6" s="80"/>
      <c r="T6" s="122"/>
      <c r="U6" s="80"/>
      <c r="V6" s="113">
        <v>7.8684239831172675E-3</v>
      </c>
      <c r="W6" s="111">
        <v>0</v>
      </c>
      <c r="X6" s="111">
        <v>-0.01</v>
      </c>
      <c r="Y6" s="114">
        <v>-1</v>
      </c>
      <c r="Z6" s="109" t="b">
        <v>0</v>
      </c>
      <c r="AA6" s="80"/>
      <c r="AB6" s="80"/>
      <c r="AC6" s="70" t="s">
        <v>67</v>
      </c>
      <c r="AD6" s="75">
        <v>100000000</v>
      </c>
      <c r="AG6" s="75">
        <v>2</v>
      </c>
      <c r="AH6" s="76">
        <v>45280</v>
      </c>
      <c r="AI6" s="77">
        <v>45189</v>
      </c>
      <c r="AJ6" s="77">
        <v>45189</v>
      </c>
      <c r="AK6" s="77">
        <v>45280</v>
      </c>
      <c r="AL6" s="78">
        <v>0.25277777777777777</v>
      </c>
      <c r="AM6" s="77">
        <v>45280</v>
      </c>
      <c r="AN6" s="79">
        <v>0.22777777777777777</v>
      </c>
      <c r="AO6" s="79">
        <v>0.48055555555555557</v>
      </c>
      <c r="AP6" s="79">
        <v>0.25277777777777777</v>
      </c>
      <c r="AQ6" s="78">
        <v>0.99901285636381432</v>
      </c>
      <c r="AS6" s="81">
        <v>0.01</v>
      </c>
      <c r="AT6" s="117">
        <v>252777.77777777778</v>
      </c>
      <c r="AV6" s="118">
        <v>250517.78124669785</v>
      </c>
      <c r="AW6" s="82">
        <v>1.6635110702828509E-2</v>
      </c>
      <c r="AX6" s="82">
        <v>1.6631656971490966E-2</v>
      </c>
      <c r="AY6" s="82">
        <v>0.99580471162295248</v>
      </c>
      <c r="AZ6" s="119">
        <f>IF(AY6="","",PRODUCT($AY$5:AY6))</f>
        <v>0.99203863901189193</v>
      </c>
      <c r="BA6" s="120">
        <v>0.99203863901189193</v>
      </c>
      <c r="BB6" s="82">
        <v>7.9613609881080682E-3</v>
      </c>
      <c r="BC6" s="82" cm="1">
        <f t="array" ref="BC6:BC124">IF(COUNT(_xlfn.ANCHORARRAY(AG5))&gt;1,_xlfn.DROP(_xlfn.ANCHORARRAY(BB5),1)-_xlfn.DROP(_xlfn.ANCHORARRAY(BB5),-1))</f>
        <v>4.1794220525885883E-3</v>
      </c>
      <c r="BD6" s="82">
        <v>4.1794220525885883E-3</v>
      </c>
      <c r="BE6" s="117">
        <v>250517.78176238647</v>
      </c>
      <c r="BG6" s="75">
        <v>250517.98710784432</v>
      </c>
      <c r="BH6" s="82">
        <v>1.6631584016205979E-2</v>
      </c>
      <c r="BI6" s="82">
        <v>0.99203945421235618</v>
      </c>
      <c r="BJ6" s="82">
        <v>7.9605457876438246E-3</v>
      </c>
      <c r="BK6" s="82" cm="1">
        <f t="array" ref="BK6:BK124">IF(COUNT(_xlfn.ANCHORARRAY(AG5))&gt;1,_xlfn.DROP(_xlfn.ANCHORARRAY(BJ5),1)-_xlfn.DROP(_xlfn.ANCHORARRAY(BJ5),-1))</f>
        <v>4.1794071152528867E-3</v>
      </c>
      <c r="BL6" s="82">
        <v>4.1794071152528867E-3</v>
      </c>
      <c r="BM6" s="75">
        <v>250516.88640696212</v>
      </c>
      <c r="BO6" s="81">
        <v>0.01</v>
      </c>
      <c r="BP6" s="117">
        <v>250517.78124669785</v>
      </c>
      <c r="BR6" s="81">
        <v>0.01</v>
      </c>
      <c r="BS6" s="117">
        <v>250517.98710784432</v>
      </c>
      <c r="BU6" s="75">
        <v>0</v>
      </c>
      <c r="BW6" s="80">
        <v>45391</v>
      </c>
      <c r="BX6" s="78">
        <v>0.99838000000000005</v>
      </c>
    </row>
    <row r="7" spans="2:76" x14ac:dyDescent="0.2">
      <c r="B7" s="107">
        <f t="shared" ref="B7:B22" si="2">B6+1</f>
        <v>3</v>
      </c>
      <c r="C7" s="70" t="s">
        <v>134</v>
      </c>
      <c r="D7" s="70">
        <v>0.75</v>
      </c>
      <c r="E7" s="70">
        <v>9</v>
      </c>
      <c r="F7" s="80">
        <f t="shared" si="0"/>
        <v>45097</v>
      </c>
      <c r="G7" s="80">
        <v>45371</v>
      </c>
      <c r="H7" s="108">
        <f t="shared" si="1"/>
        <v>0.72131147540983609</v>
      </c>
      <c r="I7" s="109" t="b">
        <f>_xlfn.XLOOKUP(C7,UserInput!$C$20:$C$39,UserInput!$H$20:$H$39,FALSE)</f>
        <v>0</v>
      </c>
      <c r="J7" s="80"/>
      <c r="K7" s="110">
        <v>3</v>
      </c>
      <c r="L7" s="71">
        <v>45463</v>
      </c>
      <c r="M7" s="108">
        <v>0.97267759562841527</v>
      </c>
      <c r="N7" s="80" t="str">
        <v>1Y</v>
      </c>
      <c r="O7" s="111">
        <v>0</v>
      </c>
      <c r="P7" s="111">
        <v>0</v>
      </c>
      <c r="Q7" s="111">
        <v>0.01</v>
      </c>
      <c r="R7" s="112">
        <v>0</v>
      </c>
      <c r="S7" s="80"/>
      <c r="T7" s="80"/>
      <c r="U7" s="80"/>
      <c r="V7" s="113">
        <v>1.6080597448333345E-2</v>
      </c>
      <c r="W7" s="111">
        <v>0</v>
      </c>
      <c r="X7" s="111">
        <v>-0.01</v>
      </c>
      <c r="Y7" s="114">
        <v>-1</v>
      </c>
      <c r="Z7" s="109" t="b">
        <v>0</v>
      </c>
      <c r="AA7" s="80"/>
      <c r="AB7" s="80"/>
      <c r="AC7" s="70" t="s">
        <v>3</v>
      </c>
      <c r="AD7" s="70" t="str" cm="1">
        <f t="array" ref="AD7">_xlfn.XLOOKUP(Index,_xlfn.ANCHORARRAY(K5),_xlfn.ANCHORARRAY(N5))</f>
        <v>30Y</v>
      </c>
      <c r="AG7" s="118">
        <v>3</v>
      </c>
      <c r="AH7" s="76">
        <v>45371</v>
      </c>
      <c r="AI7" s="77">
        <v>45280</v>
      </c>
      <c r="AJ7" s="123">
        <v>45280</v>
      </c>
      <c r="AK7" s="77">
        <v>45371</v>
      </c>
      <c r="AL7" s="78">
        <v>0.25277777777777777</v>
      </c>
      <c r="AM7" s="77">
        <v>45371</v>
      </c>
      <c r="AN7" s="79">
        <v>0.48055555555555557</v>
      </c>
      <c r="AO7" s="79">
        <v>0.73333333333333328</v>
      </c>
      <c r="AP7" s="79">
        <v>0.25277777777777771</v>
      </c>
      <c r="AQ7" s="78">
        <v>0.9984939985565342</v>
      </c>
      <c r="AR7" s="118"/>
      <c r="AS7" s="81">
        <v>0.01</v>
      </c>
      <c r="AT7" s="117">
        <v>252777.77777777778</v>
      </c>
      <c r="AU7" s="118"/>
      <c r="AV7" s="118">
        <v>249337.23328983827</v>
      </c>
      <c r="AW7" s="82">
        <v>1.6631656971490966E-2</v>
      </c>
      <c r="AX7" s="82">
        <v>1.6631465481213602E-2</v>
      </c>
      <c r="AY7" s="82">
        <v>0.99580475982436956</v>
      </c>
      <c r="AZ7" s="119">
        <f>IF(AY7="","",PRODUCT($AY$5:AY7))</f>
        <v>0.98787679865773148</v>
      </c>
      <c r="BA7" s="120">
        <v>0.98787679865773148</v>
      </c>
      <c r="BB7" s="82">
        <v>1.2123201342268519E-2</v>
      </c>
      <c r="BC7" s="82">
        <v>4.1618403541604509E-3</v>
      </c>
      <c r="BD7" s="82">
        <v>4.1618403541604509E-3</v>
      </c>
      <c r="BE7" s="117">
        <v>249334.35699477667</v>
      </c>
      <c r="BF7" s="118"/>
      <c r="BG7" s="118">
        <v>249337.43070997761</v>
      </c>
      <c r="BH7" s="82">
        <v>1.6631584016205979E-2</v>
      </c>
      <c r="BI7" s="82">
        <v>0.98787758083844579</v>
      </c>
      <c r="BJ7" s="82">
        <v>1.212241916155421E-2</v>
      </c>
      <c r="BK7" s="82">
        <v>4.1618733739103853E-3</v>
      </c>
      <c r="BL7" s="82">
        <v>4.1618733739103853E-3</v>
      </c>
      <c r="BM7" s="118">
        <v>249336.33519610527</v>
      </c>
      <c r="BN7" s="118"/>
      <c r="BO7" s="81">
        <v>0.01</v>
      </c>
      <c r="BP7" s="117">
        <v>249337.23328983824</v>
      </c>
      <c r="BQ7" s="118"/>
      <c r="BR7" s="81">
        <v>0.01</v>
      </c>
      <c r="BS7" s="117">
        <v>249337.43070997758</v>
      </c>
      <c r="BT7" s="118"/>
      <c r="BU7" s="118">
        <v>0</v>
      </c>
      <c r="BV7" s="118"/>
      <c r="BW7" s="80">
        <v>45398</v>
      </c>
      <c r="BX7" s="78">
        <v>0.99734999999999996</v>
      </c>
    </row>
    <row r="8" spans="2:76" x14ac:dyDescent="0.2">
      <c r="B8" s="107">
        <f t="shared" si="2"/>
        <v>4</v>
      </c>
      <c r="C8" s="70" t="s">
        <v>6</v>
      </c>
      <c r="D8" s="70">
        <v>1</v>
      </c>
      <c r="E8" s="70">
        <v>12</v>
      </c>
      <c r="F8" s="80">
        <f t="shared" si="0"/>
        <v>45097</v>
      </c>
      <c r="G8" s="80">
        <v>45463</v>
      </c>
      <c r="H8" s="108">
        <f t="shared" si="1"/>
        <v>0.97267759562841527</v>
      </c>
      <c r="I8" s="109" t="b">
        <f>_xlfn.XLOOKUP(C8,UserInput!$C$20:$C$39,UserInput!$H$20:$H$39,FALSE)</f>
        <v>1</v>
      </c>
      <c r="J8" s="80"/>
      <c r="K8" s="110">
        <v>4</v>
      </c>
      <c r="L8" s="71">
        <v>45828</v>
      </c>
      <c r="M8" s="108">
        <v>1.9735401459854016</v>
      </c>
      <c r="N8" s="80" t="str">
        <v>2Y</v>
      </c>
      <c r="O8" s="111">
        <v>0</v>
      </c>
      <c r="P8" s="111">
        <v>0</v>
      </c>
      <c r="Q8" s="111">
        <v>0.01</v>
      </c>
      <c r="R8" s="112">
        <v>0</v>
      </c>
      <c r="S8" s="80"/>
      <c r="T8" s="80"/>
      <c r="U8" s="80"/>
      <c r="V8" s="113">
        <v>3.2357265505638999E-2</v>
      </c>
      <c r="W8" s="111">
        <v>0</v>
      </c>
      <c r="X8" s="111">
        <v>-0.01</v>
      </c>
      <c r="Y8" s="114">
        <v>-1</v>
      </c>
      <c r="Z8" s="109" t="b">
        <v>0</v>
      </c>
      <c r="AA8" s="80"/>
      <c r="AB8" s="80"/>
      <c r="AC8" s="70" t="s">
        <v>60</v>
      </c>
      <c r="AD8" s="80">
        <f>_xlfn.XLOOKUP(AD7,$C$5:$C$24,$F$5:$F$24)</f>
        <v>45097</v>
      </c>
      <c r="AE8" s="124"/>
      <c r="AG8" s="118">
        <v>4</v>
      </c>
      <c r="AH8" s="76">
        <v>45463</v>
      </c>
      <c r="AI8" s="77">
        <v>45371</v>
      </c>
      <c r="AJ8" s="123">
        <v>45371</v>
      </c>
      <c r="AK8" s="77">
        <v>45463</v>
      </c>
      <c r="AL8" s="78">
        <v>0.25555555555555554</v>
      </c>
      <c r="AM8" s="77">
        <v>45463</v>
      </c>
      <c r="AN8" s="79">
        <v>0.73333333333333328</v>
      </c>
      <c r="AO8" s="79">
        <v>0.98888888888888893</v>
      </c>
      <c r="AP8" s="79">
        <v>0.25555555555555565</v>
      </c>
      <c r="AQ8" s="78">
        <v>0.98790100024214711</v>
      </c>
      <c r="AR8" s="125"/>
      <c r="AS8" s="81">
        <v>0.01</v>
      </c>
      <c r="AT8" s="117">
        <v>255555.55555555553</v>
      </c>
      <c r="AU8" s="125"/>
      <c r="AV8" s="118">
        <v>248345.14342999185</v>
      </c>
      <c r="AW8" s="82">
        <v>1.6631465481213602E-2</v>
      </c>
      <c r="AX8" s="82">
        <v>1.6631465481213602E-2</v>
      </c>
      <c r="AY8" s="82">
        <v>0.99575875618566922</v>
      </c>
      <c r="AZ8" s="119">
        <f>IF(AY8="","",PRODUCT($AY$5:AY8))</f>
        <v>0.98368697229610347</v>
      </c>
      <c r="BA8" s="120">
        <v>0.98368697229610347</v>
      </c>
      <c r="BB8" s="82">
        <v>1.6313027703896532E-2</v>
      </c>
      <c r="BC8" s="82">
        <v>4.1898263616280129E-3</v>
      </c>
      <c r="BD8" s="82">
        <v>4.1898263616280129E-3</v>
      </c>
      <c r="BE8" s="117">
        <v>248348.0192095938</v>
      </c>
      <c r="BF8" s="125"/>
      <c r="BG8" s="118">
        <v>248345.33254166922</v>
      </c>
      <c r="BH8" s="82">
        <v>1.6631584016205979E-2</v>
      </c>
      <c r="BI8" s="82">
        <v>0.98368772136125848</v>
      </c>
      <c r="BJ8" s="82">
        <v>1.6312278638741518E-2</v>
      </c>
      <c r="BK8" s="82">
        <v>4.1898594771873077E-3</v>
      </c>
      <c r="BL8" s="82">
        <v>4.1898594771873077E-3</v>
      </c>
      <c r="BM8" s="118">
        <v>248349.98210324286</v>
      </c>
      <c r="BN8" s="125"/>
      <c r="BO8" s="81">
        <v>0.01</v>
      </c>
      <c r="BP8" s="117">
        <v>248345.14342999185</v>
      </c>
      <c r="BQ8" s="125"/>
      <c r="BR8" s="81">
        <v>0.01</v>
      </c>
      <c r="BS8" s="117">
        <v>248345.33254166922</v>
      </c>
      <c r="BT8" s="125"/>
      <c r="BU8" s="118">
        <v>0</v>
      </c>
      <c r="BV8" s="125"/>
      <c r="BW8" s="80">
        <v>45405</v>
      </c>
      <c r="BX8" s="78">
        <v>0.99631999999999998</v>
      </c>
    </row>
    <row r="9" spans="2:76" x14ac:dyDescent="0.2">
      <c r="B9" s="107">
        <f t="shared" si="2"/>
        <v>5</v>
      </c>
      <c r="C9" s="70" t="s">
        <v>7</v>
      </c>
      <c r="D9" s="70">
        <v>2</v>
      </c>
      <c r="E9" s="70">
        <v>24</v>
      </c>
      <c r="F9" s="80">
        <f t="shared" si="0"/>
        <v>45097</v>
      </c>
      <c r="G9" s="80">
        <v>45828</v>
      </c>
      <c r="H9" s="108">
        <f t="shared" si="1"/>
        <v>1.9735401459854016</v>
      </c>
      <c r="I9" s="109" t="b">
        <f>_xlfn.XLOOKUP(C9,UserInput!$C$20:$C$39,UserInput!$H$20:$H$39,FALSE)</f>
        <v>1</v>
      </c>
      <c r="J9" s="80"/>
      <c r="K9" s="110">
        <v>5</v>
      </c>
      <c r="L9" s="71">
        <v>46193</v>
      </c>
      <c r="M9" s="108">
        <v>2.9733059548254621</v>
      </c>
      <c r="N9" s="80" t="str">
        <v>3Y</v>
      </c>
      <c r="O9" s="111">
        <v>0</v>
      </c>
      <c r="P9" s="111">
        <v>0</v>
      </c>
      <c r="Q9" s="111">
        <v>0.01</v>
      </c>
      <c r="R9" s="112">
        <v>0</v>
      </c>
      <c r="S9" s="80"/>
      <c r="T9" s="80"/>
      <c r="U9" s="80"/>
      <c r="V9" s="113">
        <v>4.834727865657662E-2</v>
      </c>
      <c r="W9" s="111">
        <v>0</v>
      </c>
      <c r="X9" s="111">
        <v>-0.01</v>
      </c>
      <c r="Y9" s="114">
        <v>-1</v>
      </c>
      <c r="Z9" s="109" t="b">
        <v>0</v>
      </c>
      <c r="AA9" s="80"/>
      <c r="AB9" s="80"/>
      <c r="AC9" s="70" t="s">
        <v>18</v>
      </c>
      <c r="AD9" s="80">
        <f>_xlfn.XLOOKUP(AD7,$C$5:$C$24,$G$5:$G$24)</f>
        <v>56055</v>
      </c>
      <c r="AG9" s="118">
        <v>5</v>
      </c>
      <c r="AH9" s="76">
        <v>45555</v>
      </c>
      <c r="AI9" s="77">
        <v>45463</v>
      </c>
      <c r="AJ9" s="77">
        <v>45463</v>
      </c>
      <c r="AK9" s="77">
        <v>45555</v>
      </c>
      <c r="AL9" s="78">
        <v>0.25555555555555554</v>
      </c>
      <c r="AM9" s="77">
        <v>45555</v>
      </c>
      <c r="AN9" s="79">
        <v>0.98888888888888893</v>
      </c>
      <c r="AO9" s="79">
        <v>1.2444444444444445</v>
      </c>
      <c r="AP9" s="79">
        <v>0.25555555555555554</v>
      </c>
      <c r="AQ9" s="78">
        <v>0.97511015857750194</v>
      </c>
      <c r="AR9" s="125"/>
      <c r="AS9" s="81">
        <v>0.01</v>
      </c>
      <c r="AT9" s="117">
        <v>255555.55555555553</v>
      </c>
      <c r="AU9" s="125"/>
      <c r="AV9" s="118">
        <v>244090.03579441668</v>
      </c>
      <c r="AW9" s="82">
        <v>1.6631465481213602E-2</v>
      </c>
      <c r="AX9" s="82">
        <v>1.6631557272585761E-2</v>
      </c>
      <c r="AY9" s="82">
        <v>0.9957587328273646</v>
      </c>
      <c r="AZ9" s="119">
        <f>IF(AY9="","",PRODUCT($AY$5:AY9))</f>
        <v>0.97951489303235495</v>
      </c>
      <c r="BA9" s="120">
        <v>0.97951489303235495</v>
      </c>
      <c r="BB9" s="82">
        <v>2.048510696764505E-2</v>
      </c>
      <c r="BC9" s="82">
        <v>4.1720792637485182E-3</v>
      </c>
      <c r="BD9" s="82">
        <v>4.1720792637485182E-3</v>
      </c>
      <c r="BE9" s="117">
        <v>244094.2123483035</v>
      </c>
      <c r="BF9" s="125"/>
      <c r="BG9" s="118">
        <v>244090.21999765365</v>
      </c>
      <c r="BH9" s="82">
        <v>1.6631584016205979E-2</v>
      </c>
      <c r="BI9" s="82">
        <v>0.97951563222604376</v>
      </c>
      <c r="BJ9" s="82">
        <v>2.0484367773956236E-2</v>
      </c>
      <c r="BK9" s="82">
        <v>4.1720891352147182E-3</v>
      </c>
      <c r="BL9" s="82">
        <v>4.1720891352147182E-3</v>
      </c>
      <c r="BM9" s="118">
        <v>244094.78989432182</v>
      </c>
      <c r="BN9" s="125"/>
      <c r="BO9" s="81">
        <v>0.01</v>
      </c>
      <c r="BP9" s="117">
        <v>244090.0357944167</v>
      </c>
      <c r="BQ9" s="125"/>
      <c r="BR9" s="81">
        <v>0.01</v>
      </c>
      <c r="BS9" s="117">
        <v>244090.21999765368</v>
      </c>
      <c r="BT9" s="125"/>
      <c r="BU9" s="118">
        <v>0</v>
      </c>
      <c r="BV9" s="125"/>
      <c r="BW9" s="80">
        <v>45414</v>
      </c>
      <c r="BX9" s="78">
        <v>0.995</v>
      </c>
    </row>
    <row r="10" spans="2:76" x14ac:dyDescent="0.2">
      <c r="B10" s="107">
        <f t="shared" si="2"/>
        <v>6</v>
      </c>
      <c r="C10" s="70" t="s">
        <v>8</v>
      </c>
      <c r="D10" s="70">
        <v>3</v>
      </c>
      <c r="E10" s="70">
        <v>36</v>
      </c>
      <c r="F10" s="80">
        <f t="shared" si="0"/>
        <v>45097</v>
      </c>
      <c r="G10" s="80">
        <v>46193</v>
      </c>
      <c r="H10" s="108">
        <f t="shared" si="1"/>
        <v>2.9733059548254621</v>
      </c>
      <c r="I10" s="109" t="b">
        <f>_xlfn.XLOOKUP(C10,UserInput!$C$20:$C$39,UserInput!$H$20:$H$39,FALSE)</f>
        <v>1</v>
      </c>
      <c r="J10" s="80"/>
      <c r="K10" s="110">
        <v>6</v>
      </c>
      <c r="L10" s="71">
        <v>46558</v>
      </c>
      <c r="M10" s="108">
        <v>3.9731653888280394</v>
      </c>
      <c r="N10" s="80" t="str">
        <v>4Y</v>
      </c>
      <c r="O10" s="111">
        <v>0</v>
      </c>
      <c r="P10" s="111">
        <v>0</v>
      </c>
      <c r="Q10" s="111">
        <v>0.01</v>
      </c>
      <c r="R10" s="112">
        <v>0</v>
      </c>
      <c r="S10" s="80"/>
      <c r="T10" s="80"/>
      <c r="U10" s="80"/>
      <c r="V10" s="113">
        <v>6.4074521954680996E-2</v>
      </c>
      <c r="W10" s="111">
        <v>0</v>
      </c>
      <c r="X10" s="111">
        <v>-0.01</v>
      </c>
      <c r="Y10" s="114">
        <v>-1</v>
      </c>
      <c r="Z10" s="109" t="b">
        <v>0</v>
      </c>
      <c r="AA10" s="80"/>
      <c r="AB10" s="80"/>
      <c r="AC10" s="80"/>
      <c r="AG10" s="118">
        <v>6</v>
      </c>
      <c r="AH10" s="76">
        <v>45646</v>
      </c>
      <c r="AI10" s="77">
        <v>45555</v>
      </c>
      <c r="AJ10" s="77">
        <v>45555</v>
      </c>
      <c r="AK10" s="77">
        <v>45646</v>
      </c>
      <c r="AL10" s="78">
        <v>0.25277777777777777</v>
      </c>
      <c r="AM10" s="77">
        <v>45646</v>
      </c>
      <c r="AN10" s="79">
        <v>1.2444444444444445</v>
      </c>
      <c r="AO10" s="79">
        <v>1.4972222222222222</v>
      </c>
      <c r="AP10" s="79">
        <v>0.25277777777777777</v>
      </c>
      <c r="AQ10" s="78">
        <v>0.96327356231694661</v>
      </c>
      <c r="AR10" s="125"/>
      <c r="AS10" s="81">
        <v>0.01</v>
      </c>
      <c r="AT10" s="117">
        <v>252777.77777777778</v>
      </c>
      <c r="AU10" s="125"/>
      <c r="AV10" s="118">
        <v>237505.55067628989</v>
      </c>
      <c r="AW10" s="82">
        <v>1.6631557272585761E-2</v>
      </c>
      <c r="AX10" s="82">
        <v>1.6631557272585761E-2</v>
      </c>
      <c r="AY10" s="82">
        <v>0.99580473671889225</v>
      </c>
      <c r="AZ10" s="119">
        <f>IF(AY10="","",PRODUCT($AY$5:AY10))</f>
        <v>0.97540557016831808</v>
      </c>
      <c r="BA10" s="120">
        <v>0.97540557016831808</v>
      </c>
      <c r="BB10" s="82">
        <v>2.4594429831681919E-2</v>
      </c>
      <c r="BC10" s="82">
        <v>4.1093228640368684E-3</v>
      </c>
      <c r="BD10" s="82">
        <v>4.1093228640368684E-3</v>
      </c>
      <c r="BE10" s="117">
        <v>237504.12443707633</v>
      </c>
      <c r="BF10" s="125"/>
      <c r="BG10" s="118">
        <v>237505.72830494199</v>
      </c>
      <c r="BH10" s="82">
        <v>1.6631584016205979E-2</v>
      </c>
      <c r="BI10" s="82">
        <v>0.97540629966696002</v>
      </c>
      <c r="BJ10" s="82">
        <v>2.4593700333039981E-2</v>
      </c>
      <c r="BK10" s="82">
        <v>4.1093325590837448E-3</v>
      </c>
      <c r="BL10" s="82">
        <v>4.1093325590837448E-3</v>
      </c>
      <c r="BM10" s="118">
        <v>237504.6847760168</v>
      </c>
      <c r="BN10" s="125"/>
      <c r="BO10" s="81">
        <v>0.01</v>
      </c>
      <c r="BP10" s="117">
        <v>237505.55067628989</v>
      </c>
      <c r="BQ10" s="125"/>
      <c r="BR10" s="81">
        <v>0.01</v>
      </c>
      <c r="BS10" s="117">
        <v>237505.72830494199</v>
      </c>
      <c r="BT10" s="125"/>
      <c r="BU10" s="118">
        <v>0</v>
      </c>
      <c r="BV10" s="125"/>
      <c r="BW10" s="80">
        <v>45446</v>
      </c>
      <c r="BX10" s="78">
        <v>0.99033000000000004</v>
      </c>
    </row>
    <row r="11" spans="2:76" x14ac:dyDescent="0.2">
      <c r="B11" s="107">
        <f t="shared" si="2"/>
        <v>7</v>
      </c>
      <c r="C11" s="70" t="s">
        <v>9</v>
      </c>
      <c r="D11" s="70">
        <v>4</v>
      </c>
      <c r="E11" s="70">
        <v>48</v>
      </c>
      <c r="F11" s="80">
        <f t="shared" si="0"/>
        <v>45097</v>
      </c>
      <c r="G11" s="80">
        <v>46558</v>
      </c>
      <c r="H11" s="108">
        <f t="shared" si="1"/>
        <v>3.9731653888280394</v>
      </c>
      <c r="I11" s="109" t="b">
        <f>_xlfn.XLOOKUP(C11,UserInput!$C$20:$C$39,UserInput!$H$20:$H$39,FALSE)</f>
        <v>1</v>
      </c>
      <c r="J11" s="80"/>
      <c r="K11" s="110">
        <v>7</v>
      </c>
      <c r="L11" s="71">
        <v>46924</v>
      </c>
      <c r="M11" s="108">
        <v>4.9735401459854014</v>
      </c>
      <c r="N11" s="80" t="str">
        <v>5Y</v>
      </c>
      <c r="O11" s="111">
        <v>0</v>
      </c>
      <c r="P11" s="111">
        <v>0</v>
      </c>
      <c r="Q11" s="111">
        <v>0.01</v>
      </c>
      <c r="R11" s="112">
        <v>0</v>
      </c>
      <c r="S11" s="80"/>
      <c r="T11" s="80"/>
      <c r="U11" s="80"/>
      <c r="V11" s="113">
        <v>7.9549758544631755E-2</v>
      </c>
      <c r="W11" s="111">
        <v>0</v>
      </c>
      <c r="X11" s="111">
        <v>-0.01</v>
      </c>
      <c r="Y11" s="114">
        <v>-1</v>
      </c>
      <c r="Z11" s="109" t="b">
        <v>0</v>
      </c>
      <c r="AA11" s="80"/>
      <c r="AB11" s="80"/>
      <c r="AC11" s="70" t="s">
        <v>100</v>
      </c>
      <c r="AD11" s="81">
        <f>IF(AI5&gt;=CurveDate,0, (YEARFRAC(AI5,CurveDate,Day_Count_Basis_Index))/AL5)</f>
        <v>0.12195121951219512</v>
      </c>
      <c r="AG11" s="118">
        <v>7</v>
      </c>
      <c r="AH11" s="76">
        <v>45736</v>
      </c>
      <c r="AI11" s="77">
        <v>45646</v>
      </c>
      <c r="AJ11" s="77">
        <v>45646</v>
      </c>
      <c r="AK11" s="77">
        <v>45736</v>
      </c>
      <c r="AL11" s="78">
        <v>0.25</v>
      </c>
      <c r="AM11" s="77">
        <v>45736</v>
      </c>
      <c r="AN11" s="79">
        <v>1.4972222222222222</v>
      </c>
      <c r="AO11" s="79">
        <v>1.7472222222222222</v>
      </c>
      <c r="AP11" s="79">
        <v>0.25</v>
      </c>
      <c r="AQ11" s="78">
        <v>0.95238508796135302</v>
      </c>
      <c r="AR11" s="125"/>
      <c r="AS11" s="81">
        <v>0.01</v>
      </c>
      <c r="AT11" s="117">
        <v>250000</v>
      </c>
      <c r="AU11" s="125"/>
      <c r="AV11" s="118">
        <v>231276.80464473343</v>
      </c>
      <c r="AW11" s="82">
        <v>1.6631557272585761E-2</v>
      </c>
      <c r="AX11" s="82">
        <v>1.6631557272585761E-2</v>
      </c>
      <c r="AY11" s="82">
        <v>0.9958507427357921</v>
      </c>
      <c r="AZ11" s="119">
        <f>IF(AY11="","",PRODUCT($AY$5:AY11))</f>
        <v>0.97135836152074839</v>
      </c>
      <c r="BA11" s="120">
        <v>0.97135836152074839</v>
      </c>
      <c r="BB11" s="82">
        <v>2.8641638479251608E-2</v>
      </c>
      <c r="BC11" s="82">
        <v>4.0472086475696889E-3</v>
      </c>
      <c r="BD11" s="82">
        <v>4.0472086475696889E-3</v>
      </c>
      <c r="BE11" s="117">
        <v>231270.06982881637</v>
      </c>
      <c r="BF11" s="125"/>
      <c r="BG11" s="118">
        <v>231276.97606865631</v>
      </c>
      <c r="BH11" s="82">
        <v>1.6631584016205979E-2</v>
      </c>
      <c r="BI11" s="82">
        <v>0.97135908149809813</v>
      </c>
      <c r="BJ11" s="82">
        <v>2.8640918501901869E-2</v>
      </c>
      <c r="BK11" s="82">
        <v>4.047218168861888E-3</v>
      </c>
      <c r="BL11" s="82">
        <v>4.047218168861888E-3</v>
      </c>
      <c r="BM11" s="118">
        <v>231270.61390501892</v>
      </c>
      <c r="BN11" s="125"/>
      <c r="BO11" s="81">
        <v>0.01</v>
      </c>
      <c r="BP11" s="117">
        <v>231276.80464473343</v>
      </c>
      <c r="BQ11" s="125"/>
      <c r="BR11" s="81">
        <v>0.01</v>
      </c>
      <c r="BS11" s="117">
        <v>231276.97606865631</v>
      </c>
      <c r="BT11" s="125"/>
      <c r="BU11" s="118">
        <v>0</v>
      </c>
      <c r="BV11" s="125"/>
      <c r="BW11" s="80">
        <v>45475</v>
      </c>
      <c r="BX11" s="78">
        <v>0.98619000000000001</v>
      </c>
    </row>
    <row r="12" spans="2:76" x14ac:dyDescent="0.2">
      <c r="B12" s="107">
        <f t="shared" si="2"/>
        <v>8</v>
      </c>
      <c r="C12" s="70" t="s">
        <v>10</v>
      </c>
      <c r="D12" s="70">
        <v>5</v>
      </c>
      <c r="E12" s="70">
        <v>60</v>
      </c>
      <c r="F12" s="80">
        <f t="shared" si="0"/>
        <v>45097</v>
      </c>
      <c r="G12" s="80">
        <v>46924</v>
      </c>
      <c r="H12" s="108">
        <f t="shared" si="1"/>
        <v>4.9735401459854014</v>
      </c>
      <c r="I12" s="109" t="b">
        <f>_xlfn.XLOOKUP(C12,UserInput!$C$20:$C$39,UserInput!$H$20:$H$39,FALSE)</f>
        <v>1</v>
      </c>
      <c r="J12" s="80"/>
      <c r="K12" s="110">
        <v>8</v>
      </c>
      <c r="L12" s="71">
        <v>47654</v>
      </c>
      <c r="M12" s="108">
        <v>6.9733059548254621</v>
      </c>
      <c r="N12" s="80" t="str">
        <v>7Y</v>
      </c>
      <c r="O12" s="111">
        <v>0</v>
      </c>
      <c r="P12" s="111">
        <v>0</v>
      </c>
      <c r="Q12" s="111">
        <v>0.01</v>
      </c>
      <c r="R12" s="112">
        <v>0</v>
      </c>
      <c r="S12" s="80"/>
      <c r="T12" s="80"/>
      <c r="U12" s="80"/>
      <c r="V12" s="113">
        <v>0.10972223185887975</v>
      </c>
      <c r="W12" s="111">
        <v>0</v>
      </c>
      <c r="X12" s="111">
        <v>-0.01</v>
      </c>
      <c r="Y12" s="114">
        <v>-1</v>
      </c>
      <c r="Z12" s="109" t="b">
        <v>0</v>
      </c>
      <c r="AA12" s="80"/>
      <c r="AB12" s="80"/>
      <c r="AC12" s="70" t="s">
        <v>101</v>
      </c>
      <c r="AD12" s="75">
        <f>AD11*AT5</f>
        <v>27777.777777777777</v>
      </c>
      <c r="AG12" s="118">
        <v>8</v>
      </c>
      <c r="AH12" s="76">
        <v>45828</v>
      </c>
      <c r="AI12" s="77">
        <v>45736</v>
      </c>
      <c r="AJ12" s="77">
        <v>45736</v>
      </c>
      <c r="AK12" s="77">
        <v>45828</v>
      </c>
      <c r="AL12" s="78">
        <v>0.25555555555555554</v>
      </c>
      <c r="AM12" s="77">
        <v>45828</v>
      </c>
      <c r="AN12" s="79">
        <v>1.7472222222222222</v>
      </c>
      <c r="AO12" s="79">
        <v>2.0027777777777778</v>
      </c>
      <c r="AP12" s="79">
        <v>0.25555555555555554</v>
      </c>
      <c r="AQ12" s="78">
        <v>0.94207831556433719</v>
      </c>
      <c r="AR12" s="125"/>
      <c r="AS12" s="81">
        <v>0.01</v>
      </c>
      <c r="AT12" s="117">
        <v>255555.55555555553</v>
      </c>
      <c r="AU12" s="125"/>
      <c r="AV12" s="118">
        <v>232865.92366199044</v>
      </c>
      <c r="AW12" s="82">
        <v>1.6631557272585761E-2</v>
      </c>
      <c r="AX12" s="82">
        <v>1.6631557272585761E-2</v>
      </c>
      <c r="AY12" s="82">
        <v>0.9957587328273646</v>
      </c>
      <c r="AZ12" s="119">
        <f>IF(AY12="","",PRODUCT($AY$5:AY12))</f>
        <v>0.96723857118916556</v>
      </c>
      <c r="BA12" s="120">
        <v>0.96723857118916556</v>
      </c>
      <c r="BB12" s="82">
        <v>3.2761428810834436E-2</v>
      </c>
      <c r="BC12" s="82">
        <v>4.1197903315828288E-3</v>
      </c>
      <c r="BD12" s="82">
        <v>4.1197903315828288E-3</v>
      </c>
      <c r="BE12" s="117">
        <v>232869.9081633476</v>
      </c>
      <c r="BF12" s="125"/>
      <c r="BG12" s="118">
        <v>232866.09467226019</v>
      </c>
      <c r="BH12" s="82">
        <v>1.6631584016205979E-2</v>
      </c>
      <c r="BI12" s="82">
        <v>0.96723928150232075</v>
      </c>
      <c r="BJ12" s="82">
        <v>3.2760718497679253E-2</v>
      </c>
      <c r="BK12" s="82">
        <v>4.1197999957773845E-3</v>
      </c>
      <c r="BL12" s="82">
        <v>4.1197999957773845E-3</v>
      </c>
      <c r="BM12" s="118">
        <v>232870.45442903534</v>
      </c>
      <c r="BN12" s="125"/>
      <c r="BO12" s="81">
        <v>0.01</v>
      </c>
      <c r="BP12" s="117">
        <v>232865.92366199044</v>
      </c>
      <c r="BQ12" s="125"/>
      <c r="BR12" s="81">
        <v>0.01</v>
      </c>
      <c r="BS12" s="117">
        <v>232866.09467226019</v>
      </c>
      <c r="BT12" s="125"/>
      <c r="BU12" s="118">
        <v>0</v>
      </c>
      <c r="BV12" s="125"/>
      <c r="BW12" s="80">
        <v>45506</v>
      </c>
      <c r="BX12" s="78">
        <v>0.98182000000000003</v>
      </c>
    </row>
    <row r="13" spans="2:76" x14ac:dyDescent="0.2">
      <c r="B13" s="107">
        <f t="shared" si="2"/>
        <v>9</v>
      </c>
      <c r="C13" s="70" t="s">
        <v>135</v>
      </c>
      <c r="D13" s="70">
        <v>6</v>
      </c>
      <c r="E13" s="70">
        <v>72</v>
      </c>
      <c r="F13" s="80">
        <f t="shared" si="0"/>
        <v>45097</v>
      </c>
      <c r="G13" s="80">
        <v>47289</v>
      </c>
      <c r="H13" s="108">
        <f t="shared" si="1"/>
        <v>5.9734063355494724</v>
      </c>
      <c r="I13" s="109" t="b">
        <f>_xlfn.XLOOKUP(C13,UserInput!$C$20:$C$39,UserInput!$H$20:$H$39,FALSE)</f>
        <v>0</v>
      </c>
      <c r="J13" s="80"/>
      <c r="K13" s="110">
        <v>9</v>
      </c>
      <c r="L13" s="71">
        <v>48750</v>
      </c>
      <c r="M13" s="108">
        <v>9.9733698357391738</v>
      </c>
      <c r="N13" s="80" t="str">
        <v>10Y</v>
      </c>
      <c r="O13" s="111">
        <v>0</v>
      </c>
      <c r="P13" s="111">
        <v>0</v>
      </c>
      <c r="Q13" s="111">
        <v>0.01</v>
      </c>
      <c r="R13" s="112">
        <v>0</v>
      </c>
      <c r="S13" s="80"/>
      <c r="T13" s="80"/>
      <c r="U13" s="80"/>
      <c r="V13" s="113">
        <v>0.15314249259967794</v>
      </c>
      <c r="W13" s="111">
        <v>0</v>
      </c>
      <c r="X13" s="111">
        <v>-0.01</v>
      </c>
      <c r="Y13" s="114">
        <v>-1</v>
      </c>
      <c r="Z13" s="109" t="b">
        <v>0</v>
      </c>
      <c r="AA13" s="80"/>
      <c r="AB13" s="80"/>
      <c r="AC13" s="70" t="s">
        <v>164</v>
      </c>
      <c r="AG13" s="118">
        <v>9</v>
      </c>
      <c r="AH13" s="76">
        <v>45920</v>
      </c>
      <c r="AI13" s="77">
        <v>45828</v>
      </c>
      <c r="AJ13" s="77">
        <v>45828</v>
      </c>
      <c r="AK13" s="77">
        <v>45922</v>
      </c>
      <c r="AL13" s="78">
        <v>0.26111111111111113</v>
      </c>
      <c r="AM13" s="77">
        <v>45922</v>
      </c>
      <c r="AN13" s="79">
        <v>2.0027777777777778</v>
      </c>
      <c r="AO13" s="79">
        <v>2.2638888888888888</v>
      </c>
      <c r="AP13" s="79">
        <v>0.26111111111111107</v>
      </c>
      <c r="AQ13" s="78">
        <v>0.93217086883500955</v>
      </c>
      <c r="AR13" s="125"/>
      <c r="AS13" s="81">
        <v>0.01</v>
      </c>
      <c r="AT13" s="75">
        <v>261111.11111111112</v>
      </c>
      <c r="AU13" s="125"/>
      <c r="AV13" s="75">
        <v>234405.8710313655</v>
      </c>
      <c r="AW13" s="82">
        <v>1.6631557272585761E-2</v>
      </c>
      <c r="AX13" s="82">
        <v>1.6631535298202361E-2</v>
      </c>
      <c r="AY13" s="82">
        <v>0.99566673713292608</v>
      </c>
      <c r="AZ13" s="119">
        <f>IF(AY13="","",PRODUCT($AY$5:AY13))</f>
        <v>0.96304727220502995</v>
      </c>
      <c r="BA13" s="120">
        <v>0.96304727220502995</v>
      </c>
      <c r="BB13" s="82">
        <v>3.6952727794970053E-2</v>
      </c>
      <c r="BC13" s="82">
        <v>4.1912989841356163E-3</v>
      </c>
      <c r="BD13" s="82">
        <v>4.1912989841356163E-3</v>
      </c>
      <c r="BE13" s="117">
        <v>234420.40893533942</v>
      </c>
      <c r="BF13" s="125"/>
      <c r="BG13" s="118">
        <v>234406.04019069462</v>
      </c>
      <c r="BH13" s="82">
        <v>1.6631584016205979E-2</v>
      </c>
      <c r="BI13" s="82">
        <v>0.96304796718945918</v>
      </c>
      <c r="BJ13" s="82">
        <v>3.6952032810540825E-2</v>
      </c>
      <c r="BK13" s="82">
        <v>4.1913143128615715E-3</v>
      </c>
      <c r="BL13" s="82">
        <v>4.1913143128615715E-3</v>
      </c>
      <c r="BM13" s="118">
        <v>234421.26627484692</v>
      </c>
      <c r="BN13" s="125"/>
      <c r="BO13" s="81">
        <v>0.01</v>
      </c>
      <c r="BP13" s="75">
        <v>234405.8710313655</v>
      </c>
      <c r="BQ13" s="125"/>
      <c r="BR13" s="81">
        <v>0.01</v>
      </c>
      <c r="BS13" s="75">
        <v>234406.04019069462</v>
      </c>
      <c r="BT13" s="125"/>
      <c r="BU13" s="118">
        <v>0</v>
      </c>
      <c r="BV13" s="125"/>
      <c r="BW13" s="80">
        <v>45538</v>
      </c>
      <c r="BX13" s="78">
        <v>0.97741</v>
      </c>
    </row>
    <row r="14" spans="2:76" x14ac:dyDescent="0.2">
      <c r="B14" s="107">
        <f t="shared" si="2"/>
        <v>10</v>
      </c>
      <c r="C14" s="70" t="s">
        <v>11</v>
      </c>
      <c r="D14" s="70">
        <v>7</v>
      </c>
      <c r="E14" s="70">
        <v>84</v>
      </c>
      <c r="F14" s="80">
        <f t="shared" si="0"/>
        <v>45097</v>
      </c>
      <c r="G14" s="80">
        <v>47654</v>
      </c>
      <c r="H14" s="108">
        <f t="shared" si="1"/>
        <v>6.9733059548254621</v>
      </c>
      <c r="I14" s="109" t="b">
        <f>_xlfn.XLOOKUP(C14,UserInput!$C$20:$C$39,UserInput!$H$20:$H$39,FALSE)</f>
        <v>1</v>
      </c>
      <c r="J14" s="80"/>
      <c r="K14" s="110">
        <v>10</v>
      </c>
      <c r="L14" s="71">
        <v>50576</v>
      </c>
      <c r="M14" s="108">
        <v>14.973305954825461</v>
      </c>
      <c r="N14" s="80" t="str">
        <v>15Y</v>
      </c>
      <c r="O14" s="111">
        <v>0</v>
      </c>
      <c r="P14" s="111">
        <v>0</v>
      </c>
      <c r="Q14" s="111">
        <v>0.01</v>
      </c>
      <c r="R14" s="112">
        <v>0</v>
      </c>
      <c r="S14" s="80"/>
      <c r="T14" s="80"/>
      <c r="U14" s="80"/>
      <c r="V14" s="113">
        <v>0.22085265078578808</v>
      </c>
      <c r="W14" s="111">
        <v>0</v>
      </c>
      <c r="X14" s="111">
        <v>-0.01</v>
      </c>
      <c r="Y14" s="114">
        <v>-1</v>
      </c>
      <c r="Z14" s="109" t="b">
        <v>0</v>
      </c>
      <c r="AA14" s="80"/>
      <c r="AB14" s="80"/>
      <c r="AG14" s="118">
        <v>10</v>
      </c>
      <c r="AH14" s="76">
        <v>46011</v>
      </c>
      <c r="AI14" s="77">
        <v>45922</v>
      </c>
      <c r="AJ14" s="77">
        <v>45922</v>
      </c>
      <c r="AK14" s="77">
        <v>46013</v>
      </c>
      <c r="AL14" s="78">
        <v>0.25277777777777777</v>
      </c>
      <c r="AM14" s="77">
        <v>46013</v>
      </c>
      <c r="AN14" s="79">
        <v>2.2638888888888888</v>
      </c>
      <c r="AO14" s="79">
        <v>2.5166666666666666</v>
      </c>
      <c r="AP14" s="79">
        <v>0.25277777777777777</v>
      </c>
      <c r="AQ14" s="78">
        <v>0.92320149160721443</v>
      </c>
      <c r="AR14" s="125"/>
      <c r="AS14" s="81">
        <v>0.01</v>
      </c>
      <c r="AT14" s="75">
        <v>252777.77777777778</v>
      </c>
      <c r="AU14" s="125"/>
      <c r="AV14" s="75">
        <v>223798.50685390504</v>
      </c>
      <c r="AW14" s="82">
        <v>1.6631535298202361E-2</v>
      </c>
      <c r="AX14" s="82">
        <v>1.6631535298202361E-2</v>
      </c>
      <c r="AY14" s="82">
        <v>0.99580474225022486</v>
      </c>
      <c r="AZ14" s="119">
        <f>IF(AY14="","",PRODUCT($AY$5:AY14))</f>
        <v>0.95900704067291198</v>
      </c>
      <c r="BA14" s="120">
        <v>0.95900704067291198</v>
      </c>
      <c r="BB14" s="82">
        <v>4.0992959327088019E-2</v>
      </c>
      <c r="BC14" s="82">
        <v>4.040231532117966E-3</v>
      </c>
      <c r="BD14" s="82">
        <v>4.040231532117966E-3</v>
      </c>
      <c r="BE14" s="117">
        <v>223796.86661338844</v>
      </c>
      <c r="BF14" s="125"/>
      <c r="BG14" s="118">
        <v>223798.66560237252</v>
      </c>
      <c r="BH14" s="82">
        <v>1.6631584016205979E-2</v>
      </c>
      <c r="BI14" s="82">
        <v>0.95900772093168651</v>
      </c>
      <c r="BJ14" s="82">
        <v>4.0992279068313486E-2</v>
      </c>
      <c r="BK14" s="82">
        <v>4.0402462577726617E-3</v>
      </c>
      <c r="BL14" s="82">
        <v>4.0402462577726617E-3</v>
      </c>
      <c r="BM14" s="118">
        <v>223797.68229817125</v>
      </c>
      <c r="BN14" s="125"/>
      <c r="BO14" s="81">
        <v>0.01</v>
      </c>
      <c r="BP14" s="75">
        <v>223798.50685390501</v>
      </c>
      <c r="BQ14" s="125"/>
      <c r="BR14" s="81">
        <v>0.01</v>
      </c>
      <c r="BS14" s="75">
        <v>223798.66560237249</v>
      </c>
      <c r="BT14" s="125"/>
      <c r="BU14" s="118">
        <v>0</v>
      </c>
      <c r="BV14" s="125"/>
      <c r="BW14" s="80">
        <v>45567</v>
      </c>
      <c r="BX14" s="78">
        <v>0.97348999999999997</v>
      </c>
    </row>
    <row r="15" spans="2:76" x14ac:dyDescent="0.2">
      <c r="B15" s="107">
        <f t="shared" si="2"/>
        <v>11</v>
      </c>
      <c r="C15" s="70" t="s">
        <v>136</v>
      </c>
      <c r="D15" s="70">
        <v>8</v>
      </c>
      <c r="E15" s="70">
        <v>96</v>
      </c>
      <c r="F15" s="80">
        <f t="shared" si="0"/>
        <v>45097</v>
      </c>
      <c r="G15" s="80">
        <v>48019</v>
      </c>
      <c r="H15" s="108">
        <f t="shared" si="1"/>
        <v>7.9732278673562513</v>
      </c>
      <c r="I15" s="109" t="b">
        <f>_xlfn.XLOOKUP(C15,UserInput!$C$20:$C$39,UserInput!$H$20:$H$39,FALSE)</f>
        <v>0</v>
      </c>
      <c r="J15" s="80"/>
      <c r="K15" s="110">
        <v>11</v>
      </c>
      <c r="L15" s="71">
        <v>52402</v>
      </c>
      <c r="M15" s="108">
        <v>19.973272490221643</v>
      </c>
      <c r="N15" s="80" t="str">
        <v>20Y</v>
      </c>
      <c r="O15" s="111">
        <v>0</v>
      </c>
      <c r="P15" s="111">
        <v>0</v>
      </c>
      <c r="Q15" s="111">
        <v>0.01</v>
      </c>
      <c r="R15" s="112">
        <v>0</v>
      </c>
      <c r="S15" s="80"/>
      <c r="T15" s="80"/>
      <c r="U15" s="80"/>
      <c r="V15" s="113">
        <v>0.28314943336366294</v>
      </c>
      <c r="W15" s="111">
        <v>0</v>
      </c>
      <c r="X15" s="111">
        <v>-0.01</v>
      </c>
      <c r="Y15" s="114">
        <v>-1</v>
      </c>
      <c r="Z15" s="109" t="b">
        <v>0</v>
      </c>
      <c r="AA15" s="80"/>
      <c r="AB15" s="80"/>
      <c r="AG15" s="75">
        <v>11</v>
      </c>
      <c r="AH15" s="76">
        <v>46101</v>
      </c>
      <c r="AI15" s="77">
        <v>46013</v>
      </c>
      <c r="AJ15" s="77">
        <v>46013</v>
      </c>
      <c r="AK15" s="77">
        <v>46101</v>
      </c>
      <c r="AL15" s="78">
        <v>0.24444444444444444</v>
      </c>
      <c r="AM15" s="77">
        <v>46101</v>
      </c>
      <c r="AN15" s="79">
        <v>2.5166666666666666</v>
      </c>
      <c r="AO15" s="79">
        <v>2.7611111111111111</v>
      </c>
      <c r="AP15" s="79">
        <v>0.24444444444444446</v>
      </c>
      <c r="AQ15" s="78">
        <v>0.91480151704992907</v>
      </c>
      <c r="AS15" s="81">
        <v>0.01</v>
      </c>
      <c r="AT15" s="75">
        <v>244444.44444444444</v>
      </c>
      <c r="AV15" s="75">
        <v>213581.29962168846</v>
      </c>
      <c r="AW15" s="82">
        <v>1.6631535298202361E-2</v>
      </c>
      <c r="AX15" s="82">
        <v>1.6631535298202361E-2</v>
      </c>
      <c r="AY15" s="82">
        <v>0.99594276649582403</v>
      </c>
      <c r="AZ15" s="119">
        <f>IF(AY15="","",PRODUCT($AY$5:AY15))</f>
        <v>0.95511612517675315</v>
      </c>
      <c r="BA15" s="120">
        <v>0.95511612517675315</v>
      </c>
      <c r="BB15" s="82">
        <v>4.488387482324685E-2</v>
      </c>
      <c r="BC15" s="82">
        <v>3.890915496158831E-3</v>
      </c>
      <c r="BD15" s="82">
        <v>3.890915496158831E-3</v>
      </c>
      <c r="BE15" s="75">
        <v>213564.92391595055</v>
      </c>
      <c r="BG15" s="75">
        <v>213581.44857920866</v>
      </c>
      <c r="BH15" s="82">
        <v>1.6631584016205979E-2</v>
      </c>
      <c r="BI15" s="82">
        <v>0.95511679130122085</v>
      </c>
      <c r="BJ15" s="82">
        <v>4.4883208698779153E-2</v>
      </c>
      <c r="BK15" s="82">
        <v>3.8909296304656671E-3</v>
      </c>
      <c r="BL15" s="82">
        <v>3.8909296304656671E-3</v>
      </c>
      <c r="BM15" s="75">
        <v>213565.6997210707</v>
      </c>
      <c r="BO15" s="81">
        <v>0.01</v>
      </c>
      <c r="BP15" s="75">
        <v>213581.29962168846</v>
      </c>
      <c r="BR15" s="81">
        <v>0.01</v>
      </c>
      <c r="BS15" s="75">
        <v>213581.44857920866</v>
      </c>
      <c r="BU15" s="75">
        <v>0</v>
      </c>
      <c r="BW15" s="80">
        <v>45600</v>
      </c>
      <c r="BX15" s="78">
        <v>0.96914</v>
      </c>
    </row>
    <row r="16" spans="2:76" x14ac:dyDescent="0.2">
      <c r="B16" s="107">
        <f t="shared" si="2"/>
        <v>12</v>
      </c>
      <c r="C16" s="70" t="s">
        <v>137</v>
      </c>
      <c r="D16" s="70">
        <v>9</v>
      </c>
      <c r="E16" s="70">
        <v>108</v>
      </c>
      <c r="F16" s="80">
        <f t="shared" si="0"/>
        <v>45097</v>
      </c>
      <c r="G16" s="80">
        <v>48385</v>
      </c>
      <c r="H16" s="108">
        <f t="shared" si="1"/>
        <v>8.9734464823432791</v>
      </c>
      <c r="I16" s="109" t="b">
        <f>_xlfn.XLOOKUP(C16,UserInput!$C$20:$C$39,UserInput!$H$20:$H$39,FALSE)</f>
        <v>0</v>
      </c>
      <c r="J16" s="80"/>
      <c r="K16" s="110">
        <v>12</v>
      </c>
      <c r="L16" s="71">
        <v>56055</v>
      </c>
      <c r="M16" s="108">
        <v>29.973328623156409</v>
      </c>
      <c r="N16" s="80" t="str">
        <v>30Y</v>
      </c>
      <c r="O16" s="111">
        <v>0</v>
      </c>
      <c r="P16" s="111">
        <v>0</v>
      </c>
      <c r="Q16" s="111">
        <v>0.01</v>
      </c>
      <c r="R16" s="112">
        <v>0</v>
      </c>
      <c r="S16" s="80"/>
      <c r="T16" s="80"/>
      <c r="U16" s="80"/>
      <c r="V16" s="113">
        <v>0.39319966355651992</v>
      </c>
      <c r="W16" s="111">
        <v>0</v>
      </c>
      <c r="X16" s="111">
        <v>-0.01</v>
      </c>
      <c r="Y16" s="114">
        <v>-1</v>
      </c>
      <c r="Z16" s="109" t="b">
        <v>0</v>
      </c>
      <c r="AA16" s="80"/>
      <c r="AB16" s="80"/>
      <c r="AG16" s="75">
        <v>12</v>
      </c>
      <c r="AH16" s="76">
        <v>46193</v>
      </c>
      <c r="AI16" s="77">
        <v>46101</v>
      </c>
      <c r="AJ16" s="77">
        <v>46101</v>
      </c>
      <c r="AK16" s="77">
        <v>46195</v>
      </c>
      <c r="AL16" s="78">
        <v>0.26111111111111113</v>
      </c>
      <c r="AM16" s="77">
        <v>46195</v>
      </c>
      <c r="AN16" s="79">
        <v>2.7611111111111111</v>
      </c>
      <c r="AO16" s="79">
        <v>3.0222222222222221</v>
      </c>
      <c r="AP16" s="79">
        <v>0.26111111111111107</v>
      </c>
      <c r="AQ16" s="78">
        <v>0.90628308419593928</v>
      </c>
      <c r="AS16" s="81">
        <v>0.01</v>
      </c>
      <c r="AT16" s="75">
        <v>261111.11111111112</v>
      </c>
      <c r="AV16" s="75">
        <v>225039.83601983456</v>
      </c>
      <c r="AW16" s="82">
        <v>1.6631535298202361E-2</v>
      </c>
      <c r="AX16" s="82">
        <v>1.6631535298202361E-2</v>
      </c>
      <c r="AY16" s="82">
        <v>0.99566673713292608</v>
      </c>
      <c r="AZ16" s="119">
        <f>IF(AY16="","",PRODUCT($AY$5:AY16))</f>
        <v>0.95097735593778121</v>
      </c>
      <c r="BA16" s="120">
        <v>0.95097735593778121</v>
      </c>
      <c r="BB16" s="82">
        <v>4.902264406221879E-2</v>
      </c>
      <c r="BC16" s="82">
        <v>4.1387692389719399E-3</v>
      </c>
      <c r="BD16" s="82">
        <v>4.1387692389719399E-3</v>
      </c>
      <c r="BE16" s="75">
        <v>225053.79304024621</v>
      </c>
      <c r="BG16" s="75">
        <v>225039.9901061643</v>
      </c>
      <c r="BH16" s="82">
        <v>1.6631584016205979E-2</v>
      </c>
      <c r="BI16" s="82">
        <v>0.95097800707854385</v>
      </c>
      <c r="BJ16" s="82">
        <v>4.9021992921456148E-2</v>
      </c>
      <c r="BK16" s="82">
        <v>4.1387842226769944E-3</v>
      </c>
      <c r="BL16" s="82">
        <v>4.1387842226769944E-3</v>
      </c>
      <c r="BM16" s="75">
        <v>225054.60780895196</v>
      </c>
      <c r="BO16" s="81">
        <v>0.01</v>
      </c>
      <c r="BP16" s="75">
        <v>225039.83601983456</v>
      </c>
      <c r="BR16" s="81">
        <v>0.01</v>
      </c>
      <c r="BS16" s="75">
        <v>225039.9901061643</v>
      </c>
      <c r="BU16" s="75">
        <v>0</v>
      </c>
      <c r="BW16" s="80">
        <v>45628</v>
      </c>
      <c r="BX16" s="78">
        <v>0.96553999999999995</v>
      </c>
    </row>
    <row r="17" spans="2:76" x14ac:dyDescent="0.2">
      <c r="B17" s="107">
        <f t="shared" si="2"/>
        <v>13</v>
      </c>
      <c r="C17" s="70" t="s">
        <v>12</v>
      </c>
      <c r="D17" s="70">
        <v>10</v>
      </c>
      <c r="E17" s="70">
        <v>120</v>
      </c>
      <c r="F17" s="80">
        <f t="shared" si="0"/>
        <v>45097</v>
      </c>
      <c r="G17" s="80">
        <v>48750</v>
      </c>
      <c r="H17" s="108">
        <f t="shared" si="1"/>
        <v>9.9733698357391738</v>
      </c>
      <c r="I17" s="109" t="b">
        <f>_xlfn.XLOOKUP(C17,UserInput!$C$20:$C$39,UserInput!$H$20:$H$39,FALSE)</f>
        <v>1</v>
      </c>
      <c r="K17" s="107"/>
      <c r="L17" s="71"/>
      <c r="M17" s="108"/>
      <c r="O17" s="111"/>
      <c r="P17" s="111"/>
      <c r="Q17" s="111"/>
      <c r="R17" s="112"/>
      <c r="V17" s="113"/>
      <c r="W17" s="111"/>
      <c r="X17" s="111"/>
      <c r="Y17" s="111"/>
      <c r="Z17" s="109"/>
      <c r="AD17" s="70" t="s">
        <v>86</v>
      </c>
      <c r="AE17" s="70" t="s">
        <v>87</v>
      </c>
      <c r="AG17" s="75">
        <v>13</v>
      </c>
      <c r="AH17" s="76">
        <v>46285</v>
      </c>
      <c r="AI17" s="77">
        <v>46195</v>
      </c>
      <c r="AJ17" s="77">
        <v>46195</v>
      </c>
      <c r="AK17" s="77">
        <v>46286</v>
      </c>
      <c r="AL17" s="78">
        <v>0.25277777777777777</v>
      </c>
      <c r="AM17" s="77">
        <v>46286</v>
      </c>
      <c r="AN17" s="79">
        <v>3.0222222222222221</v>
      </c>
      <c r="AO17" s="79">
        <v>3.2749999999999999</v>
      </c>
      <c r="AP17" s="79">
        <v>0.25277777777777777</v>
      </c>
      <c r="AQ17" s="78">
        <v>0.89816585544683381</v>
      </c>
      <c r="AS17" s="81">
        <v>0.01</v>
      </c>
      <c r="AT17" s="75">
        <v>252777.77777777778</v>
      </c>
      <c r="AV17" s="75">
        <v>215000.66227648029</v>
      </c>
      <c r="AW17" s="82">
        <v>1.6631535298202361E-2</v>
      </c>
      <c r="AX17" s="82">
        <v>1.6631543419795659E-2</v>
      </c>
      <c r="AY17" s="82">
        <v>0.99580474020587928</v>
      </c>
      <c r="AZ17" s="119">
        <f>IF(AY17="","",PRODUCT($AY$5:AY17))</f>
        <v>0.94698775887129616</v>
      </c>
      <c r="BA17" s="120">
        <v>0.94698775887129616</v>
      </c>
      <c r="BB17" s="82">
        <v>5.3012241128703841E-2</v>
      </c>
      <c r="BC17" s="82">
        <v>3.9895970664850511E-3</v>
      </c>
      <c r="BD17" s="82">
        <v>3.9895970664850511E-3</v>
      </c>
      <c r="BE17" s="75">
        <v>214999.19172646347</v>
      </c>
      <c r="BG17" s="75">
        <v>215000.80728260803</v>
      </c>
      <c r="BH17" s="82">
        <v>1.6631584016205979E-2</v>
      </c>
      <c r="BI17" s="82">
        <v>0.94698839756248188</v>
      </c>
      <c r="BJ17" s="82">
        <v>5.3011602437518124E-2</v>
      </c>
      <c r="BK17" s="82">
        <v>3.989609516061976E-3</v>
      </c>
      <c r="BL17" s="82">
        <v>3.989609516061976E-3</v>
      </c>
      <c r="BM17" s="75">
        <v>214999.86263355799</v>
      </c>
      <c r="BO17" s="81">
        <v>0.01</v>
      </c>
      <c r="BP17" s="75">
        <v>215000.66227648029</v>
      </c>
      <c r="BR17" s="81">
        <v>0.01</v>
      </c>
      <c r="BS17" s="75">
        <v>215000.80728260803</v>
      </c>
      <c r="BU17" s="75">
        <v>0</v>
      </c>
      <c r="BW17" s="80">
        <v>45659</v>
      </c>
      <c r="BX17" s="78">
        <v>0.96164000000000005</v>
      </c>
    </row>
    <row r="18" spans="2:76" x14ac:dyDescent="0.2">
      <c r="B18" s="107">
        <f t="shared" si="2"/>
        <v>14</v>
      </c>
      <c r="C18" s="70" t="s">
        <v>138</v>
      </c>
      <c r="D18" s="70">
        <v>12</v>
      </c>
      <c r="E18" s="70">
        <v>144</v>
      </c>
      <c r="F18" s="80">
        <f t="shared" si="0"/>
        <v>45097</v>
      </c>
      <c r="G18" s="80">
        <v>49480</v>
      </c>
      <c r="H18" s="108">
        <f t="shared" si="1"/>
        <v>11.973251895534963</v>
      </c>
      <c r="I18" s="109" t="b">
        <f>_xlfn.XLOOKUP(C18,UserInput!$C$20:$C$39,UserInput!$H$20:$H$39,FALSE)</f>
        <v>0</v>
      </c>
      <c r="K18" s="107"/>
      <c r="L18" s="71"/>
      <c r="M18" s="108"/>
      <c r="O18" s="111"/>
      <c r="P18" s="111"/>
      <c r="Q18" s="111"/>
      <c r="R18" s="112"/>
      <c r="V18" s="113"/>
      <c r="W18" s="111"/>
      <c r="X18" s="111"/>
      <c r="Y18" s="111"/>
      <c r="Z18" s="109"/>
      <c r="AC18" s="80" t="s">
        <v>84</v>
      </c>
      <c r="AD18" s="82" cm="1">
        <f t="array" ref="AD18">_xlfn.XLOOKUP(Current_Tenor,_xlfn.ANCHORARRAY(N5),_xlfn.ANCHORARRAY(P5))</f>
        <v>0</v>
      </c>
      <c r="AE18" s="75">
        <f>AD18*Notional</f>
        <v>0</v>
      </c>
      <c r="AG18" s="75">
        <v>14</v>
      </c>
      <c r="AH18" s="76">
        <v>46376</v>
      </c>
      <c r="AI18" s="77">
        <v>46286</v>
      </c>
      <c r="AJ18" s="77">
        <v>46286</v>
      </c>
      <c r="AK18" s="77">
        <v>46377</v>
      </c>
      <c r="AL18" s="78">
        <v>0.25277777777777777</v>
      </c>
      <c r="AM18" s="77">
        <v>46377</v>
      </c>
      <c r="AN18" s="79">
        <v>3.2749999999999999</v>
      </c>
      <c r="AO18" s="79">
        <v>3.5277777777777777</v>
      </c>
      <c r="AP18" s="79">
        <v>0.25277777777777777</v>
      </c>
      <c r="AQ18" s="78">
        <v>0.89012132959124379</v>
      </c>
      <c r="AS18" s="81">
        <v>0.01</v>
      </c>
      <c r="AT18" s="75">
        <v>252777.77777777778</v>
      </c>
      <c r="AV18" s="75">
        <v>212181.07918611847</v>
      </c>
      <c r="AW18" s="82">
        <v>1.6631543419795659E-2</v>
      </c>
      <c r="AX18" s="82">
        <v>1.6631543419795659E-2</v>
      </c>
      <c r="AY18" s="82">
        <v>0.99580474020587928</v>
      </c>
      <c r="AZ18" s="119">
        <f>IF(AY18="","",PRODUCT($AY$5:AY18))</f>
        <v>0.94301489920097892</v>
      </c>
      <c r="BA18" s="120">
        <v>0.94301489920097892</v>
      </c>
      <c r="BB18" s="82">
        <v>5.6985100799021082E-2</v>
      </c>
      <c r="BC18" s="82">
        <v>3.9728596703172414E-3</v>
      </c>
      <c r="BD18" s="82">
        <v>3.9728596703172414E-3</v>
      </c>
      <c r="BE18" s="75">
        <v>212179.62792133281</v>
      </c>
      <c r="BG18" s="75">
        <v>212181.22011321623</v>
      </c>
      <c r="BH18" s="82">
        <v>1.6631584016205979E-2</v>
      </c>
      <c r="BI18" s="82">
        <v>0.9430155255355861</v>
      </c>
      <c r="BJ18" s="82">
        <v>5.6984474464413903E-2</v>
      </c>
      <c r="BK18" s="82">
        <v>3.9728720268957796E-3</v>
      </c>
      <c r="BL18" s="82">
        <v>3.9728720268957796E-3</v>
      </c>
      <c r="BM18" s="75">
        <v>212180.28785257987</v>
      </c>
      <c r="BO18" s="81">
        <v>0.01</v>
      </c>
      <c r="BP18" s="75">
        <v>212181.0791861185</v>
      </c>
      <c r="BR18" s="81">
        <v>0.01</v>
      </c>
      <c r="BS18" s="75">
        <v>212181.22011321626</v>
      </c>
      <c r="BU18" s="75">
        <v>0</v>
      </c>
      <c r="BW18" s="80">
        <v>45691</v>
      </c>
      <c r="BX18" s="78">
        <v>0.95770999999999995</v>
      </c>
    </row>
    <row r="19" spans="2:76" x14ac:dyDescent="0.2">
      <c r="B19" s="107">
        <f t="shared" si="2"/>
        <v>15</v>
      </c>
      <c r="C19" s="70" t="s">
        <v>13</v>
      </c>
      <c r="D19" s="70">
        <v>15</v>
      </c>
      <c r="E19" s="70">
        <v>180</v>
      </c>
      <c r="F19" s="80">
        <f t="shared" si="0"/>
        <v>45097</v>
      </c>
      <c r="G19" s="80">
        <v>50576</v>
      </c>
      <c r="H19" s="108">
        <f t="shared" si="1"/>
        <v>14.973305954825461</v>
      </c>
      <c r="I19" s="109" t="b">
        <f>_xlfn.XLOOKUP(C19,UserInput!$C$20:$C$39,UserInput!$H$20:$H$39,FALSE)</f>
        <v>1</v>
      </c>
      <c r="K19" s="107"/>
      <c r="L19" s="71"/>
      <c r="M19" s="108"/>
      <c r="O19" s="111"/>
      <c r="P19" s="111"/>
      <c r="Q19" s="111"/>
      <c r="R19" s="112"/>
      <c r="V19" s="113"/>
      <c r="W19" s="111"/>
      <c r="X19" s="111"/>
      <c r="Y19" s="111"/>
      <c r="Z19" s="109"/>
      <c r="AC19" s="80" t="s">
        <v>92</v>
      </c>
      <c r="AD19" s="82">
        <f>AE19/Notional</f>
        <v>0</v>
      </c>
      <c r="AE19" s="75">
        <f>-1*SUM(_xlfn.ANCHORARRAY(BU5))</f>
        <v>0</v>
      </c>
      <c r="AG19" s="75">
        <v>15</v>
      </c>
      <c r="AH19" s="76">
        <v>46466</v>
      </c>
      <c r="AI19" s="77">
        <v>46377</v>
      </c>
      <c r="AJ19" s="77">
        <v>46377</v>
      </c>
      <c r="AK19" s="77">
        <v>46468</v>
      </c>
      <c r="AL19" s="78">
        <v>0.25277777777777777</v>
      </c>
      <c r="AM19" s="77">
        <v>46468</v>
      </c>
      <c r="AN19" s="79">
        <v>3.5277777777777777</v>
      </c>
      <c r="AO19" s="79">
        <v>3.7805555555555554</v>
      </c>
      <c r="AP19" s="79">
        <v>0.25277777777777777</v>
      </c>
      <c r="AQ19" s="78">
        <v>0.88214885545733634</v>
      </c>
      <c r="AS19" s="81">
        <v>0.01</v>
      </c>
      <c r="AT19" s="75">
        <v>252777.77777777778</v>
      </c>
      <c r="AV19" s="75">
        <v>209398.47295303372</v>
      </c>
      <c r="AW19" s="82">
        <v>1.6631543419795659E-2</v>
      </c>
      <c r="AX19" s="82">
        <v>1.6631543419795659E-2</v>
      </c>
      <c r="AY19" s="82">
        <v>0.99580474020587928</v>
      </c>
      <c r="AZ19" s="119">
        <f>IF(AY19="","",PRODUCT($AY$5:AY19))</f>
        <v>0.9390587067091043</v>
      </c>
      <c r="BA19" s="120">
        <v>0.9390587067091043</v>
      </c>
      <c r="BB19" s="82">
        <v>6.0941293290895704E-2</v>
      </c>
      <c r="BC19" s="82">
        <v>3.9561924918746216E-3</v>
      </c>
      <c r="BD19" s="82">
        <v>3.9561924918746216E-3</v>
      </c>
      <c r="BE19" s="75">
        <v>209397.04072056629</v>
      </c>
      <c r="BG19" s="75">
        <v>209398.60988314988</v>
      </c>
      <c r="BH19" s="82">
        <v>1.6631584016205979E-2</v>
      </c>
      <c r="BI19" s="82">
        <v>0.93905932077956988</v>
      </c>
      <c r="BJ19" s="82">
        <v>6.0940679220430116E-2</v>
      </c>
      <c r="BK19" s="82">
        <v>3.9562047560162128E-3</v>
      </c>
      <c r="BL19" s="82">
        <v>3.9562047560162128E-3</v>
      </c>
      <c r="BM19" s="75">
        <v>209397.68984847434</v>
      </c>
      <c r="BO19" s="81">
        <v>0.01</v>
      </c>
      <c r="BP19" s="75">
        <v>209398.47295303369</v>
      </c>
      <c r="BR19" s="81">
        <v>0.01</v>
      </c>
      <c r="BS19" s="75">
        <v>209398.60988314985</v>
      </c>
      <c r="BU19" s="75">
        <v>0</v>
      </c>
      <c r="BW19" s="80">
        <v>45719</v>
      </c>
      <c r="BX19" s="78">
        <v>0.95437000000000005</v>
      </c>
    </row>
    <row r="20" spans="2:76" x14ac:dyDescent="0.2">
      <c r="B20" s="107">
        <f t="shared" si="2"/>
        <v>16</v>
      </c>
      <c r="C20" s="70" t="s">
        <v>14</v>
      </c>
      <c r="D20" s="70">
        <v>20</v>
      </c>
      <c r="E20" s="70">
        <v>240</v>
      </c>
      <c r="F20" s="80">
        <f t="shared" si="0"/>
        <v>45097</v>
      </c>
      <c r="G20" s="80">
        <v>52402</v>
      </c>
      <c r="H20" s="108">
        <f t="shared" si="1"/>
        <v>19.973272490221643</v>
      </c>
      <c r="I20" s="109" t="b">
        <f>_xlfn.XLOOKUP(C20,UserInput!$C$20:$C$39,UserInput!$H$20:$H$39,FALSE)</f>
        <v>1</v>
      </c>
      <c r="K20" s="107"/>
      <c r="L20" s="71"/>
      <c r="M20" s="108"/>
      <c r="O20" s="111"/>
      <c r="P20" s="111"/>
      <c r="Q20" s="111"/>
      <c r="R20" s="112"/>
      <c r="V20" s="113"/>
      <c r="W20" s="111"/>
      <c r="X20" s="111"/>
      <c r="Y20" s="111"/>
      <c r="Z20" s="109"/>
      <c r="AC20" s="80" t="s">
        <v>85</v>
      </c>
      <c r="AD20" s="82" cm="1">
        <f t="array" ref="AD20">_xlfn.IFS(
DataFieldToUseForSolve="Upfront Fee",AD18,
DataFieldToUseForSolve="Quoted Spread",AD19)</f>
        <v>0</v>
      </c>
      <c r="AE20" s="117" cm="1">
        <f t="array" ref="AE20">_xlfn.IFS(
DataFieldToUseForSolve="Upfront Fee",AE18,
DataFieldToUseForSolve="Quoted Spread",AE19)</f>
        <v>0</v>
      </c>
      <c r="AG20" s="75">
        <v>16</v>
      </c>
      <c r="AH20" s="76">
        <v>46558</v>
      </c>
      <c r="AI20" s="77">
        <v>46468</v>
      </c>
      <c r="AJ20" s="77">
        <v>46468</v>
      </c>
      <c r="AK20" s="77">
        <v>46559</v>
      </c>
      <c r="AL20" s="78">
        <v>0.25277777777777777</v>
      </c>
      <c r="AM20" s="77">
        <v>46559</v>
      </c>
      <c r="AN20" s="79">
        <v>3.7805555555555554</v>
      </c>
      <c r="AO20" s="79">
        <v>4.0333333333333332</v>
      </c>
      <c r="AP20" s="79">
        <v>0.25277777777777777</v>
      </c>
      <c r="AQ20" s="78">
        <v>0.87438015203050667</v>
      </c>
      <c r="AS20" s="81">
        <v>0.01</v>
      </c>
      <c r="AT20" s="75">
        <v>252777.77777777778</v>
      </c>
      <c r="AV20" s="75">
        <v>206683.64657748429</v>
      </c>
      <c r="AW20" s="82">
        <v>1.6631543419795659E-2</v>
      </c>
      <c r="AX20" s="82">
        <v>1.6631543419795659E-2</v>
      </c>
      <c r="AY20" s="82">
        <v>0.99580474020587928</v>
      </c>
      <c r="AZ20" s="119">
        <f>IF(AY20="","",PRODUCT($AY$5:AY20))</f>
        <v>0.93511911147252857</v>
      </c>
      <c r="BA20" s="120">
        <v>0.93511911147252857</v>
      </c>
      <c r="BB20" s="82">
        <v>6.4880888527471425E-2</v>
      </c>
      <c r="BC20" s="82">
        <v>3.9395952365757214E-3</v>
      </c>
      <c r="BD20" s="82">
        <v>3.9395952365757214E-3</v>
      </c>
      <c r="BE20" s="75">
        <v>206682.23291374437</v>
      </c>
      <c r="BG20" s="75">
        <v>206683.77961135557</v>
      </c>
      <c r="BH20" s="82">
        <v>1.6631584016205979E-2</v>
      </c>
      <c r="BI20" s="82">
        <v>0.93511971337073163</v>
      </c>
      <c r="BJ20" s="82">
        <v>6.4880286629268369E-2</v>
      </c>
      <c r="BK20" s="82">
        <v>3.9396074088382527E-3</v>
      </c>
      <c r="BL20" s="82">
        <v>3.9396074088382527E-3</v>
      </c>
      <c r="BM20" s="75">
        <v>206682.87150483011</v>
      </c>
      <c r="BO20" s="81">
        <v>0.01</v>
      </c>
      <c r="BP20" s="75">
        <v>206683.64657748429</v>
      </c>
      <c r="BR20" s="81">
        <v>0.01</v>
      </c>
      <c r="BS20" s="75">
        <v>206683.77961135557</v>
      </c>
      <c r="BU20" s="75">
        <v>0</v>
      </c>
      <c r="BW20" s="80">
        <v>45749</v>
      </c>
      <c r="BX20" s="78">
        <v>0.95086999999999999</v>
      </c>
    </row>
    <row r="21" spans="2:76" x14ac:dyDescent="0.2">
      <c r="B21" s="107">
        <f t="shared" si="2"/>
        <v>17</v>
      </c>
      <c r="C21" s="70" t="s">
        <v>139</v>
      </c>
      <c r="D21" s="70">
        <v>25</v>
      </c>
      <c r="E21" s="70">
        <v>300</v>
      </c>
      <c r="F21" s="80">
        <f t="shared" si="0"/>
        <v>45097</v>
      </c>
      <c r="G21" s="80">
        <v>54229</v>
      </c>
      <c r="H21" s="108">
        <f t="shared" si="1"/>
        <v>24.973360008423711</v>
      </c>
      <c r="I21" s="109" t="b">
        <f>_xlfn.XLOOKUP(C21,UserInput!$C$20:$C$39,UserInput!$H$20:$H$39,FALSE)</f>
        <v>0</v>
      </c>
      <c r="K21" s="107"/>
      <c r="L21" s="71"/>
      <c r="M21" s="108"/>
      <c r="O21" s="111"/>
      <c r="P21" s="111"/>
      <c r="Q21" s="111"/>
      <c r="R21" s="112"/>
      <c r="V21" s="113"/>
      <c r="W21" s="111"/>
      <c r="X21" s="111"/>
      <c r="Y21" s="111"/>
      <c r="Z21" s="109"/>
      <c r="AF21" s="75"/>
      <c r="AG21" s="75">
        <v>17</v>
      </c>
      <c r="AH21" s="76">
        <v>46650</v>
      </c>
      <c r="AI21" s="77">
        <v>46559</v>
      </c>
      <c r="AJ21" s="77">
        <v>46559</v>
      </c>
      <c r="AK21" s="77">
        <v>46650</v>
      </c>
      <c r="AL21" s="78">
        <v>0.25277777777777777</v>
      </c>
      <c r="AM21" s="77">
        <v>46650</v>
      </c>
      <c r="AN21" s="79">
        <v>4.0333333333333332</v>
      </c>
      <c r="AO21" s="79">
        <v>4.2861111111111114</v>
      </c>
      <c r="AP21" s="79">
        <v>0.25277777777777821</v>
      </c>
      <c r="AQ21" s="78">
        <v>0.8666979055823435</v>
      </c>
      <c r="AS21" s="81">
        <v>0.01</v>
      </c>
      <c r="AT21" s="75">
        <v>252777.77777777778</v>
      </c>
      <c r="AV21" s="75">
        <v>204008.26834271185</v>
      </c>
      <c r="AW21" s="82">
        <v>1.6631543419795659E-2</v>
      </c>
      <c r="AX21" s="82">
        <v>1.6631464702924106E-2</v>
      </c>
      <c r="AY21" s="82">
        <v>0.99580476002027851</v>
      </c>
      <c r="AZ21" s="119">
        <f>IF(AY21="","",PRODUCT($AY$5:AY21))</f>
        <v>0.93119606239027741</v>
      </c>
      <c r="BA21" s="120">
        <v>0.93119606239027741</v>
      </c>
      <c r="BB21" s="82">
        <v>6.8803937609722587E-2</v>
      </c>
      <c r="BC21" s="82">
        <v>3.9230490822511621E-3</v>
      </c>
      <c r="BD21" s="82">
        <v>3.9230490822511621E-3</v>
      </c>
      <c r="BE21" s="75">
        <v>204005.90538502901</v>
      </c>
      <c r="BG21" s="75">
        <v>204008.3935017093</v>
      </c>
      <c r="BH21" s="82">
        <v>1.6631584016205979E-2</v>
      </c>
      <c r="BI21" s="82">
        <v>0.93119663367871852</v>
      </c>
      <c r="BJ21" s="82">
        <v>6.8803366321281478E-2</v>
      </c>
      <c r="BK21" s="82">
        <v>3.9230796920131095E-3</v>
      </c>
      <c r="BL21" s="82">
        <v>3.9230796920131095E-3</v>
      </c>
      <c r="BM21" s="75">
        <v>204007.49715002321</v>
      </c>
      <c r="BO21" s="81">
        <v>0.01</v>
      </c>
      <c r="BP21" s="75">
        <v>204008.26834271185</v>
      </c>
      <c r="BR21" s="81">
        <v>0.01</v>
      </c>
      <c r="BS21" s="75">
        <v>204008.3935017093</v>
      </c>
      <c r="BU21" s="75">
        <v>0</v>
      </c>
      <c r="BW21" s="80">
        <v>45840</v>
      </c>
      <c r="BX21" s="78">
        <v>0.94074999999999998</v>
      </c>
    </row>
    <row r="22" spans="2:76" x14ac:dyDescent="0.2">
      <c r="B22" s="107">
        <f t="shared" si="2"/>
        <v>18</v>
      </c>
      <c r="C22" s="70" t="s">
        <v>15</v>
      </c>
      <c r="D22" s="70">
        <v>30</v>
      </c>
      <c r="E22" s="70">
        <v>360</v>
      </c>
      <c r="F22" s="80">
        <f t="shared" si="0"/>
        <v>45097</v>
      </c>
      <c r="G22" s="80">
        <v>56055</v>
      </c>
      <c r="H22" s="108">
        <f t="shared" si="1"/>
        <v>29.973328623156409</v>
      </c>
      <c r="I22" s="109" t="b">
        <f>_xlfn.XLOOKUP(C22,UserInput!$C$20:$C$39,UserInput!$H$20:$H$39,FALSE)</f>
        <v>1</v>
      </c>
      <c r="K22" s="107"/>
      <c r="L22" s="71"/>
      <c r="M22" s="108"/>
      <c r="O22" s="111"/>
      <c r="P22" s="111"/>
      <c r="Q22" s="111"/>
      <c r="R22" s="112"/>
      <c r="V22" s="113"/>
      <c r="W22" s="111"/>
      <c r="X22" s="111"/>
      <c r="Y22" s="111"/>
      <c r="Z22" s="109"/>
      <c r="AC22" s="80" t="s">
        <v>94</v>
      </c>
      <c r="AD22" s="75">
        <f>SUM(_xlfn.ANCHORARRAY(BG5))+AE20</f>
        <v>15289312.798262149</v>
      </c>
      <c r="AF22" s="75"/>
      <c r="AG22" s="75">
        <v>18</v>
      </c>
      <c r="AH22" s="76">
        <v>46741</v>
      </c>
      <c r="AI22" s="77">
        <v>46650</v>
      </c>
      <c r="AJ22" s="77">
        <v>46650</v>
      </c>
      <c r="AK22" s="77">
        <v>46741</v>
      </c>
      <c r="AL22" s="78">
        <v>0.25277777777777777</v>
      </c>
      <c r="AM22" s="77">
        <v>46741</v>
      </c>
      <c r="AN22" s="79">
        <v>4.2861111111111114</v>
      </c>
      <c r="AO22" s="79">
        <v>4.5388888888888888</v>
      </c>
      <c r="AP22" s="79">
        <v>0.25277777777777732</v>
      </c>
      <c r="AQ22" s="78">
        <v>0.85908315484568909</v>
      </c>
      <c r="AS22" s="81">
        <v>0.01</v>
      </c>
      <c r="AT22" s="75">
        <v>252777.77777777778</v>
      </c>
      <c r="AV22" s="75">
        <v>201367.52104665962</v>
      </c>
      <c r="AW22" s="82">
        <v>1.6631464702924106E-2</v>
      </c>
      <c r="AX22" s="82">
        <v>1.6631464702924106E-2</v>
      </c>
      <c r="AY22" s="82">
        <v>0.99580476002027851</v>
      </c>
      <c r="AZ22" s="119">
        <f>IF(AY22="","",PRODUCT($AY$5:AY22))</f>
        <v>0.92728947144037854</v>
      </c>
      <c r="BA22" s="120">
        <v>0.92728947144037854</v>
      </c>
      <c r="BB22" s="82">
        <v>7.2710528559621457E-2</v>
      </c>
      <c r="BC22" s="82">
        <v>3.9065909498988693E-3</v>
      </c>
      <c r="BD22" s="82">
        <v>3.9065909498988693E-3</v>
      </c>
      <c r="BE22" s="75">
        <v>201365.18867584426</v>
      </c>
      <c r="BG22" s="75">
        <v>201367.63851236261</v>
      </c>
      <c r="BH22" s="82">
        <v>1.6631584016205979E-2</v>
      </c>
      <c r="BI22" s="82">
        <v>0.92729001236529562</v>
      </c>
      <c r="BJ22" s="82">
        <v>7.2709987634704376E-2</v>
      </c>
      <c r="BK22" s="82">
        <v>3.9066213134228978E-3</v>
      </c>
      <c r="BL22" s="82">
        <v>3.9066213134228978E-3</v>
      </c>
      <c r="BM22" s="75">
        <v>201366.75376336518</v>
      </c>
      <c r="BO22" s="81">
        <v>0.01</v>
      </c>
      <c r="BP22" s="75">
        <v>201367.52104665962</v>
      </c>
      <c r="BR22" s="81">
        <v>0.01</v>
      </c>
      <c r="BS22" s="75">
        <v>201367.63851236261</v>
      </c>
      <c r="BU22" s="75">
        <v>0</v>
      </c>
      <c r="BW22" s="80">
        <v>45932</v>
      </c>
      <c r="BX22" s="78">
        <v>0.93113000000000001</v>
      </c>
    </row>
    <row r="23" spans="2:76" x14ac:dyDescent="0.2">
      <c r="B23" s="107">
        <v>19</v>
      </c>
      <c r="C23" s="70" t="s">
        <v>140</v>
      </c>
      <c r="D23" s="70">
        <v>40</v>
      </c>
      <c r="E23" s="70">
        <v>480</v>
      </c>
      <c r="F23" s="80">
        <f t="shared" si="0"/>
        <v>45097</v>
      </c>
      <c r="G23" s="80">
        <v>59707</v>
      </c>
      <c r="H23" s="108">
        <f t="shared" si="1"/>
        <v>39.973288814691152</v>
      </c>
      <c r="I23" s="109" t="b">
        <f>_xlfn.XLOOKUP(C23,UserInput!$C$20:$C$39,UserInput!$H$20:$H$39,FALSE)</f>
        <v>0</v>
      </c>
      <c r="K23" s="107"/>
      <c r="L23" s="71"/>
      <c r="M23" s="108"/>
      <c r="O23" s="111"/>
      <c r="P23" s="111"/>
      <c r="Q23" s="111"/>
      <c r="R23" s="112"/>
      <c r="V23" s="113"/>
      <c r="W23" s="111"/>
      <c r="X23" s="111"/>
      <c r="Y23" s="111"/>
      <c r="Z23" s="109"/>
      <c r="AC23" s="70" t="s">
        <v>78</v>
      </c>
      <c r="AD23" s="75">
        <f>SUM(_xlfn.ANCHORARRAY(BM5))</f>
        <v>15289312.798248544</v>
      </c>
      <c r="AF23" s="75"/>
      <c r="AG23" s="75">
        <v>19</v>
      </c>
      <c r="AH23" s="76">
        <v>46832</v>
      </c>
      <c r="AI23" s="77">
        <v>46741</v>
      </c>
      <c r="AJ23" s="77">
        <v>46741</v>
      </c>
      <c r="AK23" s="77">
        <v>46832</v>
      </c>
      <c r="AL23" s="78">
        <v>0.25277777777777777</v>
      </c>
      <c r="AM23" s="77">
        <v>46832</v>
      </c>
      <c r="AN23" s="79">
        <v>4.5388888888888888</v>
      </c>
      <c r="AO23" s="79">
        <v>4.791666666666667</v>
      </c>
      <c r="AP23" s="79">
        <v>0.25277777777777821</v>
      </c>
      <c r="AQ23" s="78">
        <v>0.85153530680766565</v>
      </c>
      <c r="AS23" s="81">
        <v>0.01</v>
      </c>
      <c r="AT23" s="75">
        <v>252777.77777777778</v>
      </c>
      <c r="AV23" s="75">
        <v>198760.95641554668</v>
      </c>
      <c r="AW23" s="82">
        <v>1.6631464702924106E-2</v>
      </c>
      <c r="AX23" s="82">
        <v>1.6631464702924106E-2</v>
      </c>
      <c r="AY23" s="82">
        <v>0.99580476002027851</v>
      </c>
      <c r="AZ23" s="119">
        <f>IF(AY23="","",PRODUCT($AY$5:AY23))</f>
        <v>0.92339926957701701</v>
      </c>
      <c r="BA23" s="120">
        <v>0.92339926957701701</v>
      </c>
      <c r="BB23" s="82">
        <v>7.6600730422982988E-2</v>
      </c>
      <c r="BC23" s="82">
        <v>3.890201863361531E-3</v>
      </c>
      <c r="BD23" s="82">
        <v>3.890201863361531E-3</v>
      </c>
      <c r="BE23" s="75">
        <v>198758.65423567881</v>
      </c>
      <c r="BG23" s="75">
        <v>198761.06636615316</v>
      </c>
      <c r="BH23" s="82">
        <v>1.6631584016205979E-2</v>
      </c>
      <c r="BI23" s="82">
        <v>0.92339978038312076</v>
      </c>
      <c r="BJ23" s="82">
        <v>7.6600219616879239E-2</v>
      </c>
      <c r="BK23" s="82">
        <v>3.8902319821748632E-3</v>
      </c>
      <c r="BL23" s="82">
        <v>3.8902319821748632E-3</v>
      </c>
      <c r="BM23" s="75">
        <v>198760.19306965591</v>
      </c>
      <c r="BO23" s="81">
        <v>0.01</v>
      </c>
      <c r="BP23" s="75">
        <v>198760.95641554662</v>
      </c>
      <c r="BR23" s="81">
        <v>0.01</v>
      </c>
      <c r="BS23" s="75">
        <v>198761.0663661531</v>
      </c>
      <c r="BU23" s="75">
        <v>0</v>
      </c>
      <c r="BW23" s="80">
        <v>46024</v>
      </c>
      <c r="BX23" s="78">
        <v>0.92213000000000001</v>
      </c>
    </row>
    <row r="24" spans="2:76" x14ac:dyDescent="0.2">
      <c r="B24" s="126">
        <v>20</v>
      </c>
      <c r="C24" s="127" t="s">
        <v>141</v>
      </c>
      <c r="D24" s="127">
        <v>50</v>
      </c>
      <c r="E24" s="127">
        <v>600</v>
      </c>
      <c r="F24" s="128">
        <f t="shared" si="0"/>
        <v>45097</v>
      </c>
      <c r="G24" s="129">
        <v>63360</v>
      </c>
      <c r="H24" s="130">
        <f t="shared" si="1"/>
        <v>49.973319733734165</v>
      </c>
      <c r="I24" s="131" t="b">
        <f>_xlfn.XLOOKUP(C24,UserInput!$C$20:$C$39,UserInput!$H$20:$H$39,FALSE)</f>
        <v>0</v>
      </c>
      <c r="K24" s="126"/>
      <c r="L24" s="128"/>
      <c r="M24" s="130"/>
      <c r="N24" s="127"/>
      <c r="O24" s="132"/>
      <c r="P24" s="132"/>
      <c r="Q24" s="132"/>
      <c r="R24" s="133"/>
      <c r="V24" s="134"/>
      <c r="W24" s="132"/>
      <c r="X24" s="132"/>
      <c r="Y24" s="132"/>
      <c r="Z24" s="131"/>
      <c r="AC24" s="70" t="s">
        <v>96</v>
      </c>
      <c r="AD24" s="75">
        <f>AD22-AD23</f>
        <v>1.360476016998291E-5</v>
      </c>
      <c r="AF24" s="75"/>
      <c r="AG24" s="75">
        <v>20</v>
      </c>
      <c r="AH24" s="76">
        <v>46924</v>
      </c>
      <c r="AI24" s="77">
        <v>46832</v>
      </c>
      <c r="AJ24" s="77">
        <v>46832</v>
      </c>
      <c r="AK24" s="77">
        <v>46924</v>
      </c>
      <c r="AL24" s="78">
        <v>0.25555555555555554</v>
      </c>
      <c r="AM24" s="77">
        <v>46924</v>
      </c>
      <c r="AN24" s="79">
        <v>4.791666666666667</v>
      </c>
      <c r="AO24" s="79">
        <v>5.0472222222222225</v>
      </c>
      <c r="AP24" s="79">
        <v>0.25555555555555554</v>
      </c>
      <c r="AQ24" s="78">
        <v>0.84400143945571271</v>
      </c>
      <c r="AS24" s="81">
        <v>0.01</v>
      </c>
      <c r="AT24" s="75">
        <v>255555.55555555553</v>
      </c>
      <c r="AV24" s="75">
        <v>198322.58508960306</v>
      </c>
      <c r="AW24" s="82">
        <v>1.6631464702924106E-2</v>
      </c>
      <c r="AX24" s="82">
        <v>1.6631464702924106E-2</v>
      </c>
      <c r="AY24" s="82">
        <v>0.99575875638372191</v>
      </c>
      <c r="AZ24" s="119">
        <f>IF(AY24="","",PRODUCT($AY$5:AY24))</f>
        <v>0.91948290831964763</v>
      </c>
      <c r="BA24" s="120">
        <v>0.91948290831964763</v>
      </c>
      <c r="BB24" s="82">
        <v>8.0517091680352371E-2</v>
      </c>
      <c r="BC24" s="82">
        <v>3.9163612573693829E-3</v>
      </c>
      <c r="BD24" s="82">
        <v>3.9163612573693829E-3</v>
      </c>
      <c r="BE24" s="75">
        <v>198324.87231890063</v>
      </c>
      <c r="BG24" s="75">
        <v>198322.68875061994</v>
      </c>
      <c r="BH24" s="82">
        <v>1.6631584016205979E-2</v>
      </c>
      <c r="BI24" s="82">
        <v>0.91948338892317161</v>
      </c>
      <c r="BJ24" s="82">
        <v>8.0516611076828393E-2</v>
      </c>
      <c r="BK24" s="82">
        <v>3.9163914599491534E-3</v>
      </c>
      <c r="BL24" s="82">
        <v>3.9163914599491534E-3</v>
      </c>
      <c r="BM24" s="75">
        <v>198326.40178014874</v>
      </c>
      <c r="BO24" s="81">
        <v>0.01</v>
      </c>
      <c r="BP24" s="75">
        <v>198322.58508960309</v>
      </c>
      <c r="BR24" s="81">
        <v>0.01</v>
      </c>
      <c r="BS24" s="75">
        <v>198322.68875061997</v>
      </c>
      <c r="BU24" s="75">
        <v>0</v>
      </c>
      <c r="BW24" s="80">
        <v>46114</v>
      </c>
      <c r="BX24" s="78">
        <v>0.91356999999999999</v>
      </c>
    </row>
    <row r="25" spans="2:76" x14ac:dyDescent="0.2">
      <c r="AG25" s="75">
        <v>21</v>
      </c>
      <c r="AH25" s="76">
        <v>47016</v>
      </c>
      <c r="AI25" s="77">
        <v>46924</v>
      </c>
      <c r="AJ25" s="77">
        <v>46924</v>
      </c>
      <c r="AK25" s="77">
        <v>47016</v>
      </c>
      <c r="AL25" s="78">
        <v>0.25555555555555554</v>
      </c>
      <c r="AM25" s="77">
        <v>47016</v>
      </c>
      <c r="AN25" s="79">
        <v>5.0472222222222225</v>
      </c>
      <c r="AO25" s="79">
        <v>5.302777777777778</v>
      </c>
      <c r="AP25" s="79">
        <v>0.25555555555555554</v>
      </c>
      <c r="AQ25" s="78">
        <v>0.83653947785564453</v>
      </c>
      <c r="AS25" s="81">
        <v>0.01</v>
      </c>
      <c r="AT25" s="75">
        <v>255555.55555555553</v>
      </c>
      <c r="AV25" s="75">
        <v>195735.47864606045</v>
      </c>
      <c r="AW25" s="82">
        <v>1.6631464702924106E-2</v>
      </c>
      <c r="AX25" s="82">
        <v>1.6631557504999582E-2</v>
      </c>
      <c r="AY25" s="82">
        <v>0.99575873276822191</v>
      </c>
      <c r="AZ25" s="119">
        <f>IF(AY25="","",PRODUCT($AY$5:AY25))</f>
        <v>0.91558313559041149</v>
      </c>
      <c r="BA25" s="120">
        <v>0.91558313559041149</v>
      </c>
      <c r="BB25" s="82">
        <v>8.441686440958851E-2</v>
      </c>
      <c r="BC25" s="82">
        <v>3.8997727292361395E-3</v>
      </c>
      <c r="BD25" s="82">
        <v>3.8997727292361395E-3</v>
      </c>
      <c r="BE25" s="75">
        <v>195738.83056025291</v>
      </c>
      <c r="BG25" s="75">
        <v>195735.57962870007</v>
      </c>
      <c r="BH25" s="82">
        <v>1.6631584016205979E-2</v>
      </c>
      <c r="BI25" s="82">
        <v>0.91558360795240967</v>
      </c>
      <c r="BJ25" s="82">
        <v>8.4416392047590327E-2</v>
      </c>
      <c r="BK25" s="82">
        <v>3.8997809707619346E-3</v>
      </c>
      <c r="BL25" s="82">
        <v>3.8997809707619346E-3</v>
      </c>
      <c r="BM25" s="75">
        <v>195739.24422195402</v>
      </c>
      <c r="BO25" s="81">
        <v>0.01</v>
      </c>
      <c r="BP25" s="75">
        <v>195735.47864606045</v>
      </c>
      <c r="BR25" s="81">
        <v>0.01</v>
      </c>
      <c r="BS25" s="75">
        <v>195735.57962870007</v>
      </c>
      <c r="BU25" s="75">
        <v>0</v>
      </c>
      <c r="BW25" s="80">
        <v>46479</v>
      </c>
      <c r="BX25" s="78">
        <v>0.88119000000000003</v>
      </c>
    </row>
    <row r="26" spans="2:76" x14ac:dyDescent="0.2">
      <c r="B26" s="72" t="s">
        <v>166</v>
      </c>
      <c r="C26" s="73"/>
      <c r="D26" s="73"/>
      <c r="E26" s="73"/>
      <c r="F26" s="74"/>
      <c r="K26" s="72" t="s">
        <v>108</v>
      </c>
      <c r="L26" s="73"/>
      <c r="M26" s="73"/>
      <c r="N26" s="73"/>
      <c r="O26" s="73"/>
      <c r="P26" s="73"/>
      <c r="Q26" s="73"/>
      <c r="R26" s="74"/>
      <c r="AC26" s="80" t="s">
        <v>93</v>
      </c>
      <c r="AD26" s="75">
        <f>SUM(_xlfn.ANCHORARRAY(AV5))+AE20</f>
        <v>15289309.512610214</v>
      </c>
      <c r="AG26" s="75">
        <v>22</v>
      </c>
      <c r="AH26" s="76">
        <v>47107</v>
      </c>
      <c r="AI26" s="77">
        <v>47016</v>
      </c>
      <c r="AJ26" s="77">
        <v>47016</v>
      </c>
      <c r="AK26" s="77">
        <v>47107</v>
      </c>
      <c r="AL26" s="78">
        <v>0.25277777777777777</v>
      </c>
      <c r="AM26" s="77">
        <v>47107</v>
      </c>
      <c r="AN26" s="79">
        <v>5.302777777777778</v>
      </c>
      <c r="AO26" s="79">
        <v>5.5555555555555554</v>
      </c>
      <c r="AP26" s="79">
        <v>0.25277777777777732</v>
      </c>
      <c r="AQ26" s="78">
        <v>0.82922352735976546</v>
      </c>
      <c r="AS26" s="81">
        <v>0.01</v>
      </c>
      <c r="AT26" s="75">
        <v>252777.77777777778</v>
      </c>
      <c r="AV26" s="75">
        <v>191109.58951495367</v>
      </c>
      <c r="AW26" s="82">
        <v>1.6631557504999582E-2</v>
      </c>
      <c r="AX26" s="82">
        <v>1.6631557504999582E-2</v>
      </c>
      <c r="AY26" s="82">
        <v>0.9958047366603896</v>
      </c>
      <c r="AZ26" s="119">
        <f>IF(AY26="","",PRODUCT($AY$5:AY26))</f>
        <v>0.91174202322730347</v>
      </c>
      <c r="BA26" s="120">
        <v>0.91174202322730347</v>
      </c>
      <c r="BB26" s="82">
        <v>8.8257976772696534E-2</v>
      </c>
      <c r="BC26" s="82">
        <v>3.8411123631080235E-3</v>
      </c>
      <c r="BD26" s="82">
        <v>3.8411123631080235E-3</v>
      </c>
      <c r="BE26" s="75">
        <v>191108.44456329837</v>
      </c>
      <c r="BG26" s="75">
        <v>191109.68683032229</v>
      </c>
      <c r="BH26" s="82">
        <v>1.6631584016205979E-2</v>
      </c>
      <c r="BI26" s="82">
        <v>0.91174248749762765</v>
      </c>
      <c r="BJ26" s="82">
        <v>8.8257512502372348E-2</v>
      </c>
      <c r="BK26" s="82">
        <v>3.841120454782021E-3</v>
      </c>
      <c r="BL26" s="82">
        <v>3.841120454782021E-3</v>
      </c>
      <c r="BM26" s="75">
        <v>191108.84715168565</v>
      </c>
      <c r="BO26" s="81">
        <v>0.01</v>
      </c>
      <c r="BP26" s="75">
        <v>191109.58951495367</v>
      </c>
      <c r="BR26" s="81">
        <v>0.01</v>
      </c>
      <c r="BS26" s="75">
        <v>191109.68683032229</v>
      </c>
      <c r="BU26" s="75">
        <v>0</v>
      </c>
      <c r="BW26" s="80">
        <v>46846</v>
      </c>
      <c r="BX26" s="78">
        <v>0.85038000000000002</v>
      </c>
    </row>
    <row r="27" spans="2:76" x14ac:dyDescent="0.2">
      <c r="B27" s="135" t="s">
        <v>167</v>
      </c>
      <c r="C27" s="136"/>
      <c r="D27" s="136"/>
      <c r="E27" s="136"/>
      <c r="F27" s="137">
        <f>MONTH(CurveDate)</f>
        <v>6</v>
      </c>
      <c r="K27" s="72" t="s">
        <v>116</v>
      </c>
      <c r="L27" s="73"/>
      <c r="M27" s="73"/>
      <c r="N27" s="73"/>
      <c r="O27" s="84" t="b">
        <f>NOT(DataFieldToUseForSolve=O28)</f>
        <v>1</v>
      </c>
      <c r="P27" s="84" t="b">
        <f>NOT(DataFieldToUseForSolve=P28)</f>
        <v>0</v>
      </c>
      <c r="Q27" s="84" t="b">
        <f>NOT(DataFieldToUseForSolve=Q28)</f>
        <v>1</v>
      </c>
      <c r="R27" s="85" t="s">
        <v>144</v>
      </c>
      <c r="S27" s="138" t="b">
        <f>NOT(DataFieldToUseForSolve=S28)</f>
        <v>1</v>
      </c>
      <c r="T27" s="139" t="b">
        <f>NOT(DataFieldToUseForSolve=T28)</f>
        <v>1</v>
      </c>
      <c r="AC27" s="80" t="s">
        <v>79</v>
      </c>
      <c r="AD27" s="75">
        <f>SUM(_xlfn.ANCHORARRAY(BE5))</f>
        <v>15289309.512616057</v>
      </c>
      <c r="AG27" s="75">
        <v>23</v>
      </c>
      <c r="AH27" s="76">
        <v>47197</v>
      </c>
      <c r="AI27" s="77">
        <v>47107</v>
      </c>
      <c r="AJ27" s="77">
        <v>47107</v>
      </c>
      <c r="AK27" s="77">
        <v>47197</v>
      </c>
      <c r="AL27" s="78">
        <v>0.25</v>
      </c>
      <c r="AM27" s="77">
        <v>47197</v>
      </c>
      <c r="AN27" s="79">
        <v>5.5555555555555554</v>
      </c>
      <c r="AO27" s="79">
        <v>5.8055555555555554</v>
      </c>
      <c r="AP27" s="79">
        <v>0.25</v>
      </c>
      <c r="AQ27" s="78">
        <v>0.82205090476307052</v>
      </c>
      <c r="AS27" s="81">
        <v>0.01</v>
      </c>
      <c r="AT27" s="75">
        <v>250000</v>
      </c>
      <c r="AV27" s="75">
        <v>186597.12339168004</v>
      </c>
      <c r="AW27" s="82">
        <v>1.6631557504999582E-2</v>
      </c>
      <c r="AX27" s="82">
        <v>1.6631557504999582E-2</v>
      </c>
      <c r="AY27" s="82">
        <v>0.99585074267792972</v>
      </c>
      <c r="AZ27" s="119">
        <f>IF(AY27="","",PRODUCT($AY$5:AY27))</f>
        <v>0.9079589709615884</v>
      </c>
      <c r="BA27" s="120">
        <v>0.9079589709615884</v>
      </c>
      <c r="BB27" s="82">
        <v>9.2041029038411604E-2</v>
      </c>
      <c r="BC27" s="82">
        <v>3.78305226571507E-3</v>
      </c>
      <c r="BD27" s="82">
        <v>3.78305226571507E-3</v>
      </c>
      <c r="BE27" s="75">
        <v>186591.69226782341</v>
      </c>
      <c r="BG27" s="75">
        <v>186597.21717251572</v>
      </c>
      <c r="BH27" s="82">
        <v>1.6631584016205979E-2</v>
      </c>
      <c r="BI27" s="82">
        <v>0.90795942728776058</v>
      </c>
      <c r="BJ27" s="82">
        <v>9.2040572712239421E-2</v>
      </c>
      <c r="BK27" s="82">
        <v>3.7830602098670729E-3</v>
      </c>
      <c r="BL27" s="82">
        <v>3.7830602098670729E-3</v>
      </c>
      <c r="BM27" s="75">
        <v>186592.08409766393</v>
      </c>
      <c r="BO27" s="81">
        <v>0.01</v>
      </c>
      <c r="BP27" s="75">
        <v>186597.12339168007</v>
      </c>
      <c r="BR27" s="81">
        <v>0.01</v>
      </c>
      <c r="BS27" s="75">
        <v>186597.21717251575</v>
      </c>
      <c r="BU27" s="75">
        <v>0</v>
      </c>
      <c r="BW27" s="80">
        <v>47210</v>
      </c>
      <c r="BX27" s="78">
        <v>0.82101999999999997</v>
      </c>
    </row>
    <row r="28" spans="2:76" x14ac:dyDescent="0.2">
      <c r="B28" s="140" t="s">
        <v>168</v>
      </c>
      <c r="C28" s="141"/>
      <c r="D28" s="141"/>
      <c r="E28" s="141"/>
      <c r="F28" s="142" cm="1">
        <f t="array" ref="F28">_xlfn.IFS(
OR(F27=12,F27=1,F27=2),12,
OR(F27=3,F27=4,F27=5),3,
OR(F27=6,F27=7,F27=8),6,
OR(F27=9,F27=10,F27=11),9)</f>
        <v>6</v>
      </c>
      <c r="K28" s="93" t="s">
        <v>29</v>
      </c>
      <c r="L28" s="93" t="s">
        <v>18</v>
      </c>
      <c r="M28" s="93" t="s">
        <v>145</v>
      </c>
      <c r="N28" s="93" t="s">
        <v>3</v>
      </c>
      <c r="O28" s="94" t="s">
        <v>66</v>
      </c>
      <c r="P28" s="94" t="s">
        <v>81</v>
      </c>
      <c r="Q28" s="94" t="s">
        <v>88</v>
      </c>
      <c r="R28" s="95" t="s">
        <v>152</v>
      </c>
      <c r="S28" s="143" t="s">
        <v>112</v>
      </c>
      <c r="T28" s="144" t="s">
        <v>113</v>
      </c>
      <c r="V28" s="90" t="s">
        <v>114</v>
      </c>
      <c r="W28" s="96" t="s">
        <v>110</v>
      </c>
      <c r="X28" s="96" t="s">
        <v>147</v>
      </c>
      <c r="Y28" s="96" t="s">
        <v>115</v>
      </c>
      <c r="Z28" s="96" t="s">
        <v>111</v>
      </c>
      <c r="AC28" s="70" t="s">
        <v>95</v>
      </c>
      <c r="AD28" s="75">
        <f>AD27-AD26</f>
        <v>5.8431178331375122E-6</v>
      </c>
      <c r="AG28" s="75">
        <v>24</v>
      </c>
      <c r="AH28" s="76">
        <v>47289</v>
      </c>
      <c r="AI28" s="77">
        <v>47197</v>
      </c>
      <c r="AJ28" s="77">
        <v>47197</v>
      </c>
      <c r="AK28" s="77">
        <v>47289</v>
      </c>
      <c r="AL28" s="78">
        <v>0.25555555555555554</v>
      </c>
      <c r="AM28" s="77">
        <v>47289</v>
      </c>
      <c r="AN28" s="79">
        <v>5.8055555555555554</v>
      </c>
      <c r="AO28" s="79">
        <v>6.0611111111111109</v>
      </c>
      <c r="AP28" s="79">
        <v>0.25555555555555554</v>
      </c>
      <c r="AQ28" s="78">
        <v>0.81468572278368345</v>
      </c>
      <c r="AS28" s="81">
        <v>0.01</v>
      </c>
      <c r="AT28" s="75">
        <v>255555.55555555553</v>
      </c>
      <c r="AV28" s="75">
        <v>188233.00689152212</v>
      </c>
      <c r="AW28" s="82">
        <v>1.6631557504999582E-2</v>
      </c>
      <c r="AX28" s="82">
        <v>1.6631557504999582E-2</v>
      </c>
      <c r="AY28" s="82">
        <v>0.99575873276822191</v>
      </c>
      <c r="AZ28" s="119">
        <f>IF(AY28="","",PRODUCT($AY$5:AY28))</f>
        <v>0.90410807433025009</v>
      </c>
      <c r="BA28" s="120">
        <v>0.90410807433025009</v>
      </c>
      <c r="BB28" s="82">
        <v>9.5891925669749911E-2</v>
      </c>
      <c r="BC28" s="82">
        <v>3.8508966313383075E-3</v>
      </c>
      <c r="BD28" s="82">
        <v>3.8508966313383075E-3</v>
      </c>
      <c r="BE28" s="75">
        <v>188236.23032802605</v>
      </c>
      <c r="BG28" s="75">
        <v>188233.10021923215</v>
      </c>
      <c r="BH28" s="82">
        <v>1.6631584016205979E-2</v>
      </c>
      <c r="BI28" s="82">
        <v>0.90410852259560792</v>
      </c>
      <c r="BJ28" s="82">
        <v>9.5891477404392078E-2</v>
      </c>
      <c r="BK28" s="82">
        <v>3.8509046921526568E-3</v>
      </c>
      <c r="BL28" s="82">
        <v>3.8509046921526568E-3</v>
      </c>
      <c r="BM28" s="75">
        <v>188236.62434984793</v>
      </c>
      <c r="BO28" s="81">
        <v>0.01</v>
      </c>
      <c r="BP28" s="75">
        <v>188233.00689152212</v>
      </c>
      <c r="BR28" s="81">
        <v>0.01</v>
      </c>
      <c r="BS28" s="75">
        <v>188233.10021923215</v>
      </c>
      <c r="BU28" s="75">
        <v>0</v>
      </c>
      <c r="BW28" s="80">
        <v>47575</v>
      </c>
      <c r="BX28" s="78">
        <v>0.79215999999999998</v>
      </c>
    </row>
    <row r="29" spans="2:76" x14ac:dyDescent="0.2">
      <c r="B29" s="140" t="s">
        <v>169</v>
      </c>
      <c r="C29" s="141"/>
      <c r="D29" s="141"/>
      <c r="E29" s="141"/>
      <c r="F29" s="142">
        <f>IF(F28=3,12,F28-3)</f>
        <v>3</v>
      </c>
      <c r="K29" s="110" cm="1">
        <f t="array" ref="K29:K40">_xlfn.ANCHORARRAY($K$5)</f>
        <v>1</v>
      </c>
      <c r="L29" s="71" cm="1">
        <f t="array" ref="L29:L40">_xlfn.ANCHORARRAY($L$5)</f>
        <v>45189</v>
      </c>
      <c r="M29" s="108" cm="1">
        <f t="array" ref="M29:M40">_xlfn.ANCHORARRAY($M$5)</f>
        <v>0.22465753424657534</v>
      </c>
      <c r="N29" s="80" t="str" cm="1">
        <f t="array" ref="N29:N40">_xlfn.ANCHORARRAY($N$5)</f>
        <v>3M</v>
      </c>
      <c r="O29" s="111">
        <v>0.01</v>
      </c>
      <c r="P29" s="111">
        <v>0</v>
      </c>
      <c r="Q29" s="111">
        <v>0.01</v>
      </c>
      <c r="R29" s="112" cm="1">
        <f t="array" ref="R29:R40">_xlfn.XLOOKUP(_xlfn.ANCHORARRAY(L29),_xlfn.ANCHORARRAY(AH5),_xlfn.ANCHORARRAY(BB5))</f>
        <v>3.7819389355194799E-3</v>
      </c>
      <c r="S29" s="145">
        <v>1.6635110702828509E-2</v>
      </c>
      <c r="T29" s="146">
        <v>1.6635110702828509E-2</v>
      </c>
      <c r="V29" s="113" cm="1">
        <f t="array" ref="V29:V48">IF(K29:K48="","",1-EXP((-Q29:Q48*M29:M48)/(1-RecoveryRate)))</f>
        <v>3.7372911160704625E-3</v>
      </c>
      <c r="W29" s="111" cm="1">
        <f t="array" ref="W29:W48">IF(K29:K48="","",LN(1-R29:R48)*(RecoveryRate-1)/M29:M48)</f>
        <v>1.0119692344220674E-2</v>
      </c>
      <c r="X29" s="111" cm="1">
        <f t="array" ref="X29:X48">IF(K29:K48="","",Q29:Q48-_xlfn.ANCHORARRAY(W29))</f>
        <v>-1.196923442206739E-4</v>
      </c>
      <c r="Y29" s="114" cm="1">
        <f t="array" ref="Y29:Y48">IF(K29:K48="","",_xlfn.ANCHORARRAY(X29)/Q29:Q48)</f>
        <v>-1.196923442206739E-2</v>
      </c>
      <c r="Z29" s="109" t="b" cm="1">
        <f t="array" ref="Z29:Z48">IF(K29:K48="","",((ABS(_xlfn.ANCHORARRAY(X29))&lt;0.05%)*1+(ABS(_xlfn.ANCHORARRAY(Y29))&lt;10%)*1)&gt;0)</f>
        <v>1</v>
      </c>
      <c r="AG29" s="75">
        <v>25</v>
      </c>
      <c r="AH29" s="76">
        <v>47381</v>
      </c>
      <c r="AI29" s="77">
        <v>47289</v>
      </c>
      <c r="AJ29" s="77">
        <v>47289</v>
      </c>
      <c r="AK29" s="77">
        <v>47381</v>
      </c>
      <c r="AL29" s="78">
        <v>0.25555555555555554</v>
      </c>
      <c r="AM29" s="77">
        <v>47381</v>
      </c>
      <c r="AN29" s="79">
        <v>6.0611111111111109</v>
      </c>
      <c r="AO29" s="79">
        <v>6.3166666666666664</v>
      </c>
      <c r="AP29" s="79">
        <v>0.25555555555555554</v>
      </c>
      <c r="AQ29" s="78">
        <v>0.80737066429134074</v>
      </c>
      <c r="AS29" s="81">
        <v>0.01</v>
      </c>
      <c r="AT29" s="75">
        <v>255555.55555555553</v>
      </c>
      <c r="AV29" s="75">
        <v>185751.68565286027</v>
      </c>
      <c r="AW29" s="82">
        <v>1.6631557504999582E-2</v>
      </c>
      <c r="AX29" s="82">
        <v>1.6631557504999582E-2</v>
      </c>
      <c r="AY29" s="82">
        <v>0.99575873276822191</v>
      </c>
      <c r="AZ29" s="119">
        <f>IF(AY29="","",PRODUCT($AY$5:AY29))</f>
        <v>0.90027351038060721</v>
      </c>
      <c r="BA29" s="120">
        <v>0.90027351038060721</v>
      </c>
      <c r="BB29" s="82">
        <v>9.9726489619392789E-2</v>
      </c>
      <c r="BC29" s="82">
        <v>3.8345639496428774E-3</v>
      </c>
      <c r="BD29" s="82">
        <v>3.8345639496428774E-3</v>
      </c>
      <c r="BE29" s="75">
        <v>185754.86659744781</v>
      </c>
      <c r="BG29" s="75">
        <v>185751.7764918234</v>
      </c>
      <c r="BH29" s="82">
        <v>1.6631584016205979E-2</v>
      </c>
      <c r="BI29" s="82">
        <v>0.90027395064531834</v>
      </c>
      <c r="BJ29" s="82">
        <v>9.9726049354681656E-2</v>
      </c>
      <c r="BK29" s="82">
        <v>3.8345719502895781E-3</v>
      </c>
      <c r="BL29" s="82">
        <v>3.8345719502895781E-3</v>
      </c>
      <c r="BM29" s="75">
        <v>185755.2541666943</v>
      </c>
      <c r="BO29" s="81">
        <v>0.01</v>
      </c>
      <c r="BP29" s="75">
        <v>185751.68565286027</v>
      </c>
      <c r="BR29" s="81">
        <v>0.01</v>
      </c>
      <c r="BS29" s="75">
        <v>185751.7764918234</v>
      </c>
      <c r="BU29" s="75">
        <v>0</v>
      </c>
      <c r="BW29" s="80">
        <v>47940</v>
      </c>
      <c r="BX29" s="78">
        <v>0.76404000000000005</v>
      </c>
    </row>
    <row r="30" spans="2:76" x14ac:dyDescent="0.2">
      <c r="B30" s="140" t="s">
        <v>170</v>
      </c>
      <c r="C30" s="141"/>
      <c r="D30" s="141"/>
      <c r="E30" s="141"/>
      <c r="F30" s="142">
        <f>IF(DAY(CurveDate)&gt;=RollDay,F28,F29)</f>
        <v>6</v>
      </c>
      <c r="K30" s="110">
        <v>2</v>
      </c>
      <c r="L30" s="71">
        <v>45280</v>
      </c>
      <c r="M30" s="108">
        <v>0.47397260273972602</v>
      </c>
      <c r="N30" s="80" t="str">
        <v>6M</v>
      </c>
      <c r="O30" s="111">
        <v>0.01</v>
      </c>
      <c r="P30" s="111">
        <v>0</v>
      </c>
      <c r="Q30" s="111">
        <v>0.01</v>
      </c>
      <c r="R30" s="112">
        <v>7.9613609881080682E-3</v>
      </c>
      <c r="S30" s="145">
        <v>1.6631656971490966E-2</v>
      </c>
      <c r="T30" s="146">
        <v>1.663329769256397E-2</v>
      </c>
      <c r="V30" s="113">
        <v>7.8684239831172675E-3</v>
      </c>
      <c r="W30" s="111">
        <v>1.0118587183465498E-2</v>
      </c>
      <c r="X30" s="111">
        <v>-1.1858718346549786E-4</v>
      </c>
      <c r="Y30" s="114">
        <v>-1.1858718346549786E-2</v>
      </c>
      <c r="Z30" s="109" t="b">
        <v>1</v>
      </c>
      <c r="AC30" s="70" t="s">
        <v>77</v>
      </c>
      <c r="AD30" s="75">
        <f>SUM(_xlfn.ANCHORARRAY(BP5))</f>
        <v>15289309.512610214</v>
      </c>
      <c r="AG30" s="75">
        <v>26</v>
      </c>
      <c r="AH30" s="76">
        <v>47472</v>
      </c>
      <c r="AI30" s="77">
        <v>47381</v>
      </c>
      <c r="AJ30" s="77">
        <v>47381</v>
      </c>
      <c r="AK30" s="77">
        <v>47472</v>
      </c>
      <c r="AL30" s="78">
        <v>0.25277777777777777</v>
      </c>
      <c r="AM30" s="77">
        <v>47472</v>
      </c>
      <c r="AN30" s="79">
        <v>6.3166666666666664</v>
      </c>
      <c r="AO30" s="79">
        <v>6.5694444444444446</v>
      </c>
      <c r="AP30" s="79">
        <v>0.25277777777777821</v>
      </c>
      <c r="AQ30" s="78">
        <v>0.80019973426004998</v>
      </c>
      <c r="AS30" s="81">
        <v>0.01</v>
      </c>
      <c r="AT30" s="75">
        <v>252777.77777777778</v>
      </c>
      <c r="AV30" s="75">
        <v>181336.80257413044</v>
      </c>
      <c r="AW30" s="82">
        <v>1.6631557504999582E-2</v>
      </c>
      <c r="AX30" s="82">
        <v>1.6631557504999582E-2</v>
      </c>
      <c r="AY30" s="82">
        <v>0.9958047366603896</v>
      </c>
      <c r="AZ30" s="119">
        <f>IF(AY30="","",PRODUCT($AY$5:AY30))</f>
        <v>0.89649662592688506</v>
      </c>
      <c r="BA30" s="120">
        <v>0.89649662592688506</v>
      </c>
      <c r="BB30" s="82">
        <v>0.10350337407311494</v>
      </c>
      <c r="BC30" s="82">
        <v>3.7768844537221513E-3</v>
      </c>
      <c r="BD30" s="82">
        <v>3.7768844537221513E-3</v>
      </c>
      <c r="BE30" s="75">
        <v>181335.71617196276</v>
      </c>
      <c r="BG30" s="75">
        <v>181336.89003884493</v>
      </c>
      <c r="BH30" s="82">
        <v>1.6631584016205979E-2</v>
      </c>
      <c r="BI30" s="82">
        <v>0.89649705833674509</v>
      </c>
      <c r="BJ30" s="82">
        <v>0.10350294166325491</v>
      </c>
      <c r="BK30" s="82">
        <v>3.7768923085732542E-3</v>
      </c>
      <c r="BL30" s="82">
        <v>3.7768923085732542E-3</v>
      </c>
      <c r="BM30" s="75">
        <v>181336.09329894866</v>
      </c>
      <c r="BO30" s="81">
        <v>0.01</v>
      </c>
      <c r="BP30" s="75">
        <v>181336.80257413044</v>
      </c>
      <c r="BR30" s="81">
        <v>0.01</v>
      </c>
      <c r="BS30" s="75">
        <v>181336.89003884493</v>
      </c>
      <c r="BU30" s="75">
        <v>0</v>
      </c>
      <c r="BW30" s="80">
        <v>48306</v>
      </c>
      <c r="BX30" s="78">
        <v>0.73667000000000005</v>
      </c>
    </row>
    <row r="31" spans="2:76" x14ac:dyDescent="0.2">
      <c r="B31" s="140" t="s">
        <v>172</v>
      </c>
      <c r="C31" s="141"/>
      <c r="D31" s="141"/>
      <c r="E31" s="141"/>
      <c r="F31" s="142">
        <f>IF(F30&gt;F27,YEAR(CurveDate)-1,YEAR(CurveDate))</f>
        <v>2023</v>
      </c>
      <c r="K31" s="110">
        <v>3</v>
      </c>
      <c r="L31" s="71">
        <v>45463</v>
      </c>
      <c r="M31" s="108">
        <v>0.97267759562841527</v>
      </c>
      <c r="N31" s="80" t="str">
        <v>1Y</v>
      </c>
      <c r="O31" s="111">
        <v>0.01</v>
      </c>
      <c r="P31" s="111">
        <v>0</v>
      </c>
      <c r="Q31" s="111">
        <v>0.01</v>
      </c>
      <c r="R31" s="112">
        <v>1.6313027703896532E-2</v>
      </c>
      <c r="S31" s="145">
        <v>1.6631465481213602E-2</v>
      </c>
      <c r="T31" s="146">
        <v>1.6632362365547798E-2</v>
      </c>
      <c r="V31" s="113">
        <v>1.6080597448333345E-2</v>
      </c>
      <c r="W31" s="111">
        <v>1.0145735976153989E-2</v>
      </c>
      <c r="X31" s="111">
        <v>-1.4573597615398851E-4</v>
      </c>
      <c r="Y31" s="114">
        <v>-1.4573597615398851E-2</v>
      </c>
      <c r="Z31" s="109" t="b">
        <v>1</v>
      </c>
      <c r="AC31" s="70" t="s">
        <v>97</v>
      </c>
      <c r="AD31" s="75">
        <f>$AD$26-AD30</f>
        <v>0</v>
      </c>
      <c r="AG31" s="75">
        <v>27</v>
      </c>
      <c r="AH31" s="76">
        <v>47562</v>
      </c>
      <c r="AI31" s="77">
        <v>47472</v>
      </c>
      <c r="AJ31" s="77">
        <v>47472</v>
      </c>
      <c r="AK31" s="77">
        <v>47562</v>
      </c>
      <c r="AL31" s="78">
        <v>0.25</v>
      </c>
      <c r="AM31" s="77">
        <v>47562</v>
      </c>
      <c r="AN31" s="79">
        <v>6.5694444444444446</v>
      </c>
      <c r="AO31" s="79">
        <v>6.8194444444444446</v>
      </c>
      <c r="AP31" s="79">
        <v>0.25</v>
      </c>
      <c r="AQ31" s="78">
        <v>0.79317025268523644</v>
      </c>
      <c r="AS31" s="81">
        <v>0.01</v>
      </c>
      <c r="AT31" s="75">
        <v>250000</v>
      </c>
      <c r="AV31" s="75">
        <v>177031.0061069061</v>
      </c>
      <c r="AW31" s="82">
        <v>1.6631557504999582E-2</v>
      </c>
      <c r="AX31" s="82">
        <v>1.6631557504999582E-2</v>
      </c>
      <c r="AY31" s="82">
        <v>0.99585074267792972</v>
      </c>
      <c r="AZ31" s="119">
        <f>IF(AY31="","",PRODUCT($AY$5:AY31))</f>
        <v>0.89277683073754666</v>
      </c>
      <c r="BA31" s="120">
        <v>0.89277683073754666</v>
      </c>
      <c r="BB31" s="82">
        <v>0.10722316926245334</v>
      </c>
      <c r="BC31" s="82">
        <v>3.719795189338404E-3</v>
      </c>
      <c r="BD31" s="82">
        <v>3.719795189338404E-3</v>
      </c>
      <c r="BE31" s="75">
        <v>177025.85341589211</v>
      </c>
      <c r="BG31" s="75">
        <v>177031.09032146612</v>
      </c>
      <c r="BH31" s="82">
        <v>1.6631584016205979E-2</v>
      </c>
      <c r="BI31" s="82">
        <v>0.89277725543607633</v>
      </c>
      <c r="BJ31" s="82">
        <v>0.10722274456392367</v>
      </c>
      <c r="BK31" s="82">
        <v>3.7198029006687561E-3</v>
      </c>
      <c r="BL31" s="82">
        <v>3.7198029006687561E-3</v>
      </c>
      <c r="BM31" s="75">
        <v>177026.22039976277</v>
      </c>
      <c r="BO31" s="81">
        <v>0.01</v>
      </c>
      <c r="BP31" s="75">
        <v>177031.0061069061</v>
      </c>
      <c r="BR31" s="81">
        <v>0.01</v>
      </c>
      <c r="BS31" s="75">
        <v>177031.09032146612</v>
      </c>
      <c r="BU31" s="75">
        <v>0</v>
      </c>
      <c r="BW31" s="80">
        <v>48673</v>
      </c>
      <c r="BX31" s="78">
        <v>0.70975999999999995</v>
      </c>
    </row>
    <row r="32" spans="2:76" x14ac:dyDescent="0.2">
      <c r="B32" s="147" t="s">
        <v>171</v>
      </c>
      <c r="C32" s="148"/>
      <c r="D32" s="148"/>
      <c r="E32" s="148"/>
      <c r="F32" s="149">
        <f>DATE(F31,F30,RollDay)</f>
        <v>45097</v>
      </c>
      <c r="H32" s="75"/>
      <c r="K32" s="110">
        <v>4</v>
      </c>
      <c r="L32" s="71">
        <v>45828</v>
      </c>
      <c r="M32" s="108">
        <v>1.9735401459854016</v>
      </c>
      <c r="N32" s="80" t="str">
        <v>2Y</v>
      </c>
      <c r="O32" s="111">
        <v>0.01</v>
      </c>
      <c r="P32" s="111">
        <v>0</v>
      </c>
      <c r="Q32" s="111">
        <v>0.01</v>
      </c>
      <c r="R32" s="112">
        <v>3.2761428810834436E-2</v>
      </c>
      <c r="S32" s="145">
        <v>1.6631557272585761E-2</v>
      </c>
      <c r="T32" s="146">
        <v>1.6631965936734345E-2</v>
      </c>
      <c r="V32" s="113">
        <v>3.2357265505638999E-2</v>
      </c>
      <c r="W32" s="111">
        <v>1.0127009977465275E-2</v>
      </c>
      <c r="X32" s="111">
        <v>-1.270099774652745E-4</v>
      </c>
      <c r="Y32" s="114">
        <v>-1.270099774652745E-2</v>
      </c>
      <c r="Z32" s="109" t="b">
        <v>1</v>
      </c>
      <c r="AG32" s="75">
        <v>28</v>
      </c>
      <c r="AH32" s="76">
        <v>47654</v>
      </c>
      <c r="AI32" s="77">
        <v>47562</v>
      </c>
      <c r="AJ32" s="77">
        <v>47562</v>
      </c>
      <c r="AK32" s="77">
        <v>47654</v>
      </c>
      <c r="AL32" s="78">
        <v>0.25555555555555554</v>
      </c>
      <c r="AM32" s="77">
        <v>47654</v>
      </c>
      <c r="AN32" s="79">
        <v>6.8194444444444446</v>
      </c>
      <c r="AO32" s="79">
        <v>7.0750000000000002</v>
      </c>
      <c r="AP32" s="79">
        <v>0.25555555555555554</v>
      </c>
      <c r="AQ32" s="78">
        <v>0.78598727794190482</v>
      </c>
      <c r="AS32" s="81">
        <v>0.01</v>
      </c>
      <c r="AT32" s="75">
        <v>255555.55555555553</v>
      </c>
      <c r="AV32" s="75">
        <v>178565.63312742402</v>
      </c>
      <c r="AW32" s="82">
        <v>1.6631557504999582E-2</v>
      </c>
      <c r="AX32" s="82">
        <v>1.6631557504999582E-2</v>
      </c>
      <c r="AY32" s="82">
        <v>0.99575873276822191</v>
      </c>
      <c r="AZ32" s="119">
        <f>IF(AY32="","",PRODUCT($AY$5:AY32))</f>
        <v>0.88899032562004876</v>
      </c>
      <c r="BA32" s="120">
        <v>0.88899032562004876</v>
      </c>
      <c r="BB32" s="82">
        <v>0.11100967437995124</v>
      </c>
      <c r="BC32" s="82">
        <v>3.7865051174978959E-3</v>
      </c>
      <c r="BD32" s="82">
        <v>3.7865051174978959E-3</v>
      </c>
      <c r="BE32" s="75">
        <v>178568.69101291581</v>
      </c>
      <c r="BG32" s="75">
        <v>178565.71686221589</v>
      </c>
      <c r="BH32" s="82">
        <v>1.6631584016205979E-2</v>
      </c>
      <c r="BI32" s="82">
        <v>0.88899074249432963</v>
      </c>
      <c r="BJ32" s="82">
        <v>0.11100925750567037</v>
      </c>
      <c r="BK32" s="82">
        <v>3.7865129417467003E-3</v>
      </c>
      <c r="BL32" s="82">
        <v>3.7865129417467003E-3</v>
      </c>
      <c r="BM32" s="75">
        <v>178569.05999851698</v>
      </c>
      <c r="BO32" s="81">
        <v>0.01</v>
      </c>
      <c r="BP32" s="75">
        <v>178565.63312742402</v>
      </c>
      <c r="BR32" s="81">
        <v>0.01</v>
      </c>
      <c r="BS32" s="75">
        <v>178565.71686221589</v>
      </c>
      <c r="BU32" s="75">
        <v>0</v>
      </c>
      <c r="BW32" s="80">
        <v>49037</v>
      </c>
      <c r="BX32" s="78">
        <v>0.68408999999999998</v>
      </c>
    </row>
    <row r="33" spans="2:76" x14ac:dyDescent="0.2">
      <c r="K33" s="110">
        <v>5</v>
      </c>
      <c r="L33" s="71">
        <v>46193</v>
      </c>
      <c r="M33" s="108">
        <v>2.9733059548254621</v>
      </c>
      <c r="N33" s="80" t="str">
        <v>3Y</v>
      </c>
      <c r="O33" s="111">
        <v>0.01</v>
      </c>
      <c r="P33" s="111">
        <v>0</v>
      </c>
      <c r="Q33" s="111">
        <v>0.01</v>
      </c>
      <c r="R33" s="112">
        <v>4.902264406221879E-2</v>
      </c>
      <c r="S33" s="145">
        <v>1.6631535298202361E-2</v>
      </c>
      <c r="T33" s="146">
        <v>1.6631829353972498E-2</v>
      </c>
      <c r="V33" s="113">
        <v>4.834727865657662E-2</v>
      </c>
      <c r="W33" s="111">
        <v>1.0143260385893671E-2</v>
      </c>
      <c r="X33" s="111">
        <v>-1.4326038589367041E-4</v>
      </c>
      <c r="Y33" s="114">
        <v>-1.4326038589367041E-2</v>
      </c>
      <c r="Z33" s="109" t="b">
        <v>1</v>
      </c>
      <c r="AC33" s="80" t="s">
        <v>90</v>
      </c>
      <c r="AD33" s="75">
        <f>SUM(_xlfn.ANCHORARRAY(BS5))</f>
        <v>15289312.798262149</v>
      </c>
      <c r="AG33" s="75">
        <v>29</v>
      </c>
      <c r="AH33" s="76">
        <v>47746</v>
      </c>
      <c r="AI33" s="77">
        <v>47654</v>
      </c>
      <c r="AJ33" s="77">
        <v>47654</v>
      </c>
      <c r="AK33" s="77">
        <v>47746</v>
      </c>
      <c r="AL33" s="78">
        <v>0.25555555555555554</v>
      </c>
      <c r="AM33" s="77">
        <v>47746</v>
      </c>
      <c r="AN33" s="79">
        <v>7.0750000000000002</v>
      </c>
      <c r="AO33" s="79">
        <v>7.3305555555555557</v>
      </c>
      <c r="AP33" s="79">
        <v>0.25555555555555554</v>
      </c>
      <c r="AQ33" s="78">
        <v>0.7788593889410601</v>
      </c>
      <c r="AS33" s="81">
        <v>0.01</v>
      </c>
      <c r="AT33" s="75">
        <v>255555.55555555553</v>
      </c>
      <c r="AV33" s="75">
        <v>176195.79875930911</v>
      </c>
      <c r="AW33" s="82">
        <v>1.6631557504999582E-2</v>
      </c>
      <c r="AX33" s="82">
        <v>1.6631521451673768E-2</v>
      </c>
      <c r="AY33" s="82">
        <v>0.99575874194277214</v>
      </c>
      <c r="AZ33" s="119">
        <f>IF(AY33="","",PRODUCT($AY$5:AY33))</f>
        <v>0.88521988823871511</v>
      </c>
      <c r="BA33" s="120">
        <v>0.88521988823871511</v>
      </c>
      <c r="BB33" s="82">
        <v>0.11478011176128489</v>
      </c>
      <c r="BC33" s="82">
        <v>3.7704373813336467E-3</v>
      </c>
      <c r="BD33" s="82">
        <v>3.7704373813336467E-3</v>
      </c>
      <c r="BE33" s="75">
        <v>176198.43329196327</v>
      </c>
      <c r="BG33" s="75">
        <v>176195.87856566894</v>
      </c>
      <c r="BH33" s="82">
        <v>1.6631584016205979E-2</v>
      </c>
      <c r="BI33" s="82">
        <v>0.88522028919139073</v>
      </c>
      <c r="BJ33" s="82">
        <v>0.11477971080860927</v>
      </c>
      <c r="BK33" s="82">
        <v>3.7704533029389031E-3</v>
      </c>
      <c r="BL33" s="82">
        <v>3.7704533029389031E-3</v>
      </c>
      <c r="BM33" s="75">
        <v>176199.17733346776</v>
      </c>
      <c r="BO33" s="81">
        <v>0.01</v>
      </c>
      <c r="BP33" s="75">
        <v>176195.79875930911</v>
      </c>
      <c r="BR33" s="81">
        <v>0.01</v>
      </c>
      <c r="BS33" s="75">
        <v>176195.87856566894</v>
      </c>
      <c r="BU33" s="75">
        <v>0</v>
      </c>
      <c r="BW33" s="80">
        <v>49401</v>
      </c>
      <c r="BX33" s="78">
        <v>0.65876999999999997</v>
      </c>
    </row>
    <row r="34" spans="2:76" x14ac:dyDescent="0.2">
      <c r="B34" s="150" t="s">
        <v>21</v>
      </c>
      <c r="C34" s="151"/>
      <c r="D34" s="151"/>
      <c r="E34" s="151"/>
      <c r="F34" s="152">
        <v>20</v>
      </c>
      <c r="K34" s="110">
        <v>6</v>
      </c>
      <c r="L34" s="71">
        <v>46558</v>
      </c>
      <c r="M34" s="108">
        <v>3.9731653888280394</v>
      </c>
      <c r="N34" s="80" t="str">
        <v>4Y</v>
      </c>
      <c r="O34" s="111">
        <v>0.01</v>
      </c>
      <c r="P34" s="111">
        <v>0</v>
      </c>
      <c r="Q34" s="111">
        <v>0.01</v>
      </c>
      <c r="R34" s="112">
        <v>6.4880888527471425E-2</v>
      </c>
      <c r="S34" s="145">
        <v>1.6631543419795659E-2</v>
      </c>
      <c r="T34" s="146">
        <v>1.6631763238987216E-2</v>
      </c>
      <c r="V34" s="113">
        <v>6.4074521954680996E-2</v>
      </c>
      <c r="W34" s="111">
        <v>1.0130164635961532E-2</v>
      </c>
      <c r="X34" s="111">
        <v>-1.3016463596153202E-4</v>
      </c>
      <c r="Y34" s="114">
        <v>-1.3016463596153202E-2</v>
      </c>
      <c r="Z34" s="109" t="b">
        <v>1</v>
      </c>
      <c r="AC34" s="70" t="s">
        <v>98</v>
      </c>
      <c r="AD34" s="75">
        <f>$AD$22-AD33</f>
        <v>0</v>
      </c>
      <c r="AG34" s="75">
        <v>30</v>
      </c>
      <c r="AH34" s="76">
        <v>47837</v>
      </c>
      <c r="AI34" s="77">
        <v>47746</v>
      </c>
      <c r="AJ34" s="77">
        <v>47746</v>
      </c>
      <c r="AK34" s="77">
        <v>47837</v>
      </c>
      <c r="AL34" s="78">
        <v>0.25277777777777777</v>
      </c>
      <c r="AM34" s="77">
        <v>47837</v>
      </c>
      <c r="AN34" s="79">
        <v>7.3305555555555557</v>
      </c>
      <c r="AO34" s="79">
        <v>7.583333333333333</v>
      </c>
      <c r="AP34" s="79">
        <v>0.25277777777777732</v>
      </c>
      <c r="AQ34" s="78">
        <v>0.77187256972519558</v>
      </c>
      <c r="AS34" s="81">
        <v>0.01</v>
      </c>
      <c r="AT34" s="75">
        <v>252777.77777777778</v>
      </c>
      <c r="AV34" s="75">
        <v>171992.63631267642</v>
      </c>
      <c r="AW34" s="82">
        <v>1.6631521451673768E-2</v>
      </c>
      <c r="AX34" s="82">
        <v>1.6631521451673768E-2</v>
      </c>
      <c r="AY34" s="82">
        <v>0.99580474573563582</v>
      </c>
      <c r="AZ34" s="119">
        <f>IF(AY34="","",PRODUCT($AY$5:AY34))</f>
        <v>0.8815061657276817</v>
      </c>
      <c r="BA34" s="120">
        <v>0.8815061657276817</v>
      </c>
      <c r="BB34" s="82">
        <v>0.1184938342723183</v>
      </c>
      <c r="BC34" s="82">
        <v>3.7137225110334127E-3</v>
      </c>
      <c r="BD34" s="82">
        <v>3.7137225110334127E-3</v>
      </c>
      <c r="BE34" s="75">
        <v>171991.23227025996</v>
      </c>
      <c r="BG34" s="75">
        <v>171992.71149519869</v>
      </c>
      <c r="BH34" s="82">
        <v>1.6631584016205979E-2</v>
      </c>
      <c r="BI34" s="82">
        <v>0.88150655105730014</v>
      </c>
      <c r="BJ34" s="82">
        <v>0.11849344894269986</v>
      </c>
      <c r="BK34" s="82">
        <v>3.7137381340905939E-3</v>
      </c>
      <c r="BL34" s="82">
        <v>3.7137381340905939E-3</v>
      </c>
      <c r="BM34" s="75">
        <v>171991.95581081754</v>
      </c>
      <c r="BO34" s="81">
        <v>0.01</v>
      </c>
      <c r="BP34" s="75">
        <v>171992.63631267642</v>
      </c>
      <c r="BR34" s="81">
        <v>0.01</v>
      </c>
      <c r="BS34" s="75">
        <v>171992.71149519869</v>
      </c>
      <c r="BU34" s="75">
        <v>0</v>
      </c>
      <c r="BW34" s="80">
        <v>49767</v>
      </c>
      <c r="BX34" s="78">
        <v>0.63404000000000005</v>
      </c>
    </row>
    <row r="35" spans="2:76" x14ac:dyDescent="0.2">
      <c r="K35" s="110">
        <v>7</v>
      </c>
      <c r="L35" s="71">
        <v>46924</v>
      </c>
      <c r="M35" s="108">
        <v>4.9735401459854014</v>
      </c>
      <c r="N35" s="80" t="str">
        <v>5Y</v>
      </c>
      <c r="O35" s="111">
        <v>0.01</v>
      </c>
      <c r="P35" s="111">
        <v>0</v>
      </c>
      <c r="Q35" s="111">
        <v>0.01</v>
      </c>
      <c r="R35" s="112">
        <v>8.0517091680352371E-2</v>
      </c>
      <c r="S35" s="145">
        <v>1.6631464702924106E-2</v>
      </c>
      <c r="T35" s="146">
        <v>1.6631709452895289E-2</v>
      </c>
      <c r="V35" s="113">
        <v>7.9549758544631755E-2</v>
      </c>
      <c r="W35" s="111">
        <v>1.0126849768435649E-2</v>
      </c>
      <c r="X35" s="111">
        <v>-1.2684976843564851E-4</v>
      </c>
      <c r="Y35" s="114">
        <v>-1.2684976843564851E-2</v>
      </c>
      <c r="Z35" s="109" t="b">
        <v>1</v>
      </c>
      <c r="AG35" s="75">
        <v>31</v>
      </c>
      <c r="AH35" s="76">
        <v>47927</v>
      </c>
      <c r="AI35" s="77">
        <v>47837</v>
      </c>
      <c r="AJ35" s="77">
        <v>47837</v>
      </c>
      <c r="AK35" s="77">
        <v>47927</v>
      </c>
      <c r="AL35" s="78">
        <v>0.25</v>
      </c>
      <c r="AM35" s="77">
        <v>47927</v>
      </c>
      <c r="AN35" s="79">
        <v>7.583333333333333</v>
      </c>
      <c r="AO35" s="79">
        <v>7.833333333333333</v>
      </c>
      <c r="AP35" s="79">
        <v>0.25</v>
      </c>
      <c r="AQ35" s="78">
        <v>0.76502417724889871</v>
      </c>
      <c r="AS35" s="81">
        <v>0.01</v>
      </c>
      <c r="AT35" s="75">
        <v>250000</v>
      </c>
      <c r="AV35" s="75">
        <v>167893.84648126003</v>
      </c>
      <c r="AW35" s="82">
        <v>1.6631521451673768E-2</v>
      </c>
      <c r="AX35" s="82">
        <v>1.6631521451673768E-2</v>
      </c>
      <c r="AY35" s="82">
        <v>0.99585075165386261</v>
      </c>
      <c r="AZ35" s="119">
        <f>IF(AY35="","",PRODUCT($AY$5:AY35))</f>
        <v>0.87784857772742619</v>
      </c>
      <c r="BA35" s="120">
        <v>0.87784857772742619</v>
      </c>
      <c r="BB35" s="82">
        <v>0.12215142227257381</v>
      </c>
      <c r="BC35" s="82">
        <v>3.6575880002555072E-3</v>
      </c>
      <c r="BD35" s="82">
        <v>3.6575880002555072E-3</v>
      </c>
      <c r="BE35" s="75">
        <v>167888.59503665482</v>
      </c>
      <c r="BG35" s="75">
        <v>167893.91724604191</v>
      </c>
      <c r="BH35" s="82">
        <v>1.6631584016205979E-2</v>
      </c>
      <c r="BI35" s="82">
        <v>0.87784894772766398</v>
      </c>
      <c r="BJ35" s="82">
        <v>0.12215105227233602</v>
      </c>
      <c r="BK35" s="82">
        <v>3.657603329636161E-3</v>
      </c>
      <c r="BL35" s="82">
        <v>3.657603329636161E-3</v>
      </c>
      <c r="BM35" s="75">
        <v>167889.29867746419</v>
      </c>
      <c r="BO35" s="81">
        <v>0.01</v>
      </c>
      <c r="BP35" s="75">
        <v>167893.84648126003</v>
      </c>
      <c r="BR35" s="81">
        <v>0.01</v>
      </c>
      <c r="BS35" s="75">
        <v>167893.91724604191</v>
      </c>
      <c r="BU35" s="75">
        <v>0</v>
      </c>
      <c r="BW35" s="80">
        <v>50864</v>
      </c>
      <c r="BX35" s="78">
        <v>0.56506000000000001</v>
      </c>
    </row>
    <row r="36" spans="2:76" x14ac:dyDescent="0.2">
      <c r="B36" s="72" t="s">
        <v>180</v>
      </c>
      <c r="C36" s="73"/>
      <c r="D36" s="73"/>
      <c r="E36" s="73"/>
      <c r="F36" s="74"/>
      <c r="K36" s="110">
        <v>8</v>
      </c>
      <c r="L36" s="71">
        <v>47654</v>
      </c>
      <c r="M36" s="108">
        <v>6.9733059548254621</v>
      </c>
      <c r="N36" s="80" t="str">
        <v>7Y</v>
      </c>
      <c r="O36" s="111">
        <v>0.01</v>
      </c>
      <c r="P36" s="111">
        <v>0</v>
      </c>
      <c r="Q36" s="111">
        <v>0.01</v>
      </c>
      <c r="R36" s="112">
        <v>0.11100967437995124</v>
      </c>
      <c r="S36" s="145">
        <v>1.6631557504999582E-2</v>
      </c>
      <c r="T36" s="146">
        <v>1.6631671533193081E-2</v>
      </c>
      <c r="V36" s="113">
        <v>0.10972223185887975</v>
      </c>
      <c r="W36" s="111">
        <v>1.0124517117724486E-2</v>
      </c>
      <c r="X36" s="111">
        <v>-1.2451711772448575E-4</v>
      </c>
      <c r="Y36" s="114">
        <v>-1.2451711772448575E-2</v>
      </c>
      <c r="Z36" s="109" t="b">
        <v>1</v>
      </c>
      <c r="AG36" s="75">
        <v>32</v>
      </c>
      <c r="AH36" s="76">
        <v>48019</v>
      </c>
      <c r="AI36" s="77">
        <v>47927</v>
      </c>
      <c r="AJ36" s="77">
        <v>47927</v>
      </c>
      <c r="AK36" s="77">
        <v>48019</v>
      </c>
      <c r="AL36" s="78">
        <v>0.25555555555555554</v>
      </c>
      <c r="AM36" s="77">
        <v>48019</v>
      </c>
      <c r="AN36" s="79">
        <v>7.833333333333333</v>
      </c>
      <c r="AO36" s="79">
        <v>8.0888888888888886</v>
      </c>
      <c r="AP36" s="79">
        <v>0.25555555555555554</v>
      </c>
      <c r="AQ36" s="78">
        <v>0.75804747912189874</v>
      </c>
      <c r="AS36" s="81">
        <v>0.01</v>
      </c>
      <c r="AT36" s="75">
        <v>255555.55555555553</v>
      </c>
      <c r="AV36" s="75">
        <v>169338.4078354993</v>
      </c>
      <c r="AW36" s="82">
        <v>1.6631521451673768E-2</v>
      </c>
      <c r="AX36" s="82">
        <v>1.6631521451673768E-2</v>
      </c>
      <c r="AY36" s="82">
        <v>0.99575874194277214</v>
      </c>
      <c r="AZ36" s="119">
        <f>IF(AY36="","",PRODUCT($AY$5:AY36))</f>
        <v>0.87412539537411371</v>
      </c>
      <c r="BA36" s="120">
        <v>0.87412539537411371</v>
      </c>
      <c r="BB36" s="82">
        <v>0.12587460462588629</v>
      </c>
      <c r="BC36" s="82">
        <v>3.7231823533124819E-3</v>
      </c>
      <c r="BD36" s="82">
        <v>3.7231823533124819E-3</v>
      </c>
      <c r="BE36" s="75">
        <v>169340.93983437991</v>
      </c>
      <c r="BG36" s="75">
        <v>169338.47650163807</v>
      </c>
      <c r="BH36" s="82">
        <v>1.6631584016205979E-2</v>
      </c>
      <c r="BI36" s="82">
        <v>0.87412574982893854</v>
      </c>
      <c r="BJ36" s="82">
        <v>0.12587425017106146</v>
      </c>
      <c r="BK36" s="82">
        <v>3.7231978987254388E-3</v>
      </c>
      <c r="BL36" s="82">
        <v>3.7231978987254388E-3</v>
      </c>
      <c r="BM36" s="75">
        <v>169341.64688404617</v>
      </c>
      <c r="BO36" s="81">
        <v>0.01</v>
      </c>
      <c r="BP36" s="75">
        <v>169338.4078354993</v>
      </c>
      <c r="BR36" s="81">
        <v>0.01</v>
      </c>
      <c r="BS36" s="75">
        <v>169338.47650163807</v>
      </c>
      <c r="BU36" s="75">
        <v>0</v>
      </c>
      <c r="BW36" s="80">
        <v>52691</v>
      </c>
      <c r="BX36" s="78">
        <v>0.47121000000000002</v>
      </c>
    </row>
    <row r="37" spans="2:76" x14ac:dyDescent="0.2">
      <c r="B37" s="135" t="s">
        <v>177</v>
      </c>
      <c r="C37" s="136"/>
      <c r="D37" s="136"/>
      <c r="E37" s="136"/>
      <c r="F37" s="153">
        <f>EDATE(F32,12)</f>
        <v>45463</v>
      </c>
      <c r="K37" s="110">
        <v>9</v>
      </c>
      <c r="L37" s="71">
        <v>48750</v>
      </c>
      <c r="M37" s="108">
        <v>9.9733698357391738</v>
      </c>
      <c r="N37" s="80" t="str">
        <v>10Y</v>
      </c>
      <c r="O37" s="111">
        <v>0.01</v>
      </c>
      <c r="P37" s="111">
        <v>0</v>
      </c>
      <c r="Q37" s="111">
        <v>0.01</v>
      </c>
      <c r="R37" s="112">
        <v>0.15494103044263641</v>
      </c>
      <c r="S37" s="145">
        <v>1.6631521451673768E-2</v>
      </c>
      <c r="T37" s="146">
        <v>1.6631634435843933E-2</v>
      </c>
      <c r="V37" s="113">
        <v>0.15314249259967794</v>
      </c>
      <c r="W37" s="111">
        <v>1.0127902827682268E-2</v>
      </c>
      <c r="X37" s="111">
        <v>-1.2790282768226739E-4</v>
      </c>
      <c r="Y37" s="114">
        <v>-1.2790282768226739E-2</v>
      </c>
      <c r="Z37" s="109" t="b">
        <v>1</v>
      </c>
      <c r="AG37" s="75">
        <v>33</v>
      </c>
      <c r="AH37" s="76">
        <v>48111</v>
      </c>
      <c r="AI37" s="77">
        <v>48019</v>
      </c>
      <c r="AJ37" s="77">
        <v>48019</v>
      </c>
      <c r="AK37" s="77">
        <v>48113</v>
      </c>
      <c r="AL37" s="78">
        <v>0.26111111111111113</v>
      </c>
      <c r="AM37" s="77">
        <v>48113</v>
      </c>
      <c r="AN37" s="79">
        <v>8.0888888888888886</v>
      </c>
      <c r="AO37" s="79">
        <v>8.35</v>
      </c>
      <c r="AP37" s="79">
        <v>0.26111111111111107</v>
      </c>
      <c r="AQ37" s="78">
        <v>0.75097834140175834</v>
      </c>
      <c r="AS37" s="81">
        <v>0.01</v>
      </c>
      <c r="AT37" s="75">
        <v>261111.11111111112</v>
      </c>
      <c r="AV37" s="75">
        <v>170663.44287599798</v>
      </c>
      <c r="AW37" s="82">
        <v>1.6631521451673768E-2</v>
      </c>
      <c r="AX37" s="82">
        <v>1.6631521451673768E-2</v>
      </c>
      <c r="AY37" s="82">
        <v>0.99566674073274175</v>
      </c>
      <c r="AZ37" s="119">
        <f>IF(AY37="","",PRODUCT($AY$5:AY37))</f>
        <v>0.87033758340386302</v>
      </c>
      <c r="BA37" s="120">
        <v>0.87033758340386302</v>
      </c>
      <c r="BB37" s="82">
        <v>0.12966241659613698</v>
      </c>
      <c r="BC37" s="82">
        <v>3.7878119702506874E-3</v>
      </c>
      <c r="BD37" s="82">
        <v>3.7878119702506874E-3</v>
      </c>
      <c r="BE37" s="75">
        <v>170673.88505763523</v>
      </c>
      <c r="BG37" s="75">
        <v>170663.5092914245</v>
      </c>
      <c r="BH37" s="82">
        <v>1.6631584016205979E-2</v>
      </c>
      <c r="BI37" s="82">
        <v>0.87033792210464644</v>
      </c>
      <c r="BJ37" s="82">
        <v>0.12966207789535356</v>
      </c>
      <c r="BK37" s="82">
        <v>3.7878277242920921E-3</v>
      </c>
      <c r="BL37" s="82">
        <v>3.7878277242920921E-3</v>
      </c>
      <c r="BM37" s="75">
        <v>170674.59491426832</v>
      </c>
      <c r="BO37" s="81">
        <v>0.01</v>
      </c>
      <c r="BP37" s="75">
        <v>170663.44287599801</v>
      </c>
      <c r="BR37" s="81">
        <v>0.01</v>
      </c>
      <c r="BS37" s="75">
        <v>170663.5092914245</v>
      </c>
      <c r="BU37" s="75">
        <v>0</v>
      </c>
      <c r="BW37" s="80">
        <v>54515</v>
      </c>
      <c r="BX37" s="78">
        <v>0.40283000000000002</v>
      </c>
    </row>
    <row r="38" spans="2:76" x14ac:dyDescent="0.2">
      <c r="B38" s="107" t="s">
        <v>178</v>
      </c>
      <c r="F38" s="109" t="b">
        <f>OR(MONTH(F37)=3,MONTH(F37)=9)</f>
        <v>0</v>
      </c>
      <c r="K38" s="110">
        <v>10</v>
      </c>
      <c r="L38" s="71">
        <v>50576</v>
      </c>
      <c r="M38" s="108">
        <v>14.973305954825461</v>
      </c>
      <c r="N38" s="80" t="str">
        <v>15Y</v>
      </c>
      <c r="O38" s="111">
        <v>0.01</v>
      </c>
      <c r="P38" s="111">
        <v>0</v>
      </c>
      <c r="Q38" s="111">
        <v>0.01</v>
      </c>
      <c r="R38" s="112">
        <v>0.22330511767665573</v>
      </c>
      <c r="S38" s="145">
        <v>1.6631531758921219E-2</v>
      </c>
      <c r="T38" s="146">
        <v>1.6631608836930087E-2</v>
      </c>
      <c r="V38" s="113">
        <v>0.22085265078578808</v>
      </c>
      <c r="W38" s="111">
        <v>1.0126328547928746E-2</v>
      </c>
      <c r="X38" s="111">
        <v>-1.2632854792874598E-4</v>
      </c>
      <c r="Y38" s="114">
        <v>-1.2632854792874598E-2</v>
      </c>
      <c r="Z38" s="109" t="b">
        <v>1</v>
      </c>
      <c r="AG38" s="75">
        <v>34</v>
      </c>
      <c r="AH38" s="76">
        <v>48202</v>
      </c>
      <c r="AI38" s="77">
        <v>48113</v>
      </c>
      <c r="AJ38" s="77">
        <v>48113</v>
      </c>
      <c r="AK38" s="77">
        <v>48204</v>
      </c>
      <c r="AL38" s="78">
        <v>0.25277777777777777</v>
      </c>
      <c r="AM38" s="77">
        <v>48204</v>
      </c>
      <c r="AN38" s="79">
        <v>8.35</v>
      </c>
      <c r="AO38" s="79">
        <v>8.6027777777777779</v>
      </c>
      <c r="AP38" s="79">
        <v>0.25277777777777821</v>
      </c>
      <c r="AQ38" s="78">
        <v>0.74419762132000755</v>
      </c>
      <c r="AS38" s="81">
        <v>0.01</v>
      </c>
      <c r="AT38" s="75">
        <v>252777.77777777778</v>
      </c>
      <c r="AV38" s="75">
        <v>163038.09741244328</v>
      </c>
      <c r="AW38" s="82">
        <v>1.6631521451673768E-2</v>
      </c>
      <c r="AX38" s="82">
        <v>1.6631521451673768E-2</v>
      </c>
      <c r="AY38" s="82">
        <v>0.99580474573563582</v>
      </c>
      <c r="AZ38" s="119">
        <f>IF(AY38="","",PRODUCT($AY$5:AY38))</f>
        <v>0.86668629594565161</v>
      </c>
      <c r="BA38" s="120">
        <v>0.86668629594565161</v>
      </c>
      <c r="BB38" s="82">
        <v>0.13331370405434839</v>
      </c>
      <c r="BC38" s="82">
        <v>3.6512874582114163E-3</v>
      </c>
      <c r="BD38" s="82">
        <v>3.6512874582114163E-3</v>
      </c>
      <c r="BE38" s="75">
        <v>163036.76646939074</v>
      </c>
      <c r="BG38" s="75">
        <v>163038.15828195249</v>
      </c>
      <c r="BH38" s="82">
        <v>1.6631584016205979E-2</v>
      </c>
      <c r="BI38" s="82">
        <v>0.86668661951891646</v>
      </c>
      <c r="BJ38" s="82">
        <v>0.13331338048108354</v>
      </c>
      <c r="BK38" s="82">
        <v>3.6513025857299874E-3</v>
      </c>
      <c r="BL38" s="82">
        <v>3.6513025857299874E-3</v>
      </c>
      <c r="BM38" s="75">
        <v>163037.44194119095</v>
      </c>
      <c r="BO38" s="81">
        <v>0.01</v>
      </c>
      <c r="BP38" s="75">
        <v>163038.09741244328</v>
      </c>
      <c r="BR38" s="81">
        <v>0.01</v>
      </c>
      <c r="BS38" s="75">
        <v>163038.15828195249</v>
      </c>
      <c r="BU38" s="75">
        <v>0</v>
      </c>
      <c r="BW38" s="80">
        <v>56341</v>
      </c>
      <c r="BX38" s="78">
        <v>0.35025000000000001</v>
      </c>
    </row>
    <row r="39" spans="2:76" x14ac:dyDescent="0.2">
      <c r="B39" s="126" t="s">
        <v>179</v>
      </c>
      <c r="C39" s="127"/>
      <c r="D39" s="127"/>
      <c r="E39" s="127"/>
      <c r="F39" s="149">
        <f>IF(F38,EDATE(F37,3),F37)</f>
        <v>45463</v>
      </c>
      <c r="K39" s="110">
        <v>11</v>
      </c>
      <c r="L39" s="71">
        <v>52402</v>
      </c>
      <c r="M39" s="108">
        <v>19.973272490221643</v>
      </c>
      <c r="N39" s="80" t="str">
        <v>20Y</v>
      </c>
      <c r="O39" s="111">
        <v>0.01</v>
      </c>
      <c r="P39" s="111">
        <v>0</v>
      </c>
      <c r="Q39" s="111">
        <v>0.01</v>
      </c>
      <c r="R39" s="112">
        <v>0.28617163260051992</v>
      </c>
      <c r="S39" s="145">
        <v>1.6631533941602179E-2</v>
      </c>
      <c r="T39" s="146">
        <v>1.6631596884286094E-2</v>
      </c>
      <c r="V39" s="113">
        <v>0.28314943336366294</v>
      </c>
      <c r="W39" s="111">
        <v>1.0126915181196464E-2</v>
      </c>
      <c r="X39" s="111">
        <v>-1.269151811964641E-4</v>
      </c>
      <c r="Y39" s="114">
        <v>-1.269151811964641E-2</v>
      </c>
      <c r="Z39" s="109" t="b">
        <v>1</v>
      </c>
      <c r="AG39" s="75">
        <v>35</v>
      </c>
      <c r="AH39" s="76">
        <v>48293</v>
      </c>
      <c r="AI39" s="77">
        <v>48204</v>
      </c>
      <c r="AJ39" s="77">
        <v>48204</v>
      </c>
      <c r="AK39" s="77">
        <v>48295</v>
      </c>
      <c r="AL39" s="78">
        <v>0.25277777777777777</v>
      </c>
      <c r="AM39" s="77">
        <v>48295</v>
      </c>
      <c r="AN39" s="79">
        <v>8.6027777777777779</v>
      </c>
      <c r="AO39" s="79">
        <v>8.8555555555555561</v>
      </c>
      <c r="AP39" s="79">
        <v>0.25277777777777821</v>
      </c>
      <c r="AQ39" s="78">
        <v>0.73747812559359738</v>
      </c>
      <c r="AS39" s="81">
        <v>0.01</v>
      </c>
      <c r="AT39" s="75">
        <v>252777.77777777778</v>
      </c>
      <c r="AV39" s="75">
        <v>160888.18632992319</v>
      </c>
      <c r="AW39" s="82">
        <v>1.6631521451673768E-2</v>
      </c>
      <c r="AX39" s="82">
        <v>1.6631521451673768E-2</v>
      </c>
      <c r="AY39" s="82">
        <v>0.99580474573563582</v>
      </c>
      <c r="AZ39" s="119">
        <f>IF(AY39="","",PRODUCT($AY$5:AY39))</f>
        <v>0.86305032656671965</v>
      </c>
      <c r="BA39" s="120">
        <v>0.86305032656671965</v>
      </c>
      <c r="BB39" s="82">
        <v>0.13694967343328035</v>
      </c>
      <c r="BC39" s="82">
        <v>3.635969378931958E-3</v>
      </c>
      <c r="BD39" s="82">
        <v>3.635969378931958E-3</v>
      </c>
      <c r="BE39" s="75">
        <v>160886.87293742737</v>
      </c>
      <c r="BG39" s="75">
        <v>160888.24385233791</v>
      </c>
      <c r="BH39" s="82">
        <v>1.6631584016205979E-2</v>
      </c>
      <c r="BI39" s="82">
        <v>0.8630506351334325</v>
      </c>
      <c r="BJ39" s="82">
        <v>0.1369493648665675</v>
      </c>
      <c r="BK39" s="82">
        <v>3.6359843854839591E-3</v>
      </c>
      <c r="BL39" s="82">
        <v>3.6359843854839591E-3</v>
      </c>
      <c r="BM39" s="75">
        <v>160887.53695765787</v>
      </c>
      <c r="BO39" s="81">
        <v>0.01</v>
      </c>
      <c r="BP39" s="75">
        <v>160888.18632992319</v>
      </c>
      <c r="BR39" s="81">
        <v>0.01</v>
      </c>
      <c r="BS39" s="75">
        <v>160888.24385233788</v>
      </c>
      <c r="BU39" s="75">
        <v>0</v>
      </c>
      <c r="BW39" s="80">
        <v>59994</v>
      </c>
      <c r="BX39" s="78">
        <v>0.27972999999999998</v>
      </c>
    </row>
    <row r="40" spans="2:76" x14ac:dyDescent="0.2">
      <c r="K40" s="110">
        <v>12</v>
      </c>
      <c r="L40" s="71">
        <v>56055</v>
      </c>
      <c r="M40" s="108">
        <v>29.973328623156409</v>
      </c>
      <c r="N40" s="80" t="str">
        <v>30Y</v>
      </c>
      <c r="O40" s="111">
        <v>0.01</v>
      </c>
      <c r="P40" s="111">
        <v>0</v>
      </c>
      <c r="Q40" s="111">
        <v>0.01</v>
      </c>
      <c r="R40" s="112">
        <v>0.39696745857731863</v>
      </c>
      <c r="S40" s="145">
        <v>1.6631525768640808E-2</v>
      </c>
      <c r="T40" s="146">
        <v>1.6631584016205979E-2</v>
      </c>
      <c r="V40" s="113">
        <v>0.39319966355651992</v>
      </c>
      <c r="W40" s="111">
        <v>1.0124683665167798E-2</v>
      </c>
      <c r="X40" s="111">
        <v>-1.2468366516779801E-4</v>
      </c>
      <c r="Y40" s="114">
        <v>-1.2468366516779801E-2</v>
      </c>
      <c r="Z40" s="109" t="b">
        <v>1</v>
      </c>
      <c r="AG40" s="75">
        <v>36</v>
      </c>
      <c r="AH40" s="76">
        <v>48385</v>
      </c>
      <c r="AI40" s="77">
        <v>48295</v>
      </c>
      <c r="AJ40" s="77">
        <v>48295</v>
      </c>
      <c r="AK40" s="77">
        <v>48386</v>
      </c>
      <c r="AL40" s="78">
        <v>0.25277777777777777</v>
      </c>
      <c r="AM40" s="77">
        <v>48386</v>
      </c>
      <c r="AN40" s="79">
        <v>8.8555555555555561</v>
      </c>
      <c r="AO40" s="79">
        <v>9.1083333333333325</v>
      </c>
      <c r="AP40" s="79">
        <v>0.25277777777777644</v>
      </c>
      <c r="AQ40" s="78">
        <v>0.73071840984196867</v>
      </c>
      <c r="AS40" s="81">
        <v>0.01</v>
      </c>
      <c r="AT40" s="75">
        <v>252777.77777777778</v>
      </c>
      <c r="AV40" s="75">
        <v>158744.70701074344</v>
      </c>
      <c r="AW40" s="82">
        <v>1.6631521451673768E-2</v>
      </c>
      <c r="AX40" s="82">
        <v>1.6631521451673768E-2</v>
      </c>
      <c r="AY40" s="82">
        <v>0.99580474573563582</v>
      </c>
      <c r="AZ40" s="119">
        <f>IF(AY40="","",PRODUCT($AY$5:AY40))</f>
        <v>0.85942961100382975</v>
      </c>
      <c r="BA40" s="120">
        <v>0.85942961100382975</v>
      </c>
      <c r="BB40" s="82">
        <v>0.14057038899617025</v>
      </c>
      <c r="BC40" s="82">
        <v>3.6207155628898979E-3</v>
      </c>
      <c r="BD40" s="82">
        <v>3.6207155628898979E-3</v>
      </c>
      <c r="BE40" s="75">
        <v>158743.41111629849</v>
      </c>
      <c r="BG40" s="75">
        <v>158744.76125626289</v>
      </c>
      <c r="BH40" s="82">
        <v>1.6631584016205979E-2</v>
      </c>
      <c r="BI40" s="82">
        <v>0.85942990468420843</v>
      </c>
      <c r="BJ40" s="82">
        <v>0.14057009531579157</v>
      </c>
      <c r="BK40" s="82">
        <v>3.6207304492240633E-3</v>
      </c>
      <c r="BL40" s="82">
        <v>3.6207304492240633E-3</v>
      </c>
      <c r="BM40" s="75">
        <v>158744.06377940427</v>
      </c>
      <c r="BO40" s="81">
        <v>0.01</v>
      </c>
      <c r="BP40" s="75">
        <v>158744.70701074341</v>
      </c>
      <c r="BR40" s="81">
        <v>0.01</v>
      </c>
      <c r="BS40" s="75">
        <v>158744.76125626286</v>
      </c>
      <c r="BU40" s="75">
        <v>0</v>
      </c>
      <c r="BW40" s="80">
        <v>63646</v>
      </c>
      <c r="BX40" s="78">
        <v>0.24163999999999999</v>
      </c>
    </row>
    <row r="41" spans="2:76" x14ac:dyDescent="0.2">
      <c r="B41" s="72" t="s">
        <v>61</v>
      </c>
      <c r="C41" s="73"/>
      <c r="D41" s="73"/>
      <c r="E41" s="74"/>
      <c r="K41" s="107"/>
      <c r="L41" s="71"/>
      <c r="M41" s="108"/>
      <c r="O41" s="111"/>
      <c r="P41" s="111"/>
      <c r="Q41" s="111"/>
      <c r="R41" s="112"/>
      <c r="S41" s="145"/>
      <c r="T41" s="146"/>
      <c r="V41" s="113" t="str">
        <v/>
      </c>
      <c r="W41" s="111" t="str">
        <v/>
      </c>
      <c r="X41" s="111" t="str">
        <v/>
      </c>
      <c r="Y41" s="111" t="str">
        <v/>
      </c>
      <c r="Z41" s="109" t="str">
        <v/>
      </c>
      <c r="AE41" s="75"/>
      <c r="AG41" s="75">
        <v>37</v>
      </c>
      <c r="AH41" s="76">
        <v>48477</v>
      </c>
      <c r="AI41" s="77">
        <v>48386</v>
      </c>
      <c r="AJ41" s="77">
        <v>48386</v>
      </c>
      <c r="AK41" s="77">
        <v>48477</v>
      </c>
      <c r="AL41" s="78">
        <v>0.25277777777777777</v>
      </c>
      <c r="AM41" s="77">
        <v>48477</v>
      </c>
      <c r="AN41" s="79">
        <v>9.1083333333333325</v>
      </c>
      <c r="AO41" s="79">
        <v>9.3611111111111107</v>
      </c>
      <c r="AP41" s="79">
        <v>0.25277777777777821</v>
      </c>
      <c r="AQ41" s="78">
        <v>0.72400690920852517</v>
      </c>
      <c r="AS41" s="81">
        <v>0.01</v>
      </c>
      <c r="AT41" s="75">
        <v>252777.77777777778</v>
      </c>
      <c r="AV41" s="75">
        <v>156626.81145164784</v>
      </c>
      <c r="AW41" s="82">
        <v>1.6631521451673768E-2</v>
      </c>
      <c r="AX41" s="82">
        <v>1.6631521451673768E-2</v>
      </c>
      <c r="AY41" s="82">
        <v>0.99580474573563582</v>
      </c>
      <c r="AZ41" s="119">
        <f>IF(AY41="","",PRODUCT($AY$5:AY41))</f>
        <v>0.85582408526334508</v>
      </c>
      <c r="BA41" s="120">
        <v>0.85582408526334508</v>
      </c>
      <c r="BB41" s="82">
        <v>0.14417591473665492</v>
      </c>
      <c r="BC41" s="82">
        <v>3.6055257404846719E-3</v>
      </c>
      <c r="BD41" s="82">
        <v>3.6055257404846719E-3</v>
      </c>
      <c r="BE41" s="75">
        <v>156625.53284640517</v>
      </c>
      <c r="BG41" s="75">
        <v>156626.86249640779</v>
      </c>
      <c r="BH41" s="82">
        <v>1.6631584016205979E-2</v>
      </c>
      <c r="BI41" s="82">
        <v>0.85582436417686303</v>
      </c>
      <c r="BJ41" s="82">
        <v>0.14417563582313697</v>
      </c>
      <c r="BK41" s="82">
        <v>3.6055405073454061E-3</v>
      </c>
      <c r="BL41" s="82">
        <v>3.6055405073454061E-3</v>
      </c>
      <c r="BM41" s="75">
        <v>156626.17432495713</v>
      </c>
      <c r="BO41" s="81">
        <v>0.01</v>
      </c>
      <c r="BP41" s="75">
        <v>156626.81145164784</v>
      </c>
      <c r="BR41" s="81">
        <v>0.01</v>
      </c>
      <c r="BS41" s="75">
        <v>156626.86249640779</v>
      </c>
      <c r="BU41" s="75">
        <v>0</v>
      </c>
    </row>
    <row r="42" spans="2:76" x14ac:dyDescent="0.2">
      <c r="B42" s="135" t="s">
        <v>36</v>
      </c>
      <c r="C42" s="136"/>
      <c r="D42" s="136"/>
      <c r="E42" s="154"/>
      <c r="K42" s="107"/>
      <c r="L42" s="71"/>
      <c r="M42" s="108"/>
      <c r="O42" s="111"/>
      <c r="P42" s="111"/>
      <c r="Q42" s="111"/>
      <c r="R42" s="112"/>
      <c r="S42" s="145"/>
      <c r="T42" s="146"/>
      <c r="V42" s="113" t="str">
        <v/>
      </c>
      <c r="W42" s="111" t="str">
        <v/>
      </c>
      <c r="X42" s="111" t="str">
        <v/>
      </c>
      <c r="Y42" s="111" t="str">
        <v/>
      </c>
      <c r="Z42" s="109" t="str">
        <v/>
      </c>
      <c r="AG42" s="75">
        <v>38</v>
      </c>
      <c r="AH42" s="76">
        <v>48568</v>
      </c>
      <c r="AI42" s="77">
        <v>48477</v>
      </c>
      <c r="AJ42" s="77">
        <v>48477</v>
      </c>
      <c r="AK42" s="77">
        <v>48568</v>
      </c>
      <c r="AL42" s="78">
        <v>0.25277777777777777</v>
      </c>
      <c r="AM42" s="77">
        <v>48568</v>
      </c>
      <c r="AN42" s="79">
        <v>9.3611111111111107</v>
      </c>
      <c r="AO42" s="79">
        <v>9.6138888888888889</v>
      </c>
      <c r="AP42" s="79">
        <v>0.25277777777777821</v>
      </c>
      <c r="AQ42" s="78">
        <v>0.71735705234940839</v>
      </c>
      <c r="AS42" s="81">
        <v>0.01</v>
      </c>
      <c r="AT42" s="75">
        <v>252777.77777777778</v>
      </c>
      <c r="AV42" s="75">
        <v>154537.17183685239</v>
      </c>
      <c r="AW42" s="82">
        <v>1.6631521451673768E-2</v>
      </c>
      <c r="AX42" s="82">
        <v>1.6631521451673768E-2</v>
      </c>
      <c r="AY42" s="82">
        <v>0.99580474573563582</v>
      </c>
      <c r="AZ42" s="119">
        <f>IF(AY42="","",PRODUCT($AY$5:AY42))</f>
        <v>0.85223368562009849</v>
      </c>
      <c r="BA42" s="120">
        <v>0.85223368562009849</v>
      </c>
      <c r="BB42" s="82">
        <v>0.14776631437990151</v>
      </c>
      <c r="BC42" s="82">
        <v>3.590399643246589E-3</v>
      </c>
      <c r="BD42" s="82">
        <v>3.590399643246589E-3</v>
      </c>
      <c r="BE42" s="75">
        <v>154535.91029014444</v>
      </c>
      <c r="BG42" s="75">
        <v>154537.21975660339</v>
      </c>
      <c r="BH42" s="82">
        <v>1.6631584016205979E-2</v>
      </c>
      <c r="BI42" s="82">
        <v>0.85223394988548851</v>
      </c>
      <c r="BJ42" s="82">
        <v>0.14776605011451149</v>
      </c>
      <c r="BK42" s="82">
        <v>3.5904142913745218E-3</v>
      </c>
      <c r="BL42" s="82">
        <v>3.5904142913745218E-3</v>
      </c>
      <c r="BM42" s="75">
        <v>154536.54076641699</v>
      </c>
      <c r="BO42" s="81">
        <v>0.01</v>
      </c>
      <c r="BP42" s="75">
        <v>154537.17183685239</v>
      </c>
      <c r="BR42" s="81">
        <v>0.01</v>
      </c>
      <c r="BS42" s="75">
        <v>154537.21975660339</v>
      </c>
      <c r="BU42" s="75">
        <v>0</v>
      </c>
    </row>
    <row r="43" spans="2:76" x14ac:dyDescent="0.2">
      <c r="B43" s="140" t="s">
        <v>37</v>
      </c>
      <c r="C43" s="141"/>
      <c r="D43" s="141"/>
      <c r="E43" s="154"/>
      <c r="K43" s="107"/>
      <c r="L43" s="71"/>
      <c r="M43" s="108"/>
      <c r="O43" s="111"/>
      <c r="P43" s="111"/>
      <c r="Q43" s="111"/>
      <c r="R43" s="112"/>
      <c r="S43" s="145"/>
      <c r="T43" s="146"/>
      <c r="V43" s="113" t="str">
        <v/>
      </c>
      <c r="W43" s="111" t="str">
        <v/>
      </c>
      <c r="X43" s="111" t="str">
        <v/>
      </c>
      <c r="Y43" s="111" t="str">
        <v/>
      </c>
      <c r="Z43" s="109" t="str">
        <v/>
      </c>
      <c r="AG43" s="75">
        <v>39</v>
      </c>
      <c r="AH43" s="76">
        <v>48658</v>
      </c>
      <c r="AI43" s="77">
        <v>48568</v>
      </c>
      <c r="AJ43" s="77">
        <v>48568</v>
      </c>
      <c r="AK43" s="77">
        <v>48659</v>
      </c>
      <c r="AL43" s="78">
        <v>0.25277777777777777</v>
      </c>
      <c r="AM43" s="77">
        <v>48659</v>
      </c>
      <c r="AN43" s="79">
        <v>9.6138888888888889</v>
      </c>
      <c r="AO43" s="79">
        <v>9.8666666666666671</v>
      </c>
      <c r="AP43" s="79">
        <v>0.25277777777777821</v>
      </c>
      <c r="AQ43" s="78">
        <v>0.71076827307903323</v>
      </c>
      <c r="AS43" s="81">
        <v>0.01</v>
      </c>
      <c r="AT43" s="75">
        <v>252777.77777777778</v>
      </c>
      <c r="AV43" s="75">
        <v>152475.41118913324</v>
      </c>
      <c r="AW43" s="82">
        <v>1.6631521451673768E-2</v>
      </c>
      <c r="AX43" s="82">
        <v>1.6631521451673768E-2</v>
      </c>
      <c r="AY43" s="82">
        <v>0.99580474573563582</v>
      </c>
      <c r="AZ43" s="119">
        <f>IF(AY43="","",PRODUCT($AY$5:AY43))</f>
        <v>0.84865834861626599</v>
      </c>
      <c r="BA43" s="120">
        <v>0.84865834861626599</v>
      </c>
      <c r="BB43" s="82">
        <v>0.15134165138373401</v>
      </c>
      <c r="BC43" s="82">
        <v>3.5753370038325016E-3</v>
      </c>
      <c r="BD43" s="82">
        <v>3.5753370038325016E-3</v>
      </c>
      <c r="BE43" s="75">
        <v>152474.16647337552</v>
      </c>
      <c r="BG43" s="75">
        <v>152475.45605817423</v>
      </c>
      <c r="BH43" s="82">
        <v>1.6631584016205979E-2</v>
      </c>
      <c r="BI43" s="82">
        <v>0.84865859835152457</v>
      </c>
      <c r="BJ43" s="82">
        <v>0.15134140164847543</v>
      </c>
      <c r="BK43" s="82">
        <v>3.575351533963933E-3</v>
      </c>
      <c r="BL43" s="82">
        <v>3.575351533963933E-3</v>
      </c>
      <c r="BM43" s="75">
        <v>152474.78612676103</v>
      </c>
      <c r="BO43" s="81">
        <v>0.01</v>
      </c>
      <c r="BP43" s="75">
        <v>152475.41118913324</v>
      </c>
      <c r="BR43" s="81">
        <v>0.01</v>
      </c>
      <c r="BS43" s="75">
        <v>152475.45605817423</v>
      </c>
      <c r="BU43" s="75">
        <v>0</v>
      </c>
    </row>
    <row r="44" spans="2:76" x14ac:dyDescent="0.2">
      <c r="B44" s="140" t="s">
        <v>58</v>
      </c>
      <c r="C44" s="141"/>
      <c r="D44" s="141"/>
      <c r="E44" s="142"/>
      <c r="K44" s="107"/>
      <c r="L44" s="71"/>
      <c r="M44" s="108"/>
      <c r="O44" s="111"/>
      <c r="P44" s="111"/>
      <c r="Q44" s="111"/>
      <c r="R44" s="112"/>
      <c r="S44" s="145"/>
      <c r="T44" s="146"/>
      <c r="V44" s="113" t="str">
        <v/>
      </c>
      <c r="W44" s="111" t="str">
        <v/>
      </c>
      <c r="X44" s="111" t="str">
        <v/>
      </c>
      <c r="Y44" s="111" t="str">
        <v/>
      </c>
      <c r="Z44" s="109" t="str">
        <v/>
      </c>
      <c r="AG44" s="75">
        <v>40</v>
      </c>
      <c r="AH44" s="76">
        <v>48750</v>
      </c>
      <c r="AI44" s="77">
        <v>48659</v>
      </c>
      <c r="AJ44" s="77">
        <v>48659</v>
      </c>
      <c r="AK44" s="77">
        <v>48751</v>
      </c>
      <c r="AL44" s="78">
        <v>0.25555555555555554</v>
      </c>
      <c r="AM44" s="77">
        <v>48751</v>
      </c>
      <c r="AN44" s="79">
        <v>9.8666666666666671</v>
      </c>
      <c r="AO44" s="79">
        <v>10.122222222222222</v>
      </c>
      <c r="AP44" s="79">
        <v>0.25555555555555465</v>
      </c>
      <c r="AQ44" s="78">
        <v>0.70417940253124534</v>
      </c>
      <c r="AS44" s="81">
        <v>0.01</v>
      </c>
      <c r="AT44" s="75">
        <v>255555.55555555553</v>
      </c>
      <c r="AV44" s="75">
        <v>152074.24185101336</v>
      </c>
      <c r="AW44" s="82">
        <v>1.6631521451673768E-2</v>
      </c>
      <c r="AX44" s="82">
        <v>1.6631521451673768E-2</v>
      </c>
      <c r="AY44" s="82">
        <v>0.99575874194277214</v>
      </c>
      <c r="AZ44" s="119">
        <f>IF(AY44="","",PRODUCT($AY$5:AY44))</f>
        <v>0.84505896955736359</v>
      </c>
      <c r="BA44" s="120">
        <v>0.84505896955736359</v>
      </c>
      <c r="BB44" s="82">
        <v>0.15494103044263641</v>
      </c>
      <c r="BC44" s="82">
        <v>3.5993790589023966E-3</v>
      </c>
      <c r="BD44" s="82">
        <v>3.5993790589023966E-3</v>
      </c>
      <c r="BE44" s="75">
        <v>152076.51571088194</v>
      </c>
      <c r="BG44" s="75">
        <v>152074.28417052978</v>
      </c>
      <c r="BH44" s="82">
        <v>1.6631584016205979E-2</v>
      </c>
      <c r="BI44" s="82">
        <v>0.84505920472202067</v>
      </c>
      <c r="BJ44" s="82">
        <v>0.15494079527797933</v>
      </c>
      <c r="BK44" s="82">
        <v>3.5993936295038997E-3</v>
      </c>
      <c r="BL44" s="82">
        <v>3.5993936295038997E-3</v>
      </c>
      <c r="BM44" s="75">
        <v>152077.1313299296</v>
      </c>
      <c r="BO44" s="81">
        <v>0.01</v>
      </c>
      <c r="BP44" s="75">
        <v>152074.24185101339</v>
      </c>
      <c r="BR44" s="81">
        <v>0.01</v>
      </c>
      <c r="BS44" s="75">
        <v>152074.28417052981</v>
      </c>
      <c r="BU44" s="75">
        <v>0</v>
      </c>
    </row>
    <row r="45" spans="2:76" x14ac:dyDescent="0.2">
      <c r="B45" s="140" t="s">
        <v>54</v>
      </c>
      <c r="C45" s="141"/>
      <c r="D45" s="141"/>
      <c r="E45" s="109" t="b">
        <v>0</v>
      </c>
      <c r="K45" s="107"/>
      <c r="L45" s="71"/>
      <c r="M45" s="108"/>
      <c r="O45" s="111"/>
      <c r="P45" s="111"/>
      <c r="Q45" s="111"/>
      <c r="R45" s="112"/>
      <c r="S45" s="145"/>
      <c r="T45" s="146"/>
      <c r="V45" s="113" t="str">
        <v/>
      </c>
      <c r="W45" s="111" t="str">
        <v/>
      </c>
      <c r="X45" s="111" t="str">
        <v/>
      </c>
      <c r="Y45" s="111" t="str">
        <v/>
      </c>
      <c r="Z45" s="109" t="str">
        <v/>
      </c>
      <c r="AG45" s="75">
        <v>41</v>
      </c>
      <c r="AH45" s="76">
        <v>48842</v>
      </c>
      <c r="AI45" s="77">
        <v>48751</v>
      </c>
      <c r="AJ45" s="77">
        <v>48751</v>
      </c>
      <c r="AK45" s="77">
        <v>48842</v>
      </c>
      <c r="AL45" s="78">
        <v>0.25277777777777777</v>
      </c>
      <c r="AM45" s="77">
        <v>48842</v>
      </c>
      <c r="AN45" s="79">
        <v>10.122222222222222</v>
      </c>
      <c r="AO45" s="79">
        <v>10.375</v>
      </c>
      <c r="AP45" s="79">
        <v>0.25277777777777821</v>
      </c>
      <c r="AQ45" s="78">
        <v>0.69772413852637449</v>
      </c>
      <c r="AS45" s="81">
        <v>0.01</v>
      </c>
      <c r="AT45" s="75">
        <v>252777.77777777778</v>
      </c>
      <c r="AV45" s="75">
        <v>148417.06738583872</v>
      </c>
      <c r="AW45" s="82">
        <v>1.6631521451673768E-2</v>
      </c>
      <c r="AX45" s="82">
        <v>1.6631531758921219E-2</v>
      </c>
      <c r="AY45" s="82">
        <v>0.99580474314112322</v>
      </c>
      <c r="AZ45" s="119">
        <f>IF(AY45="","",PRODUCT($AY$5:AY45))</f>
        <v>0.84151373011917274</v>
      </c>
      <c r="BA45" s="120">
        <v>0.84151373011917274</v>
      </c>
      <c r="BB45" s="82">
        <v>0.15848626988082726</v>
      </c>
      <c r="BC45" s="82">
        <v>3.5452394381908503E-3</v>
      </c>
      <c r="BD45" s="82">
        <v>3.5452394381908503E-3</v>
      </c>
      <c r="BE45" s="75">
        <v>148415.94797288632</v>
      </c>
      <c r="BG45" s="75">
        <v>148417.10672711662</v>
      </c>
      <c r="BH45" s="82">
        <v>1.6631584016205979E-2</v>
      </c>
      <c r="BI45" s="82">
        <v>0.84151395318129152</v>
      </c>
      <c r="BJ45" s="82">
        <v>0.15848604681870848</v>
      </c>
      <c r="BK45" s="82">
        <v>3.5452515407291552E-3</v>
      </c>
      <c r="BL45" s="82">
        <v>3.5452515407291552E-3</v>
      </c>
      <c r="BM45" s="75">
        <v>148416.45462687308</v>
      </c>
      <c r="BO45" s="81">
        <v>0.01</v>
      </c>
      <c r="BP45" s="75">
        <v>148417.06738583872</v>
      </c>
      <c r="BR45" s="81">
        <v>0.01</v>
      </c>
      <c r="BS45" s="75">
        <v>148417.10672711662</v>
      </c>
      <c r="BU45" s="75">
        <v>0</v>
      </c>
    </row>
    <row r="46" spans="2:76" x14ac:dyDescent="0.2">
      <c r="B46" s="140" t="s">
        <v>59</v>
      </c>
      <c r="C46" s="141"/>
      <c r="D46" s="141"/>
      <c r="E46" s="155">
        <v>0</v>
      </c>
      <c r="K46" s="107"/>
      <c r="L46" s="71"/>
      <c r="M46" s="108"/>
      <c r="O46" s="111"/>
      <c r="P46" s="111"/>
      <c r="Q46" s="111"/>
      <c r="R46" s="112"/>
      <c r="S46" s="145"/>
      <c r="T46" s="146"/>
      <c r="V46" s="113" t="str">
        <v/>
      </c>
      <c r="W46" s="111" t="str">
        <v/>
      </c>
      <c r="X46" s="111" t="str">
        <v/>
      </c>
      <c r="Y46" s="111" t="str">
        <v/>
      </c>
      <c r="Z46" s="109" t="str">
        <v/>
      </c>
      <c r="AG46" s="75">
        <v>42</v>
      </c>
      <c r="AH46" s="76">
        <v>48933</v>
      </c>
      <c r="AI46" s="77">
        <v>48842</v>
      </c>
      <c r="AJ46" s="77">
        <v>48842</v>
      </c>
      <c r="AK46" s="77">
        <v>48933</v>
      </c>
      <c r="AL46" s="78">
        <v>0.25277777777777777</v>
      </c>
      <c r="AM46" s="77">
        <v>48933</v>
      </c>
      <c r="AN46" s="79">
        <v>10.375</v>
      </c>
      <c r="AO46" s="79">
        <v>10.627777777777778</v>
      </c>
      <c r="AP46" s="79">
        <v>0.25277777777777821</v>
      </c>
      <c r="AQ46" s="78">
        <v>0.69132805039802425</v>
      </c>
      <c r="AS46" s="81">
        <v>0.01</v>
      </c>
      <c r="AT46" s="75">
        <v>252777.77777777778</v>
      </c>
      <c r="AV46" s="75">
        <v>146439.577428324</v>
      </c>
      <c r="AW46" s="82">
        <v>1.6631531758921219E-2</v>
      </c>
      <c r="AX46" s="82">
        <v>1.6631531758921219E-2</v>
      </c>
      <c r="AY46" s="82">
        <v>0.99580474314112322</v>
      </c>
      <c r="AZ46" s="119">
        <f>IF(AY46="","",PRODUCT($AY$5:AY46))</f>
        <v>0.83798336387105132</v>
      </c>
      <c r="BA46" s="120">
        <v>0.83798336387105132</v>
      </c>
      <c r="BB46" s="82">
        <v>0.16201663612894868</v>
      </c>
      <c r="BC46" s="82">
        <v>3.5303662481214193E-3</v>
      </c>
      <c r="BD46" s="82">
        <v>3.5303662481214193E-3</v>
      </c>
      <c r="BE46" s="75">
        <v>146438.47293028611</v>
      </c>
      <c r="BG46" s="75">
        <v>146439.61431103252</v>
      </c>
      <c r="BH46" s="82">
        <v>1.6631584016205979E-2</v>
      </c>
      <c r="BI46" s="82">
        <v>0.83798357492803954</v>
      </c>
      <c r="BJ46" s="82">
        <v>0.16201642507196046</v>
      </c>
      <c r="BK46" s="82">
        <v>3.5303782532519756E-3</v>
      </c>
      <c r="BL46" s="82">
        <v>3.5303782532519756E-3</v>
      </c>
      <c r="BM46" s="75">
        <v>146438.97089929623</v>
      </c>
      <c r="BO46" s="81">
        <v>0.01</v>
      </c>
      <c r="BP46" s="75">
        <v>146439.577428324</v>
      </c>
      <c r="BR46" s="81">
        <v>0.01</v>
      </c>
      <c r="BS46" s="75">
        <v>146439.61431103252</v>
      </c>
      <c r="BU46" s="75">
        <v>0</v>
      </c>
    </row>
    <row r="47" spans="2:76" x14ac:dyDescent="0.2">
      <c r="B47" s="147" t="s">
        <v>28</v>
      </c>
      <c r="C47" s="148"/>
      <c r="D47" s="148"/>
      <c r="E47" s="156">
        <f>_xlfn.XLOOKUP(UserInput!C9,'c.DataValidation'!$A$2:$A$6,'c.DataValidation'!$B$2:$B$6)</f>
        <v>2</v>
      </c>
      <c r="K47" s="107"/>
      <c r="L47" s="71"/>
      <c r="M47" s="108"/>
      <c r="O47" s="111"/>
      <c r="P47" s="111"/>
      <c r="Q47" s="111"/>
      <c r="R47" s="112"/>
      <c r="S47" s="145"/>
      <c r="T47" s="146"/>
      <c r="V47" s="113" t="str">
        <v/>
      </c>
      <c r="W47" s="111" t="str">
        <v/>
      </c>
      <c r="X47" s="111" t="str">
        <v/>
      </c>
      <c r="Y47" s="111" t="str">
        <v/>
      </c>
      <c r="Z47" s="109" t="str">
        <v/>
      </c>
      <c r="AG47" s="75">
        <v>43</v>
      </c>
      <c r="AH47" s="76">
        <v>49023</v>
      </c>
      <c r="AI47" s="77">
        <v>48933</v>
      </c>
      <c r="AJ47" s="77">
        <v>48933</v>
      </c>
      <c r="AK47" s="77">
        <v>49023</v>
      </c>
      <c r="AL47" s="78">
        <v>0.25</v>
      </c>
      <c r="AM47" s="77">
        <v>49023</v>
      </c>
      <c r="AN47" s="79">
        <v>10.627777777777778</v>
      </c>
      <c r="AO47" s="79">
        <v>10.877777777777778</v>
      </c>
      <c r="AP47" s="79">
        <v>0.25</v>
      </c>
      <c r="AQ47" s="78">
        <v>0.68505992135587102</v>
      </c>
      <c r="AS47" s="81">
        <v>0.01</v>
      </c>
      <c r="AT47" s="75">
        <v>250000</v>
      </c>
      <c r="AV47" s="75">
        <v>142921.7154467346</v>
      </c>
      <c r="AW47" s="82">
        <v>1.6631531758921219E-2</v>
      </c>
      <c r="AX47" s="82">
        <v>1.6631531758921219E-2</v>
      </c>
      <c r="AY47" s="82">
        <v>0.99585074908774252</v>
      </c>
      <c r="AZ47" s="119">
        <f>IF(AY47="","",PRODUCT($AY$5:AY47))</f>
        <v>0.83450636063405281</v>
      </c>
      <c r="BA47" s="120">
        <v>0.83450636063405281</v>
      </c>
      <c r="BB47" s="82">
        <v>0.16549363936594719</v>
      </c>
      <c r="BC47" s="82">
        <v>3.4770032369985104E-3</v>
      </c>
      <c r="BD47" s="82">
        <v>3.4770032369985104E-3</v>
      </c>
      <c r="BE47" s="75">
        <v>142917.33384553852</v>
      </c>
      <c r="BG47" s="75">
        <v>142921.74957624826</v>
      </c>
      <c r="BH47" s="82">
        <v>1.6631584016205979E-2</v>
      </c>
      <c r="BI47" s="82">
        <v>0.83450655991305078</v>
      </c>
      <c r="BJ47" s="82">
        <v>0.16549344008694922</v>
      </c>
      <c r="BK47" s="82">
        <v>3.4770150149887602E-3</v>
      </c>
      <c r="BL47" s="82">
        <v>3.4770150149887602E-3</v>
      </c>
      <c r="BM47" s="75">
        <v>142917.81796328296</v>
      </c>
      <c r="BO47" s="81">
        <v>0.01</v>
      </c>
      <c r="BP47" s="75">
        <v>142921.7154467346</v>
      </c>
      <c r="BR47" s="81">
        <v>0.01</v>
      </c>
      <c r="BS47" s="75">
        <v>142921.74957624826</v>
      </c>
      <c r="BU47" s="75">
        <v>0</v>
      </c>
    </row>
    <row r="48" spans="2:76" x14ac:dyDescent="0.2">
      <c r="K48" s="126"/>
      <c r="L48" s="128"/>
      <c r="M48" s="130"/>
      <c r="N48" s="127"/>
      <c r="O48" s="132"/>
      <c r="P48" s="132"/>
      <c r="Q48" s="132"/>
      <c r="R48" s="133"/>
      <c r="S48" s="157"/>
      <c r="T48" s="158"/>
      <c r="V48" s="134" t="str">
        <v/>
      </c>
      <c r="W48" s="132" t="str">
        <v/>
      </c>
      <c r="X48" s="132" t="str">
        <v/>
      </c>
      <c r="Y48" s="132" t="str">
        <v/>
      </c>
      <c r="Z48" s="131" t="str">
        <v/>
      </c>
      <c r="AG48" s="75">
        <v>44</v>
      </c>
      <c r="AH48" s="76">
        <v>49115</v>
      </c>
      <c r="AI48" s="77">
        <v>49023</v>
      </c>
      <c r="AJ48" s="77">
        <v>49023</v>
      </c>
      <c r="AK48" s="77">
        <v>49115</v>
      </c>
      <c r="AL48" s="78">
        <v>0.25555555555555554</v>
      </c>
      <c r="AM48" s="77">
        <v>49115</v>
      </c>
      <c r="AN48" s="79">
        <v>10.877777777777778</v>
      </c>
      <c r="AO48" s="79">
        <v>11.133333333333333</v>
      </c>
      <c r="AP48" s="79">
        <v>0.25555555555555465</v>
      </c>
      <c r="AQ48" s="78">
        <v>0.67858360783615079</v>
      </c>
      <c r="AS48" s="81">
        <v>0.01</v>
      </c>
      <c r="AT48" s="75">
        <v>255555.55555555553</v>
      </c>
      <c r="AV48" s="75">
        <v>144102.81640987002</v>
      </c>
      <c r="AW48" s="82">
        <v>1.6631531758921219E-2</v>
      </c>
      <c r="AX48" s="82">
        <v>1.6631531758921219E-2</v>
      </c>
      <c r="AY48" s="82">
        <v>0.99575873931986969</v>
      </c>
      <c r="AZ48" s="119">
        <f>IF(AY48="","",PRODUCT($AY$5:AY48))</f>
        <v>0.83096700161937698</v>
      </c>
      <c r="BA48" s="120">
        <v>0.83096700161937698</v>
      </c>
      <c r="BB48" s="82">
        <v>0.16903299838062302</v>
      </c>
      <c r="BC48" s="82">
        <v>3.5393590146758358E-3</v>
      </c>
      <c r="BD48" s="82">
        <v>3.5393590146758358E-3</v>
      </c>
      <c r="BE48" s="75">
        <v>144105.06057636795</v>
      </c>
      <c r="BG48" s="75">
        <v>144102.84889698742</v>
      </c>
      <c r="BH48" s="82">
        <v>1.6631584016205979E-2</v>
      </c>
      <c r="BI48" s="82">
        <v>0.83096718895591348</v>
      </c>
      <c r="BJ48" s="82">
        <v>0.16903281104408652</v>
      </c>
      <c r="BK48" s="82">
        <v>3.5393709571373E-3</v>
      </c>
      <c r="BL48" s="82">
        <v>3.5393709571373E-3</v>
      </c>
      <c r="BM48" s="75">
        <v>144105.54681388315</v>
      </c>
      <c r="BO48" s="81">
        <v>0.01</v>
      </c>
      <c r="BP48" s="75">
        <v>144102.81640987002</v>
      </c>
      <c r="BR48" s="81">
        <v>0.01</v>
      </c>
      <c r="BS48" s="75">
        <v>144102.84889698742</v>
      </c>
      <c r="BU48" s="75">
        <v>0</v>
      </c>
    </row>
    <row r="49" spans="11:73" x14ac:dyDescent="0.2">
      <c r="AG49" s="75">
        <v>45</v>
      </c>
      <c r="AH49" s="76">
        <v>49207</v>
      </c>
      <c r="AI49" s="77">
        <v>49115</v>
      </c>
      <c r="AJ49" s="77">
        <v>49115</v>
      </c>
      <c r="AK49" s="77">
        <v>49207</v>
      </c>
      <c r="AL49" s="78">
        <v>0.25555555555555554</v>
      </c>
      <c r="AM49" s="77">
        <v>49207</v>
      </c>
      <c r="AN49" s="79">
        <v>11.133333333333333</v>
      </c>
      <c r="AO49" s="79">
        <v>11.388888888888889</v>
      </c>
      <c r="AP49" s="79">
        <v>0.25555555555555642</v>
      </c>
      <c r="AQ49" s="78">
        <v>0.67214583039148323</v>
      </c>
      <c r="AS49" s="81">
        <v>0.01</v>
      </c>
      <c r="AT49" s="75">
        <v>255555.55555555553</v>
      </c>
      <c r="AV49" s="75">
        <v>142130.32204462358</v>
      </c>
      <c r="AW49" s="82">
        <v>1.6631531758921219E-2</v>
      </c>
      <c r="AX49" s="82">
        <v>1.6631531758921219E-2</v>
      </c>
      <c r="AY49" s="82">
        <v>0.99575873931986958</v>
      </c>
      <c r="AZ49" s="119">
        <f>IF(AY49="","",PRODUCT($AY$5:AY49))</f>
        <v>0.8274426539489228</v>
      </c>
      <c r="BA49" s="120">
        <v>0.8274426539489228</v>
      </c>
      <c r="BB49" s="82">
        <v>0.1725573460510772</v>
      </c>
      <c r="BC49" s="82">
        <v>3.5243476704541754E-3</v>
      </c>
      <c r="BD49" s="82">
        <v>3.5243476704541754E-3</v>
      </c>
      <c r="BE49" s="75">
        <v>142132.5354927427</v>
      </c>
      <c r="BG49" s="75">
        <v>142130.3521889543</v>
      </c>
      <c r="BH49" s="82">
        <v>1.6631584016205979E-2</v>
      </c>
      <c r="BI49" s="82">
        <v>0.82744282944071557</v>
      </c>
      <c r="BJ49" s="82">
        <v>0.17255717055928443</v>
      </c>
      <c r="BK49" s="82">
        <v>3.5243595151979168E-3</v>
      </c>
      <c r="BL49" s="82">
        <v>3.5243595151979168E-3</v>
      </c>
      <c r="BM49" s="75">
        <v>142133.01317644972</v>
      </c>
      <c r="BO49" s="81">
        <v>0.01</v>
      </c>
      <c r="BP49" s="75">
        <v>142130.32204462358</v>
      </c>
      <c r="BR49" s="81">
        <v>0.01</v>
      </c>
      <c r="BS49" s="75">
        <v>142130.3521889543</v>
      </c>
      <c r="BU49" s="75">
        <v>0</v>
      </c>
    </row>
    <row r="50" spans="11:73" x14ac:dyDescent="0.2">
      <c r="K50" s="72" t="s">
        <v>146</v>
      </c>
      <c r="L50" s="73"/>
      <c r="M50" s="73"/>
      <c r="N50" s="73"/>
      <c r="O50" s="73"/>
      <c r="P50" s="73"/>
      <c r="Q50" s="73"/>
      <c r="R50" s="74"/>
      <c r="AG50" s="75">
        <v>46</v>
      </c>
      <c r="AH50" s="76">
        <v>49298</v>
      </c>
      <c r="AI50" s="77">
        <v>49207</v>
      </c>
      <c r="AJ50" s="77">
        <v>49207</v>
      </c>
      <c r="AK50" s="77">
        <v>49298</v>
      </c>
      <c r="AL50" s="78">
        <v>0.25277777777777777</v>
      </c>
      <c r="AM50" s="77">
        <v>49298</v>
      </c>
      <c r="AN50" s="79">
        <v>11.388888888888889</v>
      </c>
      <c r="AO50" s="79">
        <v>11.641666666666667</v>
      </c>
      <c r="AP50" s="79">
        <v>0.25277777777777821</v>
      </c>
      <c r="AQ50" s="78">
        <v>0.66583811438124207</v>
      </c>
      <c r="AS50" s="81">
        <v>0.01</v>
      </c>
      <c r="AT50" s="75">
        <v>252777.77777777778</v>
      </c>
      <c r="AV50" s="75">
        <v>138681.85383237328</v>
      </c>
      <c r="AW50" s="82">
        <v>1.6631531758921219E-2</v>
      </c>
      <c r="AX50" s="82">
        <v>1.6631531758921219E-2</v>
      </c>
      <c r="AY50" s="82">
        <v>0.99580474314112322</v>
      </c>
      <c r="AZ50" s="119">
        <f>IF(AY50="","",PRODUCT($AY$5:AY50))</f>
        <v>0.82397131947961633</v>
      </c>
      <c r="BA50" s="120">
        <v>0.82397131947961633</v>
      </c>
      <c r="BB50" s="82">
        <v>0.17602868052038367</v>
      </c>
      <c r="BC50" s="82">
        <v>3.4713344693064752E-3</v>
      </c>
      <c r="BD50" s="82">
        <v>3.4713344693064752E-3</v>
      </c>
      <c r="BE50" s="75">
        <v>138680.80784577798</v>
      </c>
      <c r="BG50" s="75">
        <v>138681.88141340498</v>
      </c>
      <c r="BH50" s="82">
        <v>1.6631584016205979E-2</v>
      </c>
      <c r="BI50" s="82">
        <v>0.82397148335094084</v>
      </c>
      <c r="BJ50" s="82">
        <v>0.17602851664905916</v>
      </c>
      <c r="BK50" s="82">
        <v>3.4713460897747295E-3</v>
      </c>
      <c r="BL50" s="82">
        <v>3.4713460897747295E-3</v>
      </c>
      <c r="BM50" s="75">
        <v>138681.27208681821</v>
      </c>
      <c r="BO50" s="81">
        <v>0.01</v>
      </c>
      <c r="BP50" s="75">
        <v>138681.85383237328</v>
      </c>
      <c r="BR50" s="81">
        <v>0.01</v>
      </c>
      <c r="BS50" s="75">
        <v>138681.88141340498</v>
      </c>
      <c r="BU50" s="75">
        <v>0</v>
      </c>
    </row>
    <row r="51" spans="11:73" x14ac:dyDescent="0.2">
      <c r="K51" s="93" t="s">
        <v>29</v>
      </c>
      <c r="L51" s="93" t="s">
        <v>18</v>
      </c>
      <c r="M51" s="93" t="s">
        <v>145</v>
      </c>
      <c r="N51" s="93" t="s">
        <v>3</v>
      </c>
      <c r="O51" s="94" t="s">
        <v>66</v>
      </c>
      <c r="P51" s="94" t="s">
        <v>81</v>
      </c>
      <c r="Q51" s="94" t="s">
        <v>88</v>
      </c>
      <c r="R51" s="95" t="s">
        <v>152</v>
      </c>
      <c r="AG51" s="75">
        <v>47</v>
      </c>
      <c r="AH51" s="76">
        <v>49388</v>
      </c>
      <c r="AI51" s="77">
        <v>49298</v>
      </c>
      <c r="AJ51" s="77">
        <v>49298</v>
      </c>
      <c r="AK51" s="77">
        <v>49388</v>
      </c>
      <c r="AL51" s="78">
        <v>0.25</v>
      </c>
      <c r="AM51" s="77">
        <v>49388</v>
      </c>
      <c r="AN51" s="79">
        <v>11.641666666666667</v>
      </c>
      <c r="AO51" s="79">
        <v>11.891666666666667</v>
      </c>
      <c r="AP51" s="79">
        <v>0.25</v>
      </c>
      <c r="AQ51" s="78">
        <v>0.65965793819770524</v>
      </c>
      <c r="AS51" s="81">
        <v>0.01</v>
      </c>
      <c r="AT51" s="75">
        <v>250000</v>
      </c>
      <c r="AV51" s="75">
        <v>135320.98528257644</v>
      </c>
      <c r="AW51" s="82">
        <v>1.6631531758921219E-2</v>
      </c>
      <c r="AX51" s="82">
        <v>1.6631531758921219E-2</v>
      </c>
      <c r="AY51" s="82">
        <v>0.99585074908774252</v>
      </c>
      <c r="AZ51" s="119">
        <f>IF(AY51="","",PRODUCT($AY$5:AY51))</f>
        <v>0.82055245573059155</v>
      </c>
      <c r="BA51" s="120">
        <v>0.82055245573059155</v>
      </c>
      <c r="BB51" s="82">
        <v>0.17944754426940845</v>
      </c>
      <c r="BC51" s="82">
        <v>3.4188637490247809E-3</v>
      </c>
      <c r="BD51" s="82">
        <v>3.4188637490247809E-3</v>
      </c>
      <c r="BE51" s="75">
        <v>135316.83669963383</v>
      </c>
      <c r="BG51" s="75">
        <v>135321.01042732183</v>
      </c>
      <c r="BH51" s="82">
        <v>1.6631584016205979E-2</v>
      </c>
      <c r="BI51" s="82">
        <v>0.82055260820200993</v>
      </c>
      <c r="BJ51" s="82">
        <v>0.17944739179799007</v>
      </c>
      <c r="BK51" s="82">
        <v>3.418875148930911E-3</v>
      </c>
      <c r="BL51" s="82">
        <v>3.418875148930911E-3</v>
      </c>
      <c r="BM51" s="75">
        <v>135317.28790194824</v>
      </c>
      <c r="BO51" s="81">
        <v>0.01</v>
      </c>
      <c r="BP51" s="75">
        <v>135320.98528257644</v>
      </c>
      <c r="BR51" s="81">
        <v>0.01</v>
      </c>
      <c r="BS51" s="75">
        <v>135321.01042732183</v>
      </c>
      <c r="BU51" s="75">
        <v>0</v>
      </c>
    </row>
    <row r="52" spans="11:73" x14ac:dyDescent="0.2">
      <c r="K52" s="110" cm="1">
        <f t="array" ref="K52:K63">_xlfn.ANCHORARRAY($K$5)</f>
        <v>1</v>
      </c>
      <c r="L52" s="71" cm="1">
        <f t="array" ref="L52:L63">_xlfn.ANCHORARRAY($L$5)</f>
        <v>45189</v>
      </c>
      <c r="M52" s="108" cm="1">
        <f t="array" ref="M52:M63">_xlfn.ANCHORARRAY($M$5)</f>
        <v>0.22465753424657534</v>
      </c>
      <c r="N52" s="80" t="str" cm="1">
        <f t="array" ref="N52:N63">_xlfn.ANCHORARRAY($N$5)</f>
        <v>3M</v>
      </c>
      <c r="O52" s="111" cm="1">
        <f t="array" ref="O52:O63">_xlfn._xlws.FILTER(O29:O48,$M$29:$M$48&gt;0)</f>
        <v>0.01</v>
      </c>
      <c r="P52" s="111" cm="1">
        <f t="array" ref="P52:P63">_xlfn._xlws.FILTER(P29:P48,$M$29:$M$48&gt;0)</f>
        <v>0</v>
      </c>
      <c r="Q52" s="111" cm="1">
        <f t="array" ref="Q52:Q63">_xlfn._xlws.FILTER(Q29:Q48,$M$29:$M$48&gt;0)</f>
        <v>0.01</v>
      </c>
      <c r="R52" s="112" cm="1">
        <f t="array" ref="R52:R63">_xlfn._xlws.FILTER(R29:R48,$M$29:$M$48&gt;0)</f>
        <v>3.7819389355194799E-3</v>
      </c>
      <c r="AG52" s="75">
        <v>48</v>
      </c>
      <c r="AH52" s="76">
        <v>49480</v>
      </c>
      <c r="AI52" s="77">
        <v>49388</v>
      </c>
      <c r="AJ52" s="77">
        <v>49388</v>
      </c>
      <c r="AK52" s="77">
        <v>49480</v>
      </c>
      <c r="AL52" s="78">
        <v>0.25555555555555554</v>
      </c>
      <c r="AM52" s="77">
        <v>49480</v>
      </c>
      <c r="AN52" s="79">
        <v>11.891666666666667</v>
      </c>
      <c r="AO52" s="79">
        <v>12.147222222222222</v>
      </c>
      <c r="AP52" s="79">
        <v>0.25555555555555465</v>
      </c>
      <c r="AQ52" s="78">
        <v>0.65335173725628892</v>
      </c>
      <c r="AS52" s="81">
        <v>0.01</v>
      </c>
      <c r="AT52" s="75">
        <v>255555.55555555553</v>
      </c>
      <c r="AV52" s="75">
        <v>136424.65150862216</v>
      </c>
      <c r="AW52" s="82">
        <v>1.6631531758921219E-2</v>
      </c>
      <c r="AX52" s="82">
        <v>1.6631531758921219E-2</v>
      </c>
      <c r="AY52" s="82">
        <v>0.99575873931986969</v>
      </c>
      <c r="AZ52" s="119">
        <f>IF(AY52="","",PRODUCT($AY$5:AY52))</f>
        <v>0.81707227886411704</v>
      </c>
      <c r="BA52" s="120">
        <v>0.81707227886411704</v>
      </c>
      <c r="BB52" s="82">
        <v>0.18292772113588296</v>
      </c>
      <c r="BC52" s="82">
        <v>3.4801768664745047E-3</v>
      </c>
      <c r="BD52" s="82">
        <v>3.4801768664745047E-3</v>
      </c>
      <c r="BE52" s="75">
        <v>136426.77610021594</v>
      </c>
      <c r="BG52" s="75">
        <v>136424.67503654351</v>
      </c>
      <c r="BH52" s="82">
        <v>1.6631584016205979E-2</v>
      </c>
      <c r="BI52" s="82">
        <v>0.81707241977715672</v>
      </c>
      <c r="BJ52" s="82">
        <v>0.18292758022284328</v>
      </c>
      <c r="BK52" s="82">
        <v>3.4801884248532033E-3</v>
      </c>
      <c r="BL52" s="82">
        <v>3.4801884248532033E-3</v>
      </c>
      <c r="BM52" s="75">
        <v>136427.22920142408</v>
      </c>
      <c r="BO52" s="81">
        <v>0.01</v>
      </c>
      <c r="BP52" s="75">
        <v>136424.65150862213</v>
      </c>
      <c r="BR52" s="81">
        <v>0.01</v>
      </c>
      <c r="BS52" s="75">
        <v>136424.67503654351</v>
      </c>
      <c r="BU52" s="75">
        <v>0</v>
      </c>
    </row>
    <row r="53" spans="11:73" x14ac:dyDescent="0.2">
      <c r="K53" s="110">
        <v>2</v>
      </c>
      <c r="L53" s="71">
        <v>45280</v>
      </c>
      <c r="M53" s="108">
        <v>0.47397260273972602</v>
      </c>
      <c r="N53" s="80" t="str">
        <v>6M</v>
      </c>
      <c r="O53" s="111">
        <v>0.01</v>
      </c>
      <c r="P53" s="111">
        <v>0</v>
      </c>
      <c r="Q53" s="111">
        <v>0.01</v>
      </c>
      <c r="R53" s="112">
        <v>7.9613609881080682E-3</v>
      </c>
      <c r="AG53" s="75">
        <v>49</v>
      </c>
      <c r="AH53" s="76">
        <v>49572</v>
      </c>
      <c r="AI53" s="77">
        <v>49480</v>
      </c>
      <c r="AJ53" s="77">
        <v>49480</v>
      </c>
      <c r="AK53" s="77">
        <v>49572</v>
      </c>
      <c r="AL53" s="78">
        <v>0.25555555555555554</v>
      </c>
      <c r="AM53" s="77">
        <v>49572</v>
      </c>
      <c r="AN53" s="79">
        <v>12.147222222222222</v>
      </c>
      <c r="AO53" s="79">
        <v>12.402777777777779</v>
      </c>
      <c r="AP53" s="79">
        <v>0.25555555555555642</v>
      </c>
      <c r="AQ53" s="78">
        <v>0.64709800389832428</v>
      </c>
      <c r="AS53" s="81">
        <v>0.01</v>
      </c>
      <c r="AT53" s="75">
        <v>255555.55555555553</v>
      </c>
      <c r="AV53" s="75">
        <v>134545.75179136902</v>
      </c>
      <c r="AW53" s="82">
        <v>1.6631531758921219E-2</v>
      </c>
      <c r="AX53" s="82">
        <v>1.6631531758921219E-2</v>
      </c>
      <c r="AY53" s="82">
        <v>0.99575873931986958</v>
      </c>
      <c r="AZ53" s="119">
        <f>IF(AY53="","",PRODUCT($AY$5:AY53))</f>
        <v>0.81360686233494606</v>
      </c>
      <c r="BA53" s="120">
        <v>0.81360686233494606</v>
      </c>
      <c r="BB53" s="82">
        <v>0.18639313766505394</v>
      </c>
      <c r="BC53" s="82">
        <v>3.4654165291709838E-3</v>
      </c>
      <c r="BD53" s="82">
        <v>3.4654165291709838E-3</v>
      </c>
      <c r="BE53" s="75">
        <v>134547.84712216814</v>
      </c>
      <c r="BG53" s="75">
        <v>134545.77319844329</v>
      </c>
      <c r="BH53" s="82">
        <v>1.6631584016205979E-2</v>
      </c>
      <c r="BI53" s="82">
        <v>0.8136069917849087</v>
      </c>
      <c r="BJ53" s="82">
        <v>0.1863930082150913</v>
      </c>
      <c r="BK53" s="82">
        <v>3.4654279922480269E-3</v>
      </c>
      <c r="BL53" s="82">
        <v>3.4654279922480269E-3</v>
      </c>
      <c r="BM53" s="75">
        <v>134548.29218622454</v>
      </c>
      <c r="BO53" s="81">
        <v>0.01</v>
      </c>
      <c r="BP53" s="75">
        <v>134545.75179136902</v>
      </c>
      <c r="BR53" s="81">
        <v>0.01</v>
      </c>
      <c r="BS53" s="75">
        <v>134545.77319844329</v>
      </c>
      <c r="BU53" s="75">
        <v>0</v>
      </c>
    </row>
    <row r="54" spans="11:73" x14ac:dyDescent="0.2">
      <c r="K54" s="110">
        <v>3</v>
      </c>
      <c r="L54" s="71">
        <v>45463</v>
      </c>
      <c r="M54" s="108">
        <v>0.97267759562841527</v>
      </c>
      <c r="N54" s="80" t="str">
        <v>1Y</v>
      </c>
      <c r="O54" s="111">
        <v>0.01</v>
      </c>
      <c r="P54" s="111">
        <v>0</v>
      </c>
      <c r="Q54" s="111">
        <v>0.01</v>
      </c>
      <c r="R54" s="112">
        <v>1.6313027703896532E-2</v>
      </c>
      <c r="AG54" s="75">
        <v>50</v>
      </c>
      <c r="AH54" s="76">
        <v>49663</v>
      </c>
      <c r="AI54" s="77">
        <v>49572</v>
      </c>
      <c r="AJ54" s="77">
        <v>49572</v>
      </c>
      <c r="AK54" s="77">
        <v>49663</v>
      </c>
      <c r="AL54" s="78">
        <v>0.25277777777777777</v>
      </c>
      <c r="AM54" s="77">
        <v>49663</v>
      </c>
      <c r="AN54" s="79">
        <v>12.402777777777779</v>
      </c>
      <c r="AO54" s="79">
        <v>12.655555555555555</v>
      </c>
      <c r="AP54" s="79">
        <v>0.25277777777777644</v>
      </c>
      <c r="AQ54" s="78">
        <v>0.64097113482430401</v>
      </c>
      <c r="AS54" s="81">
        <v>0.01</v>
      </c>
      <c r="AT54" s="75">
        <v>252777.77777777778</v>
      </c>
      <c r="AV54" s="75">
        <v>131270.20311317575</v>
      </c>
      <c r="AW54" s="82">
        <v>1.6631531758921219E-2</v>
      </c>
      <c r="AX54" s="82">
        <v>1.6631531758921219E-2</v>
      </c>
      <c r="AY54" s="82">
        <v>0.99580474314112322</v>
      </c>
      <c r="AZ54" s="119">
        <f>IF(AY54="","",PRODUCT($AY$5:AY54))</f>
        <v>0.81019357256530611</v>
      </c>
      <c r="BA54" s="120">
        <v>0.81019357256530611</v>
      </c>
      <c r="BB54" s="82">
        <v>0.18980642743469389</v>
      </c>
      <c r="BC54" s="82">
        <v>3.4132897696399489E-3</v>
      </c>
      <c r="BD54" s="82">
        <v>3.4132897696399489E-3</v>
      </c>
      <c r="BE54" s="75">
        <v>131269.2130278183</v>
      </c>
      <c r="BG54" s="75">
        <v>131270.22226507825</v>
      </c>
      <c r="BH54" s="82">
        <v>1.6631584016205979E-2</v>
      </c>
      <c r="BI54" s="82">
        <v>0.81019369076995529</v>
      </c>
      <c r="BJ54" s="82">
        <v>0.18980630923004471</v>
      </c>
      <c r="BK54" s="82">
        <v>3.4133010149534071E-3</v>
      </c>
      <c r="BL54" s="82">
        <v>3.4133010149534071E-3</v>
      </c>
      <c r="BM54" s="75">
        <v>131269.64550309803</v>
      </c>
      <c r="BO54" s="81">
        <v>0.01</v>
      </c>
      <c r="BP54" s="75">
        <v>131270.20311317572</v>
      </c>
      <c r="BR54" s="81">
        <v>0.01</v>
      </c>
      <c r="BS54" s="75">
        <v>131270.22226507822</v>
      </c>
      <c r="BU54" s="75">
        <v>0</v>
      </c>
    </row>
    <row r="55" spans="11:73" x14ac:dyDescent="0.2">
      <c r="K55" s="110">
        <v>4</v>
      </c>
      <c r="L55" s="71">
        <v>45828</v>
      </c>
      <c r="M55" s="108">
        <v>1.9735401459854016</v>
      </c>
      <c r="N55" s="80" t="str">
        <v>2Y</v>
      </c>
      <c r="O55" s="111">
        <v>0.01</v>
      </c>
      <c r="P55" s="111">
        <v>0</v>
      </c>
      <c r="Q55" s="111">
        <v>0.01</v>
      </c>
      <c r="R55" s="112">
        <v>3.2761428810834436E-2</v>
      </c>
      <c r="AG55" s="75">
        <v>51</v>
      </c>
      <c r="AH55" s="76">
        <v>49754</v>
      </c>
      <c r="AI55" s="77">
        <v>49663</v>
      </c>
      <c r="AJ55" s="77">
        <v>49663</v>
      </c>
      <c r="AK55" s="77">
        <v>49754</v>
      </c>
      <c r="AL55" s="78">
        <v>0.25277777777777777</v>
      </c>
      <c r="AM55" s="77">
        <v>49754</v>
      </c>
      <c r="AN55" s="79">
        <v>12.655555555555555</v>
      </c>
      <c r="AO55" s="79">
        <v>12.908333333333333</v>
      </c>
      <c r="AP55" s="79">
        <v>0.25277777777777821</v>
      </c>
      <c r="AQ55" s="78">
        <v>0.6349022763212081</v>
      </c>
      <c r="AS55" s="81">
        <v>0.01</v>
      </c>
      <c r="AT55" s="75">
        <v>252777.77777777778</v>
      </c>
      <c r="AV55" s="75">
        <v>129481.80942717635</v>
      </c>
      <c r="AW55" s="82">
        <v>1.6631531758921219E-2</v>
      </c>
      <c r="AX55" s="82">
        <v>1.6631531758921219E-2</v>
      </c>
      <c r="AY55" s="82">
        <v>0.99580474314112322</v>
      </c>
      <c r="AZ55" s="119">
        <f>IF(AY55="","",PRODUCT($AY$5:AY55))</f>
        <v>0.80679460242298362</v>
      </c>
      <c r="BA55" s="120">
        <v>0.80679460242298362</v>
      </c>
      <c r="BB55" s="82">
        <v>0.19320539757701638</v>
      </c>
      <c r="BC55" s="82">
        <v>3.3989701423224883E-3</v>
      </c>
      <c r="BD55" s="82">
        <v>3.3989701423224883E-3</v>
      </c>
      <c r="BE55" s="75">
        <v>129480.83283050211</v>
      </c>
      <c r="BG55" s="75">
        <v>129481.82660777029</v>
      </c>
      <c r="BH55" s="82">
        <v>1.6631584016205979E-2</v>
      </c>
      <c r="BI55" s="82">
        <v>0.80679470947439502</v>
      </c>
      <c r="BJ55" s="82">
        <v>0.19320529052560498</v>
      </c>
      <c r="BK55" s="82">
        <v>3.3989812955602661E-3</v>
      </c>
      <c r="BL55" s="82">
        <v>3.3989812955602661E-3</v>
      </c>
      <c r="BM55" s="75">
        <v>129481.25770346531</v>
      </c>
      <c r="BO55" s="81">
        <v>0.01</v>
      </c>
      <c r="BP55" s="75">
        <v>129481.80942717635</v>
      </c>
      <c r="BR55" s="81">
        <v>0.01</v>
      </c>
      <c r="BS55" s="75">
        <v>129481.82660777029</v>
      </c>
      <c r="BU55" s="75">
        <v>0</v>
      </c>
    </row>
    <row r="56" spans="11:73" x14ac:dyDescent="0.2">
      <c r="K56" s="110">
        <v>5</v>
      </c>
      <c r="L56" s="71">
        <v>46193</v>
      </c>
      <c r="M56" s="108">
        <v>2.9733059548254621</v>
      </c>
      <c r="N56" s="80" t="str">
        <v>3Y</v>
      </c>
      <c r="O56" s="111">
        <v>0.01</v>
      </c>
      <c r="P56" s="111">
        <v>0</v>
      </c>
      <c r="Q56" s="111">
        <v>0.01</v>
      </c>
      <c r="R56" s="112">
        <v>4.902264406221879E-2</v>
      </c>
      <c r="AG56" s="75">
        <v>52</v>
      </c>
      <c r="AH56" s="76">
        <v>49846</v>
      </c>
      <c r="AI56" s="77">
        <v>49754</v>
      </c>
      <c r="AJ56" s="77">
        <v>49754</v>
      </c>
      <c r="AK56" s="77">
        <v>49846</v>
      </c>
      <c r="AL56" s="78">
        <v>0.25555555555555554</v>
      </c>
      <c r="AM56" s="77">
        <v>49846</v>
      </c>
      <c r="AN56" s="79">
        <v>12.908333333333333</v>
      </c>
      <c r="AO56" s="79">
        <v>13.16388888888889</v>
      </c>
      <c r="AP56" s="79">
        <v>0.25555555555555642</v>
      </c>
      <c r="AQ56" s="78">
        <v>0.62880261202626786</v>
      </c>
      <c r="AS56" s="81">
        <v>0.01</v>
      </c>
      <c r="AT56" s="75">
        <v>255555.55555555553</v>
      </c>
      <c r="AV56" s="75">
        <v>129097.18558228426</v>
      </c>
      <c r="AW56" s="82">
        <v>1.6631531758921219E-2</v>
      </c>
      <c r="AX56" s="82">
        <v>1.6631531758921219E-2</v>
      </c>
      <c r="AY56" s="82">
        <v>0.99575873931986958</v>
      </c>
      <c r="AZ56" s="119">
        <f>IF(AY56="","",PRODUCT($AY$5:AY56))</f>
        <v>0.80337277619878555</v>
      </c>
      <c r="BA56" s="120">
        <v>0.80337277619878555</v>
      </c>
      <c r="BB56" s="82">
        <v>0.19662722380121445</v>
      </c>
      <c r="BC56" s="82">
        <v>3.4218262241980657E-3</v>
      </c>
      <c r="BD56" s="82">
        <v>3.4218262241980657E-3</v>
      </c>
      <c r="BE56" s="75">
        <v>129099.1960605435</v>
      </c>
      <c r="BG56" s="75">
        <v>129097.20098779691</v>
      </c>
      <c r="BH56" s="82">
        <v>1.6631584016205979E-2</v>
      </c>
      <c r="BI56" s="82">
        <v>0.80337287206740893</v>
      </c>
      <c r="BJ56" s="82">
        <v>0.19662712793259107</v>
      </c>
      <c r="BK56" s="82">
        <v>3.4218374069860946E-3</v>
      </c>
      <c r="BL56" s="82">
        <v>3.4218374069860946E-3</v>
      </c>
      <c r="BM56" s="75">
        <v>129099.61796652284</v>
      </c>
      <c r="BO56" s="81">
        <v>0.01</v>
      </c>
      <c r="BP56" s="75">
        <v>129097.18558228426</v>
      </c>
      <c r="BR56" s="81">
        <v>0.01</v>
      </c>
      <c r="BS56" s="75">
        <v>129097.20098779691</v>
      </c>
      <c r="BU56" s="75">
        <v>0</v>
      </c>
    </row>
    <row r="57" spans="11:73" x14ac:dyDescent="0.2">
      <c r="K57" s="110">
        <v>6</v>
      </c>
      <c r="L57" s="71">
        <v>46558</v>
      </c>
      <c r="M57" s="108">
        <v>3.9731653888280394</v>
      </c>
      <c r="N57" s="80" t="str">
        <v>4Y</v>
      </c>
      <c r="O57" s="111">
        <v>0.01</v>
      </c>
      <c r="P57" s="111">
        <v>0</v>
      </c>
      <c r="Q57" s="111">
        <v>0.01</v>
      </c>
      <c r="R57" s="112">
        <v>6.4880888527471425E-2</v>
      </c>
      <c r="AG57" s="75">
        <v>53</v>
      </c>
      <c r="AH57" s="76">
        <v>49938</v>
      </c>
      <c r="AI57" s="77">
        <v>49846</v>
      </c>
      <c r="AJ57" s="77">
        <v>49846</v>
      </c>
      <c r="AK57" s="77">
        <v>49940</v>
      </c>
      <c r="AL57" s="78">
        <v>0.26111111111111113</v>
      </c>
      <c r="AM57" s="77">
        <v>49940</v>
      </c>
      <c r="AN57" s="79">
        <v>13.16388888888889</v>
      </c>
      <c r="AO57" s="79">
        <v>13.425000000000001</v>
      </c>
      <c r="AP57" s="79">
        <v>0.26111111111111107</v>
      </c>
      <c r="AQ57" s="78">
        <v>0.62262711788595482</v>
      </c>
      <c r="AS57" s="81">
        <v>0.01</v>
      </c>
      <c r="AT57" s="75">
        <v>261111.11111111112</v>
      </c>
      <c r="AV57" s="75">
        <v>130042.25585074454</v>
      </c>
      <c r="AW57" s="82">
        <v>1.6631531758921219E-2</v>
      </c>
      <c r="AX57" s="82">
        <v>1.6631531758921219E-2</v>
      </c>
      <c r="AY57" s="82">
        <v>0.99566673805306716</v>
      </c>
      <c r="AZ57" s="119">
        <f>IF(AY57="","",PRODUCT($AY$5:AY57))</f>
        <v>0.79989155151848157</v>
      </c>
      <c r="BA57" s="120">
        <v>0.79989155151848157</v>
      </c>
      <c r="BB57" s="82">
        <v>0.20010844848151843</v>
      </c>
      <c r="BC57" s="82">
        <v>3.4812246803039848E-3</v>
      </c>
      <c r="BD57" s="82">
        <v>3.4812246803039848E-3</v>
      </c>
      <c r="BE57" s="75">
        <v>130050.29336466746</v>
      </c>
      <c r="BG57" s="75">
        <v>130042.26959461367</v>
      </c>
      <c r="BH57" s="82">
        <v>1.6631584016205979E-2</v>
      </c>
      <c r="BI57" s="82">
        <v>0.79989163605719349</v>
      </c>
      <c r="BJ57" s="82">
        <v>0.20010836394280651</v>
      </c>
      <c r="BK57" s="82">
        <v>3.4812360102154383E-3</v>
      </c>
      <c r="BL57" s="82">
        <v>3.4812360102154383E-3</v>
      </c>
      <c r="BM57" s="75">
        <v>130050.71662327433</v>
      </c>
      <c r="BO57" s="81">
        <v>0.01</v>
      </c>
      <c r="BP57" s="75">
        <v>130042.25585074454</v>
      </c>
      <c r="BR57" s="81">
        <v>0.01</v>
      </c>
      <c r="BS57" s="75">
        <v>130042.26959461367</v>
      </c>
      <c r="BU57" s="75">
        <v>0</v>
      </c>
    </row>
    <row r="58" spans="11:73" x14ac:dyDescent="0.2">
      <c r="K58" s="110">
        <v>7</v>
      </c>
      <c r="L58" s="71">
        <v>46924</v>
      </c>
      <c r="M58" s="108">
        <v>4.9735401459854014</v>
      </c>
      <c r="N58" s="80" t="str">
        <v>5Y</v>
      </c>
      <c r="O58" s="111">
        <v>0.01</v>
      </c>
      <c r="P58" s="111">
        <v>0</v>
      </c>
      <c r="Q58" s="111">
        <v>0.01</v>
      </c>
      <c r="R58" s="112">
        <v>8.0517091680352371E-2</v>
      </c>
      <c r="AG58" s="75">
        <v>54</v>
      </c>
      <c r="AH58" s="76">
        <v>50029</v>
      </c>
      <c r="AI58" s="77">
        <v>49940</v>
      </c>
      <c r="AJ58" s="77">
        <v>49940</v>
      </c>
      <c r="AK58" s="77">
        <v>50031</v>
      </c>
      <c r="AL58" s="78">
        <v>0.25277777777777777</v>
      </c>
      <c r="AM58" s="77">
        <v>50031</v>
      </c>
      <c r="AN58" s="79">
        <v>13.425000000000001</v>
      </c>
      <c r="AO58" s="79">
        <v>13.677777777777777</v>
      </c>
      <c r="AP58" s="79">
        <v>0.25277777777777644</v>
      </c>
      <c r="AQ58" s="78">
        <v>0.61670649723835591</v>
      </c>
      <c r="AS58" s="81">
        <v>0.01</v>
      </c>
      <c r="AT58" s="75">
        <v>252777.77777777778</v>
      </c>
      <c r="AV58" s="75">
        <v>124171.7253948985</v>
      </c>
      <c r="AW58" s="82">
        <v>1.6631531758921219E-2</v>
      </c>
      <c r="AX58" s="82">
        <v>1.6631531758921219E-2</v>
      </c>
      <c r="AY58" s="82">
        <v>0.99580474314112322</v>
      </c>
      <c r="AZ58" s="119">
        <f>IF(AY58="","",PRODUCT($AY$5:AY58))</f>
        <v>0.79653580100061605</v>
      </c>
      <c r="BA58" s="120">
        <v>0.79653580100061605</v>
      </c>
      <c r="BB58" s="82">
        <v>0.20346419899938395</v>
      </c>
      <c r="BC58" s="82">
        <v>3.3557505178655189E-3</v>
      </c>
      <c r="BD58" s="82">
        <v>3.3557505178655189E-3</v>
      </c>
      <c r="BE58" s="75">
        <v>124170.78884871857</v>
      </c>
      <c r="BG58" s="75">
        <v>124171.73687808056</v>
      </c>
      <c r="BH58" s="82">
        <v>1.6631584016205979E-2</v>
      </c>
      <c r="BI58" s="82">
        <v>0.79653587466284137</v>
      </c>
      <c r="BJ58" s="82">
        <v>0.20346412533715863</v>
      </c>
      <c r="BK58" s="82">
        <v>3.3557613943521192E-3</v>
      </c>
      <c r="BL58" s="82">
        <v>3.3557613943521192E-3</v>
      </c>
      <c r="BM58" s="75">
        <v>124171.19130471579</v>
      </c>
      <c r="BO58" s="81">
        <v>0.01</v>
      </c>
      <c r="BP58" s="75">
        <v>124171.7253948985</v>
      </c>
      <c r="BR58" s="81">
        <v>0.01</v>
      </c>
      <c r="BS58" s="75">
        <v>124171.73687808056</v>
      </c>
      <c r="BU58" s="75">
        <v>0</v>
      </c>
    </row>
    <row r="59" spans="11:73" x14ac:dyDescent="0.2">
      <c r="K59" s="110">
        <v>8</v>
      </c>
      <c r="L59" s="71">
        <v>47654</v>
      </c>
      <c r="M59" s="108">
        <v>6.9733059548254621</v>
      </c>
      <c r="N59" s="80" t="str">
        <v>7Y</v>
      </c>
      <c r="O59" s="111">
        <v>0.01</v>
      </c>
      <c r="P59" s="111">
        <v>0</v>
      </c>
      <c r="Q59" s="111">
        <v>0.01</v>
      </c>
      <c r="R59" s="112">
        <v>0.11100967437995124</v>
      </c>
      <c r="AG59" s="75">
        <v>55</v>
      </c>
      <c r="AH59" s="76">
        <v>50119</v>
      </c>
      <c r="AI59" s="77">
        <v>50031</v>
      </c>
      <c r="AJ59" s="77">
        <v>50031</v>
      </c>
      <c r="AK59" s="77">
        <v>50119</v>
      </c>
      <c r="AL59" s="78">
        <v>0.24444444444444444</v>
      </c>
      <c r="AM59" s="77">
        <v>50119</v>
      </c>
      <c r="AN59" s="79">
        <v>13.677777777777777</v>
      </c>
      <c r="AO59" s="79">
        <v>13.922222222222222</v>
      </c>
      <c r="AP59" s="79">
        <v>0.24444444444444535</v>
      </c>
      <c r="AQ59" s="78">
        <v>0.61103461378299551</v>
      </c>
      <c r="AS59" s="81">
        <v>0.01</v>
      </c>
      <c r="AT59" s="75">
        <v>244444.44444444444</v>
      </c>
      <c r="AV59" s="75">
        <v>118491.0823538604</v>
      </c>
      <c r="AW59" s="82">
        <v>1.6631531758921219E-2</v>
      </c>
      <c r="AX59" s="82">
        <v>1.6631531758921219E-2</v>
      </c>
      <c r="AY59" s="82">
        <v>0.99594276735747145</v>
      </c>
      <c r="AZ59" s="119">
        <f>IF(AY59="","",PRODUCT($AY$5:AY59))</f>
        <v>0.79330406994785374</v>
      </c>
      <c r="BA59" s="120">
        <v>0.79330406994785374</v>
      </c>
      <c r="BB59" s="82">
        <v>0.20669593005214626</v>
      </c>
      <c r="BC59" s="82">
        <v>3.23173105276231E-3</v>
      </c>
      <c r="BD59" s="82">
        <v>3.23173105276231E-3</v>
      </c>
      <c r="BE59" s="75">
        <v>118481.9721405079</v>
      </c>
      <c r="BG59" s="75">
        <v>118491.09179810103</v>
      </c>
      <c r="BH59" s="82">
        <v>1.6631584016205979E-2</v>
      </c>
      <c r="BI59" s="82">
        <v>0.79330413317754478</v>
      </c>
      <c r="BJ59" s="82">
        <v>0.20669586682245522</v>
      </c>
      <c r="BK59" s="82">
        <v>3.2317414852965909E-3</v>
      </c>
      <c r="BL59" s="82">
        <v>3.2317414852965909E-3</v>
      </c>
      <c r="BM59" s="75">
        <v>118482.3546188812</v>
      </c>
      <c r="BO59" s="81">
        <v>0.01</v>
      </c>
      <c r="BP59" s="75">
        <v>118491.0823538604</v>
      </c>
      <c r="BR59" s="81">
        <v>0.01</v>
      </c>
      <c r="BS59" s="75">
        <v>118491.09179810103</v>
      </c>
      <c r="BU59" s="75">
        <v>0</v>
      </c>
    </row>
    <row r="60" spans="11:73" x14ac:dyDescent="0.2">
      <c r="K60" s="110">
        <v>9</v>
      </c>
      <c r="L60" s="71">
        <v>48750</v>
      </c>
      <c r="M60" s="108">
        <v>9.9733698357391738</v>
      </c>
      <c r="N60" s="80" t="str">
        <v>10Y</v>
      </c>
      <c r="O60" s="111">
        <v>0.01</v>
      </c>
      <c r="P60" s="111">
        <v>0</v>
      </c>
      <c r="Q60" s="111">
        <v>0.01</v>
      </c>
      <c r="R60" s="112">
        <v>0.15494103044263641</v>
      </c>
      <c r="AG60" s="75">
        <v>56</v>
      </c>
      <c r="AH60" s="76">
        <v>50211</v>
      </c>
      <c r="AI60" s="77">
        <v>50119</v>
      </c>
      <c r="AJ60" s="77">
        <v>50119</v>
      </c>
      <c r="AK60" s="77">
        <v>50213</v>
      </c>
      <c r="AL60" s="78">
        <v>0.26111111111111113</v>
      </c>
      <c r="AM60" s="77">
        <v>50213</v>
      </c>
      <c r="AN60" s="79">
        <v>13.922222222222222</v>
      </c>
      <c r="AO60" s="79">
        <v>14.183333333333334</v>
      </c>
      <c r="AP60" s="79">
        <v>0.26111111111111107</v>
      </c>
      <c r="AQ60" s="78">
        <v>0.60503361982276727</v>
      </c>
      <c r="AS60" s="81">
        <v>0.01</v>
      </c>
      <c r="AT60" s="75">
        <v>261111.11111111112</v>
      </c>
      <c r="AV60" s="75">
        <v>124783.89626100492</v>
      </c>
      <c r="AW60" s="82">
        <v>1.6631531758921219E-2</v>
      </c>
      <c r="AX60" s="82">
        <v>1.6631531758921219E-2</v>
      </c>
      <c r="AY60" s="82">
        <v>0.99566673805306716</v>
      </c>
      <c r="AZ60" s="119">
        <f>IF(AY60="","",PRODUCT($AY$5:AY60))</f>
        <v>0.78986647560920176</v>
      </c>
      <c r="BA60" s="120">
        <v>0.78986647560920176</v>
      </c>
      <c r="BB60" s="82">
        <v>0.21013352439079824</v>
      </c>
      <c r="BC60" s="82">
        <v>3.4375943386519836E-3</v>
      </c>
      <c r="BD60" s="82">
        <v>3.4375943386519836E-3</v>
      </c>
      <c r="BE60" s="75">
        <v>124791.60877181166</v>
      </c>
      <c r="BG60" s="75">
        <v>124783.90450413834</v>
      </c>
      <c r="BH60" s="82">
        <v>1.6631584016205979E-2</v>
      </c>
      <c r="BI60" s="82">
        <v>0.78986652778720656</v>
      </c>
      <c r="BJ60" s="82">
        <v>0.21013347221279344</v>
      </c>
      <c r="BK60" s="82">
        <v>3.4376053903382164E-3</v>
      </c>
      <c r="BL60" s="82">
        <v>3.4376053903382164E-3</v>
      </c>
      <c r="BM60" s="75">
        <v>124792.00997031528</v>
      </c>
      <c r="BO60" s="81">
        <v>0.01</v>
      </c>
      <c r="BP60" s="75">
        <v>124783.89626100492</v>
      </c>
      <c r="BR60" s="81">
        <v>0.01</v>
      </c>
      <c r="BS60" s="75">
        <v>124783.90450413834</v>
      </c>
      <c r="BU60" s="75">
        <v>0</v>
      </c>
    </row>
    <row r="61" spans="11:73" x14ac:dyDescent="0.2">
      <c r="K61" s="110">
        <v>10</v>
      </c>
      <c r="L61" s="71">
        <v>50576</v>
      </c>
      <c r="M61" s="108">
        <v>14.973305954825461</v>
      </c>
      <c r="N61" s="80" t="str">
        <v>15Y</v>
      </c>
      <c r="O61" s="111">
        <v>0.01</v>
      </c>
      <c r="P61" s="111">
        <v>0</v>
      </c>
      <c r="Q61" s="111">
        <v>0.01</v>
      </c>
      <c r="R61" s="112">
        <v>0.22330511767665573</v>
      </c>
      <c r="AG61" s="75">
        <v>57</v>
      </c>
      <c r="AH61" s="76">
        <v>50303</v>
      </c>
      <c r="AI61" s="77">
        <v>50213</v>
      </c>
      <c r="AJ61" s="77">
        <v>50213</v>
      </c>
      <c r="AK61" s="77">
        <v>50304</v>
      </c>
      <c r="AL61" s="78">
        <v>0.25277777777777777</v>
      </c>
      <c r="AM61" s="77">
        <v>50304</v>
      </c>
      <c r="AN61" s="79">
        <v>14.183333333333334</v>
      </c>
      <c r="AO61" s="79">
        <v>14.436111111111112</v>
      </c>
      <c r="AP61" s="79">
        <v>0.25277777777777821</v>
      </c>
      <c r="AQ61" s="78">
        <v>0.59928029742624689</v>
      </c>
      <c r="AS61" s="81">
        <v>0.01</v>
      </c>
      <c r="AT61" s="75">
        <v>252777.77777777778</v>
      </c>
      <c r="AV61" s="75">
        <v>119150.74526245457</v>
      </c>
      <c r="AW61" s="82">
        <v>1.6631531758921219E-2</v>
      </c>
      <c r="AX61" s="82">
        <v>1.6631531758921219E-2</v>
      </c>
      <c r="AY61" s="82">
        <v>0.99580474314112322</v>
      </c>
      <c r="AZ61" s="119">
        <f>IF(AY61="","",PRODUCT($AY$5:AY61))</f>
        <v>0.78655278285980545</v>
      </c>
      <c r="BA61" s="120">
        <v>0.78655278285980545</v>
      </c>
      <c r="BB61" s="82">
        <v>0.21344721714019455</v>
      </c>
      <c r="BC61" s="82">
        <v>3.313692749396302E-3</v>
      </c>
      <c r="BD61" s="82">
        <v>3.313692749396302E-3</v>
      </c>
      <c r="BE61" s="75">
        <v>119149.84658624481</v>
      </c>
      <c r="BG61" s="75">
        <v>119150.75155954661</v>
      </c>
      <c r="BH61" s="82">
        <v>1.6631584016205979E-2</v>
      </c>
      <c r="BI61" s="82">
        <v>0.78655282442895602</v>
      </c>
      <c r="BJ61" s="82">
        <v>0.21344717557104398</v>
      </c>
      <c r="BK61" s="82">
        <v>3.3137033582505415E-3</v>
      </c>
      <c r="BL61" s="82">
        <v>3.3137033582505415E-3</v>
      </c>
      <c r="BM61" s="75">
        <v>119150.22804688425</v>
      </c>
      <c r="BO61" s="81">
        <v>0.01</v>
      </c>
      <c r="BP61" s="75">
        <v>119150.74526245457</v>
      </c>
      <c r="BR61" s="81">
        <v>0.01</v>
      </c>
      <c r="BS61" s="75">
        <v>119150.75155954661</v>
      </c>
      <c r="BU61" s="75">
        <v>0</v>
      </c>
    </row>
    <row r="62" spans="11:73" x14ac:dyDescent="0.2">
      <c r="K62" s="110">
        <v>11</v>
      </c>
      <c r="L62" s="71">
        <v>52402</v>
      </c>
      <c r="M62" s="108">
        <v>19.973272490221643</v>
      </c>
      <c r="N62" s="80" t="str">
        <v>20Y</v>
      </c>
      <c r="O62" s="111">
        <v>0.01</v>
      </c>
      <c r="P62" s="111">
        <v>0</v>
      </c>
      <c r="Q62" s="111">
        <v>0.01</v>
      </c>
      <c r="R62" s="112">
        <v>0.28617163260051992</v>
      </c>
      <c r="AG62" s="75">
        <v>58</v>
      </c>
      <c r="AH62" s="76">
        <v>50394</v>
      </c>
      <c r="AI62" s="77">
        <v>50304</v>
      </c>
      <c r="AJ62" s="77">
        <v>50304</v>
      </c>
      <c r="AK62" s="77">
        <v>50395</v>
      </c>
      <c r="AL62" s="78">
        <v>0.25277777777777777</v>
      </c>
      <c r="AM62" s="77">
        <v>50395</v>
      </c>
      <c r="AN62" s="79">
        <v>14.436111111111112</v>
      </c>
      <c r="AO62" s="79">
        <v>14.688888888888888</v>
      </c>
      <c r="AP62" s="79">
        <v>0.25277777777777644</v>
      </c>
      <c r="AQ62" s="78">
        <v>0.59358168392112332</v>
      </c>
      <c r="AS62" s="81">
        <v>0.01</v>
      </c>
      <c r="AT62" s="75">
        <v>252777.77777777778</v>
      </c>
      <c r="AV62" s="75">
        <v>117522.61477265134</v>
      </c>
      <c r="AW62" s="82">
        <v>1.6631531758921219E-2</v>
      </c>
      <c r="AX62" s="82">
        <v>1.6631531758921219E-2</v>
      </c>
      <c r="AY62" s="82">
        <v>0.99580474314112322</v>
      </c>
      <c r="AZ62" s="119">
        <f>IF(AY62="","",PRODUCT($AY$5:AY62))</f>
        <v>0.78325299190264419</v>
      </c>
      <c r="BA62" s="120">
        <v>0.78325299190264419</v>
      </c>
      <c r="BB62" s="82">
        <v>0.21674700809735581</v>
      </c>
      <c r="BC62" s="82">
        <v>3.2997909571612638E-3</v>
      </c>
      <c r="BD62" s="82">
        <v>3.2997909571612638E-3</v>
      </c>
      <c r="BE62" s="75">
        <v>117521.7283763687</v>
      </c>
      <c r="BG62" s="75">
        <v>117522.61943128429</v>
      </c>
      <c r="BH62" s="82">
        <v>1.6631584016205979E-2</v>
      </c>
      <c r="BI62" s="82">
        <v>0.78325302295103605</v>
      </c>
      <c r="BJ62" s="82">
        <v>0.21674697704896395</v>
      </c>
      <c r="BK62" s="82">
        <v>3.2998014779199725E-3</v>
      </c>
      <c r="BL62" s="82">
        <v>3.2998014779199725E-3</v>
      </c>
      <c r="BM62" s="75">
        <v>117522.10307214892</v>
      </c>
      <c r="BO62" s="81">
        <v>0.01</v>
      </c>
      <c r="BP62" s="75">
        <v>117522.61477265134</v>
      </c>
      <c r="BR62" s="81">
        <v>0.01</v>
      </c>
      <c r="BS62" s="75">
        <v>117522.61943128429</v>
      </c>
      <c r="BU62" s="75">
        <v>0</v>
      </c>
    </row>
    <row r="63" spans="11:73" x14ac:dyDescent="0.2">
      <c r="K63" s="110">
        <v>12</v>
      </c>
      <c r="L63" s="71">
        <v>56055</v>
      </c>
      <c r="M63" s="108">
        <v>29.973328623156409</v>
      </c>
      <c r="N63" s="80" t="str">
        <v>30Y</v>
      </c>
      <c r="O63" s="111">
        <v>0.01</v>
      </c>
      <c r="P63" s="111">
        <v>0</v>
      </c>
      <c r="Q63" s="111">
        <v>0.01</v>
      </c>
      <c r="R63" s="112">
        <v>0.39696745857731863</v>
      </c>
      <c r="AG63" s="75">
        <v>59</v>
      </c>
      <c r="AH63" s="76">
        <v>50484</v>
      </c>
      <c r="AI63" s="77">
        <v>50395</v>
      </c>
      <c r="AJ63" s="77">
        <v>50395</v>
      </c>
      <c r="AK63" s="77">
        <v>50486</v>
      </c>
      <c r="AL63" s="78">
        <v>0.25277777777777777</v>
      </c>
      <c r="AM63" s="77">
        <v>50486</v>
      </c>
      <c r="AN63" s="79">
        <v>14.688888888888888</v>
      </c>
      <c r="AO63" s="79">
        <v>14.941666666666666</v>
      </c>
      <c r="AP63" s="79">
        <v>0.25277777777777821</v>
      </c>
      <c r="AQ63" s="78">
        <v>0.58793725907533045</v>
      </c>
      <c r="AS63" s="81">
        <v>0.01</v>
      </c>
      <c r="AT63" s="75">
        <v>252777.77777777778</v>
      </c>
      <c r="AV63" s="75">
        <v>115916.73180539606</v>
      </c>
      <c r="AW63" s="82">
        <v>1.6631531758921219E-2</v>
      </c>
      <c r="AX63" s="82">
        <v>1.6631531758921219E-2</v>
      </c>
      <c r="AY63" s="82">
        <v>0.99580474314112322</v>
      </c>
      <c r="AZ63" s="119">
        <f>IF(AY63="","",PRODUCT($AY$5:AY63))</f>
        <v>0.77996704441612885</v>
      </c>
      <c r="BA63" s="120">
        <v>0.77996704441612885</v>
      </c>
      <c r="BB63" s="82">
        <v>0.22003295558387115</v>
      </c>
      <c r="BC63" s="82">
        <v>3.2859474865153393E-3</v>
      </c>
      <c r="BD63" s="82">
        <v>3.2859474865153393E-3</v>
      </c>
      <c r="BE63" s="75">
        <v>115915.85752123799</v>
      </c>
      <c r="BG63" s="75">
        <v>115916.73486917147</v>
      </c>
      <c r="BH63" s="82">
        <v>1.6631584016205979E-2</v>
      </c>
      <c r="BI63" s="82">
        <v>0.77996706503130497</v>
      </c>
      <c r="BJ63" s="82">
        <v>0.22003293496869503</v>
      </c>
      <c r="BK63" s="82">
        <v>3.2859579197310751E-3</v>
      </c>
      <c r="BL63" s="82">
        <v>3.2859579197310751E-3</v>
      </c>
      <c r="BM63" s="75">
        <v>115916.22556581377</v>
      </c>
      <c r="BO63" s="81">
        <v>0.01</v>
      </c>
      <c r="BP63" s="75">
        <v>115916.73180539605</v>
      </c>
      <c r="BR63" s="81">
        <v>0.01</v>
      </c>
      <c r="BS63" s="75">
        <v>115916.73486917144</v>
      </c>
      <c r="BU63" s="75">
        <v>0</v>
      </c>
    </row>
    <row r="64" spans="11:73" x14ac:dyDescent="0.2">
      <c r="K64" s="107"/>
      <c r="L64" s="71"/>
      <c r="M64" s="108"/>
      <c r="O64" s="111"/>
      <c r="P64" s="111"/>
      <c r="Q64" s="111"/>
      <c r="R64" s="112"/>
      <c r="AG64" s="75">
        <v>60</v>
      </c>
      <c r="AH64" s="76">
        <v>50576</v>
      </c>
      <c r="AI64" s="77">
        <v>50486</v>
      </c>
      <c r="AJ64" s="77">
        <v>50486</v>
      </c>
      <c r="AK64" s="77">
        <v>50577</v>
      </c>
      <c r="AL64" s="78">
        <v>0.25277777777777777</v>
      </c>
      <c r="AM64" s="77">
        <v>50577</v>
      </c>
      <c r="AN64" s="79">
        <v>14.941666666666666</v>
      </c>
      <c r="AO64" s="79">
        <v>15.194444444444445</v>
      </c>
      <c r="AP64" s="79">
        <v>0.25277777777777821</v>
      </c>
      <c r="AQ64" s="78">
        <v>0.58234650760373818</v>
      </c>
      <c r="AS64" s="81">
        <v>0.01</v>
      </c>
      <c r="AT64" s="75">
        <v>252777.77777777778</v>
      </c>
      <c r="AV64" s="75">
        <v>114332.79236032591</v>
      </c>
      <c r="AW64" s="82">
        <v>1.6631531758921219E-2</v>
      </c>
      <c r="AX64" s="82">
        <v>1.6631531758921219E-2</v>
      </c>
      <c r="AY64" s="82">
        <v>0.99580474314112322</v>
      </c>
      <c r="AZ64" s="119">
        <f>IF(AY64="","",PRODUCT($AY$5:AY64))</f>
        <v>0.77669488232334427</v>
      </c>
      <c r="BA64" s="120">
        <v>0.77669488232334427</v>
      </c>
      <c r="BB64" s="82">
        <v>0.22330511767665573</v>
      </c>
      <c r="BC64" s="82">
        <v>3.2721620927845807E-3</v>
      </c>
      <c r="BD64" s="82">
        <v>3.2721620927845807E-3</v>
      </c>
      <c r="BE64" s="75">
        <v>114331.93002278639</v>
      </c>
      <c r="BG64" s="75">
        <v>114332.79387195969</v>
      </c>
      <c r="BH64" s="82">
        <v>1.6631584016205979E-2</v>
      </c>
      <c r="BI64" s="82">
        <v>0.77669489259229851</v>
      </c>
      <c r="BJ64" s="82">
        <v>0.22330510740770149</v>
      </c>
      <c r="BK64" s="82">
        <v>3.2721724390064599E-3</v>
      </c>
      <c r="BL64" s="82">
        <v>3.2721724390064599E-3</v>
      </c>
      <c r="BM64" s="75">
        <v>114332.29152795707</v>
      </c>
      <c r="BO64" s="81">
        <v>0.01</v>
      </c>
      <c r="BP64" s="75">
        <v>114332.79236032591</v>
      </c>
      <c r="BR64" s="81">
        <v>0.01</v>
      </c>
      <c r="BS64" s="75">
        <v>114332.79387195969</v>
      </c>
      <c r="BU64" s="75">
        <v>0</v>
      </c>
    </row>
    <row r="65" spans="11:73" x14ac:dyDescent="0.2">
      <c r="K65" s="107"/>
      <c r="L65" s="71"/>
      <c r="M65" s="108"/>
      <c r="O65" s="111"/>
      <c r="P65" s="111"/>
      <c r="Q65" s="111"/>
      <c r="R65" s="112"/>
      <c r="AG65" s="75">
        <v>61</v>
      </c>
      <c r="AH65" s="76">
        <v>50668</v>
      </c>
      <c r="AI65" s="77">
        <v>50577</v>
      </c>
      <c r="AJ65" s="77">
        <v>50577</v>
      </c>
      <c r="AK65" s="77">
        <v>50668</v>
      </c>
      <c r="AL65" s="78">
        <v>0.25277777777777777</v>
      </c>
      <c r="AM65" s="77">
        <v>50668</v>
      </c>
      <c r="AN65" s="79">
        <v>15.194444444444445</v>
      </c>
      <c r="AO65" s="79">
        <v>15.447222222222223</v>
      </c>
      <c r="AP65" s="79">
        <v>0.25277777777777821</v>
      </c>
      <c r="AQ65" s="78">
        <v>0.57680891912111232</v>
      </c>
      <c r="AS65" s="81">
        <v>0.01</v>
      </c>
      <c r="AT65" s="75">
        <v>252777.77777777778</v>
      </c>
      <c r="AV65" s="75">
        <v>112770.49652885948</v>
      </c>
      <c r="AW65" s="82">
        <v>1.6631531758921219E-2</v>
      </c>
      <c r="AX65" s="82">
        <v>1.6631533941602179E-2</v>
      </c>
      <c r="AY65" s="82">
        <v>0.99580474259170459</v>
      </c>
      <c r="AZ65" s="119">
        <f>IF(AY65="","",PRODUCT($AY$5:AY65))</f>
        <v>0.77343644736429218</v>
      </c>
      <c r="BA65" s="120">
        <v>0.77343644736429218</v>
      </c>
      <c r="BB65" s="82">
        <v>0.22656355263570782</v>
      </c>
      <c r="BC65" s="82">
        <v>3.2584349590520922E-3</v>
      </c>
      <c r="BD65" s="82">
        <v>3.2584349590520922E-3</v>
      </c>
      <c r="BE65" s="75">
        <v>112769.66080543699</v>
      </c>
      <c r="BG65" s="75">
        <v>112770.49659241716</v>
      </c>
      <c r="BH65" s="82">
        <v>1.6631584016205979E-2</v>
      </c>
      <c r="BI65" s="82">
        <v>0.77343644780020249</v>
      </c>
      <c r="BJ65" s="82">
        <v>0.22656355219979751</v>
      </c>
      <c r="BK65" s="82">
        <v>3.2584447920960269E-3</v>
      </c>
      <c r="BL65" s="82">
        <v>3.2584447920960269E-3</v>
      </c>
      <c r="BM65" s="75">
        <v>112770.0011126836</v>
      </c>
      <c r="BO65" s="81">
        <v>0.01</v>
      </c>
      <c r="BP65" s="75">
        <v>112770.49652885948</v>
      </c>
      <c r="BR65" s="81">
        <v>0.01</v>
      </c>
      <c r="BS65" s="75">
        <v>112770.49659241716</v>
      </c>
      <c r="BU65" s="75">
        <v>0</v>
      </c>
    </row>
    <row r="66" spans="11:73" x14ac:dyDescent="0.2">
      <c r="K66" s="107"/>
      <c r="L66" s="71"/>
      <c r="M66" s="108"/>
      <c r="O66" s="111"/>
      <c r="P66" s="111"/>
      <c r="Q66" s="111"/>
      <c r="R66" s="112"/>
      <c r="AG66" s="75">
        <v>62</v>
      </c>
      <c r="AH66" s="76">
        <v>50759</v>
      </c>
      <c r="AI66" s="77">
        <v>50668</v>
      </c>
      <c r="AJ66" s="77">
        <v>50668</v>
      </c>
      <c r="AK66" s="77">
        <v>50759</v>
      </c>
      <c r="AL66" s="78">
        <v>0.25277777777777777</v>
      </c>
      <c r="AM66" s="77">
        <v>50759</v>
      </c>
      <c r="AN66" s="79">
        <v>15.447222222222223</v>
      </c>
      <c r="AO66" s="79">
        <v>15.7</v>
      </c>
      <c r="AP66" s="79">
        <v>0.25277777777777644</v>
      </c>
      <c r="AQ66" s="78">
        <v>0.57132398809552021</v>
      </c>
      <c r="AS66" s="81">
        <v>0.01</v>
      </c>
      <c r="AT66" s="75">
        <v>252777.77777777778</v>
      </c>
      <c r="AV66" s="75">
        <v>111229.54862579246</v>
      </c>
      <c r="AW66" s="82">
        <v>1.6631533941602179E-2</v>
      </c>
      <c r="AX66" s="82">
        <v>1.6631533941602179E-2</v>
      </c>
      <c r="AY66" s="82">
        <v>0.99580474259170459</v>
      </c>
      <c r="AZ66" s="119">
        <f>IF(AY66="","",PRODUCT($AY$5:AY66))</f>
        <v>0.77019168237864144</v>
      </c>
      <c r="BA66" s="120">
        <v>0.77019168237864144</v>
      </c>
      <c r="BB66" s="82">
        <v>0.22980831762135856</v>
      </c>
      <c r="BC66" s="82">
        <v>3.2447649856507388E-3</v>
      </c>
      <c r="BD66" s="82">
        <v>3.2447649856507388E-3</v>
      </c>
      <c r="BE66" s="75">
        <v>111228.72432208101</v>
      </c>
      <c r="BG66" s="75">
        <v>111229.54728056617</v>
      </c>
      <c r="BH66" s="82">
        <v>1.6631584016205979E-2</v>
      </c>
      <c r="BI66" s="82">
        <v>0.77019167306383152</v>
      </c>
      <c r="BJ66" s="82">
        <v>0.22980832693616848</v>
      </c>
      <c r="BK66" s="82">
        <v>3.24477473637097E-3</v>
      </c>
      <c r="BL66" s="82">
        <v>3.24477473637097E-3</v>
      </c>
      <c r="BM66" s="75">
        <v>111229.05857130316</v>
      </c>
      <c r="BO66" s="81">
        <v>0.01</v>
      </c>
      <c r="BP66" s="75">
        <v>111229.54862579246</v>
      </c>
      <c r="BR66" s="81">
        <v>0.01</v>
      </c>
      <c r="BS66" s="75">
        <v>111229.54728056617</v>
      </c>
      <c r="BU66" s="75">
        <v>0</v>
      </c>
    </row>
    <row r="67" spans="11:73" x14ac:dyDescent="0.2">
      <c r="K67" s="107"/>
      <c r="L67" s="71"/>
      <c r="M67" s="108"/>
      <c r="O67" s="111"/>
      <c r="P67" s="111"/>
      <c r="Q67" s="111"/>
      <c r="R67" s="112"/>
      <c r="AG67" s="75">
        <v>63</v>
      </c>
      <c r="AH67" s="76">
        <v>50849</v>
      </c>
      <c r="AI67" s="77">
        <v>50759</v>
      </c>
      <c r="AJ67" s="77">
        <v>50759</v>
      </c>
      <c r="AK67" s="77">
        <v>50850</v>
      </c>
      <c r="AL67" s="78">
        <v>0.25277777777777777</v>
      </c>
      <c r="AM67" s="77">
        <v>50850</v>
      </c>
      <c r="AN67" s="79">
        <v>15.7</v>
      </c>
      <c r="AO67" s="79">
        <v>15.952777777777778</v>
      </c>
      <c r="AP67" s="79">
        <v>0.25277777777777821</v>
      </c>
      <c r="AQ67" s="78">
        <v>0.56589121380218066</v>
      </c>
      <c r="AS67" s="81">
        <v>0.01</v>
      </c>
      <c r="AT67" s="75">
        <v>252777.77777777778</v>
      </c>
      <c r="AV67" s="75">
        <v>109709.65694321804</v>
      </c>
      <c r="AW67" s="82">
        <v>1.6631533941602179E-2</v>
      </c>
      <c r="AX67" s="82">
        <v>1.6631533941602179E-2</v>
      </c>
      <c r="AY67" s="82">
        <v>0.99580474259170459</v>
      </c>
      <c r="AZ67" s="119">
        <f>IF(AY67="","",PRODUCT($AY$5:AY67))</f>
        <v>0.766960530017335</v>
      </c>
      <c r="BA67" s="120">
        <v>0.766960530017335</v>
      </c>
      <c r="BB67" s="82">
        <v>0.233039469982665</v>
      </c>
      <c r="BC67" s="82">
        <v>3.2311523613064441E-3</v>
      </c>
      <c r="BD67" s="82">
        <v>3.2311523613064441E-3</v>
      </c>
      <c r="BE67" s="75">
        <v>109708.84390316914</v>
      </c>
      <c r="BG67" s="75">
        <v>109709.65422769646</v>
      </c>
      <c r="BH67" s="82">
        <v>1.6631584016205979E-2</v>
      </c>
      <c r="BI67" s="82">
        <v>0.76696051103361085</v>
      </c>
      <c r="BJ67" s="82">
        <v>0.23303948896638915</v>
      </c>
      <c r="BK67" s="82">
        <v>3.2311620302206689E-3</v>
      </c>
      <c r="BL67" s="82">
        <v>3.2311620302206689E-3</v>
      </c>
      <c r="BM67" s="75">
        <v>109709.17219638555</v>
      </c>
      <c r="BO67" s="81">
        <v>0.01</v>
      </c>
      <c r="BP67" s="75">
        <v>109709.65694321801</v>
      </c>
      <c r="BR67" s="81">
        <v>0.01</v>
      </c>
      <c r="BS67" s="75">
        <v>109709.65422769645</v>
      </c>
      <c r="BU67" s="75">
        <v>0</v>
      </c>
    </row>
    <row r="68" spans="11:73" x14ac:dyDescent="0.2">
      <c r="K68" s="107"/>
      <c r="L68" s="71"/>
      <c r="M68" s="108"/>
      <c r="O68" s="111"/>
      <c r="P68" s="111"/>
      <c r="Q68" s="111"/>
      <c r="R68" s="112"/>
      <c r="AG68" s="75">
        <v>64</v>
      </c>
      <c r="AH68" s="76">
        <v>50941</v>
      </c>
      <c r="AI68" s="77">
        <v>50850</v>
      </c>
      <c r="AJ68" s="77">
        <v>50850</v>
      </c>
      <c r="AK68" s="77">
        <v>50942</v>
      </c>
      <c r="AL68" s="78">
        <v>0.25555555555555554</v>
      </c>
      <c r="AM68" s="77">
        <v>50942</v>
      </c>
      <c r="AN68" s="79">
        <v>15.952777777777778</v>
      </c>
      <c r="AO68" s="79">
        <v>16.208333333333332</v>
      </c>
      <c r="AP68" s="79">
        <v>0.25555555555555465</v>
      </c>
      <c r="AQ68" s="78">
        <v>0.56069533560982598</v>
      </c>
      <c r="AS68" s="81">
        <v>0.01</v>
      </c>
      <c r="AT68" s="75">
        <v>255555.55555555553</v>
      </c>
      <c r="AV68" s="75">
        <v>109430.75882819113</v>
      </c>
      <c r="AW68" s="82">
        <v>1.6631533941602179E-2</v>
      </c>
      <c r="AX68" s="82">
        <v>1.6631533941602179E-2</v>
      </c>
      <c r="AY68" s="82">
        <v>0.9957587387644391</v>
      </c>
      <c r="AZ68" s="119">
        <f>IF(AY68="","",PRODUCT($AY$5:AY68))</f>
        <v>0.76370765005216723</v>
      </c>
      <c r="BA68" s="120">
        <v>0.76370765005216723</v>
      </c>
      <c r="BB68" s="82">
        <v>0.23629234994783277</v>
      </c>
      <c r="BC68" s="82">
        <v>3.2528799651677653E-3</v>
      </c>
      <c r="BD68" s="82">
        <v>3.2528799651677653E-3</v>
      </c>
      <c r="BE68" s="75">
        <v>109432.47742609316</v>
      </c>
      <c r="BG68" s="75">
        <v>109430.7547192046</v>
      </c>
      <c r="BH68" s="82">
        <v>1.6631584016205979E-2</v>
      </c>
      <c r="BI68" s="82">
        <v>0.76370762137591131</v>
      </c>
      <c r="BJ68" s="82">
        <v>0.23629237862408869</v>
      </c>
      <c r="BK68" s="82">
        <v>3.2528896576995425E-3</v>
      </c>
      <c r="BL68" s="82">
        <v>3.2528896576995425E-3</v>
      </c>
      <c r="BM68" s="75">
        <v>109432.80349953462</v>
      </c>
      <c r="BO68" s="81">
        <v>0.01</v>
      </c>
      <c r="BP68" s="75">
        <v>109430.75882819113</v>
      </c>
      <c r="BR68" s="81">
        <v>0.01</v>
      </c>
      <c r="BS68" s="75">
        <v>109430.7547192046</v>
      </c>
      <c r="BU68" s="75">
        <v>0</v>
      </c>
    </row>
    <row r="69" spans="11:73" x14ac:dyDescent="0.2">
      <c r="K69" s="107"/>
      <c r="L69" s="71"/>
      <c r="M69" s="108"/>
      <c r="O69" s="111"/>
      <c r="P69" s="111"/>
      <c r="Q69" s="111"/>
      <c r="R69" s="112"/>
      <c r="AG69" s="75">
        <v>65</v>
      </c>
      <c r="AH69" s="76">
        <v>51033</v>
      </c>
      <c r="AI69" s="77">
        <v>50942</v>
      </c>
      <c r="AJ69" s="77">
        <v>50942</v>
      </c>
      <c r="AK69" s="77">
        <v>51033</v>
      </c>
      <c r="AL69" s="78">
        <v>0.25277777777777777</v>
      </c>
      <c r="AM69" s="77">
        <v>51033</v>
      </c>
      <c r="AN69" s="79">
        <v>16.208333333333332</v>
      </c>
      <c r="AO69" s="79">
        <v>16.461111111111112</v>
      </c>
      <c r="AP69" s="79">
        <v>0.25277777777777999</v>
      </c>
      <c r="AQ69" s="78">
        <v>0.55564581928213252</v>
      </c>
      <c r="AS69" s="81">
        <v>0.01</v>
      </c>
      <c r="AT69" s="75">
        <v>252777.77777777778</v>
      </c>
      <c r="AV69" s="75">
        <v>106816.48284995137</v>
      </c>
      <c r="AW69" s="82">
        <v>1.6631533941602179E-2</v>
      </c>
      <c r="AX69" s="82">
        <v>1.6631533941602179E-2</v>
      </c>
      <c r="AY69" s="82">
        <v>0.99580474259170459</v>
      </c>
      <c r="AZ69" s="119">
        <f>IF(AY69="","",PRODUCT($AY$5:AY69))</f>
        <v>0.76050369987551403</v>
      </c>
      <c r="BA69" s="120">
        <v>0.76050369987551403</v>
      </c>
      <c r="BB69" s="82">
        <v>0.23949630012448597</v>
      </c>
      <c r="BC69" s="82">
        <v>3.203950176653203E-3</v>
      </c>
      <c r="BD69" s="82">
        <v>3.203950176653203E-3</v>
      </c>
      <c r="BE69" s="75">
        <v>106815.69125073613</v>
      </c>
      <c r="BG69" s="75">
        <v>106816.47748707162</v>
      </c>
      <c r="BH69" s="82">
        <v>1.6631584016205979E-2</v>
      </c>
      <c r="BI69" s="82">
        <v>0.76050366169329919</v>
      </c>
      <c r="BJ69" s="82">
        <v>0.23949633830670081</v>
      </c>
      <c r="BK69" s="82">
        <v>3.2039596826121119E-3</v>
      </c>
      <c r="BL69" s="82">
        <v>3.2039596826121119E-3</v>
      </c>
      <c r="BM69" s="75">
        <v>106816.00816751568</v>
      </c>
      <c r="BO69" s="81">
        <v>0.01</v>
      </c>
      <c r="BP69" s="75">
        <v>106816.48284995137</v>
      </c>
      <c r="BR69" s="81">
        <v>0.01</v>
      </c>
      <c r="BS69" s="75">
        <v>106816.47748707162</v>
      </c>
      <c r="BU69" s="75">
        <v>0</v>
      </c>
    </row>
    <row r="70" spans="11:73" x14ac:dyDescent="0.2">
      <c r="K70" s="107"/>
      <c r="L70" s="71"/>
      <c r="M70" s="108"/>
      <c r="O70" s="111"/>
      <c r="P70" s="111"/>
      <c r="Q70" s="111"/>
      <c r="R70" s="112"/>
      <c r="AG70" s="75">
        <v>66</v>
      </c>
      <c r="AH70" s="76">
        <v>51124</v>
      </c>
      <c r="AI70" s="77">
        <v>51033</v>
      </c>
      <c r="AJ70" s="77">
        <v>51033</v>
      </c>
      <c r="AK70" s="77">
        <v>51124</v>
      </c>
      <c r="AL70" s="78">
        <v>0.25277777777777777</v>
      </c>
      <c r="AM70" s="77">
        <v>51124</v>
      </c>
      <c r="AN70" s="79">
        <v>16.461111111111112</v>
      </c>
      <c r="AO70" s="79">
        <v>16.713888888888889</v>
      </c>
      <c r="AP70" s="79">
        <v>0.25277777777777644</v>
      </c>
      <c r="AQ70" s="78">
        <v>0.55064177794508784</v>
      </c>
      <c r="AS70" s="81">
        <v>0.01</v>
      </c>
      <c r="AT70" s="75">
        <v>252777.77777777778</v>
      </c>
      <c r="AV70" s="75">
        <v>105410.42684030064</v>
      </c>
      <c r="AW70" s="82">
        <v>1.6631533941602179E-2</v>
      </c>
      <c r="AX70" s="82">
        <v>1.6631533941602179E-2</v>
      </c>
      <c r="AY70" s="82">
        <v>0.99580474259170459</v>
      </c>
      <c r="AZ70" s="119">
        <f>IF(AY70="","",PRODUCT($AY$5:AY70))</f>
        <v>0.75731319109457518</v>
      </c>
      <c r="BA70" s="120">
        <v>0.75731319109457518</v>
      </c>
      <c r="BB70" s="82">
        <v>0.24268680890542482</v>
      </c>
      <c r="BC70" s="82">
        <v>3.1905087809388499E-3</v>
      </c>
      <c r="BD70" s="82">
        <v>3.1905087809388499E-3</v>
      </c>
      <c r="BE70" s="75">
        <v>105409.64566113497</v>
      </c>
      <c r="BG70" s="75">
        <v>105410.4202137556</v>
      </c>
      <c r="BH70" s="82">
        <v>1.6631584016205979E-2</v>
      </c>
      <c r="BI70" s="82">
        <v>0.75731314348666645</v>
      </c>
      <c r="BJ70" s="82">
        <v>0.24268685651333355</v>
      </c>
      <c r="BK70" s="82">
        <v>3.190518206632742E-3</v>
      </c>
      <c r="BL70" s="82">
        <v>3.190518206632742E-3</v>
      </c>
      <c r="BM70" s="75">
        <v>105409.95707198557</v>
      </c>
      <c r="BO70" s="81">
        <v>0.01</v>
      </c>
      <c r="BP70" s="75">
        <v>105410.42684030064</v>
      </c>
      <c r="BR70" s="81">
        <v>0.01</v>
      </c>
      <c r="BS70" s="75">
        <v>105410.4202137556</v>
      </c>
      <c r="BU70" s="75">
        <v>0</v>
      </c>
    </row>
    <row r="71" spans="11:73" x14ac:dyDescent="0.2">
      <c r="K71" s="126"/>
      <c r="L71" s="128"/>
      <c r="M71" s="130"/>
      <c r="N71" s="127"/>
      <c r="O71" s="132"/>
      <c r="P71" s="132"/>
      <c r="Q71" s="132"/>
      <c r="R71" s="133"/>
      <c r="AG71" s="75">
        <v>67</v>
      </c>
      <c r="AH71" s="76">
        <v>51215</v>
      </c>
      <c r="AI71" s="77">
        <v>51124</v>
      </c>
      <c r="AJ71" s="77">
        <v>51124</v>
      </c>
      <c r="AK71" s="77">
        <v>51215</v>
      </c>
      <c r="AL71" s="78">
        <v>0.25277777777777777</v>
      </c>
      <c r="AM71" s="77">
        <v>51215</v>
      </c>
      <c r="AN71" s="79">
        <v>16.713888888888889</v>
      </c>
      <c r="AO71" s="79">
        <v>16.966666666666665</v>
      </c>
      <c r="AP71" s="79">
        <v>0.25277777777777644</v>
      </c>
      <c r="AQ71" s="78">
        <v>0.54568280205951225</v>
      </c>
      <c r="AS71" s="81">
        <v>0.01</v>
      </c>
      <c r="AT71" s="75">
        <v>252777.77777777778</v>
      </c>
      <c r="AV71" s="75">
        <v>104022.87914930568</v>
      </c>
      <c r="AW71" s="82">
        <v>1.6631533941602179E-2</v>
      </c>
      <c r="AX71" s="82">
        <v>1.6631533941602179E-2</v>
      </c>
      <c r="AY71" s="82">
        <v>0.99580474259170459</v>
      </c>
      <c r="AZ71" s="119">
        <f>IF(AY71="","",PRODUCT($AY$5:AY71))</f>
        <v>0.75413606731923588</v>
      </c>
      <c r="BA71" s="120">
        <v>0.75413606731923588</v>
      </c>
      <c r="BB71" s="82">
        <v>0.24586393268076412</v>
      </c>
      <c r="BC71" s="82">
        <v>3.1771237753392967E-3</v>
      </c>
      <c r="BD71" s="82">
        <v>3.1771237753392967E-3</v>
      </c>
      <c r="BE71" s="75">
        <v>104022.10825302261</v>
      </c>
      <c r="BG71" s="75">
        <v>104022.87129329253</v>
      </c>
      <c r="BH71" s="82">
        <v>1.6631584016205979E-2</v>
      </c>
      <c r="BI71" s="82">
        <v>0.75413601036539157</v>
      </c>
      <c r="BJ71" s="82">
        <v>0.24586398963460843</v>
      </c>
      <c r="BK71" s="82">
        <v>3.1771331212748777E-3</v>
      </c>
      <c r="BL71" s="82">
        <v>3.1771331212748777E-3</v>
      </c>
      <c r="BM71" s="75">
        <v>104022.41424800157</v>
      </c>
      <c r="BO71" s="81">
        <v>0.01</v>
      </c>
      <c r="BP71" s="75">
        <v>104022.87914930568</v>
      </c>
      <c r="BR71" s="81">
        <v>0.01</v>
      </c>
      <c r="BS71" s="75">
        <v>104022.87129329253</v>
      </c>
      <c r="BU71" s="75">
        <v>0</v>
      </c>
    </row>
    <row r="72" spans="11:73" x14ac:dyDescent="0.2">
      <c r="AG72" s="75">
        <v>68</v>
      </c>
      <c r="AH72" s="76">
        <v>51307</v>
      </c>
      <c r="AI72" s="77">
        <v>51215</v>
      </c>
      <c r="AJ72" s="77">
        <v>51215</v>
      </c>
      <c r="AK72" s="77">
        <v>51307</v>
      </c>
      <c r="AL72" s="78">
        <v>0.25555555555555554</v>
      </c>
      <c r="AM72" s="77">
        <v>51307</v>
      </c>
      <c r="AN72" s="79">
        <v>16.966666666666665</v>
      </c>
      <c r="AO72" s="79">
        <v>17.222222222222221</v>
      </c>
      <c r="AP72" s="79">
        <v>0.25555555555555642</v>
      </c>
      <c r="AQ72" s="78">
        <v>0.54071472887676408</v>
      </c>
      <c r="AS72" s="81">
        <v>0.01</v>
      </c>
      <c r="AT72" s="75">
        <v>255555.55555555553</v>
      </c>
      <c r="AV72" s="75">
        <v>103766.5468895614</v>
      </c>
      <c r="AW72" s="82">
        <v>1.6631533941602179E-2</v>
      </c>
      <c r="AX72" s="82">
        <v>1.6631533941602179E-2</v>
      </c>
      <c r="AY72" s="82">
        <v>0.9957587387644391</v>
      </c>
      <c r="AZ72" s="119">
        <f>IF(AY72="","",PRODUCT($AY$5:AY72))</f>
        <v>0.75093757925057647</v>
      </c>
      <c r="BA72" s="120">
        <v>0.75093757925057647</v>
      </c>
      <c r="BB72" s="82">
        <v>0.24906242074942353</v>
      </c>
      <c r="BC72" s="82">
        <v>3.1984880686594108E-3</v>
      </c>
      <c r="BD72" s="82">
        <v>3.1984880686594108E-3</v>
      </c>
      <c r="BE72" s="75">
        <v>103768.17653164429</v>
      </c>
      <c r="BG72" s="75">
        <v>103766.53772502285</v>
      </c>
      <c r="BH72" s="82">
        <v>1.6631584016205979E-2</v>
      </c>
      <c r="BI72" s="82">
        <v>0.75093751292865862</v>
      </c>
      <c r="BJ72" s="82">
        <v>0.24906248707134138</v>
      </c>
      <c r="BK72" s="82">
        <v>3.19849743673295E-3</v>
      </c>
      <c r="BL72" s="82">
        <v>3.19849743673295E-3</v>
      </c>
      <c r="BM72" s="75">
        <v>103768.48045896493</v>
      </c>
      <c r="BO72" s="81">
        <v>0.01</v>
      </c>
      <c r="BP72" s="75">
        <v>103766.54688956139</v>
      </c>
      <c r="BR72" s="81">
        <v>0.01</v>
      </c>
      <c r="BS72" s="75">
        <v>103766.53772502283</v>
      </c>
      <c r="BU72" s="75">
        <v>0</v>
      </c>
    </row>
    <row r="73" spans="11:73" x14ac:dyDescent="0.2">
      <c r="K73" s="72" t="s">
        <v>183</v>
      </c>
      <c r="L73" s="73"/>
      <c r="M73" s="73"/>
      <c r="N73" s="73"/>
      <c r="O73" s="73"/>
      <c r="P73" s="73"/>
      <c r="Q73" s="73"/>
      <c r="R73" s="74"/>
      <c r="AG73" s="75">
        <v>69</v>
      </c>
      <c r="AH73" s="76">
        <v>51399</v>
      </c>
      <c r="AI73" s="77">
        <v>51307</v>
      </c>
      <c r="AJ73" s="77">
        <v>51307</v>
      </c>
      <c r="AK73" s="77">
        <v>51399</v>
      </c>
      <c r="AL73" s="78">
        <v>0.25555555555555554</v>
      </c>
      <c r="AM73" s="77">
        <v>51399</v>
      </c>
      <c r="AN73" s="79">
        <v>17.222222222222221</v>
      </c>
      <c r="AO73" s="79">
        <v>17.477777777777778</v>
      </c>
      <c r="AP73" s="79">
        <v>0.25555555555555642</v>
      </c>
      <c r="AQ73" s="78">
        <v>0.53579188664330724</v>
      </c>
      <c r="AS73" s="81">
        <v>0.01</v>
      </c>
      <c r="AT73" s="75">
        <v>255555.55555555553</v>
      </c>
      <c r="AV73" s="75">
        <v>102385.72838714263</v>
      </c>
      <c r="AW73" s="82">
        <v>1.6631533941602179E-2</v>
      </c>
      <c r="AX73" s="82">
        <v>1.6631533941602179E-2</v>
      </c>
      <c r="AY73" s="82">
        <v>0.9957587387644391</v>
      </c>
      <c r="AZ73" s="119">
        <f>IF(AY73="","",PRODUCT($AY$5:AY73))</f>
        <v>0.74775265680537506</v>
      </c>
      <c r="BA73" s="120">
        <v>0.74775265680537506</v>
      </c>
      <c r="BB73" s="82">
        <v>0.25224734319462494</v>
      </c>
      <c r="BC73" s="82">
        <v>3.1849224452014102E-3</v>
      </c>
      <c r="BD73" s="82">
        <v>3.1849224452014102E-3</v>
      </c>
      <c r="BE73" s="75">
        <v>102387.33634362475</v>
      </c>
      <c r="BG73" s="75">
        <v>102385.71803434235</v>
      </c>
      <c r="BH73" s="82">
        <v>1.6631584016205979E-2</v>
      </c>
      <c r="BI73" s="82">
        <v>0.74775258119587318</v>
      </c>
      <c r="BJ73" s="82">
        <v>0.25224741880412682</v>
      </c>
      <c r="BK73" s="82">
        <v>3.1849317327854454E-3</v>
      </c>
      <c r="BL73" s="82">
        <v>3.1849317327854454E-3</v>
      </c>
      <c r="BM73" s="75">
        <v>102387.63491635509</v>
      </c>
      <c r="BO73" s="81">
        <v>0.01</v>
      </c>
      <c r="BP73" s="75">
        <v>102385.72838714263</v>
      </c>
      <c r="BR73" s="81">
        <v>0.01</v>
      </c>
      <c r="BS73" s="75">
        <v>102385.71803434235</v>
      </c>
      <c r="BU73" s="75">
        <v>0</v>
      </c>
    </row>
    <row r="74" spans="11:73" x14ac:dyDescent="0.2">
      <c r="K74" s="93" t="s">
        <v>29</v>
      </c>
      <c r="L74" s="93" t="s">
        <v>18</v>
      </c>
      <c r="M74" s="93" t="s">
        <v>145</v>
      </c>
      <c r="N74" s="93" t="s">
        <v>3</v>
      </c>
      <c r="O74" s="94" t="s">
        <v>66</v>
      </c>
      <c r="P74" s="94" t="s">
        <v>81</v>
      </c>
      <c r="Q74" s="94" t="s">
        <v>88</v>
      </c>
      <c r="R74" s="95" t="s">
        <v>152</v>
      </c>
      <c r="AG74" s="75">
        <v>70</v>
      </c>
      <c r="AH74" s="76">
        <v>51490</v>
      </c>
      <c r="AI74" s="77">
        <v>51399</v>
      </c>
      <c r="AJ74" s="77">
        <v>51399</v>
      </c>
      <c r="AK74" s="77">
        <v>51490</v>
      </c>
      <c r="AL74" s="78">
        <v>0.25277777777777777</v>
      </c>
      <c r="AM74" s="77">
        <v>51490</v>
      </c>
      <c r="AN74" s="79">
        <v>17.477777777777778</v>
      </c>
      <c r="AO74" s="79">
        <v>17.730555555555554</v>
      </c>
      <c r="AP74" s="79">
        <v>0.25277777777777644</v>
      </c>
      <c r="AQ74" s="78">
        <v>0.53096664607498956</v>
      </c>
      <c r="AS74" s="81">
        <v>0.01</v>
      </c>
      <c r="AT74" s="75">
        <v>252777.77777777778</v>
      </c>
      <c r="AV74" s="75">
        <v>99939.756586313524</v>
      </c>
      <c r="AW74" s="82">
        <v>1.6631533941602179E-2</v>
      </c>
      <c r="AX74" s="82">
        <v>1.6631533941602179E-2</v>
      </c>
      <c r="AY74" s="82">
        <v>0.99580474259170459</v>
      </c>
      <c r="AZ74" s="119">
        <f>IF(AY74="","",PRODUCT($AY$5:AY74))</f>
        <v>0.74461564193233976</v>
      </c>
      <c r="BA74" s="120">
        <v>0.74461564193233976</v>
      </c>
      <c r="BB74" s="82">
        <v>0.25538435806766024</v>
      </c>
      <c r="BC74" s="82">
        <v>3.1370148730353042E-3</v>
      </c>
      <c r="BD74" s="82">
        <v>3.1370148730353042E-3</v>
      </c>
      <c r="BE74" s="75">
        <v>99939.015949374894</v>
      </c>
      <c r="BG74" s="75">
        <v>99939.745215827264</v>
      </c>
      <c r="BH74" s="82">
        <v>1.6631584016205979E-2</v>
      </c>
      <c r="BI74" s="82">
        <v>0.74461555721488382</v>
      </c>
      <c r="BJ74" s="82">
        <v>0.25538444278511618</v>
      </c>
      <c r="BK74" s="82">
        <v>3.1370239809893619E-3</v>
      </c>
      <c r="BL74" s="82">
        <v>3.1370239809893619E-3</v>
      </c>
      <c r="BM74" s="75">
        <v>99939.306110563994</v>
      </c>
      <c r="BO74" s="81">
        <v>0.01</v>
      </c>
      <c r="BP74" s="75">
        <v>99939.756586313524</v>
      </c>
      <c r="BR74" s="81">
        <v>0.01</v>
      </c>
      <c r="BS74" s="75">
        <v>99939.745215827264</v>
      </c>
      <c r="BU74" s="75">
        <v>0</v>
      </c>
    </row>
    <row r="75" spans="11:73" x14ac:dyDescent="0.2">
      <c r="K75" s="110" cm="1">
        <f t="array" ref="K75:K86">_xlfn.ANCHORARRAY($K$5)</f>
        <v>1</v>
      </c>
      <c r="L75" s="71" cm="1">
        <f t="array" ref="L75:L86">_xlfn.ANCHORARRAY($L$5)</f>
        <v>45189</v>
      </c>
      <c r="M75" s="108" cm="1">
        <f t="array" ref="M75:M86">_xlfn.ANCHORARRAY($M$5)</f>
        <v>0.22465753424657534</v>
      </c>
      <c r="N75" s="80" t="str" cm="1">
        <f t="array" ref="N75:N86">_xlfn.ANCHORARRAY($N$5)</f>
        <v>3M</v>
      </c>
      <c r="O75" s="111" cm="1">
        <f t="array" ref="O75:O86">_xlfn.ANCHORARRAY(O52)-_xlfn.ANCHORARRAY(O5)</f>
        <v>0.01</v>
      </c>
      <c r="P75" s="111" cm="1">
        <f t="array" ref="P75:P86">_xlfn.ANCHORARRAY(P52)-_xlfn.ANCHORARRAY(P5)</f>
        <v>0</v>
      </c>
      <c r="Q75" s="111" cm="1">
        <f t="array" ref="Q75:Q86">_xlfn.ANCHORARRAY(Q52)-_xlfn.ANCHORARRAY(Q5)</f>
        <v>0</v>
      </c>
      <c r="R75" s="112" cm="1">
        <f t="array" ref="R75:R86">_xlfn.ANCHORARRAY(R52)-_xlfn.ANCHORARRAY(R5)</f>
        <v>3.7819389355194799E-3</v>
      </c>
      <c r="AG75" s="75">
        <v>71</v>
      </c>
      <c r="AH75" s="76">
        <v>51580</v>
      </c>
      <c r="AI75" s="77">
        <v>51490</v>
      </c>
      <c r="AJ75" s="77">
        <v>51490</v>
      </c>
      <c r="AK75" s="77">
        <v>51580</v>
      </c>
      <c r="AL75" s="78">
        <v>0.25</v>
      </c>
      <c r="AM75" s="77">
        <v>51580</v>
      </c>
      <c r="AN75" s="79">
        <v>17.730555555555554</v>
      </c>
      <c r="AO75" s="79">
        <v>17.980555555555554</v>
      </c>
      <c r="AP75" s="79">
        <v>0.25</v>
      </c>
      <c r="AQ75" s="78">
        <v>0.526237173076193</v>
      </c>
      <c r="AS75" s="81">
        <v>0.01</v>
      </c>
      <c r="AT75" s="75">
        <v>250000</v>
      </c>
      <c r="AV75" s="75">
        <v>97554.642341349347</v>
      </c>
      <c r="AW75" s="82">
        <v>1.6631533941602179E-2</v>
      </c>
      <c r="AX75" s="82">
        <v>1.6631533941602179E-2</v>
      </c>
      <c r="AY75" s="82">
        <v>0.99585074854433642</v>
      </c>
      <c r="AZ75" s="119">
        <f>IF(AY75="","",PRODUCT($AY$5:AY75))</f>
        <v>0.74152604439614211</v>
      </c>
      <c r="BA75" s="120">
        <v>0.74152604439614211</v>
      </c>
      <c r="BB75" s="82">
        <v>0.25847395560385789</v>
      </c>
      <c r="BC75" s="82">
        <v>3.0895975361976413E-3</v>
      </c>
      <c r="BD75" s="82">
        <v>3.0895975361976413E-3</v>
      </c>
      <c r="BE75" s="75">
        <v>97551.664403509058</v>
      </c>
      <c r="BG75" s="75">
        <v>97554.630020973287</v>
      </c>
      <c r="BH75" s="82">
        <v>1.6631584016205979E-2</v>
      </c>
      <c r="BI75" s="82">
        <v>0.74152595074729566</v>
      </c>
      <c r="BJ75" s="82">
        <v>0.25847404925270434</v>
      </c>
      <c r="BK75" s="82">
        <v>3.0896064675881574E-3</v>
      </c>
      <c r="BL75" s="82">
        <v>3.0896064675881574E-3</v>
      </c>
      <c r="BM75" s="75">
        <v>97551.946405290859</v>
      </c>
      <c r="BO75" s="81">
        <v>0.01</v>
      </c>
      <c r="BP75" s="75">
        <v>97554.642341349347</v>
      </c>
      <c r="BR75" s="81">
        <v>0.01</v>
      </c>
      <c r="BS75" s="75">
        <v>97554.630020973287</v>
      </c>
      <c r="BU75" s="75">
        <v>0</v>
      </c>
    </row>
    <row r="76" spans="11:73" x14ac:dyDescent="0.2">
      <c r="K76" s="110">
        <v>2</v>
      </c>
      <c r="L76" s="71">
        <v>45280</v>
      </c>
      <c r="M76" s="108">
        <v>0.47397260273972602</v>
      </c>
      <c r="N76" s="80" t="str">
        <v>6M</v>
      </c>
      <c r="O76" s="111">
        <v>0.01</v>
      </c>
      <c r="P76" s="111">
        <v>0</v>
      </c>
      <c r="Q76" s="111">
        <v>0</v>
      </c>
      <c r="R76" s="112">
        <v>7.9613609881080682E-3</v>
      </c>
      <c r="AG76" s="75">
        <v>72</v>
      </c>
      <c r="AH76" s="76">
        <v>51672</v>
      </c>
      <c r="AI76" s="77">
        <v>51580</v>
      </c>
      <c r="AJ76" s="77">
        <v>51580</v>
      </c>
      <c r="AK76" s="77">
        <v>51672</v>
      </c>
      <c r="AL76" s="78">
        <v>0.25555555555555554</v>
      </c>
      <c r="AM76" s="77">
        <v>51672</v>
      </c>
      <c r="AN76" s="79">
        <v>17.980555555555554</v>
      </c>
      <c r="AO76" s="79">
        <v>18.236111111111111</v>
      </c>
      <c r="AP76" s="79">
        <v>0.25555555555555642</v>
      </c>
      <c r="AQ76" s="78">
        <v>0.52144613920549399</v>
      </c>
      <c r="AS76" s="81">
        <v>0.01</v>
      </c>
      <c r="AT76" s="75">
        <v>255555.55555555553</v>
      </c>
      <c r="AV76" s="75">
        <v>98395.518487528403</v>
      </c>
      <c r="AW76" s="82">
        <v>1.6631533941602179E-2</v>
      </c>
      <c r="AX76" s="82">
        <v>1.6631533941602179E-2</v>
      </c>
      <c r="AY76" s="82">
        <v>0.9957587387644391</v>
      </c>
      <c r="AZ76" s="119">
        <f>IF(AY76="","",PRODUCT($AY$5:AY76))</f>
        <v>0.73838103872888594</v>
      </c>
      <c r="BA76" s="120">
        <v>0.73838103872888594</v>
      </c>
      <c r="BB76" s="82">
        <v>0.26161896127111406</v>
      </c>
      <c r="BC76" s="82">
        <v>3.1450056672561733E-3</v>
      </c>
      <c r="BD76" s="82">
        <v>3.1450056672561733E-3</v>
      </c>
      <c r="BE76" s="75">
        <v>98397.063778207797</v>
      </c>
      <c r="BG76" s="75">
        <v>98395.50480180452</v>
      </c>
      <c r="BH76" s="82">
        <v>1.6631584016205979E-2</v>
      </c>
      <c r="BI76" s="82">
        <v>0.73838093602828359</v>
      </c>
      <c r="BJ76" s="82">
        <v>0.26161906397171641</v>
      </c>
      <c r="BK76" s="82">
        <v>3.1450147190120736E-3</v>
      </c>
      <c r="BL76" s="82">
        <v>3.1450147190120736E-3</v>
      </c>
      <c r="BM76" s="75">
        <v>98397.346978397822</v>
      </c>
      <c r="BO76" s="81">
        <v>0.01</v>
      </c>
      <c r="BP76" s="75">
        <v>98395.518487528403</v>
      </c>
      <c r="BR76" s="81">
        <v>0.01</v>
      </c>
      <c r="BS76" s="75">
        <v>98395.50480180452</v>
      </c>
      <c r="BU76" s="75">
        <v>0</v>
      </c>
    </row>
    <row r="77" spans="11:73" x14ac:dyDescent="0.2">
      <c r="K77" s="110">
        <v>3</v>
      </c>
      <c r="L77" s="71">
        <v>45463</v>
      </c>
      <c r="M77" s="108">
        <v>0.97267759562841527</v>
      </c>
      <c r="N77" s="80" t="str">
        <v>1Y</v>
      </c>
      <c r="O77" s="111">
        <v>0.01</v>
      </c>
      <c r="P77" s="111">
        <v>0</v>
      </c>
      <c r="Q77" s="111">
        <v>0</v>
      </c>
      <c r="R77" s="112">
        <v>1.6313027703896532E-2</v>
      </c>
      <c r="AG77" s="75">
        <v>73</v>
      </c>
      <c r="AH77" s="76">
        <v>51764</v>
      </c>
      <c r="AI77" s="77">
        <v>51672</v>
      </c>
      <c r="AJ77" s="77">
        <v>51672</v>
      </c>
      <c r="AK77" s="77">
        <v>51764</v>
      </c>
      <c r="AL77" s="78">
        <v>0.25555555555555554</v>
      </c>
      <c r="AM77" s="77">
        <v>51764</v>
      </c>
      <c r="AN77" s="79">
        <v>18.236111111111111</v>
      </c>
      <c r="AO77" s="79">
        <v>18.491666666666667</v>
      </c>
      <c r="AP77" s="79">
        <v>0.25555555555555642</v>
      </c>
      <c r="AQ77" s="78">
        <v>0.51669872446077958</v>
      </c>
      <c r="AS77" s="81">
        <v>0.01</v>
      </c>
      <c r="AT77" s="75">
        <v>255555.55555555553</v>
      </c>
      <c r="AV77" s="75">
        <v>97086.17210803226</v>
      </c>
      <c r="AW77" s="82">
        <v>1.6631533941602179E-2</v>
      </c>
      <c r="AX77" s="82">
        <v>1.6631533941602179E-2</v>
      </c>
      <c r="AY77" s="82">
        <v>0.9957587387644391</v>
      </c>
      <c r="AZ77" s="119">
        <f>IF(AY77="","",PRODUCT($AY$5:AY77))</f>
        <v>0.73524937185225192</v>
      </c>
      <c r="BA77" s="120">
        <v>0.73524937185225192</v>
      </c>
      <c r="BB77" s="82">
        <v>0.26475062814774808</v>
      </c>
      <c r="BC77" s="82">
        <v>3.1316668766340205E-3</v>
      </c>
      <c r="BD77" s="82">
        <v>3.1316668766340205E-3</v>
      </c>
      <c r="BE77" s="75">
        <v>97087.696835572307</v>
      </c>
      <c r="BG77" s="75">
        <v>97086.157362027574</v>
      </c>
      <c r="BH77" s="82">
        <v>1.6631584016205979E-2</v>
      </c>
      <c r="BI77" s="82">
        <v>0.73524926017836012</v>
      </c>
      <c r="BJ77" s="82">
        <v>0.26475073982163988</v>
      </c>
      <c r="BK77" s="82">
        <v>3.1316758499234654E-3</v>
      </c>
      <c r="BL77" s="82">
        <v>3.1316758499234654E-3</v>
      </c>
      <c r="BM77" s="75">
        <v>97087.975024804939</v>
      </c>
      <c r="BO77" s="81">
        <v>0.01</v>
      </c>
      <c r="BP77" s="75">
        <v>97086.17210803226</v>
      </c>
      <c r="BR77" s="81">
        <v>0.01</v>
      </c>
      <c r="BS77" s="75">
        <v>97086.157362027574</v>
      </c>
      <c r="BU77" s="75">
        <v>0</v>
      </c>
    </row>
    <row r="78" spans="11:73" x14ac:dyDescent="0.2">
      <c r="K78" s="110">
        <v>4</v>
      </c>
      <c r="L78" s="71">
        <v>45828</v>
      </c>
      <c r="M78" s="108">
        <v>1.9735401459854016</v>
      </c>
      <c r="N78" s="80" t="str">
        <v>2Y</v>
      </c>
      <c r="O78" s="111">
        <v>0.01</v>
      </c>
      <c r="P78" s="111">
        <v>0</v>
      </c>
      <c r="Q78" s="111">
        <v>0</v>
      </c>
      <c r="R78" s="112">
        <v>3.2761428810834436E-2</v>
      </c>
      <c r="AG78" s="75">
        <v>74</v>
      </c>
      <c r="AH78" s="76">
        <v>51855</v>
      </c>
      <c r="AI78" s="77">
        <v>51764</v>
      </c>
      <c r="AJ78" s="77">
        <v>51764</v>
      </c>
      <c r="AK78" s="77">
        <v>51855</v>
      </c>
      <c r="AL78" s="78">
        <v>0.25277777777777777</v>
      </c>
      <c r="AM78" s="77">
        <v>51855</v>
      </c>
      <c r="AN78" s="79">
        <v>18.491666666666667</v>
      </c>
      <c r="AO78" s="79">
        <v>18.744444444444444</v>
      </c>
      <c r="AP78" s="79">
        <v>0.25277777777777644</v>
      </c>
      <c r="AQ78" s="78">
        <v>0.51204543330610042</v>
      </c>
      <c r="AS78" s="81">
        <v>0.01</v>
      </c>
      <c r="AT78" s="75">
        <v>252777.77777777778</v>
      </c>
      <c r="AV78" s="75">
        <v>94766.805503257376</v>
      </c>
      <c r="AW78" s="82">
        <v>1.6631533941602179E-2</v>
      </c>
      <c r="AX78" s="82">
        <v>1.6631533941602179E-2</v>
      </c>
      <c r="AY78" s="82">
        <v>0.99580474259170459</v>
      </c>
      <c r="AZ78" s="119">
        <f>IF(AY78="","",PRODUCT($AY$5:AY78))</f>
        <v>0.73216481147804424</v>
      </c>
      <c r="BA78" s="120">
        <v>0.73216481147804424</v>
      </c>
      <c r="BB78" s="82">
        <v>0.26783518852195576</v>
      </c>
      <c r="BC78" s="82">
        <v>3.0845603742076788E-3</v>
      </c>
      <c r="BD78" s="82">
        <v>3.0845603742076788E-3</v>
      </c>
      <c r="BE78" s="75">
        <v>94766.103202199884</v>
      </c>
      <c r="BG78" s="75">
        <v>94766.789909997344</v>
      </c>
      <c r="BH78" s="82">
        <v>1.6631584016205979E-2</v>
      </c>
      <c r="BI78" s="82">
        <v>0.73216469100509762</v>
      </c>
      <c r="BJ78" s="82">
        <v>0.26783530899490238</v>
      </c>
      <c r="BK78" s="82">
        <v>3.0845691732624969E-3</v>
      </c>
      <c r="BL78" s="82">
        <v>3.0845691732624969E-3</v>
      </c>
      <c r="BM78" s="75">
        <v>94766.373533150108</v>
      </c>
      <c r="BO78" s="81">
        <v>0.01</v>
      </c>
      <c r="BP78" s="75">
        <v>94766.805503257376</v>
      </c>
      <c r="BR78" s="81">
        <v>0.01</v>
      </c>
      <c r="BS78" s="75">
        <v>94766.789909997344</v>
      </c>
      <c r="BU78" s="75">
        <v>0</v>
      </c>
    </row>
    <row r="79" spans="11:73" x14ac:dyDescent="0.2">
      <c r="K79" s="110">
        <v>5</v>
      </c>
      <c r="L79" s="71">
        <v>46193</v>
      </c>
      <c r="M79" s="108">
        <v>2.9733059548254621</v>
      </c>
      <c r="N79" s="80" t="str">
        <v>3Y</v>
      </c>
      <c r="O79" s="111">
        <v>0.01</v>
      </c>
      <c r="P79" s="111">
        <v>0</v>
      </c>
      <c r="Q79" s="111">
        <v>0</v>
      </c>
      <c r="R79" s="112">
        <v>4.902264406221879E-2</v>
      </c>
      <c r="AG79" s="75">
        <v>75</v>
      </c>
      <c r="AH79" s="76">
        <v>51945</v>
      </c>
      <c r="AI79" s="77">
        <v>51855</v>
      </c>
      <c r="AJ79" s="77">
        <v>51855</v>
      </c>
      <c r="AK79" s="77">
        <v>51945</v>
      </c>
      <c r="AL79" s="78">
        <v>0.25</v>
      </c>
      <c r="AM79" s="77">
        <v>51945</v>
      </c>
      <c r="AN79" s="79">
        <v>18.744444444444444</v>
      </c>
      <c r="AO79" s="79">
        <v>18.994444444444444</v>
      </c>
      <c r="AP79" s="79">
        <v>0.25</v>
      </c>
      <c r="AQ79" s="78">
        <v>0.50748449700458309</v>
      </c>
      <c r="AS79" s="81">
        <v>0.01</v>
      </c>
      <c r="AT79" s="75">
        <v>250000</v>
      </c>
      <c r="AV79" s="75">
        <v>92505.146425067025</v>
      </c>
      <c r="AW79" s="82">
        <v>1.6631533941602179E-2</v>
      </c>
      <c r="AX79" s="82">
        <v>1.6631533941602179E-2</v>
      </c>
      <c r="AY79" s="82">
        <v>0.99585074854433642</v>
      </c>
      <c r="AZ79" s="119">
        <f>IF(AY79="","",PRODUCT($AY$5:AY79))</f>
        <v>0.7291268755682333</v>
      </c>
      <c r="BA79" s="120">
        <v>0.7291268755682333</v>
      </c>
      <c r="BB79" s="82">
        <v>0.2708731244317667</v>
      </c>
      <c r="BC79" s="82">
        <v>3.0379359098109404E-3</v>
      </c>
      <c r="BD79" s="82">
        <v>3.0379359098109404E-3</v>
      </c>
      <c r="BE79" s="75">
        <v>92502.322627353933</v>
      </c>
      <c r="BG79" s="75">
        <v>92505.130045908809</v>
      </c>
      <c r="BH79" s="82">
        <v>1.6631584016205979E-2</v>
      </c>
      <c r="BI79" s="82">
        <v>0.72912674646747599</v>
      </c>
      <c r="BJ79" s="82">
        <v>0.27087325353252401</v>
      </c>
      <c r="BK79" s="82">
        <v>3.0379445376216285E-3</v>
      </c>
      <c r="BL79" s="82">
        <v>3.0379445376216285E-3</v>
      </c>
      <c r="BM79" s="75">
        <v>92502.58533616396</v>
      </c>
      <c r="BO79" s="81">
        <v>0.01</v>
      </c>
      <c r="BP79" s="75">
        <v>92505.14642506704</v>
      </c>
      <c r="BR79" s="81">
        <v>0.01</v>
      </c>
      <c r="BS79" s="75">
        <v>92505.130045908809</v>
      </c>
      <c r="BU79" s="75">
        <v>0</v>
      </c>
    </row>
    <row r="80" spans="11:73" x14ac:dyDescent="0.2">
      <c r="K80" s="110">
        <v>6</v>
      </c>
      <c r="L80" s="71">
        <v>46558</v>
      </c>
      <c r="M80" s="108">
        <v>3.9731653888280394</v>
      </c>
      <c r="N80" s="80" t="str">
        <v>4Y</v>
      </c>
      <c r="O80" s="111">
        <v>0.01</v>
      </c>
      <c r="P80" s="111">
        <v>0</v>
      </c>
      <c r="Q80" s="111">
        <v>0</v>
      </c>
      <c r="R80" s="112">
        <v>6.4880888527471425E-2</v>
      </c>
      <c r="AG80" s="75">
        <v>76</v>
      </c>
      <c r="AH80" s="76">
        <v>52037</v>
      </c>
      <c r="AI80" s="77">
        <v>51945</v>
      </c>
      <c r="AJ80" s="77">
        <v>51945</v>
      </c>
      <c r="AK80" s="77">
        <v>52037</v>
      </c>
      <c r="AL80" s="78">
        <v>0.25555555555555554</v>
      </c>
      <c r="AM80" s="77">
        <v>52037</v>
      </c>
      <c r="AN80" s="79">
        <v>18.994444444444444</v>
      </c>
      <c r="AO80" s="79">
        <v>19.25</v>
      </c>
      <c r="AP80" s="79">
        <v>0.25555555555555642</v>
      </c>
      <c r="AQ80" s="78">
        <v>0.50286419357791601</v>
      </c>
      <c r="AS80" s="81">
        <v>0.01</v>
      </c>
      <c r="AT80" s="75">
        <v>255555.55555555553</v>
      </c>
      <c r="AV80" s="75">
        <v>93302.498238991655</v>
      </c>
      <c r="AW80" s="82">
        <v>1.6631533941602179E-2</v>
      </c>
      <c r="AX80" s="82">
        <v>1.6631533941602179E-2</v>
      </c>
      <c r="AY80" s="82">
        <v>0.9957587387644391</v>
      </c>
      <c r="AZ80" s="119">
        <f>IF(AY80="","",PRODUCT($AY$5:AY80))</f>
        <v>0.72603445801508015</v>
      </c>
      <c r="BA80" s="120">
        <v>0.72603445801508015</v>
      </c>
      <c r="BB80" s="82">
        <v>0.27396554198491985</v>
      </c>
      <c r="BC80" s="82">
        <v>3.0924175531531484E-3</v>
      </c>
      <c r="BD80" s="82">
        <v>3.0924175531531484E-3</v>
      </c>
      <c r="BE80" s="75">
        <v>93303.963544353013</v>
      </c>
      <c r="BG80" s="75">
        <v>93302.480524675397</v>
      </c>
      <c r="BH80" s="82">
        <v>1.6631584016205979E-2</v>
      </c>
      <c r="BI80" s="82">
        <v>0.7260343201709254</v>
      </c>
      <c r="BJ80" s="82">
        <v>0.2739656798290746</v>
      </c>
      <c r="BK80" s="82">
        <v>3.0924262965505989E-3</v>
      </c>
      <c r="BL80" s="82">
        <v>3.0924262965505989E-3</v>
      </c>
      <c r="BM80" s="75">
        <v>93304.227348843502</v>
      </c>
      <c r="BO80" s="81">
        <v>0.01</v>
      </c>
      <c r="BP80" s="75">
        <v>93302.498238991655</v>
      </c>
      <c r="BR80" s="81">
        <v>0.01</v>
      </c>
      <c r="BS80" s="75">
        <v>93302.480524675397</v>
      </c>
      <c r="BU80" s="75">
        <v>0</v>
      </c>
    </row>
    <row r="81" spans="11:73" x14ac:dyDescent="0.2">
      <c r="K81" s="110">
        <v>7</v>
      </c>
      <c r="L81" s="71">
        <v>46924</v>
      </c>
      <c r="M81" s="108">
        <v>4.9735401459854014</v>
      </c>
      <c r="N81" s="80" t="str">
        <v>5Y</v>
      </c>
      <c r="O81" s="111">
        <v>0.01</v>
      </c>
      <c r="P81" s="111">
        <v>0</v>
      </c>
      <c r="Q81" s="111">
        <v>0</v>
      </c>
      <c r="R81" s="112">
        <v>8.0517091680352371E-2</v>
      </c>
      <c r="AG81" s="75">
        <v>77</v>
      </c>
      <c r="AH81" s="76">
        <v>52129</v>
      </c>
      <c r="AI81" s="77">
        <v>52037</v>
      </c>
      <c r="AJ81" s="77">
        <v>52037</v>
      </c>
      <c r="AK81" s="77">
        <v>52131</v>
      </c>
      <c r="AL81" s="78">
        <v>0.26111111111111113</v>
      </c>
      <c r="AM81" s="77">
        <v>52131</v>
      </c>
      <c r="AN81" s="79">
        <v>19.25</v>
      </c>
      <c r="AO81" s="79">
        <v>19.511111111111113</v>
      </c>
      <c r="AP81" s="79">
        <v>0.26111111111111285</v>
      </c>
      <c r="AQ81" s="78">
        <v>0.49818689225636797</v>
      </c>
      <c r="AS81" s="81">
        <v>0.01</v>
      </c>
      <c r="AT81" s="75">
        <v>261111.11111111112</v>
      </c>
      <c r="AV81" s="75">
        <v>94034.859788636488</v>
      </c>
      <c r="AW81" s="82">
        <v>1.6631533941602179E-2</v>
      </c>
      <c r="AX81" s="82">
        <v>1.6631533941602179E-2</v>
      </c>
      <c r="AY81" s="82">
        <v>0.99566673748561452</v>
      </c>
      <c r="AZ81" s="119">
        <f>IF(AY81="","",PRODUCT($AY$5:AY81))</f>
        <v>0.72288836011401125</v>
      </c>
      <c r="BA81" s="120">
        <v>0.72288836011401125</v>
      </c>
      <c r="BB81" s="82">
        <v>0.27711163988598875</v>
      </c>
      <c r="BC81" s="82">
        <v>3.1460979010689005E-3</v>
      </c>
      <c r="BD81" s="82">
        <v>3.1460979010689005E-3</v>
      </c>
      <c r="BE81" s="75">
        <v>94040.684164067861</v>
      </c>
      <c r="BG81" s="75">
        <v>94034.840705765935</v>
      </c>
      <c r="BH81" s="82">
        <v>1.6631584016205979E-2</v>
      </c>
      <c r="BI81" s="82">
        <v>0.72288821341538234</v>
      </c>
      <c r="BJ81" s="82">
        <v>0.27711178658461766</v>
      </c>
      <c r="BK81" s="82">
        <v>3.1461067555430544E-3</v>
      </c>
      <c r="BL81" s="82">
        <v>3.1461067555430544E-3</v>
      </c>
      <c r="BM81" s="75">
        <v>94040.94883504555</v>
      </c>
      <c r="BO81" s="81">
        <v>0.01</v>
      </c>
      <c r="BP81" s="75">
        <v>94034.859788636488</v>
      </c>
      <c r="BR81" s="81">
        <v>0.01</v>
      </c>
      <c r="BS81" s="75">
        <v>94034.840705765935</v>
      </c>
      <c r="BU81" s="75">
        <v>0</v>
      </c>
    </row>
    <row r="82" spans="11:73" x14ac:dyDescent="0.2">
      <c r="K82" s="110">
        <v>8</v>
      </c>
      <c r="L82" s="71">
        <v>47654</v>
      </c>
      <c r="M82" s="108">
        <v>6.9733059548254621</v>
      </c>
      <c r="N82" s="80" t="str">
        <v>7Y</v>
      </c>
      <c r="O82" s="111">
        <v>0.01</v>
      </c>
      <c r="P82" s="111">
        <v>0</v>
      </c>
      <c r="Q82" s="111">
        <v>0</v>
      </c>
      <c r="R82" s="112">
        <v>0.11100967437995124</v>
      </c>
      <c r="AG82" s="75">
        <v>78</v>
      </c>
      <c r="AH82" s="76">
        <v>52220</v>
      </c>
      <c r="AI82" s="77">
        <v>52131</v>
      </c>
      <c r="AJ82" s="77">
        <v>52131</v>
      </c>
      <c r="AK82" s="77">
        <v>52222</v>
      </c>
      <c r="AL82" s="78">
        <v>0.25277777777777777</v>
      </c>
      <c r="AM82" s="77">
        <v>52222</v>
      </c>
      <c r="AN82" s="79">
        <v>19.511111111111113</v>
      </c>
      <c r="AO82" s="79">
        <v>19.763888888888889</v>
      </c>
      <c r="AP82" s="79">
        <v>0.25277777777777644</v>
      </c>
      <c r="AQ82" s="78">
        <v>0.49370031516730528</v>
      </c>
      <c r="AS82" s="81">
        <v>0.01</v>
      </c>
      <c r="AT82" s="75">
        <v>252777.77777777778</v>
      </c>
      <c r="AV82" s="75">
        <v>89835.443909448339</v>
      </c>
      <c r="AW82" s="82">
        <v>1.6631533941602179E-2</v>
      </c>
      <c r="AX82" s="82">
        <v>1.6631533941602179E-2</v>
      </c>
      <c r="AY82" s="82">
        <v>0.99580474259170459</v>
      </c>
      <c r="AZ82" s="119">
        <f>IF(AY82="","",PRODUCT($AY$5:AY82))</f>
        <v>0.71985565736587243</v>
      </c>
      <c r="BA82" s="120">
        <v>0.71985565736587243</v>
      </c>
      <c r="BB82" s="82">
        <v>0.28014434263412757</v>
      </c>
      <c r="BC82" s="82">
        <v>3.0327027481388269E-3</v>
      </c>
      <c r="BD82" s="82">
        <v>3.0327027481388269E-3</v>
      </c>
      <c r="BE82" s="75">
        <v>89834.778153893509</v>
      </c>
      <c r="BG82" s="75">
        <v>89835.424541667977</v>
      </c>
      <c r="BH82" s="82">
        <v>1.6631584016205979E-2</v>
      </c>
      <c r="BI82" s="82">
        <v>0.71985550217093308</v>
      </c>
      <c r="BJ82" s="82">
        <v>0.28014449782906692</v>
      </c>
      <c r="BK82" s="82">
        <v>3.0327112444492599E-3</v>
      </c>
      <c r="BL82" s="82">
        <v>3.0327112444492599E-3</v>
      </c>
      <c r="BM82" s="75">
        <v>89835.0298317618</v>
      </c>
      <c r="BO82" s="81">
        <v>0.01</v>
      </c>
      <c r="BP82" s="75">
        <v>89835.443909448339</v>
      </c>
      <c r="BR82" s="81">
        <v>0.01</v>
      </c>
      <c r="BS82" s="75">
        <v>89835.424541667977</v>
      </c>
      <c r="BU82" s="75">
        <v>0</v>
      </c>
    </row>
    <row r="83" spans="11:73" x14ac:dyDescent="0.2">
      <c r="K83" s="110">
        <v>9</v>
      </c>
      <c r="L83" s="71">
        <v>48750</v>
      </c>
      <c r="M83" s="108">
        <v>9.9733698357391738</v>
      </c>
      <c r="N83" s="80" t="str">
        <v>10Y</v>
      </c>
      <c r="O83" s="111">
        <v>0.01</v>
      </c>
      <c r="P83" s="111">
        <v>0</v>
      </c>
      <c r="Q83" s="111">
        <v>0</v>
      </c>
      <c r="R83" s="112">
        <v>0.15494103044263641</v>
      </c>
      <c r="AG83" s="75">
        <v>79</v>
      </c>
      <c r="AH83" s="76">
        <v>52310</v>
      </c>
      <c r="AI83" s="77">
        <v>52222</v>
      </c>
      <c r="AJ83" s="77">
        <v>52222</v>
      </c>
      <c r="AK83" s="77">
        <v>52310</v>
      </c>
      <c r="AL83" s="78">
        <v>0.24444444444444444</v>
      </c>
      <c r="AM83" s="77">
        <v>52310</v>
      </c>
      <c r="AN83" s="79">
        <v>19.763888888888889</v>
      </c>
      <c r="AO83" s="79">
        <v>20.008333333333333</v>
      </c>
      <c r="AP83" s="79">
        <v>0.24444444444444358</v>
      </c>
      <c r="AQ83" s="78">
        <v>0.48940008018533854</v>
      </c>
      <c r="AS83" s="81">
        <v>0.01</v>
      </c>
      <c r="AT83" s="75">
        <v>244444.44444444444</v>
      </c>
      <c r="AV83" s="75">
        <v>85767.748897521378</v>
      </c>
      <c r="AW83" s="82">
        <v>1.6631533941602179E-2</v>
      </c>
      <c r="AX83" s="82">
        <v>1.6631533941602179E-2</v>
      </c>
      <c r="AY83" s="82">
        <v>0.99594276682609195</v>
      </c>
      <c r="AZ83" s="119">
        <f>IF(AY83="","",PRODUCT($AY$5:AY83))</f>
        <v>0.71693503511238221</v>
      </c>
      <c r="BA83" s="120">
        <v>0.71693503511238221</v>
      </c>
      <c r="BB83" s="82">
        <v>0.28306496488761779</v>
      </c>
      <c r="BC83" s="82">
        <v>2.9206222534902126E-3</v>
      </c>
      <c r="BD83" s="82">
        <v>2.9206222534902126E-3</v>
      </c>
      <c r="BE83" s="75">
        <v>85761.16590295166</v>
      </c>
      <c r="BG83" s="75">
        <v>85767.729356866126</v>
      </c>
      <c r="BH83" s="82">
        <v>1.6631584016205979E-2</v>
      </c>
      <c r="BI83" s="82">
        <v>0.71693487177149318</v>
      </c>
      <c r="BJ83" s="82">
        <v>0.28306512822850682</v>
      </c>
      <c r="BK83" s="82">
        <v>2.9206303994399052E-3</v>
      </c>
      <c r="BL83" s="82">
        <v>2.9206303994399052E-3</v>
      </c>
      <c r="BM83" s="75">
        <v>85761.405100657619</v>
      </c>
      <c r="BO83" s="81">
        <v>0.01</v>
      </c>
      <c r="BP83" s="75">
        <v>85767.748897521378</v>
      </c>
      <c r="BR83" s="81">
        <v>0.01</v>
      </c>
      <c r="BS83" s="75">
        <v>85767.729356866126</v>
      </c>
      <c r="BU83" s="75">
        <v>0</v>
      </c>
    </row>
    <row r="84" spans="11:73" x14ac:dyDescent="0.2">
      <c r="K84" s="110">
        <v>10</v>
      </c>
      <c r="L84" s="71">
        <v>50576</v>
      </c>
      <c r="M84" s="108">
        <v>14.973305954825461</v>
      </c>
      <c r="N84" s="80" t="str">
        <v>15Y</v>
      </c>
      <c r="O84" s="111">
        <v>0.01</v>
      </c>
      <c r="P84" s="111">
        <v>0</v>
      </c>
      <c r="Q84" s="111">
        <v>0</v>
      </c>
      <c r="R84" s="112">
        <v>0.22330511767665573</v>
      </c>
      <c r="AG84" s="75">
        <v>80</v>
      </c>
      <c r="AH84" s="76">
        <v>52402</v>
      </c>
      <c r="AI84" s="77">
        <v>52310</v>
      </c>
      <c r="AJ84" s="77">
        <v>52310</v>
      </c>
      <c r="AK84" s="77">
        <v>52404</v>
      </c>
      <c r="AL84" s="78">
        <v>0.26111111111111113</v>
      </c>
      <c r="AM84" s="77">
        <v>52404</v>
      </c>
      <c r="AN84" s="79">
        <v>20.008333333333333</v>
      </c>
      <c r="AO84" s="79">
        <v>20.269444444444446</v>
      </c>
      <c r="AP84" s="79">
        <v>0.26111111111111285</v>
      </c>
      <c r="AQ84" s="78">
        <v>0.4848480129054441</v>
      </c>
      <c r="AS84" s="81">
        <v>0.01</v>
      </c>
      <c r="AT84" s="75">
        <v>261111.11111111112</v>
      </c>
      <c r="AV84" s="75">
        <v>90370.102655506867</v>
      </c>
      <c r="AW84" s="82">
        <v>1.6631533941602179E-2</v>
      </c>
      <c r="AX84" s="82">
        <v>1.6631533941602179E-2</v>
      </c>
      <c r="AY84" s="82">
        <v>0.99566673748561452</v>
      </c>
      <c r="AZ84" s="119">
        <f>IF(AY84="","",PRODUCT($AY$5:AY84))</f>
        <v>0.71382836739948008</v>
      </c>
      <c r="BA84" s="120">
        <v>0.71382836739948008</v>
      </c>
      <c r="BB84" s="82">
        <v>0.28617163260051992</v>
      </c>
      <c r="BC84" s="82">
        <v>3.1066677129021336E-3</v>
      </c>
      <c r="BD84" s="82">
        <v>3.1066677129021336E-3</v>
      </c>
      <c r="BE84" s="75">
        <v>90375.700041485994</v>
      </c>
      <c r="BG84" s="75">
        <v>90370.080884695199</v>
      </c>
      <c r="BH84" s="82">
        <v>1.6631584016205979E-2</v>
      </c>
      <c r="BI84" s="82">
        <v>0.71382819543306097</v>
      </c>
      <c r="BJ84" s="82">
        <v>0.28617180456693903</v>
      </c>
      <c r="BK84" s="82">
        <v>3.1066763384322016E-3</v>
      </c>
      <c r="BL84" s="82">
        <v>3.1066763384322016E-3</v>
      </c>
      <c r="BM84" s="75">
        <v>90375.950965752825</v>
      </c>
      <c r="BO84" s="81">
        <v>0.01</v>
      </c>
      <c r="BP84" s="75">
        <v>90370.102655506853</v>
      </c>
      <c r="BR84" s="81">
        <v>0.01</v>
      </c>
      <c r="BS84" s="75">
        <v>90370.080884695199</v>
      </c>
      <c r="BU84" s="75">
        <v>0</v>
      </c>
    </row>
    <row r="85" spans="11:73" x14ac:dyDescent="0.2">
      <c r="K85" s="110">
        <v>11</v>
      </c>
      <c r="L85" s="71">
        <v>52402</v>
      </c>
      <c r="M85" s="108">
        <v>19.973272490221643</v>
      </c>
      <c r="N85" s="80" t="str">
        <v>20Y</v>
      </c>
      <c r="O85" s="111">
        <v>0.01</v>
      </c>
      <c r="P85" s="111">
        <v>0</v>
      </c>
      <c r="Q85" s="111">
        <v>0</v>
      </c>
      <c r="R85" s="112">
        <v>0.28617163260051992</v>
      </c>
      <c r="AG85" s="75">
        <v>81</v>
      </c>
      <c r="AH85" s="76">
        <v>52494</v>
      </c>
      <c r="AI85" s="77">
        <v>52404</v>
      </c>
      <c r="AJ85" s="77">
        <v>52404</v>
      </c>
      <c r="AK85" s="77">
        <v>52495</v>
      </c>
      <c r="AL85" s="78">
        <v>0.25277777777777777</v>
      </c>
      <c r="AM85" s="77">
        <v>52495</v>
      </c>
      <c r="AN85" s="79">
        <v>20.269444444444446</v>
      </c>
      <c r="AO85" s="79">
        <v>20.522222222222222</v>
      </c>
      <c r="AP85" s="79">
        <v>0.25277777777777644</v>
      </c>
      <c r="AQ85" s="78">
        <v>0.48048156324530383</v>
      </c>
      <c r="AS85" s="81">
        <v>0.01</v>
      </c>
      <c r="AT85" s="75">
        <v>252777.77777777778</v>
      </c>
      <c r="AV85" s="75">
        <v>86334.347955854217</v>
      </c>
      <c r="AW85" s="82">
        <v>1.6631533941602179E-2</v>
      </c>
      <c r="AX85" s="82">
        <v>1.6631525768640808E-2</v>
      </c>
      <c r="AY85" s="82">
        <v>0.9958047446489805</v>
      </c>
      <c r="AZ85" s="119">
        <f>IF(AY85="","",PRODUCT($AY$5:AY85))</f>
        <v>0.71083367512143791</v>
      </c>
      <c r="BA85" s="120">
        <v>0.71083367512143791</v>
      </c>
      <c r="BB85" s="82">
        <v>0.28916632487856209</v>
      </c>
      <c r="BC85" s="82">
        <v>2.9946922780421659E-3</v>
      </c>
      <c r="BD85" s="82">
        <v>2.9946922780421659E-3</v>
      </c>
      <c r="BE85" s="75">
        <v>86333.665631540396</v>
      </c>
      <c r="BG85" s="75">
        <v>86334.325886125196</v>
      </c>
      <c r="BH85" s="82">
        <v>1.6631584016205979E-2</v>
      </c>
      <c r="BI85" s="82">
        <v>0.71083349341036972</v>
      </c>
      <c r="BJ85" s="82">
        <v>0.28916650658963028</v>
      </c>
      <c r="BK85" s="82">
        <v>2.9947020226912535E-3</v>
      </c>
      <c r="BL85" s="82">
        <v>2.9947020226912535E-3</v>
      </c>
      <c r="BM85" s="75">
        <v>86333.946558994008</v>
      </c>
      <c r="BO85" s="81">
        <v>0.01</v>
      </c>
      <c r="BP85" s="75">
        <v>86334.347955854217</v>
      </c>
      <c r="BR85" s="81">
        <v>0.01</v>
      </c>
      <c r="BS85" s="75">
        <v>86334.325886125196</v>
      </c>
      <c r="BU85" s="75">
        <v>0</v>
      </c>
    </row>
    <row r="86" spans="11:73" x14ac:dyDescent="0.2">
      <c r="K86" s="110">
        <v>12</v>
      </c>
      <c r="L86" s="71">
        <v>56055</v>
      </c>
      <c r="M86" s="108">
        <v>29.973328623156409</v>
      </c>
      <c r="N86" s="80" t="str">
        <v>30Y</v>
      </c>
      <c r="O86" s="111">
        <v>0.01</v>
      </c>
      <c r="P86" s="111">
        <v>0</v>
      </c>
      <c r="Q86" s="111">
        <v>0</v>
      </c>
      <c r="R86" s="112">
        <v>0.39696745857731863</v>
      </c>
      <c r="AG86" s="75">
        <v>82</v>
      </c>
      <c r="AH86" s="76">
        <v>52585</v>
      </c>
      <c r="AI86" s="77">
        <v>52495</v>
      </c>
      <c r="AJ86" s="77">
        <v>52495</v>
      </c>
      <c r="AK86" s="77">
        <v>52586</v>
      </c>
      <c r="AL86" s="78">
        <v>0.25277777777777777</v>
      </c>
      <c r="AM86" s="77">
        <v>52586</v>
      </c>
      <c r="AN86" s="79">
        <v>20.522222222222222</v>
      </c>
      <c r="AO86" s="79">
        <v>20.774999999999999</v>
      </c>
      <c r="AP86" s="79">
        <v>0.25277777777777644</v>
      </c>
      <c r="AQ86" s="78">
        <v>0.47615443700637411</v>
      </c>
      <c r="AS86" s="81">
        <v>0.01</v>
      </c>
      <c r="AT86" s="75">
        <v>252777.77777777778</v>
      </c>
      <c r="AV86" s="75">
        <v>85197.904340200548</v>
      </c>
      <c r="AW86" s="82">
        <v>1.6631525768640808E-2</v>
      </c>
      <c r="AX86" s="82">
        <v>1.6631525768640808E-2</v>
      </c>
      <c r="AY86" s="82">
        <v>0.9958047446489805</v>
      </c>
      <c r="AZ86" s="119">
        <f>IF(AY86="","",PRODUCT($AY$5:AY86))</f>
        <v>0.70785154634219982</v>
      </c>
      <c r="BA86" s="120">
        <v>0.70785154634219982</v>
      </c>
      <c r="BB86" s="82">
        <v>0.29214845365780018</v>
      </c>
      <c r="BC86" s="82">
        <v>2.9821287792380913E-3</v>
      </c>
      <c r="BD86" s="82">
        <v>2.9821287792380913E-3</v>
      </c>
      <c r="BE86" s="75">
        <v>85197.230997517137</v>
      </c>
      <c r="BG86" s="75">
        <v>85197.881306554438</v>
      </c>
      <c r="BH86" s="82">
        <v>1.6631584016205979E-2</v>
      </c>
      <c r="BI86" s="82">
        <v>0.70785135497127183</v>
      </c>
      <c r="BJ86" s="82">
        <v>0.29214864502872817</v>
      </c>
      <c r="BK86" s="82">
        <v>2.9821384390978922E-3</v>
      </c>
      <c r="BL86" s="82">
        <v>2.9821384390978922E-3</v>
      </c>
      <c r="BM86" s="75">
        <v>85197.506972623451</v>
      </c>
      <c r="BO86" s="81">
        <v>0.01</v>
      </c>
      <c r="BP86" s="75">
        <v>85197.904340200548</v>
      </c>
      <c r="BR86" s="81">
        <v>0.01</v>
      </c>
      <c r="BS86" s="75">
        <v>85197.881306554438</v>
      </c>
      <c r="BU86" s="75">
        <v>0</v>
      </c>
    </row>
    <row r="87" spans="11:73" x14ac:dyDescent="0.2">
      <c r="K87" s="107"/>
      <c r="L87" s="71"/>
      <c r="M87" s="108"/>
      <c r="O87" s="111"/>
      <c r="P87" s="111"/>
      <c r="Q87" s="111"/>
      <c r="R87" s="112"/>
      <c r="AG87" s="75">
        <v>83</v>
      </c>
      <c r="AH87" s="76">
        <v>52676</v>
      </c>
      <c r="AI87" s="77">
        <v>52586</v>
      </c>
      <c r="AJ87" s="77">
        <v>52586</v>
      </c>
      <c r="AK87" s="77">
        <v>52677</v>
      </c>
      <c r="AL87" s="78">
        <v>0.25277777777777777</v>
      </c>
      <c r="AM87" s="77">
        <v>52677</v>
      </c>
      <c r="AN87" s="79">
        <v>20.774999999999999</v>
      </c>
      <c r="AO87" s="79">
        <v>21.027777777777779</v>
      </c>
      <c r="AP87" s="79">
        <v>0.25277777777777999</v>
      </c>
      <c r="AQ87" s="78">
        <v>0.471866280049348</v>
      </c>
      <c r="AS87" s="81">
        <v>0.01</v>
      </c>
      <c r="AT87" s="75">
        <v>252777.77777777778</v>
      </c>
      <c r="AV87" s="75">
        <v>84076.420055591094</v>
      </c>
      <c r="AW87" s="82">
        <v>1.6631525768640808E-2</v>
      </c>
      <c r="AX87" s="82">
        <v>1.6631525768640808E-2</v>
      </c>
      <c r="AY87" s="82">
        <v>0.99580474464898039</v>
      </c>
      <c r="AZ87" s="119">
        <f>IF(AY87="","",PRODUCT($AY$5:AY87))</f>
        <v>0.70488192835468022</v>
      </c>
      <c r="BA87" s="120">
        <v>0.70488192835468022</v>
      </c>
      <c r="BB87" s="82">
        <v>0.29511807164531978</v>
      </c>
      <c r="BC87" s="82">
        <v>2.9696179875196016E-3</v>
      </c>
      <c r="BD87" s="82">
        <v>2.9696179875196016E-3</v>
      </c>
      <c r="BE87" s="75">
        <v>84075.755576310316</v>
      </c>
      <c r="BG87" s="75">
        <v>84076.396087228626</v>
      </c>
      <c r="BH87" s="82">
        <v>1.6631584016205979E-2</v>
      </c>
      <c r="BI87" s="82">
        <v>0.70488172740814203</v>
      </c>
      <c r="BJ87" s="82">
        <v>0.29511827259185797</v>
      </c>
      <c r="BK87" s="82">
        <v>2.9696275631297953E-3</v>
      </c>
      <c r="BL87" s="82">
        <v>2.9696275631297953E-3</v>
      </c>
      <c r="BM87" s="75">
        <v>84076.026680764</v>
      </c>
      <c r="BO87" s="81">
        <v>0.01</v>
      </c>
      <c r="BP87" s="75">
        <v>84076.420055591094</v>
      </c>
      <c r="BR87" s="81">
        <v>0.01</v>
      </c>
      <c r="BS87" s="75">
        <v>84076.396087228626</v>
      </c>
      <c r="BU87" s="75">
        <v>0</v>
      </c>
    </row>
    <row r="88" spans="11:73" x14ac:dyDescent="0.2">
      <c r="K88" s="107"/>
      <c r="L88" s="71"/>
      <c r="M88" s="108"/>
      <c r="O88" s="111"/>
      <c r="P88" s="111"/>
      <c r="Q88" s="111"/>
      <c r="R88" s="112"/>
      <c r="AG88" s="75">
        <v>84</v>
      </c>
      <c r="AH88" s="76">
        <v>52768</v>
      </c>
      <c r="AI88" s="77">
        <v>52677</v>
      </c>
      <c r="AJ88" s="77">
        <v>52677</v>
      </c>
      <c r="AK88" s="77">
        <v>52769</v>
      </c>
      <c r="AL88" s="78">
        <v>0.25555555555555554</v>
      </c>
      <c r="AM88" s="77">
        <v>52769</v>
      </c>
      <c r="AN88" s="79">
        <v>21.027777777777779</v>
      </c>
      <c r="AO88" s="79">
        <v>21.283333333333335</v>
      </c>
      <c r="AP88" s="79">
        <v>0.25555555555555642</v>
      </c>
      <c r="AQ88" s="78">
        <v>0.46806119805618907</v>
      </c>
      <c r="AS88" s="81">
        <v>0.01</v>
      </c>
      <c r="AT88" s="75">
        <v>255555.55555555553</v>
      </c>
      <c r="AV88" s="75">
        <v>83957.301281661494</v>
      </c>
      <c r="AW88" s="82">
        <v>1.6631525768640808E-2</v>
      </c>
      <c r="AX88" s="82">
        <v>1.6631525768640808E-2</v>
      </c>
      <c r="AY88" s="82">
        <v>0.99575874084422633</v>
      </c>
      <c r="AZ88" s="119">
        <f>IF(AY88="","",PRODUCT($AY$5:AY88))</f>
        <v>0.7018923414223065</v>
      </c>
      <c r="BA88" s="120">
        <v>0.7018923414223065</v>
      </c>
      <c r="BB88" s="82">
        <v>0.2981076585776935</v>
      </c>
      <c r="BC88" s="82">
        <v>2.9895869323737223E-3</v>
      </c>
      <c r="BD88" s="82">
        <v>2.9895869323737223E-3</v>
      </c>
      <c r="BE88" s="75">
        <v>83958.57847559829</v>
      </c>
      <c r="BG88" s="75">
        <v>83957.276097512091</v>
      </c>
      <c r="BH88" s="82">
        <v>1.6631584016205979E-2</v>
      </c>
      <c r="BI88" s="82">
        <v>0.701892130880027</v>
      </c>
      <c r="BJ88" s="82">
        <v>0.298107869119973</v>
      </c>
      <c r="BK88" s="82">
        <v>2.989596528115035E-3</v>
      </c>
      <c r="BL88" s="82">
        <v>2.989596528115035E-3</v>
      </c>
      <c r="BM88" s="75">
        <v>83958.847959248786</v>
      </c>
      <c r="BO88" s="81">
        <v>0.01</v>
      </c>
      <c r="BP88" s="75">
        <v>83957.301281661494</v>
      </c>
      <c r="BR88" s="81">
        <v>0.01</v>
      </c>
      <c r="BS88" s="75">
        <v>83957.276097512076</v>
      </c>
      <c r="BU88" s="75">
        <v>0</v>
      </c>
    </row>
    <row r="89" spans="11:73" x14ac:dyDescent="0.2">
      <c r="K89" s="107"/>
      <c r="L89" s="71"/>
      <c r="M89" s="108"/>
      <c r="O89" s="111"/>
      <c r="P89" s="111"/>
      <c r="Q89" s="111"/>
      <c r="R89" s="112"/>
      <c r="AG89" s="75">
        <v>85</v>
      </c>
      <c r="AH89" s="76">
        <v>52860</v>
      </c>
      <c r="AI89" s="77">
        <v>52769</v>
      </c>
      <c r="AJ89" s="77">
        <v>52769</v>
      </c>
      <c r="AK89" s="77">
        <v>52860</v>
      </c>
      <c r="AL89" s="78">
        <v>0.25277777777777777</v>
      </c>
      <c r="AM89" s="77">
        <v>52860</v>
      </c>
      <c r="AN89" s="79">
        <v>21.283333333333335</v>
      </c>
      <c r="AO89" s="79">
        <v>21.536111111111111</v>
      </c>
      <c r="AP89" s="79">
        <v>0.25277777777777644</v>
      </c>
      <c r="AQ89" s="78">
        <v>0.46441417998888079</v>
      </c>
      <c r="AS89" s="81">
        <v>0.01</v>
      </c>
      <c r="AT89" s="75">
        <v>252777.77777777778</v>
      </c>
      <c r="AV89" s="75">
        <v>82051.978597851339</v>
      </c>
      <c r="AW89" s="82">
        <v>1.6631525768640808E-2</v>
      </c>
      <c r="AX89" s="82">
        <v>1.6631525768640808E-2</v>
      </c>
      <c r="AY89" s="82">
        <v>0.9958047446489805</v>
      </c>
      <c r="AZ89" s="119">
        <f>IF(AY89="","",PRODUCT($AY$5:AY89))</f>
        <v>0.69894772382111492</v>
      </c>
      <c r="BA89" s="120">
        <v>0.69894772382111492</v>
      </c>
      <c r="BB89" s="82">
        <v>0.30105227617888508</v>
      </c>
      <c r="BC89" s="82">
        <v>2.9446176011915792E-3</v>
      </c>
      <c r="BD89" s="82">
        <v>2.9446176011915792E-3</v>
      </c>
      <c r="BE89" s="75">
        <v>82051.330118292739</v>
      </c>
      <c r="BG89" s="75">
        <v>82051.952777122206</v>
      </c>
      <c r="BH89" s="82">
        <v>1.6631584016205979E-2</v>
      </c>
      <c r="BI89" s="82">
        <v>0.69894750387102766</v>
      </c>
      <c r="BJ89" s="82">
        <v>0.30105249612897234</v>
      </c>
      <c r="BK89" s="82">
        <v>2.9446270089993343E-3</v>
      </c>
      <c r="BL89" s="82">
        <v>2.9446270089993343E-3</v>
      </c>
      <c r="BM89" s="75">
        <v>82051.592265452186</v>
      </c>
      <c r="BO89" s="81">
        <v>0.01</v>
      </c>
      <c r="BP89" s="75">
        <v>82051.978597851325</v>
      </c>
      <c r="BR89" s="81">
        <v>0.01</v>
      </c>
      <c r="BS89" s="75">
        <v>82051.952777122191</v>
      </c>
      <c r="BU89" s="75">
        <v>0</v>
      </c>
    </row>
    <row r="90" spans="11:73" x14ac:dyDescent="0.2">
      <c r="K90" s="107"/>
      <c r="L90" s="71"/>
      <c r="M90" s="108"/>
      <c r="O90" s="111"/>
      <c r="P90" s="111"/>
      <c r="Q90" s="111"/>
      <c r="R90" s="112"/>
      <c r="AG90" s="75">
        <v>86</v>
      </c>
      <c r="AH90" s="76">
        <v>52951</v>
      </c>
      <c r="AI90" s="77">
        <v>52860</v>
      </c>
      <c r="AJ90" s="77">
        <v>52860</v>
      </c>
      <c r="AK90" s="77">
        <v>52951</v>
      </c>
      <c r="AL90" s="78">
        <v>0.25277777777777777</v>
      </c>
      <c r="AM90" s="77">
        <v>52951</v>
      </c>
      <c r="AN90" s="79">
        <v>21.536111111111111</v>
      </c>
      <c r="AO90" s="79">
        <v>21.788888888888888</v>
      </c>
      <c r="AP90" s="79">
        <v>0.25277777777777644</v>
      </c>
      <c r="AQ90" s="78">
        <v>0.46079557859195347</v>
      </c>
      <c r="AS90" s="81">
        <v>0.01</v>
      </c>
      <c r="AT90" s="75">
        <v>252777.77777777778</v>
      </c>
      <c r="AV90" s="75">
        <v>81071.102848844515</v>
      </c>
      <c r="AW90" s="82">
        <v>1.6631525768640808E-2</v>
      </c>
      <c r="AX90" s="82">
        <v>1.6631525768640808E-2</v>
      </c>
      <c r="AY90" s="82">
        <v>0.9958047446489805</v>
      </c>
      <c r="AZ90" s="119">
        <f>IF(AY90="","",PRODUCT($AY$5:AY90))</f>
        <v>0.69601545964267153</v>
      </c>
      <c r="BA90" s="120">
        <v>0.69601545964267153</v>
      </c>
      <c r="BB90" s="82">
        <v>0.30398454035732847</v>
      </c>
      <c r="BC90" s="82">
        <v>2.9322641784433889E-3</v>
      </c>
      <c r="BD90" s="82">
        <v>2.9322641784433889E-3</v>
      </c>
      <c r="BE90" s="75">
        <v>81070.462121416815</v>
      </c>
      <c r="BG90" s="75">
        <v>81071.076143119266</v>
      </c>
      <c r="BH90" s="82">
        <v>1.6631584016205979E-2</v>
      </c>
      <c r="BI90" s="82">
        <v>0.6960152303674183</v>
      </c>
      <c r="BJ90" s="82">
        <v>0.3039847696325817</v>
      </c>
      <c r="BK90" s="82">
        <v>2.9322735036093617E-3</v>
      </c>
      <c r="BL90" s="82">
        <v>2.9322735036093617E-3</v>
      </c>
      <c r="BM90" s="75">
        <v>81070.719941131829</v>
      </c>
      <c r="BO90" s="81">
        <v>0.01</v>
      </c>
      <c r="BP90" s="75">
        <v>81071.102848844501</v>
      </c>
      <c r="BR90" s="81">
        <v>0.01</v>
      </c>
      <c r="BS90" s="75">
        <v>81071.076143119251</v>
      </c>
      <c r="BU90" s="75">
        <v>0</v>
      </c>
    </row>
    <row r="91" spans="11:73" x14ac:dyDescent="0.2">
      <c r="K91" s="107"/>
      <c r="L91" s="71"/>
      <c r="M91" s="108"/>
      <c r="O91" s="111"/>
      <c r="P91" s="111"/>
      <c r="Q91" s="111"/>
      <c r="R91" s="112"/>
      <c r="AG91" s="75">
        <v>87</v>
      </c>
      <c r="AH91" s="76">
        <v>53041</v>
      </c>
      <c r="AI91" s="77">
        <v>52951</v>
      </c>
      <c r="AJ91" s="77">
        <v>52951</v>
      </c>
      <c r="AK91" s="77">
        <v>53041</v>
      </c>
      <c r="AL91" s="78">
        <v>0.25</v>
      </c>
      <c r="AM91" s="77">
        <v>53041</v>
      </c>
      <c r="AN91" s="79">
        <v>21.788888888888888</v>
      </c>
      <c r="AO91" s="79">
        <v>22.038888888888888</v>
      </c>
      <c r="AP91" s="79">
        <v>0.25</v>
      </c>
      <c r="AQ91" s="78">
        <v>0.45724447503873222</v>
      </c>
      <c r="AS91" s="81">
        <v>0.01</v>
      </c>
      <c r="AT91" s="75">
        <v>250000</v>
      </c>
      <c r="AV91" s="75">
        <v>79232.182014249629</v>
      </c>
      <c r="AW91" s="82">
        <v>1.6631525768640808E-2</v>
      </c>
      <c r="AX91" s="82">
        <v>1.6631525768640808E-2</v>
      </c>
      <c r="AY91" s="82">
        <v>0.99585075057909889</v>
      </c>
      <c r="AZ91" s="119">
        <f>IF(AY91="","",PRODUCT($AY$5:AY91))</f>
        <v>0.69312751789981097</v>
      </c>
      <c r="BA91" s="120">
        <v>0.69312751789981097</v>
      </c>
      <c r="BB91" s="82">
        <v>0.30687248210018903</v>
      </c>
      <c r="BC91" s="82">
        <v>2.8879417428605558E-3</v>
      </c>
      <c r="BD91" s="82">
        <v>2.8879417428605558E-3</v>
      </c>
      <c r="BE91" s="75">
        <v>79229.724369402975</v>
      </c>
      <c r="BG91" s="75">
        <v>79232.154760515376</v>
      </c>
      <c r="BH91" s="82">
        <v>1.6631584016205979E-2</v>
      </c>
      <c r="BI91" s="82">
        <v>0.69312727948263375</v>
      </c>
      <c r="BJ91" s="82">
        <v>0.30687272051736625</v>
      </c>
      <c r="BK91" s="82">
        <v>2.8879508847845514E-3</v>
      </c>
      <c r="BL91" s="82">
        <v>2.8879508847845514E-3</v>
      </c>
      <c r="BM91" s="75">
        <v>79229.975175057276</v>
      </c>
      <c r="BO91" s="81">
        <v>0.01</v>
      </c>
      <c r="BP91" s="75">
        <v>79232.182014249644</v>
      </c>
      <c r="BR91" s="81">
        <v>0.01</v>
      </c>
      <c r="BS91" s="75">
        <v>79232.15476051539</v>
      </c>
      <c r="BU91" s="75">
        <v>0</v>
      </c>
    </row>
    <row r="92" spans="11:73" x14ac:dyDescent="0.2">
      <c r="K92" s="107"/>
      <c r="L92" s="71"/>
      <c r="M92" s="108"/>
      <c r="O92" s="111"/>
      <c r="P92" s="111"/>
      <c r="Q92" s="111"/>
      <c r="R92" s="112"/>
      <c r="AG92" s="75">
        <v>88</v>
      </c>
      <c r="AH92" s="76">
        <v>53133</v>
      </c>
      <c r="AI92" s="77">
        <v>53041</v>
      </c>
      <c r="AJ92" s="77">
        <v>53041</v>
      </c>
      <c r="AK92" s="77">
        <v>53133</v>
      </c>
      <c r="AL92" s="78">
        <v>0.25555555555555554</v>
      </c>
      <c r="AM92" s="77">
        <v>53133</v>
      </c>
      <c r="AN92" s="79">
        <v>22.038888888888888</v>
      </c>
      <c r="AO92" s="79">
        <v>22.294444444444444</v>
      </c>
      <c r="AP92" s="79">
        <v>0.25555555555555642</v>
      </c>
      <c r="AQ92" s="78">
        <v>0.45364274187155196</v>
      </c>
      <c r="AS92" s="81">
        <v>0.01</v>
      </c>
      <c r="AT92" s="75">
        <v>255555.55555555553</v>
      </c>
      <c r="AV92" s="75">
        <v>80014.106843415779</v>
      </c>
      <c r="AW92" s="82">
        <v>1.6631525768640808E-2</v>
      </c>
      <c r="AX92" s="82">
        <v>1.6631525768640808E-2</v>
      </c>
      <c r="AY92" s="82">
        <v>0.99575874084422633</v>
      </c>
      <c r="AZ92" s="119">
        <f>IF(AY92="","",PRODUCT($AY$5:AY92))</f>
        <v>0.69018778446839968</v>
      </c>
      <c r="BA92" s="120">
        <v>0.69018778446839968</v>
      </c>
      <c r="BB92" s="82">
        <v>0.30981221553160032</v>
      </c>
      <c r="BC92" s="82">
        <v>2.9397334314112955E-3</v>
      </c>
      <c r="BD92" s="82">
        <v>2.9397334314112955E-3</v>
      </c>
      <c r="BE92" s="75">
        <v>80015.324051813164</v>
      </c>
      <c r="BG92" s="75">
        <v>80014.078129671805</v>
      </c>
      <c r="BH92" s="82">
        <v>1.6631584016205979E-2</v>
      </c>
      <c r="BI92" s="82">
        <v>0.69018753678863265</v>
      </c>
      <c r="BJ92" s="82">
        <v>0.30981246321136735</v>
      </c>
      <c r="BK92" s="82">
        <v>2.9397426940011018E-3</v>
      </c>
      <c r="BL92" s="82">
        <v>2.9397426940011018E-3</v>
      </c>
      <c r="BM92" s="75">
        <v>80015.576166211351</v>
      </c>
      <c r="BO92" s="81">
        <v>0.01</v>
      </c>
      <c r="BP92" s="75">
        <v>80014.106843415779</v>
      </c>
      <c r="BR92" s="81">
        <v>0.01</v>
      </c>
      <c r="BS92" s="75">
        <v>80014.078129671805</v>
      </c>
      <c r="BU92" s="75">
        <v>0</v>
      </c>
    </row>
    <row r="93" spans="11:73" x14ac:dyDescent="0.2">
      <c r="K93" s="107"/>
      <c r="L93" s="71"/>
      <c r="M93" s="108"/>
      <c r="O93" s="111"/>
      <c r="P93" s="111"/>
      <c r="Q93" s="111"/>
      <c r="R93" s="112"/>
      <c r="AG93" s="75">
        <v>89</v>
      </c>
      <c r="AH93" s="76">
        <v>53225</v>
      </c>
      <c r="AI93" s="77">
        <v>53133</v>
      </c>
      <c r="AJ93" s="77">
        <v>53133</v>
      </c>
      <c r="AK93" s="77">
        <v>53225</v>
      </c>
      <c r="AL93" s="78">
        <v>0.25555555555555554</v>
      </c>
      <c r="AM93" s="77">
        <v>53225</v>
      </c>
      <c r="AN93" s="79">
        <v>22.294444444444444</v>
      </c>
      <c r="AO93" s="79">
        <v>22.55</v>
      </c>
      <c r="AP93" s="79">
        <v>0.25555555555555642</v>
      </c>
      <c r="AQ93" s="78">
        <v>0.45006937970176092</v>
      </c>
      <c r="AS93" s="81">
        <v>0.01</v>
      </c>
      <c r="AT93" s="75">
        <v>255555.55555555553</v>
      </c>
      <c r="AV93" s="75">
        <v>79047.145091030776</v>
      </c>
      <c r="AW93" s="82">
        <v>1.6631525768640808E-2</v>
      </c>
      <c r="AX93" s="82">
        <v>1.6631525768640808E-2</v>
      </c>
      <c r="AY93" s="82">
        <v>0.99575874084422633</v>
      </c>
      <c r="AZ93" s="119">
        <f>IF(AY93="","",PRODUCT($AY$5:AY93))</f>
        <v>0.68726051920831999</v>
      </c>
      <c r="BA93" s="120">
        <v>0.68726051920831999</v>
      </c>
      <c r="BB93" s="82">
        <v>0.31273948079168001</v>
      </c>
      <c r="BC93" s="82">
        <v>2.9272652600796922E-3</v>
      </c>
      <c r="BD93" s="82">
        <v>2.9272652600796922E-3</v>
      </c>
      <c r="BE93" s="75">
        <v>79048.34758959485</v>
      </c>
      <c r="BG93" s="75">
        <v>79047.115547634283</v>
      </c>
      <c r="BH93" s="82">
        <v>1.6631584016205979E-2</v>
      </c>
      <c r="BI93" s="82">
        <v>0.68726026234882187</v>
      </c>
      <c r="BJ93" s="82">
        <v>0.31273973765117813</v>
      </c>
      <c r="BK93" s="82">
        <v>2.9272744398107786E-3</v>
      </c>
      <c r="BL93" s="82">
        <v>2.9272744398107786E-3</v>
      </c>
      <c r="BM93" s="75">
        <v>79048.595480547403</v>
      </c>
      <c r="BO93" s="81">
        <v>0.01</v>
      </c>
      <c r="BP93" s="75">
        <v>79047.145091030776</v>
      </c>
      <c r="BR93" s="81">
        <v>0.01</v>
      </c>
      <c r="BS93" s="75">
        <v>79047.115547634268</v>
      </c>
      <c r="BU93" s="75">
        <v>0</v>
      </c>
    </row>
    <row r="94" spans="11:73" x14ac:dyDescent="0.2">
      <c r="K94" s="126"/>
      <c r="L94" s="128"/>
      <c r="M94" s="130"/>
      <c r="N94" s="127"/>
      <c r="O94" s="132"/>
      <c r="P94" s="132"/>
      <c r="Q94" s="132"/>
      <c r="R94" s="133"/>
      <c r="AG94" s="75">
        <v>90</v>
      </c>
      <c r="AH94" s="76">
        <v>53316</v>
      </c>
      <c r="AI94" s="77">
        <v>53225</v>
      </c>
      <c r="AJ94" s="77">
        <v>53225</v>
      </c>
      <c r="AK94" s="77">
        <v>53316</v>
      </c>
      <c r="AL94" s="78">
        <v>0.25277777777777777</v>
      </c>
      <c r="AM94" s="77">
        <v>53316</v>
      </c>
      <c r="AN94" s="79">
        <v>22.55</v>
      </c>
      <c r="AO94" s="79">
        <v>22.802777777777777</v>
      </c>
      <c r="AP94" s="79">
        <v>0.25277777777777644</v>
      </c>
      <c r="AQ94" s="78">
        <v>0.44656254947073304</v>
      </c>
      <c r="AS94" s="81">
        <v>0.01</v>
      </c>
      <c r="AT94" s="75">
        <v>252777.77777777778</v>
      </c>
      <c r="AV94" s="75">
        <v>77253.253239658574</v>
      </c>
      <c r="AW94" s="82">
        <v>1.6631525768640808E-2</v>
      </c>
      <c r="AX94" s="82">
        <v>1.6631525768640808E-2</v>
      </c>
      <c r="AY94" s="82">
        <v>0.9958047446489805</v>
      </c>
      <c r="AZ94" s="119">
        <f>IF(AY94="","",PRODUCT($AY$5:AY94))</f>
        <v>0.68437728583756685</v>
      </c>
      <c r="BA94" s="120">
        <v>0.68437728583756685</v>
      </c>
      <c r="BB94" s="82">
        <v>0.31562271416243315</v>
      </c>
      <c r="BC94" s="82">
        <v>2.8832333707531355E-3</v>
      </c>
      <c r="BD94" s="82">
        <v>2.8832333707531355E-3</v>
      </c>
      <c r="BE94" s="75">
        <v>77252.642685756931</v>
      </c>
      <c r="BG94" s="75">
        <v>77253.223229265859</v>
      </c>
      <c r="BH94" s="82">
        <v>1.6631584016205979E-2</v>
      </c>
      <c r="BI94" s="82">
        <v>0.68437701997910461</v>
      </c>
      <c r="BJ94" s="82">
        <v>0.31562298002089539</v>
      </c>
      <c r="BK94" s="82">
        <v>2.8832423697172649E-3</v>
      </c>
      <c r="BL94" s="82">
        <v>2.8832423697172649E-3</v>
      </c>
      <c r="BM94" s="75">
        <v>77252.883801778778</v>
      </c>
      <c r="BO94" s="81">
        <v>0.01</v>
      </c>
      <c r="BP94" s="75">
        <v>77253.253239658574</v>
      </c>
      <c r="BR94" s="81">
        <v>0.01</v>
      </c>
      <c r="BS94" s="75">
        <v>77253.223229265859</v>
      </c>
      <c r="BU94" s="75">
        <v>0</v>
      </c>
    </row>
    <row r="95" spans="11:73" x14ac:dyDescent="0.2">
      <c r="AG95" s="75">
        <v>91</v>
      </c>
      <c r="AH95" s="76">
        <v>53406</v>
      </c>
      <c r="AI95" s="77">
        <v>53316</v>
      </c>
      <c r="AJ95" s="77">
        <v>53316</v>
      </c>
      <c r="AK95" s="77">
        <v>53406</v>
      </c>
      <c r="AL95" s="78">
        <v>0.25</v>
      </c>
      <c r="AM95" s="77">
        <v>53406</v>
      </c>
      <c r="AN95" s="79">
        <v>22.802777777777777</v>
      </c>
      <c r="AO95" s="79">
        <v>23.052777777777777</v>
      </c>
      <c r="AP95" s="79">
        <v>0.25</v>
      </c>
      <c r="AQ95" s="78">
        <v>0.44312113221363453</v>
      </c>
      <c r="AS95" s="81">
        <v>0.01</v>
      </c>
      <c r="AT95" s="75">
        <v>250000</v>
      </c>
      <c r="AV95" s="75">
        <v>75500.93198176827</v>
      </c>
      <c r="AW95" s="82">
        <v>1.6631525768640808E-2</v>
      </c>
      <c r="AX95" s="82">
        <v>1.6631525768640808E-2</v>
      </c>
      <c r="AY95" s="82">
        <v>0.99585075057909889</v>
      </c>
      <c r="AZ95" s="119">
        <f>IF(AY95="","",PRODUCT($AY$5:AY95))</f>
        <v>0.68153763378062748</v>
      </c>
      <c r="BA95" s="120">
        <v>0.68153763378062748</v>
      </c>
      <c r="BB95" s="82">
        <v>0.31846236621937252</v>
      </c>
      <c r="BC95" s="82">
        <v>2.839652056939368E-3</v>
      </c>
      <c r="BD95" s="82">
        <v>2.839652056939368E-3</v>
      </c>
      <c r="BE95" s="75">
        <v>75498.590073824933</v>
      </c>
      <c r="BG95" s="75">
        <v>75500.901552659823</v>
      </c>
      <c r="BH95" s="82">
        <v>1.6631584016205979E-2</v>
      </c>
      <c r="BI95" s="82">
        <v>0.68153735910080537</v>
      </c>
      <c r="BJ95" s="82">
        <v>0.31846264089919463</v>
      </c>
      <c r="BK95" s="82">
        <v>2.8396608782992327E-3</v>
      </c>
      <c r="BL95" s="82">
        <v>2.8396608782992327E-3</v>
      </c>
      <c r="BM95" s="75">
        <v>75498.824609683186</v>
      </c>
      <c r="BO95" s="81">
        <v>0.01</v>
      </c>
      <c r="BP95" s="75">
        <v>75500.93198176827</v>
      </c>
      <c r="BR95" s="81">
        <v>0.01</v>
      </c>
      <c r="BS95" s="75">
        <v>75500.901552659823</v>
      </c>
      <c r="BU95" s="75">
        <v>0</v>
      </c>
    </row>
    <row r="96" spans="11:73" x14ac:dyDescent="0.2">
      <c r="AG96" s="75">
        <v>92</v>
      </c>
      <c r="AH96" s="76">
        <v>53498</v>
      </c>
      <c r="AI96" s="77">
        <v>53406</v>
      </c>
      <c r="AJ96" s="77">
        <v>53406</v>
      </c>
      <c r="AK96" s="77">
        <v>53498</v>
      </c>
      <c r="AL96" s="78">
        <v>0.25555555555555554</v>
      </c>
      <c r="AM96" s="77">
        <v>53498</v>
      </c>
      <c r="AN96" s="79">
        <v>23.052777777777777</v>
      </c>
      <c r="AO96" s="79">
        <v>23.308333333333334</v>
      </c>
      <c r="AP96" s="79">
        <v>0.25555555555555642</v>
      </c>
      <c r="AQ96" s="78">
        <v>0.43963064918737788</v>
      </c>
      <c r="AS96" s="81">
        <v>0.01</v>
      </c>
      <c r="AT96" s="75">
        <v>255555.55555555553</v>
      </c>
      <c r="AV96" s="75">
        <v>76246.033932022663</v>
      </c>
      <c r="AW96" s="82">
        <v>1.6631525768640808E-2</v>
      </c>
      <c r="AX96" s="82">
        <v>1.6631525768640808E-2</v>
      </c>
      <c r="AY96" s="82">
        <v>0.99575874084422633</v>
      </c>
      <c r="AZ96" s="119">
        <f>IF(AY96="","",PRODUCT($AY$5:AY96))</f>
        <v>0.67864705605135112</v>
      </c>
      <c r="BA96" s="120">
        <v>0.67864705605135112</v>
      </c>
      <c r="BB96" s="82">
        <v>0.32135294394864888</v>
      </c>
      <c r="BC96" s="82">
        <v>2.8905777292763668E-3</v>
      </c>
      <c r="BD96" s="82">
        <v>2.8905777292763668E-3</v>
      </c>
      <c r="BE96" s="75">
        <v>76247.193818900749</v>
      </c>
      <c r="BG96" s="75">
        <v>76246.002067657057</v>
      </c>
      <c r="BH96" s="82">
        <v>1.6631584016205979E-2</v>
      </c>
      <c r="BI96" s="82">
        <v>0.67864677243452809</v>
      </c>
      <c r="BJ96" s="82">
        <v>0.32135322756547191</v>
      </c>
      <c r="BK96" s="82">
        <v>2.8905866662772839E-3</v>
      </c>
      <c r="BL96" s="82">
        <v>2.8905866662772839E-3</v>
      </c>
      <c r="BM96" s="75">
        <v>76247.429557671639</v>
      </c>
      <c r="BO96" s="81">
        <v>0.01</v>
      </c>
      <c r="BP96" s="75">
        <v>76246.033932022663</v>
      </c>
      <c r="BR96" s="81">
        <v>0.01</v>
      </c>
      <c r="BS96" s="75">
        <v>76246.002067657057</v>
      </c>
      <c r="BU96" s="75">
        <v>0</v>
      </c>
    </row>
    <row r="97" spans="33:73" x14ac:dyDescent="0.2">
      <c r="AG97" s="75">
        <v>93</v>
      </c>
      <c r="AH97" s="76">
        <v>53590</v>
      </c>
      <c r="AI97" s="77">
        <v>53498</v>
      </c>
      <c r="AJ97" s="77">
        <v>53498</v>
      </c>
      <c r="AK97" s="77">
        <v>53590</v>
      </c>
      <c r="AL97" s="78">
        <v>0.25555555555555554</v>
      </c>
      <c r="AM97" s="77">
        <v>53590</v>
      </c>
      <c r="AN97" s="79">
        <v>23.308333333333334</v>
      </c>
      <c r="AO97" s="79">
        <v>23.56388888888889</v>
      </c>
      <c r="AP97" s="79">
        <v>0.25555555555555642</v>
      </c>
      <c r="AQ97" s="78">
        <v>0.43616766083666453</v>
      </c>
      <c r="AS97" s="81">
        <v>0.01</v>
      </c>
      <c r="AT97" s="75">
        <v>255555.55555555553</v>
      </c>
      <c r="AV97" s="75">
        <v>75324.608929709066</v>
      </c>
      <c r="AW97" s="82">
        <v>1.6631525768640808E-2</v>
      </c>
      <c r="AX97" s="82">
        <v>1.6631525768640808E-2</v>
      </c>
      <c r="AY97" s="82">
        <v>0.99575874084422633</v>
      </c>
      <c r="AZ97" s="119">
        <f>IF(AY97="","",PRODUCT($AY$5:AY97))</f>
        <v>0.67576873801133452</v>
      </c>
      <c r="BA97" s="120">
        <v>0.67576873801133452</v>
      </c>
      <c r="BB97" s="82">
        <v>0.32423126198866548</v>
      </c>
      <c r="BC97" s="82">
        <v>2.878318040016592E-3</v>
      </c>
      <c r="BD97" s="82">
        <v>2.878318040016592E-3</v>
      </c>
      <c r="BE97" s="75">
        <v>75325.754799480594</v>
      </c>
      <c r="BG97" s="75">
        <v>75324.576329177697</v>
      </c>
      <c r="BH97" s="82">
        <v>1.6631584016205979E-2</v>
      </c>
      <c r="BI97" s="82">
        <v>0.67576844553826021</v>
      </c>
      <c r="BJ97" s="82">
        <v>0.32423155446173979</v>
      </c>
      <c r="BK97" s="82">
        <v>2.8783268962678799E-3</v>
      </c>
      <c r="BL97" s="82">
        <v>2.8783268962678799E-3</v>
      </c>
      <c r="BM97" s="75">
        <v>75325.986568105072</v>
      </c>
      <c r="BO97" s="81">
        <v>0.01</v>
      </c>
      <c r="BP97" s="75">
        <v>75324.608929709066</v>
      </c>
      <c r="BR97" s="81">
        <v>0.01</v>
      </c>
      <c r="BS97" s="75">
        <v>75324.576329177697</v>
      </c>
      <c r="BU97" s="75">
        <v>0</v>
      </c>
    </row>
    <row r="98" spans="33:73" x14ac:dyDescent="0.2">
      <c r="AG98" s="75">
        <v>94</v>
      </c>
      <c r="AH98" s="76">
        <v>53681</v>
      </c>
      <c r="AI98" s="77">
        <v>53590</v>
      </c>
      <c r="AJ98" s="77">
        <v>53590</v>
      </c>
      <c r="AK98" s="77">
        <v>53681</v>
      </c>
      <c r="AL98" s="78">
        <v>0.25277777777777777</v>
      </c>
      <c r="AM98" s="77">
        <v>53681</v>
      </c>
      <c r="AN98" s="79">
        <v>23.56388888888889</v>
      </c>
      <c r="AO98" s="79">
        <v>23.816666666666666</v>
      </c>
      <c r="AP98" s="79">
        <v>0.25277777777777644</v>
      </c>
      <c r="AQ98" s="78">
        <v>0.43276914938975763</v>
      </c>
      <c r="AS98" s="81">
        <v>0.01</v>
      </c>
      <c r="AT98" s="75">
        <v>252777.77777777778</v>
      </c>
      <c r="AV98" s="75">
        <v>73615.196122817768</v>
      </c>
      <c r="AW98" s="82">
        <v>1.6631525768640808E-2</v>
      </c>
      <c r="AX98" s="82">
        <v>1.6631525768640808E-2</v>
      </c>
      <c r="AY98" s="82">
        <v>0.9958047446489805</v>
      </c>
      <c r="AZ98" s="119">
        <f>IF(AY98="","",PRODUCT($AY$5:AY98))</f>
        <v>0.67293371559714077</v>
      </c>
      <c r="BA98" s="120">
        <v>0.67293371559714077</v>
      </c>
      <c r="BB98" s="82">
        <v>0.32706628440285923</v>
      </c>
      <c r="BC98" s="82">
        <v>2.8350224141937552E-3</v>
      </c>
      <c r="BD98" s="82">
        <v>2.8350224141937552E-3</v>
      </c>
      <c r="BE98" s="75">
        <v>73614.61432149171</v>
      </c>
      <c r="BG98" s="75">
        <v>73615.163178234317</v>
      </c>
      <c r="BH98" s="82">
        <v>1.6631584016205979E-2</v>
      </c>
      <c r="BI98" s="82">
        <v>0.67293341444300259</v>
      </c>
      <c r="BJ98" s="82">
        <v>0.32706658555699741</v>
      </c>
      <c r="BK98" s="82">
        <v>2.835031095257623E-3</v>
      </c>
      <c r="BL98" s="82">
        <v>2.835031095257623E-3</v>
      </c>
      <c r="BM98" s="75">
        <v>73614.839735289264</v>
      </c>
      <c r="BO98" s="81">
        <v>0.01</v>
      </c>
      <c r="BP98" s="75">
        <v>73615.196122817768</v>
      </c>
      <c r="BR98" s="81">
        <v>0.01</v>
      </c>
      <c r="BS98" s="75">
        <v>73615.163178234317</v>
      </c>
      <c r="BU98" s="75">
        <v>0</v>
      </c>
    </row>
    <row r="99" spans="33:73" x14ac:dyDescent="0.2">
      <c r="AG99" s="75">
        <v>95</v>
      </c>
      <c r="AH99" s="76">
        <v>53771</v>
      </c>
      <c r="AI99" s="77">
        <v>53681</v>
      </c>
      <c r="AJ99" s="77">
        <v>53681</v>
      </c>
      <c r="AK99" s="77">
        <v>53771</v>
      </c>
      <c r="AL99" s="78">
        <v>0.25</v>
      </c>
      <c r="AM99" s="77">
        <v>53771</v>
      </c>
      <c r="AN99" s="79">
        <v>23.816666666666666</v>
      </c>
      <c r="AO99" s="79">
        <v>24.066666666666666</v>
      </c>
      <c r="AP99" s="79">
        <v>0.25</v>
      </c>
      <c r="AQ99" s="78">
        <v>0.42943403044434914</v>
      </c>
      <c r="AS99" s="81">
        <v>0.01</v>
      </c>
      <c r="AT99" s="75">
        <v>250000</v>
      </c>
      <c r="AV99" s="75">
        <v>71945.396241774622</v>
      </c>
      <c r="AW99" s="82">
        <v>1.6631525768640808E-2</v>
      </c>
      <c r="AX99" s="82">
        <v>1.6631525768640808E-2</v>
      </c>
      <c r="AY99" s="82">
        <v>0.99585075057909889</v>
      </c>
      <c r="AZ99" s="119">
        <f>IF(AY99="","",PRODUCT($AY$5:AY99))</f>
        <v>0.67014154576739449</v>
      </c>
      <c r="BA99" s="120">
        <v>0.67014154576739449</v>
      </c>
      <c r="BB99" s="82">
        <v>0.32985845423260551</v>
      </c>
      <c r="BC99" s="82">
        <v>2.7921698297462827E-3</v>
      </c>
      <c r="BD99" s="82">
        <v>2.7921698297462827E-3</v>
      </c>
      <c r="BE99" s="75">
        <v>71943.164620383497</v>
      </c>
      <c r="BG99" s="75">
        <v>71945.362996806507</v>
      </c>
      <c r="BH99" s="82">
        <v>1.6631584016205979E-2</v>
      </c>
      <c r="BI99" s="82">
        <v>0.67014123610429599</v>
      </c>
      <c r="BJ99" s="82">
        <v>0.32985876389570401</v>
      </c>
      <c r="BK99" s="82">
        <v>2.7921783387065968E-3</v>
      </c>
      <c r="BL99" s="82">
        <v>2.7921783387065968E-3</v>
      </c>
      <c r="BM99" s="75">
        <v>71943.383862610848</v>
      </c>
      <c r="BO99" s="81">
        <v>0.01</v>
      </c>
      <c r="BP99" s="75">
        <v>71945.396241774608</v>
      </c>
      <c r="BR99" s="81">
        <v>0.01</v>
      </c>
      <c r="BS99" s="75">
        <v>71945.362996806492</v>
      </c>
      <c r="BU99" s="75">
        <v>0</v>
      </c>
    </row>
    <row r="100" spans="33:73" x14ac:dyDescent="0.2">
      <c r="AG100" s="75">
        <v>96</v>
      </c>
      <c r="AH100" s="76">
        <v>53863</v>
      </c>
      <c r="AI100" s="77">
        <v>53771</v>
      </c>
      <c r="AJ100" s="77">
        <v>53771</v>
      </c>
      <c r="AK100" s="77">
        <v>53863</v>
      </c>
      <c r="AL100" s="78">
        <v>0.25555555555555554</v>
      </c>
      <c r="AM100" s="77">
        <v>53863</v>
      </c>
      <c r="AN100" s="79">
        <v>24.066666666666666</v>
      </c>
      <c r="AO100" s="79">
        <v>24.322222222222223</v>
      </c>
      <c r="AP100" s="79">
        <v>0.25555555555555642</v>
      </c>
      <c r="AQ100" s="78">
        <v>0.42605136127062909</v>
      </c>
      <c r="AS100" s="81">
        <v>0.01</v>
      </c>
      <c r="AT100" s="75">
        <v>255555.55555555553</v>
      </c>
      <c r="AV100" s="75">
        <v>72655.409398493226</v>
      </c>
      <c r="AW100" s="82">
        <v>1.6631525768640808E-2</v>
      </c>
      <c r="AX100" s="82">
        <v>1.6631525768640808E-2</v>
      </c>
      <c r="AY100" s="82">
        <v>0.99575874084422633</v>
      </c>
      <c r="AZ100" s="119">
        <f>IF(AY100="","",PRODUCT($AY$5:AY100))</f>
        <v>0.66729930180074426</v>
      </c>
      <c r="BA100" s="120">
        <v>0.66729930180074426</v>
      </c>
      <c r="BB100" s="82">
        <v>0.33270069819925574</v>
      </c>
      <c r="BC100" s="82">
        <v>2.8422439666502264E-3</v>
      </c>
      <c r="BD100" s="82">
        <v>2.8422439666502264E-3</v>
      </c>
      <c r="BE100" s="75">
        <v>72656.514663273687</v>
      </c>
      <c r="BG100" s="75">
        <v>72655.37474392711</v>
      </c>
      <c r="BH100" s="82">
        <v>1.6631584016205979E-2</v>
      </c>
      <c r="BI100" s="82">
        <v>0.66729898351793548</v>
      </c>
      <c r="BJ100" s="82">
        <v>0.33270101648206452</v>
      </c>
      <c r="BK100" s="82">
        <v>2.8422525863605053E-3</v>
      </c>
      <c r="BL100" s="82">
        <v>2.8422525863605053E-3</v>
      </c>
      <c r="BM100" s="75">
        <v>72656.735009631564</v>
      </c>
      <c r="BO100" s="81">
        <v>0.01</v>
      </c>
      <c r="BP100" s="75">
        <v>72655.409398493226</v>
      </c>
      <c r="BR100" s="81">
        <v>0.01</v>
      </c>
      <c r="BS100" s="75">
        <v>72655.374743927096</v>
      </c>
      <c r="BU100" s="75">
        <v>0</v>
      </c>
    </row>
    <row r="101" spans="33:73" x14ac:dyDescent="0.2">
      <c r="AG101" s="75">
        <v>97</v>
      </c>
      <c r="AH101" s="76">
        <v>53955</v>
      </c>
      <c r="AI101" s="77">
        <v>53863</v>
      </c>
      <c r="AJ101" s="77">
        <v>53863</v>
      </c>
      <c r="AK101" s="77">
        <v>53955</v>
      </c>
      <c r="AL101" s="78">
        <v>0.25555555555555554</v>
      </c>
      <c r="AM101" s="77">
        <v>53955</v>
      </c>
      <c r="AN101" s="79">
        <v>24.322222222222223</v>
      </c>
      <c r="AO101" s="79">
        <v>24.577777777777779</v>
      </c>
      <c r="AP101" s="79">
        <v>0.25555555555555642</v>
      </c>
      <c r="AQ101" s="78">
        <v>0.42269533751838861</v>
      </c>
      <c r="AS101" s="81">
        <v>0.01</v>
      </c>
      <c r="AT101" s="75">
        <v>255555.55555555553</v>
      </c>
      <c r="AV101" s="75">
        <v>71777.376701962567</v>
      </c>
      <c r="AW101" s="82">
        <v>1.6631525768640808E-2</v>
      </c>
      <c r="AX101" s="82">
        <v>1.6631525768640808E-2</v>
      </c>
      <c r="AY101" s="82">
        <v>0.99575874084422633</v>
      </c>
      <c r="AZ101" s="119">
        <f>IF(AY101="","",PRODUCT($AY$5:AY101))</f>
        <v>0.66446911252734042</v>
      </c>
      <c r="BA101" s="120">
        <v>0.66446911252734042</v>
      </c>
      <c r="BB101" s="82">
        <v>0.33553088747265958</v>
      </c>
      <c r="BC101" s="82">
        <v>2.8301892734038381E-3</v>
      </c>
      <c r="BD101" s="82">
        <v>2.8301892734038381E-3</v>
      </c>
      <c r="BE101" s="75">
        <v>71778.468609741496</v>
      </c>
      <c r="BG101" s="75">
        <v>71777.341397752272</v>
      </c>
      <c r="BH101" s="82">
        <v>1.6631584016205979E-2</v>
      </c>
      <c r="BI101" s="82">
        <v>0.66446878570350876</v>
      </c>
      <c r="BJ101" s="82">
        <v>0.33553121429649124</v>
      </c>
      <c r="BK101" s="82">
        <v>2.830197814426727E-3</v>
      </c>
      <c r="BL101" s="82">
        <v>2.830197814426727E-3</v>
      </c>
      <c r="BM101" s="75">
        <v>71778.685224774672</v>
      </c>
      <c r="BO101" s="81">
        <v>0.01</v>
      </c>
      <c r="BP101" s="75">
        <v>71777.376701962567</v>
      </c>
      <c r="BR101" s="81">
        <v>0.01</v>
      </c>
      <c r="BS101" s="75">
        <v>71777.341397752272</v>
      </c>
      <c r="BU101" s="75">
        <v>0</v>
      </c>
    </row>
    <row r="102" spans="33:73" x14ac:dyDescent="0.2">
      <c r="AG102" s="75">
        <v>98</v>
      </c>
      <c r="AH102" s="76">
        <v>54046</v>
      </c>
      <c r="AI102" s="77">
        <v>53955</v>
      </c>
      <c r="AJ102" s="77">
        <v>53955</v>
      </c>
      <c r="AK102" s="77">
        <v>54046</v>
      </c>
      <c r="AL102" s="78">
        <v>0.25277777777777777</v>
      </c>
      <c r="AM102" s="77">
        <v>54046</v>
      </c>
      <c r="AN102" s="79">
        <v>24.577777777777779</v>
      </c>
      <c r="AO102" s="79">
        <v>24.830555555555556</v>
      </c>
      <c r="AP102" s="79">
        <v>0.25277777777777644</v>
      </c>
      <c r="AQ102" s="78">
        <v>0.41940179911080738</v>
      </c>
      <c r="AS102" s="81">
        <v>0.01</v>
      </c>
      <c r="AT102" s="75">
        <v>252777.77777777778</v>
      </c>
      <c r="AV102" s="75">
        <v>70148.464601086016</v>
      </c>
      <c r="AW102" s="82">
        <v>1.6631525768640808E-2</v>
      </c>
      <c r="AX102" s="82">
        <v>1.6631525768640808E-2</v>
      </c>
      <c r="AY102" s="82">
        <v>0.9958047446489805</v>
      </c>
      <c r="AZ102" s="119">
        <f>IF(AY102="","",PRODUCT($AY$5:AY102))</f>
        <v>0.6616814949274229</v>
      </c>
      <c r="BA102" s="120">
        <v>0.6616814949274229</v>
      </c>
      <c r="BB102" s="82">
        <v>0.3383185050725771</v>
      </c>
      <c r="BC102" s="82">
        <v>2.7876175999175246E-3</v>
      </c>
      <c r="BD102" s="82">
        <v>2.7876175999175246E-3</v>
      </c>
      <c r="BE102" s="75">
        <v>70147.910198301644</v>
      </c>
      <c r="BG102" s="75">
        <v>70148.429065223929</v>
      </c>
      <c r="BH102" s="82">
        <v>1.6631584016205979E-2</v>
      </c>
      <c r="BI102" s="82">
        <v>0.66168115973231234</v>
      </c>
      <c r="BJ102" s="82">
        <v>0.33831884026768766</v>
      </c>
      <c r="BK102" s="82">
        <v>2.7876259711964169E-3</v>
      </c>
      <c r="BL102" s="82">
        <v>2.7876259711964169E-3</v>
      </c>
      <c r="BM102" s="75">
        <v>70148.120854067325</v>
      </c>
      <c r="BO102" s="81">
        <v>0.01</v>
      </c>
      <c r="BP102" s="75">
        <v>70148.464601086016</v>
      </c>
      <c r="BR102" s="81">
        <v>0.01</v>
      </c>
      <c r="BS102" s="75">
        <v>70148.429065223929</v>
      </c>
      <c r="BU102" s="75">
        <v>0</v>
      </c>
    </row>
    <row r="103" spans="33:73" x14ac:dyDescent="0.2">
      <c r="AG103" s="75">
        <v>99</v>
      </c>
      <c r="AH103" s="76">
        <v>54137</v>
      </c>
      <c r="AI103" s="77">
        <v>54046</v>
      </c>
      <c r="AJ103" s="77">
        <v>54046</v>
      </c>
      <c r="AK103" s="77">
        <v>54137</v>
      </c>
      <c r="AL103" s="78">
        <v>0.25277777777777777</v>
      </c>
      <c r="AM103" s="77">
        <v>54137</v>
      </c>
      <c r="AN103" s="79">
        <v>24.830555555555556</v>
      </c>
      <c r="AO103" s="79">
        <v>25.083333333333332</v>
      </c>
      <c r="AP103" s="79">
        <v>0.25277777777777644</v>
      </c>
      <c r="AQ103" s="78">
        <v>0.41613392314678632</v>
      </c>
      <c r="AS103" s="81">
        <v>0.01</v>
      </c>
      <c r="AT103" s="75">
        <v>252777.77777777778</v>
      </c>
      <c r="AV103" s="75">
        <v>69309.887287862381</v>
      </c>
      <c r="AW103" s="82">
        <v>1.6631525768640808E-2</v>
      </c>
      <c r="AX103" s="82">
        <v>1.6631525768640808E-2</v>
      </c>
      <c r="AY103" s="82">
        <v>0.9958047446489805</v>
      </c>
      <c r="AZ103" s="119">
        <f>IF(AY103="","",PRODUCT($AY$5:AY103))</f>
        <v>0.6589055720951581</v>
      </c>
      <c r="BA103" s="120">
        <v>0.6589055720951581</v>
      </c>
      <c r="BB103" s="82">
        <v>0.3410944279048419</v>
      </c>
      <c r="BC103" s="82">
        <v>2.7759228322647989E-3</v>
      </c>
      <c r="BD103" s="82">
        <v>2.7759228322647989E-3</v>
      </c>
      <c r="BE103" s="75">
        <v>69309.339512585357</v>
      </c>
      <c r="BG103" s="75">
        <v>69309.851156310644</v>
      </c>
      <c r="BH103" s="82">
        <v>1.6631584016205979E-2</v>
      </c>
      <c r="BI103" s="82">
        <v>0.65890522860476008</v>
      </c>
      <c r="BJ103" s="82">
        <v>0.34109477139523992</v>
      </c>
      <c r="BK103" s="82">
        <v>2.7759311275522558E-3</v>
      </c>
      <c r="BL103" s="82">
        <v>2.7759311275522558E-3</v>
      </c>
      <c r="BM103" s="75">
        <v>69309.546629616132</v>
      </c>
      <c r="BO103" s="81">
        <v>0.01</v>
      </c>
      <c r="BP103" s="75">
        <v>69309.887287862381</v>
      </c>
      <c r="BR103" s="81">
        <v>0.01</v>
      </c>
      <c r="BS103" s="75">
        <v>69309.851156310644</v>
      </c>
      <c r="BU103" s="75">
        <v>0</v>
      </c>
    </row>
    <row r="104" spans="33:73" x14ac:dyDescent="0.2">
      <c r="AG104" s="75">
        <v>100</v>
      </c>
      <c r="AH104" s="76">
        <v>54229</v>
      </c>
      <c r="AI104" s="77">
        <v>54137</v>
      </c>
      <c r="AJ104" s="77">
        <v>54137</v>
      </c>
      <c r="AK104" s="77">
        <v>54231</v>
      </c>
      <c r="AL104" s="78">
        <v>0.26111111111111113</v>
      </c>
      <c r="AM104" s="77">
        <v>54231</v>
      </c>
      <c r="AN104" s="79">
        <v>25.083333333333332</v>
      </c>
      <c r="AO104" s="79">
        <v>25.344444444444445</v>
      </c>
      <c r="AP104" s="79">
        <v>0.26111111111111285</v>
      </c>
      <c r="AQ104" s="78">
        <v>0.41278504817337108</v>
      </c>
      <c r="AS104" s="81">
        <v>0.01</v>
      </c>
      <c r="AT104" s="75">
        <v>261111.11111111112</v>
      </c>
      <c r="AV104" s="75">
        <v>70710.920480249988</v>
      </c>
      <c r="AW104" s="82">
        <v>1.6631525768640808E-2</v>
      </c>
      <c r="AX104" s="82">
        <v>1.6631525768640808E-2</v>
      </c>
      <c r="AY104" s="82">
        <v>0.99566673961041807</v>
      </c>
      <c r="AZ104" s="119">
        <f>IF(AY104="","",PRODUCT($AY$5:AY104))</f>
        <v>0.65605036267912331</v>
      </c>
      <c r="BA104" s="120">
        <v>0.65605036267912331</v>
      </c>
      <c r="BB104" s="82">
        <v>0.34394963732087669</v>
      </c>
      <c r="BC104" s="82">
        <v>2.8552094160347874E-3</v>
      </c>
      <c r="BD104" s="82">
        <v>2.8552094160347874E-3</v>
      </c>
      <c r="BE104" s="75">
        <v>70715.265380578945</v>
      </c>
      <c r="BG104" s="75">
        <v>70710.882542885491</v>
      </c>
      <c r="BH104" s="82">
        <v>1.6631584016205979E-2</v>
      </c>
      <c r="BI104" s="82">
        <v>0.65605001069923718</v>
      </c>
      <c r="BJ104" s="82">
        <v>0.34394998930076282</v>
      </c>
      <c r="BK104" s="82">
        <v>2.8552179055228999E-3</v>
      </c>
      <c r="BL104" s="82">
        <v>2.8552179055228999E-3</v>
      </c>
      <c r="BM104" s="75">
        <v>70715.47564060452</v>
      </c>
      <c r="BO104" s="81">
        <v>0.01</v>
      </c>
      <c r="BP104" s="75">
        <v>70710.920480249988</v>
      </c>
      <c r="BR104" s="81">
        <v>0.01</v>
      </c>
      <c r="BS104" s="75">
        <v>70710.882542885491</v>
      </c>
      <c r="BU104" s="75">
        <v>0</v>
      </c>
    </row>
    <row r="105" spans="33:73" x14ac:dyDescent="0.2">
      <c r="AG105" s="75">
        <v>101</v>
      </c>
      <c r="AH105" s="76">
        <v>54321</v>
      </c>
      <c r="AI105" s="77">
        <v>54231</v>
      </c>
      <c r="AJ105" s="77">
        <v>54231</v>
      </c>
      <c r="AK105" s="77">
        <v>54322</v>
      </c>
      <c r="AL105" s="78">
        <v>0.25277777777777777</v>
      </c>
      <c r="AM105" s="77">
        <v>54322</v>
      </c>
      <c r="AN105" s="79">
        <v>25.344444444444445</v>
      </c>
      <c r="AO105" s="79">
        <v>25.597222222222221</v>
      </c>
      <c r="AP105" s="79">
        <v>0.25277777777777644</v>
      </c>
      <c r="AQ105" s="78">
        <v>0.40956872830995383</v>
      </c>
      <c r="AS105" s="81">
        <v>0.01</v>
      </c>
      <c r="AT105" s="75">
        <v>252777.77777777778</v>
      </c>
      <c r="AV105" s="75">
        <v>67635.865578228506</v>
      </c>
      <c r="AW105" s="82">
        <v>1.6631525768640808E-2</v>
      </c>
      <c r="AX105" s="82">
        <v>1.6631525768640808E-2</v>
      </c>
      <c r="AY105" s="82">
        <v>0.9958047446489805</v>
      </c>
      <c r="AZ105" s="119">
        <f>IF(AY105="","",PRODUCT($AY$5:AY105))</f>
        <v>0.65329806388455547</v>
      </c>
      <c r="BA105" s="120">
        <v>0.65329806388455547</v>
      </c>
      <c r="BB105" s="82">
        <v>0.34670193611544453</v>
      </c>
      <c r="BC105" s="82">
        <v>2.7522987945678423E-3</v>
      </c>
      <c r="BD105" s="82">
        <v>2.7522987945678423E-3</v>
      </c>
      <c r="BE105" s="75">
        <v>67635.331033210197</v>
      </c>
      <c r="BG105" s="75">
        <v>67635.828294823543</v>
      </c>
      <c r="BH105" s="82">
        <v>1.6631584016205979E-2</v>
      </c>
      <c r="BI105" s="82">
        <v>0.65329770376236185</v>
      </c>
      <c r="BJ105" s="82">
        <v>0.34670229623763815</v>
      </c>
      <c r="BK105" s="82">
        <v>2.7523069368753372E-3</v>
      </c>
      <c r="BL105" s="82">
        <v>2.7523069368753372E-3</v>
      </c>
      <c r="BM105" s="75">
        <v>67635.531123281777</v>
      </c>
      <c r="BO105" s="81">
        <v>0.01</v>
      </c>
      <c r="BP105" s="75">
        <v>67635.865578228506</v>
      </c>
      <c r="BR105" s="81">
        <v>0.01</v>
      </c>
      <c r="BS105" s="75">
        <v>67635.828294823543</v>
      </c>
      <c r="BU105" s="75">
        <v>0</v>
      </c>
    </row>
    <row r="106" spans="33:73" x14ac:dyDescent="0.2">
      <c r="AG106" s="75">
        <v>102</v>
      </c>
      <c r="AH106" s="76">
        <v>54412</v>
      </c>
      <c r="AI106" s="77">
        <v>54322</v>
      </c>
      <c r="AJ106" s="77">
        <v>54322</v>
      </c>
      <c r="AK106" s="77">
        <v>54413</v>
      </c>
      <c r="AL106" s="78">
        <v>0.25277777777777777</v>
      </c>
      <c r="AM106" s="77">
        <v>54413</v>
      </c>
      <c r="AN106" s="79">
        <v>25.597222222222221</v>
      </c>
      <c r="AO106" s="79">
        <v>25.85</v>
      </c>
      <c r="AP106" s="79">
        <v>0.25277777777777999</v>
      </c>
      <c r="AQ106" s="78">
        <v>0.40637746922213774</v>
      </c>
      <c r="AS106" s="81">
        <v>0.01</v>
      </c>
      <c r="AT106" s="75">
        <v>252777.77777777778</v>
      </c>
      <c r="AV106" s="75">
        <v>66827.324682049453</v>
      </c>
      <c r="AW106" s="82">
        <v>1.6631525768640808E-2</v>
      </c>
      <c r="AX106" s="82">
        <v>1.6631525768640808E-2</v>
      </c>
      <c r="AY106" s="82">
        <v>0.99580474464898039</v>
      </c>
      <c r="AZ106" s="119">
        <f>IF(AY106="","",PRODUCT($AY$5:AY106))</f>
        <v>0.65055731168623299</v>
      </c>
      <c r="BA106" s="120">
        <v>0.65055731168623299</v>
      </c>
      <c r="BB106" s="82">
        <v>0.34944268831376701</v>
      </c>
      <c r="BC106" s="82">
        <v>2.7407521983224825E-3</v>
      </c>
      <c r="BD106" s="82">
        <v>2.7407521983224825E-3</v>
      </c>
      <c r="BE106" s="75">
        <v>66826.796527158062</v>
      </c>
      <c r="BG106" s="75">
        <v>66827.286860398046</v>
      </c>
      <c r="BH106" s="82">
        <v>1.6631584016205979E-2</v>
      </c>
      <c r="BI106" s="82">
        <v>0.65055694349624515</v>
      </c>
      <c r="BJ106" s="82">
        <v>0.34944305650375485</v>
      </c>
      <c r="BK106" s="82">
        <v>2.740760266116693E-3</v>
      </c>
      <c r="BL106" s="82">
        <v>2.740760266116693E-3</v>
      </c>
      <c r="BM106" s="75">
        <v>66826.99324134567</v>
      </c>
      <c r="BO106" s="81">
        <v>0.01</v>
      </c>
      <c r="BP106" s="75">
        <v>66827.324682049453</v>
      </c>
      <c r="BR106" s="81">
        <v>0.01</v>
      </c>
      <c r="BS106" s="75">
        <v>66827.286860398046</v>
      </c>
      <c r="BU106" s="75">
        <v>0</v>
      </c>
    </row>
    <row r="107" spans="33:73" x14ac:dyDescent="0.2">
      <c r="AG107" s="75">
        <v>103</v>
      </c>
      <c r="AH107" s="76">
        <v>54502</v>
      </c>
      <c r="AI107" s="77">
        <v>54413</v>
      </c>
      <c r="AJ107" s="77">
        <v>54413</v>
      </c>
      <c r="AK107" s="77">
        <v>54504</v>
      </c>
      <c r="AL107" s="78">
        <v>0.25277777777777777</v>
      </c>
      <c r="AM107" s="77">
        <v>54504</v>
      </c>
      <c r="AN107" s="79">
        <v>25.85</v>
      </c>
      <c r="AO107" s="79">
        <v>26.102777777777778</v>
      </c>
      <c r="AP107" s="79">
        <v>0.25277777777777644</v>
      </c>
      <c r="AQ107" s="78">
        <v>0.40321107564250541</v>
      </c>
      <c r="AS107" s="81">
        <v>0.01</v>
      </c>
      <c r="AT107" s="75">
        <v>252777.77777777778</v>
      </c>
      <c r="AV107" s="75">
        <v>66028.449343858112</v>
      </c>
      <c r="AW107" s="82">
        <v>1.6631525768640808E-2</v>
      </c>
      <c r="AX107" s="82">
        <v>1.6631525768640808E-2</v>
      </c>
      <c r="AY107" s="82">
        <v>0.9958047446489805</v>
      </c>
      <c r="AZ107" s="119">
        <f>IF(AY107="","",PRODUCT($AY$5:AY107))</f>
        <v>0.64782805764323648</v>
      </c>
      <c r="BA107" s="120">
        <v>0.64782805764323648</v>
      </c>
      <c r="BB107" s="82">
        <v>0.35217194235676352</v>
      </c>
      <c r="BC107" s="82">
        <v>2.7292540429965095E-3</v>
      </c>
      <c r="BD107" s="82">
        <v>2.7292540429965095E-3</v>
      </c>
      <c r="BE107" s="75">
        <v>66027.927502696766</v>
      </c>
      <c r="BG107" s="75">
        <v>66028.411002157009</v>
      </c>
      <c r="BH107" s="82">
        <v>1.6631584016205979E-2</v>
      </c>
      <c r="BI107" s="82">
        <v>0.64782768145948544</v>
      </c>
      <c r="BJ107" s="82">
        <v>0.35217231854051456</v>
      </c>
      <c r="BK107" s="82">
        <v>2.7292620367597165E-3</v>
      </c>
      <c r="BL107" s="82">
        <v>2.7292620367597165E-3</v>
      </c>
      <c r="BM107" s="75">
        <v>66028.12089312842</v>
      </c>
      <c r="BO107" s="81">
        <v>0.01</v>
      </c>
      <c r="BP107" s="75">
        <v>66028.449343858112</v>
      </c>
      <c r="BR107" s="81">
        <v>0.01</v>
      </c>
      <c r="BS107" s="75">
        <v>66028.411002157009</v>
      </c>
      <c r="BU107" s="75">
        <v>0</v>
      </c>
    </row>
    <row r="108" spans="33:73" x14ac:dyDescent="0.2">
      <c r="AG108" s="75">
        <v>104</v>
      </c>
      <c r="AH108" s="76">
        <v>54594</v>
      </c>
      <c r="AI108" s="77">
        <v>54504</v>
      </c>
      <c r="AJ108" s="77">
        <v>54504</v>
      </c>
      <c r="AK108" s="77">
        <v>54595</v>
      </c>
      <c r="AL108" s="78">
        <v>0.25277777777777777</v>
      </c>
      <c r="AM108" s="77">
        <v>54595</v>
      </c>
      <c r="AN108" s="79">
        <v>26.102777777777778</v>
      </c>
      <c r="AO108" s="79">
        <v>26.355555555555554</v>
      </c>
      <c r="AP108" s="79">
        <v>0.25277777777777644</v>
      </c>
      <c r="AQ108" s="78">
        <v>0.40036907871512406</v>
      </c>
      <c r="AS108" s="81">
        <v>0.01</v>
      </c>
      <c r="AT108" s="75">
        <v>252777.77777777778</v>
      </c>
      <c r="AV108" s="75">
        <v>65288.000017297883</v>
      </c>
      <c r="AW108" s="82">
        <v>1.6631525768640808E-2</v>
      </c>
      <c r="AX108" s="82">
        <v>1.6631525768640808E-2</v>
      </c>
      <c r="AY108" s="82">
        <v>0.9958047446489805</v>
      </c>
      <c r="AZ108" s="119">
        <f>IF(AY108="","",PRODUCT($AY$5:AY108))</f>
        <v>0.6451102535178681</v>
      </c>
      <c r="BA108" s="120">
        <v>0.6451102535178681</v>
      </c>
      <c r="BB108" s="82">
        <v>0.3548897464821319</v>
      </c>
      <c r="BC108" s="82">
        <v>2.7178041253683727E-3</v>
      </c>
      <c r="BD108" s="82">
        <v>2.7178041253683727E-3</v>
      </c>
      <c r="BE108" s="75">
        <v>65287.484028113933</v>
      </c>
      <c r="BG108" s="75">
        <v>65287.961144284563</v>
      </c>
      <c r="BH108" s="82">
        <v>1.6631584016205979E-2</v>
      </c>
      <c r="BI108" s="82">
        <v>0.64510986941390613</v>
      </c>
      <c r="BJ108" s="82">
        <v>0.35489013058609387</v>
      </c>
      <c r="BK108" s="82">
        <v>2.7178120455793042E-3</v>
      </c>
      <c r="BL108" s="82">
        <v>2.7178120455793042E-3</v>
      </c>
      <c r="BM108" s="75">
        <v>65287.674288567163</v>
      </c>
      <c r="BO108" s="81">
        <v>0.01</v>
      </c>
      <c r="BP108" s="75">
        <v>65288.000017297869</v>
      </c>
      <c r="BR108" s="81">
        <v>0.01</v>
      </c>
      <c r="BS108" s="75">
        <v>65287.961144284556</v>
      </c>
      <c r="BU108" s="75">
        <v>0</v>
      </c>
    </row>
    <row r="109" spans="33:73" x14ac:dyDescent="0.2">
      <c r="AG109" s="75">
        <v>105</v>
      </c>
      <c r="AH109" s="76">
        <v>54686</v>
      </c>
      <c r="AI109" s="77">
        <v>54595</v>
      </c>
      <c r="AJ109" s="77">
        <v>54595</v>
      </c>
      <c r="AK109" s="77">
        <v>54686</v>
      </c>
      <c r="AL109" s="78">
        <v>0.25277777777777777</v>
      </c>
      <c r="AM109" s="77">
        <v>54686</v>
      </c>
      <c r="AN109" s="79">
        <v>26.355555555555554</v>
      </c>
      <c r="AO109" s="79">
        <v>26.608333333333334</v>
      </c>
      <c r="AP109" s="79">
        <v>0.25277777777777999</v>
      </c>
      <c r="AQ109" s="78">
        <v>0.39758805247191897</v>
      </c>
      <c r="AS109" s="81">
        <v>0.01</v>
      </c>
      <c r="AT109" s="75">
        <v>252777.77777777778</v>
      </c>
      <c r="AV109" s="75">
        <v>64562.50207700421</v>
      </c>
      <c r="AW109" s="82">
        <v>1.6631525768640808E-2</v>
      </c>
      <c r="AX109" s="82">
        <v>1.6631525768640808E-2</v>
      </c>
      <c r="AY109" s="82">
        <v>0.99580474464898039</v>
      </c>
      <c r="AZ109" s="119">
        <f>IF(AY109="","",PRODUCT($AY$5:AY109))</f>
        <v>0.6424038512747996</v>
      </c>
      <c r="BA109" s="120">
        <v>0.6424038512747996</v>
      </c>
      <c r="BB109" s="82">
        <v>0.3575961487252004</v>
      </c>
      <c r="BC109" s="82">
        <v>2.7064022430685064E-3</v>
      </c>
      <c r="BD109" s="82">
        <v>2.7064022430685064E-3</v>
      </c>
      <c r="BE109" s="75">
        <v>64561.99182163443</v>
      </c>
      <c r="BG109" s="75">
        <v>64562.462685360661</v>
      </c>
      <c r="BH109" s="82">
        <v>1.6631584016205979E-2</v>
      </c>
      <c r="BI109" s="82">
        <v>0.64240345932370246</v>
      </c>
      <c r="BJ109" s="82">
        <v>0.35759654067629754</v>
      </c>
      <c r="BK109" s="82">
        <v>2.7064100902036703E-3</v>
      </c>
      <c r="BL109" s="82">
        <v>2.7064100902036703E-3</v>
      </c>
      <c r="BM109" s="75">
        <v>64562.179017265669</v>
      </c>
      <c r="BO109" s="81">
        <v>0.01</v>
      </c>
      <c r="BP109" s="75">
        <v>64562.502077004203</v>
      </c>
      <c r="BR109" s="81">
        <v>0.01</v>
      </c>
      <c r="BS109" s="75">
        <v>64562.462685360653</v>
      </c>
      <c r="BU109" s="75">
        <v>0</v>
      </c>
    </row>
    <row r="110" spans="33:73" x14ac:dyDescent="0.2">
      <c r="AG110" s="75">
        <v>106</v>
      </c>
      <c r="AH110" s="76">
        <v>54777</v>
      </c>
      <c r="AI110" s="77">
        <v>54686</v>
      </c>
      <c r="AJ110" s="77">
        <v>54686</v>
      </c>
      <c r="AK110" s="77">
        <v>54777</v>
      </c>
      <c r="AL110" s="78">
        <v>0.25277777777777777</v>
      </c>
      <c r="AM110" s="77">
        <v>54777</v>
      </c>
      <c r="AN110" s="79">
        <v>26.608333333333334</v>
      </c>
      <c r="AO110" s="79">
        <v>26.861111111111111</v>
      </c>
      <c r="AP110" s="79">
        <v>0.25277777777777644</v>
      </c>
      <c r="AQ110" s="78">
        <v>0.39482634367198449</v>
      </c>
      <c r="AS110" s="81">
        <v>0.01</v>
      </c>
      <c r="AT110" s="75">
        <v>252777.77777777778</v>
      </c>
      <c r="AV110" s="75">
        <v>63845.066066333617</v>
      </c>
      <c r="AW110" s="82">
        <v>1.6631525768640808E-2</v>
      </c>
      <c r="AX110" s="82">
        <v>1.6631525768640808E-2</v>
      </c>
      <c r="AY110" s="82">
        <v>0.9958047446489805</v>
      </c>
      <c r="AZ110" s="119">
        <f>IF(AY110="","",PRODUCT($AY$5:AY110))</f>
        <v>0.63970880308022349</v>
      </c>
      <c r="BA110" s="120">
        <v>0.63970880308022349</v>
      </c>
      <c r="BB110" s="82">
        <v>0.36029119691977651</v>
      </c>
      <c r="BC110" s="82">
        <v>2.6950481945761107E-3</v>
      </c>
      <c r="BD110" s="82">
        <v>2.6950481945761107E-3</v>
      </c>
      <c r="BE110" s="75">
        <v>63844.561481056124</v>
      </c>
      <c r="BG110" s="75">
        <v>63845.026172386293</v>
      </c>
      <c r="BH110" s="82">
        <v>1.6631584016205979E-2</v>
      </c>
      <c r="BI110" s="82">
        <v>0.63970840335459289</v>
      </c>
      <c r="BJ110" s="82">
        <v>0.36029159664540711</v>
      </c>
      <c r="BK110" s="82">
        <v>2.6950559691095721E-3</v>
      </c>
      <c r="BL110" s="82">
        <v>2.6950559691095721E-3</v>
      </c>
      <c r="BM110" s="75">
        <v>63844.745656493338</v>
      </c>
      <c r="BO110" s="81">
        <v>0.01</v>
      </c>
      <c r="BP110" s="75">
        <v>63845.066066333617</v>
      </c>
      <c r="BR110" s="81">
        <v>0.01</v>
      </c>
      <c r="BS110" s="75">
        <v>63845.026172386293</v>
      </c>
      <c r="BU110" s="75">
        <v>0</v>
      </c>
    </row>
    <row r="111" spans="33:73" x14ac:dyDescent="0.2">
      <c r="AG111" s="75">
        <v>107</v>
      </c>
      <c r="AH111" s="76">
        <v>54867</v>
      </c>
      <c r="AI111" s="77">
        <v>54777</v>
      </c>
      <c r="AJ111" s="77">
        <v>54777</v>
      </c>
      <c r="AK111" s="77">
        <v>54868</v>
      </c>
      <c r="AL111" s="78">
        <v>0.25277777777777777</v>
      </c>
      <c r="AM111" s="77">
        <v>54868</v>
      </c>
      <c r="AN111" s="79">
        <v>26.861111111111111</v>
      </c>
      <c r="AO111" s="79">
        <v>27.113888888888887</v>
      </c>
      <c r="AP111" s="79">
        <v>0.25277777777777644</v>
      </c>
      <c r="AQ111" s="78">
        <v>0.3920838181333382</v>
      </c>
      <c r="AS111" s="81">
        <v>0.01</v>
      </c>
      <c r="AT111" s="75">
        <v>252777.77777777778</v>
      </c>
      <c r="AV111" s="75">
        <v>63135.602398940435</v>
      </c>
      <c r="AW111" s="82">
        <v>1.6631525768640808E-2</v>
      </c>
      <c r="AX111" s="82">
        <v>1.6631525768640808E-2</v>
      </c>
      <c r="AY111" s="82">
        <v>0.9958047446489805</v>
      </c>
      <c r="AZ111" s="119">
        <f>IF(AY111="","",PRODUCT($AY$5:AY111))</f>
        <v>0.63702506130100689</v>
      </c>
      <c r="BA111" s="120">
        <v>0.63702506130100689</v>
      </c>
      <c r="BB111" s="82">
        <v>0.36297493869899311</v>
      </c>
      <c r="BC111" s="82">
        <v>2.6837417792165974E-3</v>
      </c>
      <c r="BD111" s="82">
        <v>2.6837417792165974E-3</v>
      </c>
      <c r="BE111" s="75">
        <v>63135.103420752108</v>
      </c>
      <c r="BG111" s="75">
        <v>63135.562018716999</v>
      </c>
      <c r="BH111" s="82">
        <v>1.6631584016205979E-2</v>
      </c>
      <c r="BI111" s="82">
        <v>0.63702465387297369</v>
      </c>
      <c r="BJ111" s="82">
        <v>0.36297534612702631</v>
      </c>
      <c r="BK111" s="82">
        <v>2.683749481619202E-3</v>
      </c>
      <c r="BL111" s="82">
        <v>2.683749481619202E-3</v>
      </c>
      <c r="BM111" s="75">
        <v>63135.28461999743</v>
      </c>
      <c r="BO111" s="81">
        <v>0.01</v>
      </c>
      <c r="BP111" s="75">
        <v>63135.602398940435</v>
      </c>
      <c r="BR111" s="81">
        <v>0.01</v>
      </c>
      <c r="BS111" s="75">
        <v>63135.562018716999</v>
      </c>
      <c r="BU111" s="75">
        <v>0</v>
      </c>
    </row>
    <row r="112" spans="33:73" x14ac:dyDescent="0.2">
      <c r="AG112" s="75">
        <v>108</v>
      </c>
      <c r="AH112" s="76">
        <v>54959</v>
      </c>
      <c r="AI112" s="77">
        <v>54868</v>
      </c>
      <c r="AJ112" s="77">
        <v>54868</v>
      </c>
      <c r="AK112" s="77">
        <v>54960</v>
      </c>
      <c r="AL112" s="78">
        <v>0.25555555555555554</v>
      </c>
      <c r="AM112" s="77">
        <v>54960</v>
      </c>
      <c r="AN112" s="79">
        <v>27.113888888888887</v>
      </c>
      <c r="AO112" s="79">
        <v>27.369444444444444</v>
      </c>
      <c r="AP112" s="79">
        <v>0.25555555555555642</v>
      </c>
      <c r="AQ112" s="78">
        <v>0.38933051963059306</v>
      </c>
      <c r="AS112" s="81">
        <v>0.01</v>
      </c>
      <c r="AT112" s="75">
        <v>255555.55555555553</v>
      </c>
      <c r="AV112" s="75">
        <v>63112.360195989291</v>
      </c>
      <c r="AW112" s="82">
        <v>1.6631525768640808E-2</v>
      </c>
      <c r="AX112" s="82">
        <v>1.6631525768640808E-2</v>
      </c>
      <c r="AY112" s="82">
        <v>0.99575874084422633</v>
      </c>
      <c r="AZ112" s="119">
        <f>IF(AY112="","",PRODUCT($AY$5:AY112))</f>
        <v>0.63432327292730672</v>
      </c>
      <c r="BA112" s="120">
        <v>0.63432327292730672</v>
      </c>
      <c r="BB112" s="82">
        <v>0.36567672707269328</v>
      </c>
      <c r="BC112" s="82">
        <v>2.7017883737001647E-3</v>
      </c>
      <c r="BD112" s="82">
        <v>2.7017883737001647E-3</v>
      </c>
      <c r="BE112" s="75">
        <v>63113.320287874805</v>
      </c>
      <c r="BG112" s="75">
        <v>63112.31889117336</v>
      </c>
      <c r="BH112" s="82">
        <v>1.6631584016205979E-2</v>
      </c>
      <c r="BI112" s="82">
        <v>0.63432285778507547</v>
      </c>
      <c r="BJ112" s="82">
        <v>0.36567714221492453</v>
      </c>
      <c r="BK112" s="82">
        <v>2.7017960878982228E-3</v>
      </c>
      <c r="BL112" s="82">
        <v>2.7017960878982228E-3</v>
      </c>
      <c r="BM112" s="75">
        <v>63113.500490239108</v>
      </c>
      <c r="BO112" s="81">
        <v>0.01</v>
      </c>
      <c r="BP112" s="75">
        <v>63112.360195989291</v>
      </c>
      <c r="BR112" s="81">
        <v>0.01</v>
      </c>
      <c r="BS112" s="75">
        <v>63112.31889117336</v>
      </c>
      <c r="BU112" s="75">
        <v>0</v>
      </c>
    </row>
    <row r="113" spans="33:73" x14ac:dyDescent="0.2">
      <c r="AG113" s="75">
        <v>109</v>
      </c>
      <c r="AH113" s="76">
        <v>55051</v>
      </c>
      <c r="AI113" s="77">
        <v>54960</v>
      </c>
      <c r="AJ113" s="77">
        <v>54960</v>
      </c>
      <c r="AK113" s="77">
        <v>55051</v>
      </c>
      <c r="AL113" s="78">
        <v>0.25277777777777777</v>
      </c>
      <c r="AM113" s="77">
        <v>55051</v>
      </c>
      <c r="AN113" s="79">
        <v>27.369444444444444</v>
      </c>
      <c r="AO113" s="79">
        <v>27.622222222222224</v>
      </c>
      <c r="AP113" s="79">
        <v>0.25277777777777999</v>
      </c>
      <c r="AQ113" s="78">
        <v>0.38662616894535007</v>
      </c>
      <c r="AS113" s="81">
        <v>0.01</v>
      </c>
      <c r="AT113" s="75">
        <v>252777.77777777778</v>
      </c>
      <c r="AV113" s="75">
        <v>61732.657700834941</v>
      </c>
      <c r="AW113" s="82">
        <v>1.6631525768640808E-2</v>
      </c>
      <c r="AX113" s="82">
        <v>1.6631525768640808E-2</v>
      </c>
      <c r="AY113" s="82">
        <v>0.99580474464898039</v>
      </c>
      <c r="AZ113" s="119">
        <f>IF(AY113="","",PRODUCT($AY$5:AY113))</f>
        <v>0.63166212482228212</v>
      </c>
      <c r="BA113" s="120">
        <v>0.63166212482228212</v>
      </c>
      <c r="BB113" s="82">
        <v>0.36833787517771788</v>
      </c>
      <c r="BC113" s="82">
        <v>2.6611481050246022E-3</v>
      </c>
      <c r="BD113" s="82">
        <v>2.6611481050246022E-3</v>
      </c>
      <c r="BE113" s="75">
        <v>61732.169810510401</v>
      </c>
      <c r="BG113" s="75">
        <v>61732.616390053765</v>
      </c>
      <c r="BH113" s="82">
        <v>1.6631584016205979E-2</v>
      </c>
      <c r="BI113" s="82">
        <v>0.63166170212128736</v>
      </c>
      <c r="BJ113" s="82">
        <v>0.36833829787871264</v>
      </c>
      <c r="BK113" s="82">
        <v>2.6611556637881062E-3</v>
      </c>
      <c r="BL113" s="82">
        <v>2.6611556637881062E-3</v>
      </c>
      <c r="BM113" s="75">
        <v>61732.345155456933</v>
      </c>
      <c r="BO113" s="81">
        <v>0.01</v>
      </c>
      <c r="BP113" s="75">
        <v>61732.657700834941</v>
      </c>
      <c r="BR113" s="81">
        <v>0.01</v>
      </c>
      <c r="BS113" s="75">
        <v>61732.616390053765</v>
      </c>
      <c r="BU113" s="75">
        <v>0</v>
      </c>
    </row>
    <row r="114" spans="33:73" x14ac:dyDescent="0.2">
      <c r="AG114" s="75">
        <v>110</v>
      </c>
      <c r="AH114" s="76">
        <v>55142</v>
      </c>
      <c r="AI114" s="77">
        <v>55051</v>
      </c>
      <c r="AJ114" s="77">
        <v>55051</v>
      </c>
      <c r="AK114" s="77">
        <v>55142</v>
      </c>
      <c r="AL114" s="78">
        <v>0.25277777777777777</v>
      </c>
      <c r="AM114" s="77">
        <v>55142</v>
      </c>
      <c r="AN114" s="79">
        <v>27.622222222222224</v>
      </c>
      <c r="AO114" s="79">
        <v>27.875</v>
      </c>
      <c r="AP114" s="79">
        <v>0.25277777777777644</v>
      </c>
      <c r="AQ114" s="78">
        <v>0.38394060310295913</v>
      </c>
      <c r="AS114" s="81">
        <v>0.01</v>
      </c>
      <c r="AT114" s="75">
        <v>252777.77777777778</v>
      </c>
      <c r="AV114" s="75">
        <v>61046.667687372392</v>
      </c>
      <c r="AW114" s="82">
        <v>1.6631525768640808E-2</v>
      </c>
      <c r="AX114" s="82">
        <v>1.6631525768640808E-2</v>
      </c>
      <c r="AY114" s="82">
        <v>0.9958047446489805</v>
      </c>
      <c r="AZ114" s="119">
        <f>IF(AY114="","",PRODUCT($AY$5:AY114))</f>
        <v>0.6290121409130851</v>
      </c>
      <c r="BA114" s="120">
        <v>0.6290121409130851</v>
      </c>
      <c r="BB114" s="82">
        <v>0.3709878590869149</v>
      </c>
      <c r="BC114" s="82">
        <v>2.6499839091970179E-3</v>
      </c>
      <c r="BD114" s="82">
        <v>2.6499839091970179E-3</v>
      </c>
      <c r="BE114" s="75">
        <v>61046.185218614417</v>
      </c>
      <c r="BG114" s="75">
        <v>61046.625936816192</v>
      </c>
      <c r="BH114" s="82">
        <v>1.6631584016205979E-2</v>
      </c>
      <c r="BI114" s="82">
        <v>0.62901171072405537</v>
      </c>
      <c r="BJ114" s="82">
        <v>0.37098828927594463</v>
      </c>
      <c r="BK114" s="82">
        <v>2.6499913972319877E-3</v>
      </c>
      <c r="BL114" s="82">
        <v>2.6499913972319877E-3</v>
      </c>
      <c r="BM114" s="75">
        <v>61046.357716254162</v>
      </c>
      <c r="BO114" s="81">
        <v>0.01</v>
      </c>
      <c r="BP114" s="75">
        <v>61046.667687372385</v>
      </c>
      <c r="BR114" s="81">
        <v>0.01</v>
      </c>
      <c r="BS114" s="75">
        <v>61046.625936816185</v>
      </c>
      <c r="BU114" s="75">
        <v>0</v>
      </c>
    </row>
    <row r="115" spans="33:73" x14ac:dyDescent="0.2">
      <c r="AG115" s="75">
        <v>111</v>
      </c>
      <c r="AH115" s="76">
        <v>55232</v>
      </c>
      <c r="AI115" s="77">
        <v>55142</v>
      </c>
      <c r="AJ115" s="77">
        <v>55142</v>
      </c>
      <c r="AK115" s="77">
        <v>55232</v>
      </c>
      <c r="AL115" s="78">
        <v>0.25</v>
      </c>
      <c r="AM115" s="77">
        <v>55232</v>
      </c>
      <c r="AN115" s="79">
        <v>27.875</v>
      </c>
      <c r="AO115" s="79">
        <v>28.125</v>
      </c>
      <c r="AP115" s="79">
        <v>0.25</v>
      </c>
      <c r="AQ115" s="78">
        <v>0.3813028974380599</v>
      </c>
      <c r="AS115" s="81">
        <v>0.01</v>
      </c>
      <c r="AT115" s="75">
        <v>250000</v>
      </c>
      <c r="AV115" s="75">
        <v>59712.244661422592</v>
      </c>
      <c r="AW115" s="82">
        <v>1.6631525768640808E-2</v>
      </c>
      <c r="AX115" s="82">
        <v>1.6631525768640808E-2</v>
      </c>
      <c r="AY115" s="82">
        <v>0.99585075057909889</v>
      </c>
      <c r="AZ115" s="119">
        <f>IF(AY115="","",PRODUCT($AY$5:AY115))</f>
        <v>0.62640221265166174</v>
      </c>
      <c r="BA115" s="120">
        <v>0.62640221265166174</v>
      </c>
      <c r="BB115" s="82">
        <v>0.37359778734833826</v>
      </c>
      <c r="BC115" s="82">
        <v>2.6099282614233665E-3</v>
      </c>
      <c r="BD115" s="82">
        <v>2.6099282614233665E-3</v>
      </c>
      <c r="BE115" s="75">
        <v>59710.392491172475</v>
      </c>
      <c r="BG115" s="75">
        <v>59712.202953971857</v>
      </c>
      <c r="BH115" s="82">
        <v>1.6631584016205979E-2</v>
      </c>
      <c r="BI115" s="82">
        <v>0.62640177512599893</v>
      </c>
      <c r="BJ115" s="82">
        <v>0.37359822487400107</v>
      </c>
      <c r="BK115" s="82">
        <v>2.6099355980564454E-3</v>
      </c>
      <c r="BL115" s="82">
        <v>2.6099355980564454E-3</v>
      </c>
      <c r="BM115" s="75">
        <v>59710.560339939497</v>
      </c>
      <c r="BO115" s="81">
        <v>0.01</v>
      </c>
      <c r="BP115" s="75">
        <v>59712.244661422592</v>
      </c>
      <c r="BR115" s="81">
        <v>0.01</v>
      </c>
      <c r="BS115" s="75">
        <v>59712.202953971857</v>
      </c>
      <c r="BU115" s="75">
        <v>0</v>
      </c>
    </row>
    <row r="116" spans="33:73" x14ac:dyDescent="0.2">
      <c r="AG116" s="75">
        <v>112</v>
      </c>
      <c r="AH116" s="76">
        <v>55324</v>
      </c>
      <c r="AI116" s="77">
        <v>55232</v>
      </c>
      <c r="AJ116" s="77">
        <v>55232</v>
      </c>
      <c r="AK116" s="77">
        <v>55324</v>
      </c>
      <c r="AL116" s="78">
        <v>0.25555555555555554</v>
      </c>
      <c r="AM116" s="77">
        <v>55324</v>
      </c>
      <c r="AN116" s="79">
        <v>28.125</v>
      </c>
      <c r="AO116" s="79">
        <v>28.380555555555556</v>
      </c>
      <c r="AP116" s="79">
        <v>0.25555555555555642</v>
      </c>
      <c r="AQ116" s="78">
        <v>0.37862530492325847</v>
      </c>
      <c r="AS116" s="81">
        <v>0.01</v>
      </c>
      <c r="AT116" s="75">
        <v>255555.55555555553</v>
      </c>
      <c r="AV116" s="75">
        <v>60353.487845390882</v>
      </c>
      <c r="AW116" s="82">
        <v>1.6631525768640808E-2</v>
      </c>
      <c r="AX116" s="82">
        <v>1.6631525768640808E-2</v>
      </c>
      <c r="AY116" s="82">
        <v>0.99575874084422633</v>
      </c>
      <c r="AZ116" s="119">
        <f>IF(AY116="","",PRODUCT($AY$5:AY116))</f>
        <v>0.62374547853205597</v>
      </c>
      <c r="BA116" s="120">
        <v>0.62374547853205597</v>
      </c>
      <c r="BB116" s="82">
        <v>0.37625452146794403</v>
      </c>
      <c r="BC116" s="82">
        <v>2.6567341196057637E-3</v>
      </c>
      <c r="BD116" s="82">
        <v>2.6567341196057637E-3</v>
      </c>
      <c r="BE116" s="75">
        <v>60354.405968145409</v>
      </c>
      <c r="BG116" s="75">
        <v>60353.444791657916</v>
      </c>
      <c r="BH116" s="82">
        <v>1.6631584016205979E-2</v>
      </c>
      <c r="BI116" s="82">
        <v>0.62374503357730304</v>
      </c>
      <c r="BJ116" s="82">
        <v>0.37625496642269696</v>
      </c>
      <c r="BK116" s="82">
        <v>2.6567415486958845E-3</v>
      </c>
      <c r="BL116" s="82">
        <v>2.6567415486958845E-3</v>
      </c>
      <c r="BM116" s="75">
        <v>60354.574738636147</v>
      </c>
      <c r="BO116" s="81">
        <v>0.01</v>
      </c>
      <c r="BP116" s="75">
        <v>60353.487845390882</v>
      </c>
      <c r="BR116" s="81">
        <v>0.01</v>
      </c>
      <c r="BS116" s="75">
        <v>60353.444791657916</v>
      </c>
      <c r="BU116" s="75">
        <v>0</v>
      </c>
    </row>
    <row r="117" spans="33:73" x14ac:dyDescent="0.2">
      <c r="AG117" s="75">
        <v>113</v>
      </c>
      <c r="AH117" s="76">
        <v>55416</v>
      </c>
      <c r="AI117" s="77">
        <v>55324</v>
      </c>
      <c r="AJ117" s="77">
        <v>55324</v>
      </c>
      <c r="AK117" s="77">
        <v>55416</v>
      </c>
      <c r="AL117" s="78">
        <v>0.25555555555555554</v>
      </c>
      <c r="AM117" s="77">
        <v>55416</v>
      </c>
      <c r="AN117" s="79">
        <v>28.380555555555556</v>
      </c>
      <c r="AO117" s="79">
        <v>28.636111111111113</v>
      </c>
      <c r="AP117" s="79">
        <v>0.25555555555555642</v>
      </c>
      <c r="AQ117" s="78">
        <v>0.37596651504993578</v>
      </c>
      <c r="AS117" s="81">
        <v>0.01</v>
      </c>
      <c r="AT117" s="75">
        <v>255555.55555555553</v>
      </c>
      <c r="AV117" s="75">
        <v>59675.495154370612</v>
      </c>
      <c r="AW117" s="82">
        <v>1.6631525768640808E-2</v>
      </c>
      <c r="AX117" s="82">
        <v>1.6631525768640808E-2</v>
      </c>
      <c r="AY117" s="82">
        <v>0.99575874084422633</v>
      </c>
      <c r="AZ117" s="119">
        <f>IF(AY117="","",PRODUCT($AY$5:AY117))</f>
        <v>0.62110001231035949</v>
      </c>
      <c r="BA117" s="120">
        <v>0.62110001231035949</v>
      </c>
      <c r="BB117" s="82">
        <v>0.37889998768964051</v>
      </c>
      <c r="BC117" s="82">
        <v>2.6454662216964797E-3</v>
      </c>
      <c r="BD117" s="82">
        <v>2.6454662216964797E-3</v>
      </c>
      <c r="BE117" s="75">
        <v>59676.402963212771</v>
      </c>
      <c r="BG117" s="75">
        <v>59675.451695991876</v>
      </c>
      <c r="BH117" s="82">
        <v>1.6631584016205979E-2</v>
      </c>
      <c r="BI117" s="82">
        <v>0.62109955999740429</v>
      </c>
      <c r="BJ117" s="82">
        <v>0.37890044000259571</v>
      </c>
      <c r="BK117" s="82">
        <v>2.6454735798987494E-3</v>
      </c>
      <c r="BL117" s="82">
        <v>2.6454735798987494E-3</v>
      </c>
      <c r="BM117" s="75">
        <v>59676.568949472639</v>
      </c>
      <c r="BO117" s="81">
        <v>0.01</v>
      </c>
      <c r="BP117" s="75">
        <v>59675.495154370612</v>
      </c>
      <c r="BR117" s="81">
        <v>0.01</v>
      </c>
      <c r="BS117" s="75">
        <v>59675.451695991876</v>
      </c>
      <c r="BU117" s="75">
        <v>0</v>
      </c>
    </row>
    <row r="118" spans="33:73" x14ac:dyDescent="0.2">
      <c r="AG118" s="75">
        <v>114</v>
      </c>
      <c r="AH118" s="76">
        <v>55507</v>
      </c>
      <c r="AI118" s="77">
        <v>55416</v>
      </c>
      <c r="AJ118" s="77">
        <v>55416</v>
      </c>
      <c r="AK118" s="77">
        <v>55507</v>
      </c>
      <c r="AL118" s="78">
        <v>0.25277777777777777</v>
      </c>
      <c r="AM118" s="77">
        <v>55507</v>
      </c>
      <c r="AN118" s="79">
        <v>28.636111111111113</v>
      </c>
      <c r="AO118" s="79">
        <v>28.888888888888889</v>
      </c>
      <c r="AP118" s="79">
        <v>0.25277777777777644</v>
      </c>
      <c r="AQ118" s="78">
        <v>0.37335499283079804</v>
      </c>
      <c r="AS118" s="81">
        <v>0.01</v>
      </c>
      <c r="AT118" s="75">
        <v>252777.77777777778</v>
      </c>
      <c r="AV118" s="75">
        <v>58370.926139547286</v>
      </c>
      <c r="AW118" s="82">
        <v>1.6631525768640808E-2</v>
      </c>
      <c r="AX118" s="82">
        <v>1.6631525768640808E-2</v>
      </c>
      <c r="AY118" s="82">
        <v>0.9958047446489805</v>
      </c>
      <c r="AZ118" s="119">
        <f>IF(AY118="","",PRODUCT($AY$5:AY118))</f>
        <v>0.61849433916019614</v>
      </c>
      <c r="BA118" s="120">
        <v>0.61849433916019614</v>
      </c>
      <c r="BB118" s="82">
        <v>0.38150566083980386</v>
      </c>
      <c r="BC118" s="82">
        <v>2.6056731501633568E-3</v>
      </c>
      <c r="BD118" s="82">
        <v>2.6056731501633568E-3</v>
      </c>
      <c r="BE118" s="75">
        <v>58370.464817918575</v>
      </c>
      <c r="BG118" s="75">
        <v>58370.882771779572</v>
      </c>
      <c r="BH118" s="82">
        <v>1.6631584016205979E-2</v>
      </c>
      <c r="BI118" s="82">
        <v>0.61849387963829705</v>
      </c>
      <c r="BJ118" s="82">
        <v>0.38150612036170295</v>
      </c>
      <c r="BK118" s="82">
        <v>2.605680359107243E-3</v>
      </c>
      <c r="BL118" s="82">
        <v>2.605680359107243E-3</v>
      </c>
      <c r="BM118" s="75">
        <v>58370.626307630162</v>
      </c>
      <c r="BO118" s="81">
        <v>0.01</v>
      </c>
      <c r="BP118" s="75">
        <v>58370.926139547286</v>
      </c>
      <c r="BR118" s="81">
        <v>0.01</v>
      </c>
      <c r="BS118" s="75">
        <v>58370.882771779572</v>
      </c>
      <c r="BU118" s="75">
        <v>0</v>
      </c>
    </row>
    <row r="119" spans="33:73" x14ac:dyDescent="0.2">
      <c r="AG119" s="75">
        <v>115</v>
      </c>
      <c r="AH119" s="76">
        <v>55598</v>
      </c>
      <c r="AI119" s="77">
        <v>55507</v>
      </c>
      <c r="AJ119" s="77">
        <v>55507</v>
      </c>
      <c r="AK119" s="77">
        <v>55598</v>
      </c>
      <c r="AL119" s="78">
        <v>0.25277777777777777</v>
      </c>
      <c r="AM119" s="77">
        <v>55598</v>
      </c>
      <c r="AN119" s="79">
        <v>28.888888888888889</v>
      </c>
      <c r="AO119" s="79">
        <v>29.141666666666666</v>
      </c>
      <c r="AP119" s="79">
        <v>0.25277777777777644</v>
      </c>
      <c r="AQ119" s="78">
        <v>0.37076161065346741</v>
      </c>
      <c r="AS119" s="81">
        <v>0.01</v>
      </c>
      <c r="AT119" s="75">
        <v>252777.77777777778</v>
      </c>
      <c r="AV119" s="75">
        <v>57722.292597762353</v>
      </c>
      <c r="AW119" s="82">
        <v>1.6631525768640808E-2</v>
      </c>
      <c r="AX119" s="82">
        <v>1.6631525768640808E-2</v>
      </c>
      <c r="AY119" s="82">
        <v>0.9958047446489805</v>
      </c>
      <c r="AZ119" s="119">
        <f>IF(AY119="","",PRODUCT($AY$5:AY119))</f>
        <v>0.61589959747425904</v>
      </c>
      <c r="BA119" s="120">
        <v>0.61589959747425904</v>
      </c>
      <c r="BB119" s="82">
        <v>0.38410040252574096</v>
      </c>
      <c r="BC119" s="82">
        <v>2.5947416859370964E-3</v>
      </c>
      <c r="BD119" s="82">
        <v>2.5947416859370964E-3</v>
      </c>
      <c r="BE119" s="75">
        <v>57721.836402463879</v>
      </c>
      <c r="BG119" s="75">
        <v>57722.248862024528</v>
      </c>
      <c r="BH119" s="82">
        <v>1.6631584016205979E-2</v>
      </c>
      <c r="BI119" s="82">
        <v>0.61589913081186376</v>
      </c>
      <c r="BJ119" s="82">
        <v>0.38410086918813624</v>
      </c>
      <c r="BK119" s="82">
        <v>2.5947488264332907E-3</v>
      </c>
      <c r="BL119" s="82">
        <v>2.5947488264332907E-3</v>
      </c>
      <c r="BM119" s="75">
        <v>57721.995247776074</v>
      </c>
      <c r="BO119" s="81">
        <v>0.01</v>
      </c>
      <c r="BP119" s="75">
        <v>57722.292597762345</v>
      </c>
      <c r="BR119" s="81">
        <v>0.01</v>
      </c>
      <c r="BS119" s="75">
        <v>57722.24886202452</v>
      </c>
      <c r="BU119" s="75">
        <v>0</v>
      </c>
    </row>
    <row r="120" spans="33:73" x14ac:dyDescent="0.2">
      <c r="AG120" s="75">
        <v>116</v>
      </c>
      <c r="AH120" s="76">
        <v>55690</v>
      </c>
      <c r="AI120" s="77">
        <v>55598</v>
      </c>
      <c r="AJ120" s="77">
        <v>55598</v>
      </c>
      <c r="AK120" s="77">
        <v>55690</v>
      </c>
      <c r="AL120" s="78">
        <v>0.25555555555555554</v>
      </c>
      <c r="AM120" s="77">
        <v>55690</v>
      </c>
      <c r="AN120" s="79">
        <v>29.141666666666666</v>
      </c>
      <c r="AO120" s="79">
        <v>29.397222222222222</v>
      </c>
      <c r="AP120" s="79">
        <v>0.25555555555555642</v>
      </c>
      <c r="AQ120" s="78">
        <v>0.36815804136476898</v>
      </c>
      <c r="AS120" s="81">
        <v>0.01</v>
      </c>
      <c r="AT120" s="75">
        <v>255555.55555555553</v>
      </c>
      <c r="AV120" s="75">
        <v>57701.043204577109</v>
      </c>
      <c r="AW120" s="82">
        <v>1.6631525768640808E-2</v>
      </c>
      <c r="AX120" s="82">
        <v>1.6631525768640808E-2</v>
      </c>
      <c r="AY120" s="82">
        <v>0.99575874084422633</v>
      </c>
      <c r="AZ120" s="119">
        <f>IF(AY120="","",PRODUCT($AY$5:AY120))</f>
        <v>0.61328740766743406</v>
      </c>
      <c r="BA120" s="120">
        <v>0.61328740766743406</v>
      </c>
      <c r="BB120" s="82">
        <v>0.38671259233256594</v>
      </c>
      <c r="BC120" s="82">
        <v>2.6121898068249827E-3</v>
      </c>
      <c r="BD120" s="82">
        <v>2.6121898068249827E-3</v>
      </c>
      <c r="BE120" s="75">
        <v>57701.920977221991</v>
      </c>
      <c r="BG120" s="75">
        <v>57700.998626032197</v>
      </c>
      <c r="BH120" s="82">
        <v>1.6631584016205979E-2</v>
      </c>
      <c r="BI120" s="82">
        <v>0.61328693385519895</v>
      </c>
      <c r="BJ120" s="82">
        <v>0.38671306614480105</v>
      </c>
      <c r="BK120" s="82">
        <v>2.612196956664814E-3</v>
      </c>
      <c r="BL120" s="82">
        <v>2.612196956664814E-3</v>
      </c>
      <c r="BM120" s="75">
        <v>57702.078913483689</v>
      </c>
      <c r="BO120" s="81">
        <v>0.01</v>
      </c>
      <c r="BP120" s="75">
        <v>57701.043204577101</v>
      </c>
      <c r="BR120" s="81">
        <v>0.01</v>
      </c>
      <c r="BS120" s="75">
        <v>57700.998626032182</v>
      </c>
      <c r="BU120" s="75">
        <v>0</v>
      </c>
    </row>
    <row r="121" spans="33:73" x14ac:dyDescent="0.2">
      <c r="AG121" s="75">
        <v>117</v>
      </c>
      <c r="AH121" s="76">
        <v>55782</v>
      </c>
      <c r="AI121" s="77">
        <v>55690</v>
      </c>
      <c r="AJ121" s="77">
        <v>55690</v>
      </c>
      <c r="AK121" s="77">
        <v>55782</v>
      </c>
      <c r="AL121" s="78">
        <v>0.25555555555555554</v>
      </c>
      <c r="AM121" s="77">
        <v>55782</v>
      </c>
      <c r="AN121" s="79">
        <v>29.397222222222222</v>
      </c>
      <c r="AO121" s="79">
        <v>29.652777777777779</v>
      </c>
      <c r="AP121" s="79">
        <v>0.25555555555555642</v>
      </c>
      <c r="AQ121" s="78">
        <v>0.36557275491023217</v>
      </c>
      <c r="AS121" s="81">
        <v>0.01</v>
      </c>
      <c r="AT121" s="75">
        <v>255555.55555555553</v>
      </c>
      <c r="AV121" s="75">
        <v>57052.847268375954</v>
      </c>
      <c r="AW121" s="82">
        <v>1.6631525768640808E-2</v>
      </c>
      <c r="AX121" s="82">
        <v>1.6631525768640808E-2</v>
      </c>
      <c r="AY121" s="82">
        <v>0.99575874084422633</v>
      </c>
      <c r="AZ121" s="119">
        <f>IF(AY121="","",PRODUCT($AY$5:AY121))</f>
        <v>0.6106862968345439</v>
      </c>
      <c r="BA121" s="120">
        <v>0.6106862968345439</v>
      </c>
      <c r="BB121" s="82">
        <v>0.3893137031654561</v>
      </c>
      <c r="BC121" s="82">
        <v>2.6011108328901633E-3</v>
      </c>
      <c r="BD121" s="82">
        <v>2.6011108328901633E-3</v>
      </c>
      <c r="BE121" s="75">
        <v>57053.715180390333</v>
      </c>
      <c r="BG121" s="75">
        <v>57052.802341353963</v>
      </c>
      <c r="BH121" s="82">
        <v>1.6631584016205979E-2</v>
      </c>
      <c r="BI121" s="82">
        <v>0.61068581594151228</v>
      </c>
      <c r="BJ121" s="82">
        <v>0.38931418405848772</v>
      </c>
      <c r="BK121" s="82">
        <v>2.601117913686668E-3</v>
      </c>
      <c r="BL121" s="82">
        <v>2.601117913686668E-3</v>
      </c>
      <c r="BM121" s="75">
        <v>57053.870493167444</v>
      </c>
      <c r="BO121" s="81">
        <v>0.01</v>
      </c>
      <c r="BP121" s="75">
        <v>57052.847268375954</v>
      </c>
      <c r="BR121" s="81">
        <v>0.01</v>
      </c>
      <c r="BS121" s="75">
        <v>57052.802341353963</v>
      </c>
      <c r="BU121" s="75">
        <v>0</v>
      </c>
    </row>
    <row r="122" spans="33:73" x14ac:dyDescent="0.2">
      <c r="AG122" s="75">
        <v>118</v>
      </c>
      <c r="AH122" s="76">
        <v>55873</v>
      </c>
      <c r="AI122" s="77">
        <v>55782</v>
      </c>
      <c r="AJ122" s="77">
        <v>55782</v>
      </c>
      <c r="AK122" s="77">
        <v>55873</v>
      </c>
      <c r="AL122" s="78">
        <v>0.25277777777777777</v>
      </c>
      <c r="AM122" s="77">
        <v>55873</v>
      </c>
      <c r="AN122" s="79">
        <v>29.652777777777779</v>
      </c>
      <c r="AO122" s="79">
        <v>29.905555555555555</v>
      </c>
      <c r="AP122" s="79">
        <v>0.25277777777777644</v>
      </c>
      <c r="AQ122" s="78">
        <v>0.3630334293747316</v>
      </c>
      <c r="AS122" s="81">
        <v>0.01</v>
      </c>
      <c r="AT122" s="75">
        <v>252777.77777777778</v>
      </c>
      <c r="AV122" s="75">
        <v>55805.612091504205</v>
      </c>
      <c r="AW122" s="82">
        <v>1.6631525768640808E-2</v>
      </c>
      <c r="AX122" s="82">
        <v>1.6631525768640808E-2</v>
      </c>
      <c r="AY122" s="82">
        <v>0.9958047446489805</v>
      </c>
      <c r="AZ122" s="119">
        <f>IF(AY122="","",PRODUCT($AY$5:AY122))</f>
        <v>0.60812431187995453</v>
      </c>
      <c r="BA122" s="120">
        <v>0.60812431187995453</v>
      </c>
      <c r="BB122" s="82">
        <v>0.39187568812004547</v>
      </c>
      <c r="BC122" s="82">
        <v>2.5619849545893691E-3</v>
      </c>
      <c r="BD122" s="82">
        <v>2.5619849545893691E-3</v>
      </c>
      <c r="BE122" s="75">
        <v>55805.171044262679</v>
      </c>
      <c r="BG122" s="75">
        <v>55805.567324970223</v>
      </c>
      <c r="BH122" s="82">
        <v>1.6631584016205979E-2</v>
      </c>
      <c r="BI122" s="82">
        <v>0.60812382405056509</v>
      </c>
      <c r="BJ122" s="82">
        <v>0.39187617594943491</v>
      </c>
      <c r="BK122" s="82">
        <v>2.5619918909471906E-3</v>
      </c>
      <c r="BL122" s="82">
        <v>2.5619918909471906E-3</v>
      </c>
      <c r="BM122" s="75">
        <v>55805.322132048714</v>
      </c>
      <c r="BO122" s="81">
        <v>0.01</v>
      </c>
      <c r="BP122" s="75">
        <v>55805.612091504205</v>
      </c>
      <c r="BR122" s="81">
        <v>0.01</v>
      </c>
      <c r="BS122" s="75">
        <v>55805.567324970223</v>
      </c>
      <c r="BU122" s="75">
        <v>0</v>
      </c>
    </row>
    <row r="123" spans="33:73" x14ac:dyDescent="0.2">
      <c r="AG123" s="75">
        <v>119</v>
      </c>
      <c r="AH123" s="76">
        <v>55963</v>
      </c>
      <c r="AI123" s="77">
        <v>55873</v>
      </c>
      <c r="AJ123" s="77">
        <v>55873</v>
      </c>
      <c r="AK123" s="77">
        <v>55963</v>
      </c>
      <c r="AL123" s="78">
        <v>0.25</v>
      </c>
      <c r="AM123" s="77">
        <v>55963</v>
      </c>
      <c r="AN123" s="79">
        <v>29.905555555555555</v>
      </c>
      <c r="AO123" s="79">
        <v>30.155555555555555</v>
      </c>
      <c r="AP123" s="79">
        <v>0.25</v>
      </c>
      <c r="AQ123" s="78">
        <v>0.36053935782962665</v>
      </c>
      <c r="AS123" s="81">
        <v>0.01</v>
      </c>
      <c r="AT123" s="75">
        <v>250000</v>
      </c>
      <c r="AV123" s="75">
        <v>54585.753636109279</v>
      </c>
      <c r="AW123" s="82">
        <v>1.6631525768640808E-2</v>
      </c>
      <c r="AX123" s="82">
        <v>1.6631525768640808E-2</v>
      </c>
      <c r="AY123" s="82">
        <v>0.99585075057909889</v>
      </c>
      <c r="AZ123" s="119">
        <f>IF(AY123="","",PRODUCT($AY$5:AY123))</f>
        <v>0.60560105243105078</v>
      </c>
      <c r="BA123" s="120">
        <v>0.60560105243105078</v>
      </c>
      <c r="BB123" s="82">
        <v>0.39439894756894922</v>
      </c>
      <c r="BC123" s="82">
        <v>2.5232594489037474E-3</v>
      </c>
      <c r="BD123" s="82">
        <v>2.5232594489037474E-3</v>
      </c>
      <c r="BE123" s="75">
        <v>54584.060480717686</v>
      </c>
      <c r="BG123" s="75">
        <v>54585.709053258659</v>
      </c>
      <c r="BH123" s="82">
        <v>1.6631584016205979E-2</v>
      </c>
      <c r="BI123" s="82">
        <v>0.60560055780709754</v>
      </c>
      <c r="BJ123" s="82">
        <v>0.39439944219290246</v>
      </c>
      <c r="BK123" s="82">
        <v>2.5232662434675479E-3</v>
      </c>
      <c r="BL123" s="82">
        <v>2.5232662434675479E-3</v>
      </c>
      <c r="BM123" s="75">
        <v>54584.207463177845</v>
      </c>
      <c r="BO123" s="81">
        <v>0.01</v>
      </c>
      <c r="BP123" s="75">
        <v>54585.753636109279</v>
      </c>
      <c r="BR123" s="81">
        <v>0.01</v>
      </c>
      <c r="BS123" s="75">
        <v>54585.709053258659</v>
      </c>
      <c r="BU123" s="75">
        <v>0</v>
      </c>
    </row>
    <row r="124" spans="33:73" x14ac:dyDescent="0.2">
      <c r="AG124" s="75">
        <v>120</v>
      </c>
      <c r="AH124" s="76">
        <v>56055</v>
      </c>
      <c r="AI124" s="77">
        <v>55963</v>
      </c>
      <c r="AJ124" s="77">
        <v>55963</v>
      </c>
      <c r="AK124" s="77">
        <v>56055</v>
      </c>
      <c r="AL124" s="78">
        <v>0.25555555555555554</v>
      </c>
      <c r="AM124" s="77">
        <v>56055</v>
      </c>
      <c r="AN124" s="79">
        <v>30.155555555555555</v>
      </c>
      <c r="AO124" s="79">
        <v>30.411111111111111</v>
      </c>
      <c r="AP124" s="79">
        <v>0.25555555555555642</v>
      </c>
      <c r="AQ124" s="78">
        <v>0.35800757144063722</v>
      </c>
      <c r="AS124" s="81">
        <v>0.01</v>
      </c>
      <c r="AT124" s="75">
        <v>255555.55555555553</v>
      </c>
      <c r="AV124" s="75">
        <v>55171.944000571348</v>
      </c>
      <c r="AW124" s="82">
        <v>1.6631525768640808E-2</v>
      </c>
      <c r="AX124" s="82">
        <v>1.6631525768640808E-2</v>
      </c>
      <c r="AY124" s="82">
        <v>0.99575874084422633</v>
      </c>
      <c r="AZ124" s="119">
        <f>IF(AY124="","",PRODUCT($AY$5:AY124))</f>
        <v>0.60303254142268137</v>
      </c>
      <c r="BA124" s="120">
        <v>0.60303254142268137</v>
      </c>
      <c r="BB124" s="82">
        <v>0.39696745857731863</v>
      </c>
      <c r="BC124" s="82">
        <v>2.5685110083694118E-3</v>
      </c>
      <c r="BD124" s="82">
        <v>2.5685110083694118E-3</v>
      </c>
      <c r="BE124" s="75">
        <v>55172.783299492519</v>
      </c>
      <c r="BG124" s="75">
        <v>55171.898117689758</v>
      </c>
      <c r="BH124" s="82">
        <v>1.6631584016205979E-2</v>
      </c>
      <c r="BI124" s="82">
        <v>0.60303203992012977</v>
      </c>
      <c r="BJ124" s="82">
        <v>0.39696796007987023</v>
      </c>
      <c r="BK124" s="82">
        <v>2.5685178869677694E-3</v>
      </c>
      <c r="BL124" s="82">
        <v>2.5685178869677694E-3</v>
      </c>
      <c r="BM124" s="75">
        <v>55172.931054910085</v>
      </c>
      <c r="BO124" s="81">
        <v>0.01</v>
      </c>
      <c r="BP124" s="75">
        <v>55171.944000571348</v>
      </c>
      <c r="BR124" s="81">
        <v>0.01</v>
      </c>
      <c r="BS124" s="75">
        <v>55171.898117689758</v>
      </c>
      <c r="BU124" s="75">
        <v>0</v>
      </c>
    </row>
    <row r="125" spans="33:73" x14ac:dyDescent="0.2">
      <c r="AZ125" s="119" t="str">
        <f>IF(AY125="","",PRODUCT($AY$5:AY125))</f>
        <v/>
      </c>
      <c r="BA125" s="120"/>
    </row>
    <row r="126" spans="33:73" x14ac:dyDescent="0.2">
      <c r="AZ126" s="119" t="str">
        <f>IF(AY126="","",PRODUCT($AY$5:AY126))</f>
        <v/>
      </c>
      <c r="BA126" s="120"/>
    </row>
    <row r="127" spans="33:73" x14ac:dyDescent="0.2">
      <c r="AZ127" s="119" t="str">
        <f>IF(AY127="","",PRODUCT($AY$5:AY127))</f>
        <v/>
      </c>
      <c r="BA127" s="120"/>
    </row>
    <row r="128" spans="33:73" x14ac:dyDescent="0.2">
      <c r="AZ128" s="119" t="str">
        <f>IF(AY128="","",PRODUCT($AY$5:AY128))</f>
        <v/>
      </c>
      <c r="BA128" s="120"/>
    </row>
    <row r="129" spans="52:53" x14ac:dyDescent="0.2">
      <c r="AZ129" s="119" t="str">
        <f>IF(AY129="","",PRODUCT($AY$5:AY129))</f>
        <v/>
      </c>
      <c r="BA129" s="120"/>
    </row>
    <row r="130" spans="52:53" x14ac:dyDescent="0.2">
      <c r="AZ130" s="119" t="str">
        <f>IF(AY130="","",PRODUCT($AY$5:AY130))</f>
        <v/>
      </c>
      <c r="BA130" s="120"/>
    </row>
    <row r="131" spans="52:53" x14ac:dyDescent="0.2">
      <c r="AZ131" s="119" t="str">
        <f>IF(AY131="","",PRODUCT($AY$5:AY131))</f>
        <v/>
      </c>
      <c r="BA131" s="120"/>
    </row>
    <row r="132" spans="52:53" x14ac:dyDescent="0.2">
      <c r="AZ132" s="119" t="str">
        <f>IF(AY132="","",PRODUCT($AY$5:AY132))</f>
        <v/>
      </c>
      <c r="BA132" s="120"/>
    </row>
    <row r="133" spans="52:53" x14ac:dyDescent="0.2">
      <c r="AZ133" s="119" t="str">
        <f>IF(AY133="","",PRODUCT($AY$5:AY133))</f>
        <v/>
      </c>
      <c r="BA133" s="120"/>
    </row>
    <row r="134" spans="52:53" x14ac:dyDescent="0.2">
      <c r="AZ134" s="119" t="str">
        <f>IF(AY134="","",PRODUCT($AY$5:AY134))</f>
        <v/>
      </c>
      <c r="BA134" s="120"/>
    </row>
    <row r="135" spans="52:53" x14ac:dyDescent="0.2">
      <c r="AZ135" s="119" t="str">
        <f>IF(AY135="","",PRODUCT($AY$5:AY135))</f>
        <v/>
      </c>
      <c r="BA135" s="120"/>
    </row>
    <row r="136" spans="52:53" x14ac:dyDescent="0.2">
      <c r="AZ136" s="119" t="str">
        <f>IF(AY136="","",PRODUCT($AY$5:AY136))</f>
        <v/>
      </c>
      <c r="BA136" s="120"/>
    </row>
    <row r="137" spans="52:53" x14ac:dyDescent="0.2">
      <c r="AZ137" s="119" t="str">
        <f>IF(AY137="","",PRODUCT($AY$5:AY137))</f>
        <v/>
      </c>
      <c r="BA137" s="120"/>
    </row>
    <row r="138" spans="52:53" x14ac:dyDescent="0.2">
      <c r="AZ138" s="119" t="str">
        <f>IF(AY138="","",PRODUCT($AY$5:AY138))</f>
        <v/>
      </c>
      <c r="BA138" s="120"/>
    </row>
    <row r="139" spans="52:53" x14ac:dyDescent="0.2">
      <c r="AZ139" s="119" t="str">
        <f>IF(AY139="","",PRODUCT($AY$5:AY139))</f>
        <v/>
      </c>
      <c r="BA139" s="120"/>
    </row>
    <row r="140" spans="52:53" x14ac:dyDescent="0.2">
      <c r="AZ140" s="119" t="str">
        <f>IF(AY140="","",PRODUCT($AY$5:AY140))</f>
        <v/>
      </c>
      <c r="BA140" s="120"/>
    </row>
    <row r="141" spans="52:53" x14ac:dyDescent="0.2">
      <c r="AZ141" s="119" t="str">
        <f>IF(AY141="","",PRODUCT($AY$5:AY141))</f>
        <v/>
      </c>
      <c r="BA141" s="120"/>
    </row>
    <row r="142" spans="52:53" x14ac:dyDescent="0.2">
      <c r="AZ142" s="119" t="str">
        <f>IF(AY142="","",PRODUCT($AY$5:AY142))</f>
        <v/>
      </c>
      <c r="BA142" s="120"/>
    </row>
    <row r="143" spans="52:53" x14ac:dyDescent="0.2">
      <c r="AZ143" s="119" t="str">
        <f>IF(AY143="","",PRODUCT($AY$5:AY143))</f>
        <v/>
      </c>
      <c r="BA143" s="120"/>
    </row>
    <row r="144" spans="52:53" x14ac:dyDescent="0.2">
      <c r="AZ144" s="119" t="str">
        <f>IF(AY144="","",PRODUCT($AY$5:AY144))</f>
        <v/>
      </c>
      <c r="BA144" s="120"/>
    </row>
    <row r="145" spans="52:53" x14ac:dyDescent="0.2">
      <c r="AZ145" s="119" t="str">
        <f>IF(AY145="","",PRODUCT($AY$5:AY145))</f>
        <v/>
      </c>
      <c r="BA145" s="120"/>
    </row>
    <row r="146" spans="52:53" x14ac:dyDescent="0.2">
      <c r="AZ146" s="119" t="str">
        <f>IF(AY146="","",PRODUCT($AY$5:AY146))</f>
        <v/>
      </c>
      <c r="BA146" s="120"/>
    </row>
    <row r="147" spans="52:53" x14ac:dyDescent="0.2">
      <c r="AZ147" s="119" t="str">
        <f>IF(AY147="","",PRODUCT($AY$5:AY147))</f>
        <v/>
      </c>
      <c r="BA147" s="120"/>
    </row>
    <row r="148" spans="52:53" x14ac:dyDescent="0.2">
      <c r="AZ148" s="119" t="str">
        <f>IF(AY148="","",PRODUCT($AY$5:AY148))</f>
        <v/>
      </c>
      <c r="BA148" s="120"/>
    </row>
    <row r="149" spans="52:53" x14ac:dyDescent="0.2">
      <c r="AZ149" s="119" t="str">
        <f>IF(AY149="","",PRODUCT($AY$5:AY149))</f>
        <v/>
      </c>
      <c r="BA149" s="120"/>
    </row>
    <row r="150" spans="52:53" x14ac:dyDescent="0.2">
      <c r="AZ150" s="119" t="str">
        <f>IF(AY150="","",PRODUCT($AY$5:AY150))</f>
        <v/>
      </c>
      <c r="BA150" s="120"/>
    </row>
    <row r="151" spans="52:53" x14ac:dyDescent="0.2">
      <c r="AZ151" s="119" t="str">
        <f>IF(AY151="","",PRODUCT($AY$5:AY151))</f>
        <v/>
      </c>
      <c r="BA151" s="120"/>
    </row>
    <row r="152" spans="52:53" x14ac:dyDescent="0.2">
      <c r="AZ152" s="119" t="str">
        <f>IF(AY152="","",PRODUCT($AY$5:AY152))</f>
        <v/>
      </c>
      <c r="BA152" s="120"/>
    </row>
    <row r="153" spans="52:53" x14ac:dyDescent="0.2">
      <c r="AZ153" s="119" t="str">
        <f>IF(AY153="","",PRODUCT($AY$5:AY153))</f>
        <v/>
      </c>
      <c r="BA153" s="120"/>
    </row>
    <row r="154" spans="52:53" x14ac:dyDescent="0.2">
      <c r="AZ154" s="119" t="str">
        <f>IF(AY154="","",PRODUCT($AY$5:AY154))</f>
        <v/>
      </c>
      <c r="BA154" s="120"/>
    </row>
    <row r="155" spans="52:53" x14ac:dyDescent="0.2">
      <c r="AZ155" s="119" t="str">
        <f>IF(AY155="","",PRODUCT($AY$5:AY155))</f>
        <v/>
      </c>
      <c r="BA155" s="120"/>
    </row>
    <row r="156" spans="52:53" x14ac:dyDescent="0.2">
      <c r="AZ156" s="119" t="str">
        <f>IF(AY156="","",PRODUCT($AY$5:AY156))</f>
        <v/>
      </c>
      <c r="BA156" s="120"/>
    </row>
    <row r="157" spans="52:53" x14ac:dyDescent="0.2">
      <c r="AZ157" s="119" t="str">
        <f>IF(AY157="","",PRODUCT($AY$5:AY157))</f>
        <v/>
      </c>
      <c r="BA157" s="120"/>
    </row>
    <row r="158" spans="52:53" x14ac:dyDescent="0.2">
      <c r="AZ158" s="119" t="str">
        <f>IF(AY158="","",PRODUCT($AY$5:AY158))</f>
        <v/>
      </c>
      <c r="BA158" s="120"/>
    </row>
    <row r="159" spans="52:53" x14ac:dyDescent="0.2">
      <c r="AZ159" s="119" t="str">
        <f>IF(AY159="","",PRODUCT($AY$5:AY159))</f>
        <v/>
      </c>
      <c r="BA159" s="120"/>
    </row>
    <row r="160" spans="52:53" x14ac:dyDescent="0.2">
      <c r="AZ160" s="119" t="str">
        <f>IF(AY160="","",PRODUCT($AY$5:AY160))</f>
        <v/>
      </c>
      <c r="BA160" s="120"/>
    </row>
    <row r="161" spans="52:53" x14ac:dyDescent="0.2">
      <c r="AZ161" s="119" t="str">
        <f>IF(AY161="","",PRODUCT($AY$5:AY161))</f>
        <v/>
      </c>
      <c r="BA161" s="120"/>
    </row>
    <row r="162" spans="52:53" x14ac:dyDescent="0.2">
      <c r="AZ162" s="119" t="str">
        <f>IF(AY162="","",PRODUCT($AY$5:AY162))</f>
        <v/>
      </c>
      <c r="BA162" s="120"/>
    </row>
    <row r="163" spans="52:53" x14ac:dyDescent="0.2">
      <c r="AZ163" s="119" t="str">
        <f>IF(AY163="","",PRODUCT($AY$5:AY163))</f>
        <v/>
      </c>
      <c r="BA163" s="120"/>
    </row>
    <row r="164" spans="52:53" x14ac:dyDescent="0.2">
      <c r="AZ164" s="119" t="str">
        <f>IF(AY164="","",PRODUCT($AY$5:AY164))</f>
        <v/>
      </c>
      <c r="BA164" s="120"/>
    </row>
    <row r="165" spans="52:53" x14ac:dyDescent="0.2">
      <c r="AZ165" s="119" t="str">
        <f>IF(AY165="","",PRODUCT($AY$5:AY165))</f>
        <v/>
      </c>
      <c r="BA165" s="120"/>
    </row>
    <row r="166" spans="52:53" x14ac:dyDescent="0.2">
      <c r="AZ166" s="119" t="str">
        <f>IF(AY166="","",PRODUCT($AY$5:AY166))</f>
        <v/>
      </c>
      <c r="BA166" s="120"/>
    </row>
    <row r="167" spans="52:53" x14ac:dyDescent="0.2">
      <c r="AZ167" s="119" t="str">
        <f>IF(AY167="","",PRODUCT($AY$5:AY167))</f>
        <v/>
      </c>
      <c r="BA167" s="120"/>
    </row>
    <row r="168" spans="52:53" x14ac:dyDescent="0.2">
      <c r="AZ168" s="119" t="str">
        <f>IF(AY168="","",PRODUCT($AY$5:AY168))</f>
        <v/>
      </c>
      <c r="BA168" s="120"/>
    </row>
    <row r="169" spans="52:53" x14ac:dyDescent="0.2">
      <c r="AZ169" s="119" t="str">
        <f>IF(AY169="","",PRODUCT($AY$5:AY169))</f>
        <v/>
      </c>
      <c r="BA169" s="120"/>
    </row>
    <row r="170" spans="52:53" x14ac:dyDescent="0.2">
      <c r="AZ170" s="119" t="str">
        <f>IF(AY170="","",PRODUCT($AY$5:AY170))</f>
        <v/>
      </c>
      <c r="BA170" s="120"/>
    </row>
    <row r="171" spans="52:53" x14ac:dyDescent="0.2">
      <c r="AZ171" s="119" t="str">
        <f>IF(AY171="","",PRODUCT($AY$5:AY171))</f>
        <v/>
      </c>
      <c r="BA171" s="120"/>
    </row>
    <row r="172" spans="52:53" x14ac:dyDescent="0.2">
      <c r="AZ172" s="119" t="str">
        <f>IF(AY172="","",PRODUCT($AY$5:AY172))</f>
        <v/>
      </c>
      <c r="BA172" s="120"/>
    </row>
    <row r="173" spans="52:53" x14ac:dyDescent="0.2">
      <c r="AZ173" s="119" t="str">
        <f>IF(AY173="","",PRODUCT($AY$5:AY173))</f>
        <v/>
      </c>
      <c r="BA173" s="120"/>
    </row>
    <row r="174" spans="52:53" x14ac:dyDescent="0.2">
      <c r="AZ174" s="119" t="str">
        <f>IF(AY174="","",PRODUCT($AY$5:AY174))</f>
        <v/>
      </c>
      <c r="BA174" s="120"/>
    </row>
    <row r="175" spans="52:53" x14ac:dyDescent="0.2">
      <c r="AZ175" s="119" t="str">
        <f>IF(AY175="","",PRODUCT($AY$5:AY175))</f>
        <v/>
      </c>
      <c r="BA175" s="120"/>
    </row>
    <row r="176" spans="52:53" x14ac:dyDescent="0.2">
      <c r="AZ176" s="119" t="str">
        <f>IF(AY176="","",PRODUCT($AY$5:AY176))</f>
        <v/>
      </c>
      <c r="BA176" s="120"/>
    </row>
    <row r="177" spans="52:53" x14ac:dyDescent="0.2">
      <c r="AZ177" s="119" t="str">
        <f>IF(AY177="","",PRODUCT($AY$5:AY177))</f>
        <v/>
      </c>
      <c r="BA177" s="120"/>
    </row>
    <row r="178" spans="52:53" x14ac:dyDescent="0.2">
      <c r="AZ178" s="119" t="str">
        <f>IF(AY178="","",PRODUCT($AY$5:AY178))</f>
        <v/>
      </c>
      <c r="BA178" s="120"/>
    </row>
    <row r="179" spans="52:53" x14ac:dyDescent="0.2">
      <c r="AZ179" s="119" t="str">
        <f>IF(AY179="","",PRODUCT($AY$5:AY179))</f>
        <v/>
      </c>
      <c r="BA179" s="120"/>
    </row>
    <row r="180" spans="52:53" x14ac:dyDescent="0.2">
      <c r="AZ180" s="119" t="str">
        <f>IF(AY180="","",PRODUCT($AY$5:AY180))</f>
        <v/>
      </c>
      <c r="BA180" s="120"/>
    </row>
    <row r="181" spans="52:53" x14ac:dyDescent="0.2">
      <c r="AZ181" s="119" t="str">
        <f>IF(AY181="","",PRODUCT($AY$5:AY181))</f>
        <v/>
      </c>
      <c r="BA181" s="120"/>
    </row>
    <row r="182" spans="52:53" x14ac:dyDescent="0.2">
      <c r="AZ182" s="119" t="str">
        <f>IF(AY182="","",PRODUCT($AY$5:AY182))</f>
        <v/>
      </c>
      <c r="BA182" s="120"/>
    </row>
    <row r="183" spans="52:53" x14ac:dyDescent="0.2">
      <c r="AZ183" s="119" t="str">
        <f>IF(AY183="","",PRODUCT($AY$5:AY183))</f>
        <v/>
      </c>
      <c r="BA183" s="120"/>
    </row>
    <row r="184" spans="52:53" x14ac:dyDescent="0.2">
      <c r="AZ184" s="119" t="str">
        <f>IF(AY184="","",PRODUCT($AY$5:AY184))</f>
        <v/>
      </c>
      <c r="BA184" s="120"/>
    </row>
    <row r="185" spans="52:53" x14ac:dyDescent="0.2">
      <c r="AZ185" s="119" t="str">
        <f>IF(AY185="","",PRODUCT($AY$5:AY185))</f>
        <v/>
      </c>
      <c r="BA185" s="120"/>
    </row>
    <row r="186" spans="52:53" x14ac:dyDescent="0.2">
      <c r="AZ186" s="119" t="str">
        <f>IF(AY186="","",PRODUCT($AY$5:AY186))</f>
        <v/>
      </c>
      <c r="BA186" s="120"/>
    </row>
    <row r="187" spans="52:53" x14ac:dyDescent="0.2">
      <c r="AZ187" s="119" t="str">
        <f>IF(AY187="","",PRODUCT($AY$5:AY187))</f>
        <v/>
      </c>
      <c r="BA187" s="120"/>
    </row>
    <row r="188" spans="52:53" x14ac:dyDescent="0.2">
      <c r="AZ188" s="119" t="str">
        <f>IF(AY188="","",PRODUCT($AY$5:AY188))</f>
        <v/>
      </c>
      <c r="BA188" s="120"/>
    </row>
    <row r="189" spans="52:53" x14ac:dyDescent="0.2">
      <c r="AZ189" s="119" t="str">
        <f>IF(AY189="","",PRODUCT($AY$5:AY189))</f>
        <v/>
      </c>
      <c r="BA189" s="120"/>
    </row>
    <row r="190" spans="52:53" x14ac:dyDescent="0.2">
      <c r="AZ190" s="119" t="str">
        <f>IF(AY190="","",PRODUCT($AY$5:AY190))</f>
        <v/>
      </c>
      <c r="BA190" s="120"/>
    </row>
    <row r="191" spans="52:53" x14ac:dyDescent="0.2">
      <c r="AZ191" s="119" t="str">
        <f>IF(AY191="","",PRODUCT($AY$5:AY191))</f>
        <v/>
      </c>
      <c r="BA191" s="120"/>
    </row>
    <row r="192" spans="52:53" x14ac:dyDescent="0.2">
      <c r="AZ192" s="119" t="str">
        <f>IF(AY192="","",PRODUCT($AY$5:AY192))</f>
        <v/>
      </c>
      <c r="BA192" s="120"/>
    </row>
    <row r="193" spans="52:53" x14ac:dyDescent="0.2">
      <c r="AZ193" s="119" t="str">
        <f>IF(AY193="","",PRODUCT($AY$5:AY193))</f>
        <v/>
      </c>
      <c r="BA193" s="120"/>
    </row>
    <row r="194" spans="52:53" x14ac:dyDescent="0.2">
      <c r="AZ194" s="119" t="str">
        <f>IF(AY194="","",PRODUCT($AY$5:AY194))</f>
        <v/>
      </c>
      <c r="BA194" s="120"/>
    </row>
    <row r="195" spans="52:53" x14ac:dyDescent="0.2">
      <c r="AZ195" s="119" t="str">
        <f>IF(AY195="","",PRODUCT($AY$5:AY195))</f>
        <v/>
      </c>
      <c r="BA195" s="120"/>
    </row>
    <row r="196" spans="52:53" x14ac:dyDescent="0.2">
      <c r="AZ196" s="119" t="str">
        <f>IF(AY196="","",PRODUCT($AY$5:AY196))</f>
        <v/>
      </c>
      <c r="BA196" s="120"/>
    </row>
    <row r="197" spans="52:53" x14ac:dyDescent="0.2">
      <c r="AZ197" s="119" t="str">
        <f>IF(AY197="","",PRODUCT($AY$5:AY197))</f>
        <v/>
      </c>
      <c r="BA197" s="120"/>
    </row>
    <row r="198" spans="52:53" x14ac:dyDescent="0.2">
      <c r="AZ198" s="119" t="str">
        <f>IF(AY198="","",PRODUCT($AY$5:AY198))</f>
        <v/>
      </c>
      <c r="BA198" s="120"/>
    </row>
    <row r="199" spans="52:53" x14ac:dyDescent="0.2">
      <c r="AZ199" s="119" t="str">
        <f>IF(AY199="","",PRODUCT($AY$5:AY199))</f>
        <v/>
      </c>
      <c r="BA199" s="120"/>
    </row>
    <row r="200" spans="52:53" x14ac:dyDescent="0.2">
      <c r="AZ200" s="119" t="str">
        <f>IF(AY200="","",PRODUCT($AY$5:AY200))</f>
        <v/>
      </c>
      <c r="BA200" s="120"/>
    </row>
    <row r="201" spans="52:53" x14ac:dyDescent="0.2">
      <c r="AZ201" s="119" t="str">
        <f>IF(AY201="","",PRODUCT($AY$5:AY201))</f>
        <v/>
      </c>
      <c r="BA201" s="120"/>
    </row>
    <row r="202" spans="52:53" x14ac:dyDescent="0.2">
      <c r="AZ202" s="119" t="str">
        <f>IF(AY202="","",PRODUCT($AY$5:AY202))</f>
        <v/>
      </c>
      <c r="BA202" s="120"/>
    </row>
    <row r="203" spans="52:53" x14ac:dyDescent="0.2">
      <c r="AZ203" s="119" t="str">
        <f>IF(AY203="","",PRODUCT($AY$5:AY203))</f>
        <v/>
      </c>
      <c r="BA203" s="120"/>
    </row>
    <row r="204" spans="52:53" x14ac:dyDescent="0.2">
      <c r="AZ204" s="159" t="str">
        <f>IF(AY204="","",PRODUCT($AY$5:AY204))</f>
        <v/>
      </c>
      <c r="BA204" s="120"/>
    </row>
  </sheetData>
  <mergeCells count="27">
    <mergeCell ref="K73:R73"/>
    <mergeCell ref="K3:N3"/>
    <mergeCell ref="K2:R2"/>
    <mergeCell ref="K27:N27"/>
    <mergeCell ref="K26:R26"/>
    <mergeCell ref="K50:R50"/>
    <mergeCell ref="B47:D47"/>
    <mergeCell ref="B34:E34"/>
    <mergeCell ref="B41:E41"/>
    <mergeCell ref="B42:D42"/>
    <mergeCell ref="B43:D43"/>
    <mergeCell ref="B44:D44"/>
    <mergeCell ref="B45:D45"/>
    <mergeCell ref="B36:F36"/>
    <mergeCell ref="AV3:BE3"/>
    <mergeCell ref="BG3:BM3"/>
    <mergeCell ref="BO3:BP3"/>
    <mergeCell ref="B46:D46"/>
    <mergeCell ref="B26:F26"/>
    <mergeCell ref="B27:E27"/>
    <mergeCell ref="B28:E28"/>
    <mergeCell ref="B29:E29"/>
    <mergeCell ref="B30:E30"/>
    <mergeCell ref="B31:E31"/>
    <mergeCell ref="B32:E32"/>
    <mergeCell ref="B3:I3"/>
    <mergeCell ref="B37:E37"/>
  </mergeCells>
  <conditionalFormatting sqref="P3:Q3">
    <cfRule type="cellIs" priority="59" operator="equal">
      <formula>""</formula>
    </cfRule>
    <cfRule type="containsBlanks" priority="60">
      <formula>LEN(TRIM(P3))=0</formula>
    </cfRule>
    <cfRule type="cellIs" dxfId="38" priority="66" operator="equal">
      <formula>"PASS"</formula>
    </cfRule>
  </conditionalFormatting>
  <conditionalFormatting sqref="P3:Q3">
    <cfRule type="cellIs" dxfId="37" priority="62" operator="equal">
      <formula>"FAIL"</formula>
    </cfRule>
  </conditionalFormatting>
  <conditionalFormatting sqref="P3:Q3">
    <cfRule type="containsText" dxfId="36" priority="63" operator="containsText" text="No">
      <formula>NOT(ISERROR(SEARCH("No",P3)))</formula>
    </cfRule>
  </conditionalFormatting>
  <conditionalFormatting sqref="P3:Q3">
    <cfRule type="cellIs" dxfId="35" priority="61" operator="equal">
      <formula>FALSE</formula>
    </cfRule>
    <cfRule type="cellIs" dxfId="34" priority="64" operator="equal">
      <formula>TRUE</formula>
    </cfRule>
    <cfRule type="containsText" dxfId="33" priority="65" operator="containsText" text="Yes">
      <formula>NOT(ISERROR(SEARCH("Yes",P3)))</formula>
    </cfRule>
  </conditionalFormatting>
  <conditionalFormatting sqref="O27:Q27">
    <cfRule type="cellIs" priority="51" operator="equal">
      <formula>""</formula>
    </cfRule>
    <cfRule type="containsBlanks" priority="52">
      <formula>LEN(TRIM(O27))=0</formula>
    </cfRule>
    <cfRule type="cellIs" dxfId="32" priority="58" operator="equal">
      <formula>"PASS"</formula>
    </cfRule>
  </conditionalFormatting>
  <conditionalFormatting sqref="O27:Q27">
    <cfRule type="cellIs" dxfId="31" priority="54" operator="equal">
      <formula>"FAIL"</formula>
    </cfRule>
  </conditionalFormatting>
  <conditionalFormatting sqref="O27:Q27">
    <cfRule type="containsText" dxfId="30" priority="55" operator="containsText" text="No">
      <formula>NOT(ISERROR(SEARCH("No",O27)))</formula>
    </cfRule>
  </conditionalFormatting>
  <conditionalFormatting sqref="O27:Q27">
    <cfRule type="cellIs" dxfId="29" priority="53" operator="equal">
      <formula>FALSE</formula>
    </cfRule>
    <cfRule type="cellIs" dxfId="28" priority="56" operator="equal">
      <formula>TRUE</formula>
    </cfRule>
    <cfRule type="containsText" dxfId="27" priority="57" operator="containsText" text="Yes">
      <formula>NOT(ISERROR(SEARCH("Yes",O27)))</formula>
    </cfRule>
  </conditionalFormatting>
  <conditionalFormatting sqref="S27">
    <cfRule type="cellIs" priority="43" operator="equal">
      <formula>""</formula>
    </cfRule>
    <cfRule type="containsBlanks" priority="44">
      <formula>LEN(TRIM(S27))=0</formula>
    </cfRule>
    <cfRule type="cellIs" dxfId="26" priority="50" operator="equal">
      <formula>"PASS"</formula>
    </cfRule>
  </conditionalFormatting>
  <conditionalFormatting sqref="S27">
    <cfRule type="cellIs" dxfId="25" priority="46" operator="equal">
      <formula>"FAIL"</formula>
    </cfRule>
  </conditionalFormatting>
  <conditionalFormatting sqref="S27">
    <cfRule type="containsText" dxfId="24" priority="47" operator="containsText" text="No">
      <formula>NOT(ISERROR(SEARCH("No",S27)))</formula>
    </cfRule>
  </conditionalFormatting>
  <conditionalFormatting sqref="S27">
    <cfRule type="cellIs" dxfId="23" priority="45" operator="equal">
      <formula>FALSE</formula>
    </cfRule>
    <cfRule type="cellIs" dxfId="22" priority="48" operator="equal">
      <formula>TRUE</formula>
    </cfRule>
    <cfRule type="containsText" dxfId="21" priority="49" operator="containsText" text="Yes">
      <formula>NOT(ISERROR(SEARCH("Yes",S27)))</formula>
    </cfRule>
  </conditionalFormatting>
  <conditionalFormatting sqref="T27">
    <cfRule type="cellIs" priority="35" operator="equal">
      <formula>""</formula>
    </cfRule>
    <cfRule type="containsBlanks" priority="36">
      <formula>LEN(TRIM(T27))=0</formula>
    </cfRule>
    <cfRule type="cellIs" dxfId="20" priority="42" operator="equal">
      <formula>"PASS"</formula>
    </cfRule>
  </conditionalFormatting>
  <conditionalFormatting sqref="T27">
    <cfRule type="cellIs" dxfId="19" priority="38" operator="equal">
      <formula>"FAIL"</formula>
    </cfRule>
  </conditionalFormatting>
  <conditionalFormatting sqref="T27">
    <cfRule type="containsText" dxfId="18" priority="39" operator="containsText" text="No">
      <formula>NOT(ISERROR(SEARCH("No",T27)))</formula>
    </cfRule>
  </conditionalFormatting>
  <conditionalFormatting sqref="T27">
    <cfRule type="cellIs" dxfId="17" priority="37" operator="equal">
      <formula>FALSE</formula>
    </cfRule>
    <cfRule type="cellIs" dxfId="16" priority="40" operator="equal">
      <formula>TRUE</formula>
    </cfRule>
    <cfRule type="containsText" dxfId="15" priority="41" operator="containsText" text="Yes">
      <formula>NOT(ISERROR(SEARCH("Yes",T27)))</formula>
    </cfRule>
  </conditionalFormatting>
  <conditionalFormatting sqref="Z5:Z24">
    <cfRule type="cellIs" dxfId="14" priority="26" operator="equal">
      <formula>0</formula>
    </cfRule>
    <cfRule type="cellIs" priority="27" operator="equal">
      <formula>""</formula>
    </cfRule>
    <cfRule type="containsBlanks" priority="28">
      <formula>LEN(TRIM(Z5))=0</formula>
    </cfRule>
  </conditionalFormatting>
  <conditionalFormatting sqref="Z5:Z24">
    <cfRule type="cellIs" dxfId="13" priority="29" operator="equal">
      <formula>TRUE</formula>
    </cfRule>
    <cfRule type="cellIs" dxfId="12" priority="32" operator="equal">
      <formula>FALSE</formula>
    </cfRule>
  </conditionalFormatting>
  <conditionalFormatting sqref="I5:I24">
    <cfRule type="cellIs" dxfId="11" priority="21" operator="equal">
      <formula>0</formula>
    </cfRule>
    <cfRule type="cellIs" priority="22" operator="equal">
      <formula>""</formula>
    </cfRule>
    <cfRule type="containsBlanks" priority="23">
      <formula>LEN(TRIM(I5))=0</formula>
    </cfRule>
  </conditionalFormatting>
  <conditionalFormatting sqref="I5:I24">
    <cfRule type="cellIs" dxfId="10" priority="24" operator="equal">
      <formula>TRUE</formula>
    </cfRule>
    <cfRule type="cellIs" dxfId="9" priority="25" operator="equal">
      <formula>FALSE</formula>
    </cfRule>
  </conditionalFormatting>
  <conditionalFormatting sqref="Z29:Z48">
    <cfRule type="cellIs" dxfId="8" priority="16" operator="equal">
      <formula>0</formula>
    </cfRule>
    <cfRule type="cellIs" priority="17" operator="equal">
      <formula>""</formula>
    </cfRule>
    <cfRule type="containsBlanks" priority="18">
      <formula>LEN(TRIM(Z29))=0</formula>
    </cfRule>
  </conditionalFormatting>
  <conditionalFormatting sqref="Z29:Z48">
    <cfRule type="cellIs" dxfId="7" priority="19" operator="equal">
      <formula>TRUE</formula>
    </cfRule>
    <cfRule type="cellIs" dxfId="6" priority="20" operator="equal">
      <formula>FALSE</formula>
    </cfRule>
  </conditionalFormatting>
  <conditionalFormatting sqref="E45">
    <cfRule type="cellIs" dxfId="5" priority="11" operator="equal">
      <formula>0</formula>
    </cfRule>
    <cfRule type="cellIs" priority="12" operator="equal">
      <formula>""</formula>
    </cfRule>
    <cfRule type="containsBlanks" priority="13">
      <formula>LEN(TRIM(E45))=0</formula>
    </cfRule>
  </conditionalFormatting>
  <conditionalFormatting sqref="E45">
    <cfRule type="cellIs" dxfId="4" priority="14" operator="equal">
      <formula>TRUE</formula>
    </cfRule>
    <cfRule type="cellIs" dxfId="3" priority="15" operator="equal">
      <formula>FALSE</formula>
    </cfRule>
  </conditionalFormatting>
  <conditionalFormatting sqref="F38">
    <cfRule type="cellIs" dxfId="2" priority="1" operator="equal">
      <formula>0</formula>
    </cfRule>
    <cfRule type="cellIs" priority="2" operator="equal">
      <formula>""</formula>
    </cfRule>
    <cfRule type="containsBlanks" priority="3">
      <formula>LEN(TRIM(F38))=0</formula>
    </cfRule>
  </conditionalFormatting>
  <conditionalFormatting sqref="F38">
    <cfRule type="cellIs" dxfId="1" priority="4" operator="equal">
      <formula>TRUE</formula>
    </cfRule>
    <cfRule type="cellIs" dxfId="0" priority="5" operator="equal">
      <formula>FALSE</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unCDSBootstrapper">
                <anchor moveWithCells="1" sizeWithCells="1">
                  <from>
                    <xdr:col>28</xdr:col>
                    <xdr:colOff>1095375</xdr:colOff>
                    <xdr:row>43</xdr:row>
                    <xdr:rowOff>142875</xdr:rowOff>
                  </from>
                  <to>
                    <xdr:col>29</xdr:col>
                    <xdr:colOff>428625</xdr:colOff>
                    <xdr:row>46</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2D2D677-7280-4F88-B3BF-25BB6F31E539}">
          <x14:formula1>
            <xm:f>'c.DataValidation'!$H$2:$H$3</xm:f>
          </x14:formula1>
          <xm:sqref>E45</xm:sqref>
        </x14:dataValidation>
        <x14:dataValidation type="list" allowBlank="1" showInputMessage="1" showErrorMessage="1" xr:uid="{51AC9776-4239-4B8A-B8A0-F3C763A8F848}">
          <x14:formula1>
            <xm:f>'c.DataValidation'!$G$2:$G$4</xm:f>
          </x14:formula1>
          <xm:sqref>E44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6B-4AFD-4144-931A-3CF946BC8531}">
  <sheetPr codeName="Sheet8"/>
  <dimension ref="B2:B28"/>
  <sheetViews>
    <sheetView workbookViewId="0">
      <selection activeCell="B6" sqref="B6"/>
    </sheetView>
  </sheetViews>
  <sheetFormatPr defaultRowHeight="12.75" x14ac:dyDescent="0.2"/>
  <cols>
    <col min="1" max="1" width="9.140625" style="6"/>
    <col min="2" max="2" width="159.28515625" style="6" bestFit="1" customWidth="1"/>
    <col min="3" max="16384" width="9.140625" style="6"/>
  </cols>
  <sheetData>
    <row r="2" spans="2:2" x14ac:dyDescent="0.2">
      <c r="B2" s="24" t="s">
        <v>117</v>
      </c>
    </row>
    <row r="3" spans="2:2" x14ac:dyDescent="0.2">
      <c r="B3" s="6" t="s">
        <v>122</v>
      </c>
    </row>
    <row r="4" spans="2:2" x14ac:dyDescent="0.2">
      <c r="B4" s="6" t="s">
        <v>123</v>
      </c>
    </row>
    <row r="5" spans="2:2" ht="76.5" x14ac:dyDescent="0.2">
      <c r="B5" s="25" t="s">
        <v>125</v>
      </c>
    </row>
    <row r="6" spans="2:2" ht="102" x14ac:dyDescent="0.2">
      <c r="B6" s="25" t="s">
        <v>173</v>
      </c>
    </row>
    <row r="8" spans="2:2" x14ac:dyDescent="0.2">
      <c r="B8" s="24" t="s">
        <v>124</v>
      </c>
    </row>
    <row r="9" spans="2:2" x14ac:dyDescent="0.2">
      <c r="B9" s="6" t="s">
        <v>118</v>
      </c>
    </row>
    <row r="10" spans="2:2" x14ac:dyDescent="0.2">
      <c r="B10" s="6" t="s">
        <v>129</v>
      </c>
    </row>
    <row r="11" spans="2:2" x14ac:dyDescent="0.2">
      <c r="B11" s="6" t="s">
        <v>130</v>
      </c>
    </row>
    <row r="12" spans="2:2" x14ac:dyDescent="0.2">
      <c r="B12" s="6" t="s">
        <v>104</v>
      </c>
    </row>
    <row r="13" spans="2:2" ht="25.5" x14ac:dyDescent="0.2">
      <c r="B13" s="25" t="s">
        <v>174</v>
      </c>
    </row>
    <row r="15" spans="2:2" x14ac:dyDescent="0.2">
      <c r="B15" s="24" t="s">
        <v>119</v>
      </c>
    </row>
    <row r="16" spans="2:2" x14ac:dyDescent="0.2">
      <c r="B16" s="25" t="s">
        <v>121</v>
      </c>
    </row>
    <row r="17" spans="2:2" x14ac:dyDescent="0.2">
      <c r="B17" s="25" t="s">
        <v>120</v>
      </c>
    </row>
    <row r="18" spans="2:2" x14ac:dyDescent="0.2">
      <c r="B18" s="6" t="s">
        <v>126</v>
      </c>
    </row>
    <row r="19" spans="2:2" x14ac:dyDescent="0.2">
      <c r="B19" s="6" t="s">
        <v>127</v>
      </c>
    </row>
    <row r="21" spans="2:2" x14ac:dyDescent="0.2">
      <c r="B21" s="24" t="s">
        <v>105</v>
      </c>
    </row>
    <row r="22" spans="2:2" ht="38.25" x14ac:dyDescent="0.2">
      <c r="B22" s="25" t="s">
        <v>128</v>
      </c>
    </row>
    <row r="23" spans="2:2" ht="63.75" x14ac:dyDescent="0.2">
      <c r="B23" s="25" t="s">
        <v>131</v>
      </c>
    </row>
    <row r="24" spans="2:2" x14ac:dyDescent="0.2">
      <c r="B24" s="26" t="s">
        <v>132</v>
      </c>
    </row>
    <row r="25" spans="2:2" x14ac:dyDescent="0.2">
      <c r="B25" s="25" t="s">
        <v>133</v>
      </c>
    </row>
    <row r="26" spans="2:2" x14ac:dyDescent="0.2">
      <c r="B26" s="26"/>
    </row>
    <row r="27" spans="2:2" x14ac:dyDescent="0.2">
      <c r="B27" s="24" t="s">
        <v>102</v>
      </c>
    </row>
    <row r="28" spans="2:2" x14ac:dyDescent="0.2">
      <c r="B28" s="6" t="s">
        <v>103</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4E63-5EC6-4202-B2CD-BA9A244FFB64}">
  <sheetPr codeName="Sheet4"/>
  <dimension ref="A1:I6"/>
  <sheetViews>
    <sheetView workbookViewId="0"/>
  </sheetViews>
  <sheetFormatPr defaultRowHeight="12.75" x14ac:dyDescent="0.2"/>
  <cols>
    <col min="1" max="1" width="20" bestFit="1" customWidth="1"/>
    <col min="2" max="2" width="20.28515625" bestFit="1" customWidth="1"/>
    <col min="3" max="3" width="12.7109375" bestFit="1" customWidth="1"/>
    <col min="4" max="4" width="14.7109375" bestFit="1" customWidth="1"/>
    <col min="5" max="5" width="16.85546875" bestFit="1" customWidth="1"/>
    <col min="6" max="6" width="18" bestFit="1" customWidth="1"/>
    <col min="7" max="7" width="9.7109375" bestFit="1" customWidth="1"/>
    <col min="8" max="8" width="7.7109375" bestFit="1" customWidth="1"/>
    <col min="9" max="9" width="42.85546875" bestFit="1" customWidth="1"/>
  </cols>
  <sheetData>
    <row r="1" spans="1:9" x14ac:dyDescent="0.2">
      <c r="A1" s="5" t="s">
        <v>27</v>
      </c>
      <c r="B1" s="5" t="s">
        <v>28</v>
      </c>
      <c r="C1" s="5" t="s">
        <v>34</v>
      </c>
      <c r="D1" s="5" t="s">
        <v>38</v>
      </c>
      <c r="E1" s="5" t="s">
        <v>41</v>
      </c>
      <c r="F1" s="5" t="s">
        <v>51</v>
      </c>
      <c r="G1" s="5" t="s">
        <v>52</v>
      </c>
      <c r="H1" s="5" t="s">
        <v>55</v>
      </c>
      <c r="I1" s="5" t="s">
        <v>80</v>
      </c>
    </row>
    <row r="2" spans="1:9" x14ac:dyDescent="0.2">
      <c r="A2" t="s">
        <v>22</v>
      </c>
      <c r="B2">
        <v>0</v>
      </c>
      <c r="C2">
        <v>100</v>
      </c>
      <c r="D2" t="s">
        <v>0</v>
      </c>
      <c r="E2" t="s">
        <v>42</v>
      </c>
      <c r="F2" t="s">
        <v>47</v>
      </c>
      <c r="H2" t="b">
        <v>1</v>
      </c>
      <c r="I2" t="s">
        <v>81</v>
      </c>
    </row>
    <row r="3" spans="1:9" x14ac:dyDescent="0.2">
      <c r="A3" t="s">
        <v>23</v>
      </c>
      <c r="B3">
        <v>1</v>
      </c>
      <c r="C3">
        <v>500</v>
      </c>
      <c r="D3" t="s">
        <v>1</v>
      </c>
      <c r="E3" t="s">
        <v>40</v>
      </c>
      <c r="F3" t="s">
        <v>48</v>
      </c>
      <c r="G3" t="s">
        <v>45</v>
      </c>
      <c r="H3" t="b">
        <v>0</v>
      </c>
      <c r="I3" t="s">
        <v>88</v>
      </c>
    </row>
    <row r="4" spans="1:9" x14ac:dyDescent="0.2">
      <c r="A4" t="s">
        <v>24</v>
      </c>
      <c r="B4">
        <v>2</v>
      </c>
      <c r="D4" t="s">
        <v>2</v>
      </c>
      <c r="E4" t="s">
        <v>43</v>
      </c>
      <c r="F4" t="s">
        <v>49</v>
      </c>
      <c r="G4" t="s">
        <v>46</v>
      </c>
    </row>
    <row r="5" spans="1:9" x14ac:dyDescent="0.2">
      <c r="A5" t="s">
        <v>25</v>
      </c>
      <c r="B5">
        <v>3</v>
      </c>
      <c r="E5" t="s">
        <v>44</v>
      </c>
      <c r="F5" t="s">
        <v>50</v>
      </c>
    </row>
    <row r="6" spans="1:9" x14ac:dyDescent="0.2">
      <c r="A6" t="s">
        <v>26</v>
      </c>
      <c r="B6">
        <v>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B7A08-0D90-4B49-9064-F8BA15388B2A}">
  <sheetPr codeName="Sheet2"/>
  <dimension ref="A1:E1630"/>
  <sheetViews>
    <sheetView workbookViewId="0">
      <selection activeCell="F16" sqref="F16"/>
    </sheetView>
  </sheetViews>
  <sheetFormatPr defaultRowHeight="12.75" x14ac:dyDescent="0.2"/>
  <cols>
    <col min="1" max="2" width="12" style="3" bestFit="1" customWidth="1"/>
    <col min="3" max="3" width="12.28515625" style="3" bestFit="1" customWidth="1"/>
    <col min="5" max="5" width="15" bestFit="1" customWidth="1"/>
  </cols>
  <sheetData>
    <row r="1" spans="1:5" x14ac:dyDescent="0.2">
      <c r="A1" s="1" t="s">
        <v>0</v>
      </c>
      <c r="B1" s="1" t="s">
        <v>1</v>
      </c>
      <c r="C1" s="1" t="s">
        <v>2</v>
      </c>
      <c r="E1" s="1" t="s">
        <v>53</v>
      </c>
    </row>
    <row r="2" spans="1:5" x14ac:dyDescent="0.2">
      <c r="A2" s="1">
        <v>36637</v>
      </c>
      <c r="B2" s="1">
        <v>36535</v>
      </c>
      <c r="C2" s="1">
        <v>36542</v>
      </c>
      <c r="E2" s="2" cm="1">
        <f t="array" ref="E2:E973">_xlfn.IFS(
CCY="EUR",Holidays_EUR,
CCY="JPY",Holidays_JPY,
CCY="USD",Holidays_USD)</f>
        <v>36542</v>
      </c>
    </row>
    <row r="3" spans="1:5" x14ac:dyDescent="0.2">
      <c r="A3" s="1">
        <v>36640</v>
      </c>
      <c r="B3" s="1">
        <v>36567</v>
      </c>
      <c r="C3" s="1">
        <v>36577</v>
      </c>
      <c r="E3" s="2">
        <v>36577</v>
      </c>
    </row>
    <row r="4" spans="1:5" x14ac:dyDescent="0.2">
      <c r="A4" s="1">
        <v>36647</v>
      </c>
      <c r="B4" s="1">
        <v>36605</v>
      </c>
      <c r="C4" s="1">
        <v>36637</v>
      </c>
      <c r="E4" s="2">
        <v>36637</v>
      </c>
    </row>
    <row r="5" spans="1:5" x14ac:dyDescent="0.2">
      <c r="A5" s="1">
        <v>36802</v>
      </c>
      <c r="B5" s="1">
        <v>36649</v>
      </c>
      <c r="C5" s="1">
        <v>36675</v>
      </c>
      <c r="E5" s="2">
        <v>36675</v>
      </c>
    </row>
    <row r="6" spans="1:5" x14ac:dyDescent="0.2">
      <c r="A6" s="1">
        <v>36885</v>
      </c>
      <c r="B6" s="1">
        <v>36650</v>
      </c>
      <c r="C6" s="1">
        <v>36711</v>
      </c>
      <c r="E6" s="2">
        <v>36711</v>
      </c>
    </row>
    <row r="7" spans="1:5" x14ac:dyDescent="0.2">
      <c r="A7" s="1">
        <v>36886</v>
      </c>
      <c r="B7" s="1">
        <v>36651</v>
      </c>
      <c r="C7" s="1">
        <v>36773</v>
      </c>
      <c r="E7" s="2">
        <v>36773</v>
      </c>
    </row>
    <row r="8" spans="1:5" x14ac:dyDescent="0.2">
      <c r="A8" s="1">
        <v>36892</v>
      </c>
      <c r="B8" s="1">
        <v>36727</v>
      </c>
      <c r="C8" s="1">
        <v>36853</v>
      </c>
      <c r="E8" s="2">
        <v>36853</v>
      </c>
    </row>
    <row r="9" spans="1:5" x14ac:dyDescent="0.2">
      <c r="A9" s="1">
        <v>36994</v>
      </c>
      <c r="B9" s="1">
        <v>36784</v>
      </c>
      <c r="C9" s="1">
        <v>36885</v>
      </c>
      <c r="E9" s="2">
        <v>36885</v>
      </c>
    </row>
    <row r="10" spans="1:5" x14ac:dyDescent="0.2">
      <c r="A10" s="1">
        <v>36997</v>
      </c>
      <c r="B10" s="1">
        <v>36808</v>
      </c>
      <c r="C10" s="1">
        <v>36892</v>
      </c>
      <c r="E10" s="2">
        <v>36892</v>
      </c>
    </row>
    <row r="11" spans="1:5" x14ac:dyDescent="0.2">
      <c r="A11" s="1">
        <v>37012</v>
      </c>
      <c r="B11" s="1">
        <v>36833</v>
      </c>
      <c r="C11" s="1">
        <v>36906</v>
      </c>
      <c r="E11" s="2">
        <v>36906</v>
      </c>
    </row>
    <row r="12" spans="1:5" x14ac:dyDescent="0.2">
      <c r="A12" s="1">
        <v>37167</v>
      </c>
      <c r="B12" s="1">
        <v>36853</v>
      </c>
      <c r="C12" s="1">
        <v>36941</v>
      </c>
      <c r="E12" s="2">
        <v>36941</v>
      </c>
    </row>
    <row r="13" spans="1:5" x14ac:dyDescent="0.2">
      <c r="A13" s="1">
        <v>37250</v>
      </c>
      <c r="B13" s="1">
        <v>36892</v>
      </c>
      <c r="C13" s="1">
        <v>36994</v>
      </c>
      <c r="E13" s="2">
        <v>36994</v>
      </c>
    </row>
    <row r="14" spans="1:5" x14ac:dyDescent="0.2">
      <c r="A14" s="1">
        <v>37251</v>
      </c>
      <c r="B14" s="1">
        <v>36893</v>
      </c>
      <c r="C14" s="1">
        <v>37039</v>
      </c>
      <c r="E14" s="2">
        <v>37039</v>
      </c>
    </row>
    <row r="15" spans="1:5" x14ac:dyDescent="0.2">
      <c r="A15" s="1">
        <v>37257</v>
      </c>
      <c r="B15" s="1">
        <v>36894</v>
      </c>
      <c r="C15" s="1">
        <v>37076</v>
      </c>
      <c r="E15" s="2">
        <v>37076</v>
      </c>
    </row>
    <row r="16" spans="1:5" x14ac:dyDescent="0.2">
      <c r="A16" s="1">
        <v>37344</v>
      </c>
      <c r="B16" s="1">
        <v>36899</v>
      </c>
      <c r="C16" s="1">
        <v>37137</v>
      </c>
      <c r="E16" s="2">
        <v>37137</v>
      </c>
    </row>
    <row r="17" spans="1:5" x14ac:dyDescent="0.2">
      <c r="A17" s="1">
        <v>37347</v>
      </c>
      <c r="B17" s="1">
        <v>36934</v>
      </c>
      <c r="C17" s="1">
        <v>37145</v>
      </c>
      <c r="E17" s="2">
        <v>37145</v>
      </c>
    </row>
    <row r="18" spans="1:5" x14ac:dyDescent="0.2">
      <c r="A18" s="1">
        <v>37377</v>
      </c>
      <c r="B18" s="1">
        <v>36970</v>
      </c>
      <c r="C18" s="1">
        <v>37146</v>
      </c>
      <c r="E18" s="2">
        <v>37146</v>
      </c>
    </row>
    <row r="19" spans="1:5" x14ac:dyDescent="0.2">
      <c r="A19" s="1">
        <v>37532</v>
      </c>
      <c r="B19" s="1">
        <v>37011</v>
      </c>
      <c r="C19" s="1">
        <v>37147</v>
      </c>
      <c r="E19" s="2">
        <v>37147</v>
      </c>
    </row>
    <row r="20" spans="1:5" x14ac:dyDescent="0.2">
      <c r="A20" s="1">
        <v>37615</v>
      </c>
      <c r="B20" s="1">
        <v>37014</v>
      </c>
      <c r="C20" s="1">
        <v>37148</v>
      </c>
      <c r="E20" s="2">
        <v>37148</v>
      </c>
    </row>
    <row r="21" spans="1:5" x14ac:dyDescent="0.2">
      <c r="A21" s="1">
        <v>37616</v>
      </c>
      <c r="B21" s="1">
        <v>37015</v>
      </c>
      <c r="C21" s="1">
        <v>37217</v>
      </c>
      <c r="E21" s="2">
        <v>37217</v>
      </c>
    </row>
    <row r="22" spans="1:5" x14ac:dyDescent="0.2">
      <c r="A22" s="1">
        <v>37622</v>
      </c>
      <c r="B22" s="1">
        <v>37092</v>
      </c>
      <c r="C22" s="1">
        <v>37250</v>
      </c>
      <c r="E22" s="2">
        <v>37250</v>
      </c>
    </row>
    <row r="23" spans="1:5" x14ac:dyDescent="0.2">
      <c r="A23" s="1">
        <v>37729</v>
      </c>
      <c r="B23" s="1">
        <v>37158</v>
      </c>
      <c r="C23" s="1">
        <v>37257</v>
      </c>
      <c r="E23" s="2">
        <v>37257</v>
      </c>
    </row>
    <row r="24" spans="1:5" x14ac:dyDescent="0.2">
      <c r="A24" s="1">
        <v>37732</v>
      </c>
      <c r="B24" s="1">
        <v>37172</v>
      </c>
      <c r="C24" s="1">
        <v>37277</v>
      </c>
      <c r="E24" s="2">
        <v>37277</v>
      </c>
    </row>
    <row r="25" spans="1:5" x14ac:dyDescent="0.2">
      <c r="A25" s="1">
        <v>37742</v>
      </c>
      <c r="B25" s="1">
        <v>37218</v>
      </c>
      <c r="C25" s="1">
        <v>37305</v>
      </c>
      <c r="E25" s="2">
        <v>37305</v>
      </c>
    </row>
    <row r="26" spans="1:5" x14ac:dyDescent="0.2">
      <c r="A26" s="1">
        <v>37897</v>
      </c>
      <c r="B26" s="1">
        <v>37249</v>
      </c>
      <c r="C26" s="1">
        <v>37344</v>
      </c>
      <c r="E26" s="2">
        <v>37344</v>
      </c>
    </row>
    <row r="27" spans="1:5" x14ac:dyDescent="0.2">
      <c r="A27" s="1">
        <v>37980</v>
      </c>
      <c r="B27" s="1">
        <v>37256</v>
      </c>
      <c r="C27" s="1">
        <v>37403</v>
      </c>
      <c r="E27" s="2">
        <v>37403</v>
      </c>
    </row>
    <row r="28" spans="1:5" x14ac:dyDescent="0.2">
      <c r="A28" s="1">
        <v>37981</v>
      </c>
      <c r="B28" s="1">
        <v>37257</v>
      </c>
      <c r="C28" s="1">
        <v>37441</v>
      </c>
      <c r="E28" s="2">
        <v>37441</v>
      </c>
    </row>
    <row r="29" spans="1:5" x14ac:dyDescent="0.2">
      <c r="A29" s="1">
        <v>37987</v>
      </c>
      <c r="B29" s="1">
        <v>37258</v>
      </c>
      <c r="C29" s="1">
        <v>37501</v>
      </c>
      <c r="E29" s="2">
        <v>37501</v>
      </c>
    </row>
    <row r="30" spans="1:5" x14ac:dyDescent="0.2">
      <c r="A30" s="1">
        <v>38086</v>
      </c>
      <c r="B30" s="1">
        <v>37259</v>
      </c>
      <c r="C30" s="1">
        <v>37588</v>
      </c>
      <c r="E30" s="2">
        <v>37588</v>
      </c>
    </row>
    <row r="31" spans="1:5" x14ac:dyDescent="0.2">
      <c r="A31" s="1">
        <v>38089</v>
      </c>
      <c r="B31" s="1">
        <v>37270</v>
      </c>
      <c r="C31" s="1">
        <v>37615</v>
      </c>
      <c r="E31" s="2">
        <v>37615</v>
      </c>
    </row>
    <row r="32" spans="1:5" x14ac:dyDescent="0.2">
      <c r="A32" s="1">
        <v>38348</v>
      </c>
      <c r="B32" s="1">
        <v>37298</v>
      </c>
      <c r="C32" s="1">
        <v>37622</v>
      </c>
      <c r="E32" s="2">
        <v>37622</v>
      </c>
    </row>
    <row r="33" spans="1:5" x14ac:dyDescent="0.2">
      <c r="A33" s="1">
        <v>38349</v>
      </c>
      <c r="B33" s="1">
        <v>37336</v>
      </c>
      <c r="C33" s="1">
        <v>37641</v>
      </c>
      <c r="E33" s="2">
        <v>37641</v>
      </c>
    </row>
    <row r="34" spans="1:5" x14ac:dyDescent="0.2">
      <c r="A34" s="1">
        <v>38436</v>
      </c>
      <c r="B34" s="1">
        <v>37375</v>
      </c>
      <c r="C34" s="1">
        <v>37669</v>
      </c>
      <c r="E34" s="2">
        <v>37669</v>
      </c>
    </row>
    <row r="35" spans="1:5" x14ac:dyDescent="0.2">
      <c r="A35" s="1">
        <v>38439</v>
      </c>
      <c r="B35" s="1">
        <v>37379</v>
      </c>
      <c r="C35" s="1">
        <v>37729</v>
      </c>
      <c r="E35" s="2">
        <v>37729</v>
      </c>
    </row>
    <row r="36" spans="1:5" x14ac:dyDescent="0.2">
      <c r="A36" s="1">
        <v>38628</v>
      </c>
      <c r="B36" s="1">
        <v>37382</v>
      </c>
      <c r="C36" s="1">
        <v>37767</v>
      </c>
      <c r="E36" s="2">
        <v>37767</v>
      </c>
    </row>
    <row r="37" spans="1:5" x14ac:dyDescent="0.2">
      <c r="A37" s="1">
        <v>38712</v>
      </c>
      <c r="B37" s="1">
        <v>37515</v>
      </c>
      <c r="C37" s="1">
        <v>37806</v>
      </c>
      <c r="E37" s="2">
        <v>37806</v>
      </c>
    </row>
    <row r="38" spans="1:5" x14ac:dyDescent="0.2">
      <c r="A38" s="1">
        <v>38713</v>
      </c>
      <c r="B38" s="1">
        <v>37522</v>
      </c>
      <c r="C38" s="1">
        <v>37865</v>
      </c>
      <c r="E38" s="2">
        <v>37865</v>
      </c>
    </row>
    <row r="39" spans="1:5" x14ac:dyDescent="0.2">
      <c r="A39" s="1">
        <v>38821</v>
      </c>
      <c r="B39" s="1">
        <v>37543</v>
      </c>
      <c r="C39" s="1">
        <v>37952</v>
      </c>
      <c r="E39" s="2">
        <v>37952</v>
      </c>
    </row>
    <row r="40" spans="1:5" x14ac:dyDescent="0.2">
      <c r="A40" s="1">
        <v>38824</v>
      </c>
      <c r="B40" s="1">
        <v>37564</v>
      </c>
      <c r="C40" s="1">
        <v>37980</v>
      </c>
      <c r="E40" s="2">
        <v>37980</v>
      </c>
    </row>
    <row r="41" spans="1:5" x14ac:dyDescent="0.2">
      <c r="A41" s="1">
        <v>38838</v>
      </c>
      <c r="B41" s="1">
        <v>37613</v>
      </c>
      <c r="C41" s="1">
        <v>37987</v>
      </c>
      <c r="E41" s="2">
        <v>37987</v>
      </c>
    </row>
    <row r="42" spans="1:5" x14ac:dyDescent="0.2">
      <c r="A42" s="1">
        <v>38993</v>
      </c>
      <c r="B42" s="1">
        <v>37621</v>
      </c>
      <c r="C42" s="1">
        <v>38005</v>
      </c>
      <c r="E42" s="2">
        <v>38005</v>
      </c>
    </row>
    <row r="43" spans="1:5" x14ac:dyDescent="0.2">
      <c r="A43" s="1">
        <v>39076</v>
      </c>
      <c r="B43" s="1">
        <v>37622</v>
      </c>
      <c r="C43" s="1">
        <v>38033</v>
      </c>
      <c r="E43" s="2">
        <v>38033</v>
      </c>
    </row>
    <row r="44" spans="1:5" x14ac:dyDescent="0.2">
      <c r="A44" s="1">
        <v>39077</v>
      </c>
      <c r="B44" s="1">
        <v>37623</v>
      </c>
      <c r="C44" s="1">
        <v>38086</v>
      </c>
      <c r="E44" s="2">
        <v>38086</v>
      </c>
    </row>
    <row r="45" spans="1:5" x14ac:dyDescent="0.2">
      <c r="A45" s="1">
        <v>39083</v>
      </c>
      <c r="B45" s="1">
        <v>37624</v>
      </c>
      <c r="C45" s="1">
        <v>38138</v>
      </c>
      <c r="E45" s="2">
        <v>38138</v>
      </c>
    </row>
    <row r="46" spans="1:5" x14ac:dyDescent="0.2">
      <c r="A46" s="1">
        <v>39178</v>
      </c>
      <c r="B46" s="1">
        <v>37634</v>
      </c>
      <c r="C46" s="1">
        <v>38149</v>
      </c>
      <c r="E46" s="2">
        <v>38149</v>
      </c>
    </row>
    <row r="47" spans="1:5" x14ac:dyDescent="0.2">
      <c r="A47" s="1">
        <v>39181</v>
      </c>
      <c r="B47" s="1">
        <v>37663</v>
      </c>
      <c r="C47" s="1">
        <v>38173</v>
      </c>
      <c r="E47" s="2">
        <v>38173</v>
      </c>
    </row>
    <row r="48" spans="1:5" x14ac:dyDescent="0.2">
      <c r="A48" s="1">
        <v>39203</v>
      </c>
      <c r="B48" s="1">
        <v>37701</v>
      </c>
      <c r="C48" s="1">
        <v>38236</v>
      </c>
      <c r="E48" s="2">
        <v>38236</v>
      </c>
    </row>
    <row r="49" spans="1:5" x14ac:dyDescent="0.2">
      <c r="A49" s="1">
        <v>39358</v>
      </c>
      <c r="B49" s="1">
        <v>37740</v>
      </c>
      <c r="C49" s="1">
        <v>38316</v>
      </c>
      <c r="E49" s="2">
        <v>38316</v>
      </c>
    </row>
    <row r="50" spans="1:5" x14ac:dyDescent="0.2">
      <c r="A50" s="1">
        <v>39441</v>
      </c>
      <c r="B50" s="1">
        <v>37746</v>
      </c>
      <c r="C50" s="1">
        <v>38345</v>
      </c>
      <c r="E50" s="2">
        <v>38345</v>
      </c>
    </row>
    <row r="51" spans="1:5" x14ac:dyDescent="0.2">
      <c r="A51" s="1">
        <v>39442</v>
      </c>
      <c r="B51" s="1">
        <v>37823</v>
      </c>
      <c r="C51" s="1">
        <v>38369</v>
      </c>
      <c r="E51" s="2">
        <v>38369</v>
      </c>
    </row>
    <row r="52" spans="1:5" x14ac:dyDescent="0.2">
      <c r="A52" s="1">
        <v>39448</v>
      </c>
      <c r="B52" s="1">
        <v>37879</v>
      </c>
      <c r="C52" s="1">
        <v>38404</v>
      </c>
      <c r="E52" s="2">
        <v>38404</v>
      </c>
    </row>
    <row r="53" spans="1:5" x14ac:dyDescent="0.2">
      <c r="A53" s="1">
        <v>39528</v>
      </c>
      <c r="B53" s="1">
        <v>37887</v>
      </c>
      <c r="C53" s="1">
        <v>38436</v>
      </c>
      <c r="E53" s="2">
        <v>38436</v>
      </c>
    </row>
    <row r="54" spans="1:5" x14ac:dyDescent="0.2">
      <c r="A54" s="1">
        <v>39531</v>
      </c>
      <c r="B54" s="1">
        <v>37907</v>
      </c>
      <c r="C54" s="1">
        <v>38502</v>
      </c>
      <c r="E54" s="2">
        <v>38502</v>
      </c>
    </row>
    <row r="55" spans="1:5" x14ac:dyDescent="0.2">
      <c r="A55" s="1">
        <v>39569</v>
      </c>
      <c r="B55" s="1">
        <v>37928</v>
      </c>
      <c r="C55" s="1">
        <v>38537</v>
      </c>
      <c r="E55" s="2">
        <v>38537</v>
      </c>
    </row>
    <row r="56" spans="1:5" x14ac:dyDescent="0.2">
      <c r="A56" s="1">
        <v>39724</v>
      </c>
      <c r="B56" s="1">
        <v>37949</v>
      </c>
      <c r="C56" s="1">
        <v>38600</v>
      </c>
      <c r="E56" s="2">
        <v>38600</v>
      </c>
    </row>
    <row r="57" spans="1:5" x14ac:dyDescent="0.2">
      <c r="A57" s="1">
        <v>39807</v>
      </c>
      <c r="B57" s="1">
        <v>37978</v>
      </c>
      <c r="C57" s="1">
        <v>38680</v>
      </c>
      <c r="E57" s="2">
        <v>38680</v>
      </c>
    </row>
    <row r="58" spans="1:5" x14ac:dyDescent="0.2">
      <c r="A58" s="1">
        <v>39808</v>
      </c>
      <c r="B58" s="1">
        <v>37986</v>
      </c>
      <c r="C58" s="1">
        <v>38712</v>
      </c>
      <c r="E58" s="2">
        <v>38712</v>
      </c>
    </row>
    <row r="59" spans="1:5" x14ac:dyDescent="0.2">
      <c r="A59" s="1">
        <v>39814</v>
      </c>
      <c r="B59" s="1">
        <v>37987</v>
      </c>
      <c r="C59" s="1">
        <v>38719</v>
      </c>
      <c r="E59" s="2">
        <v>38719</v>
      </c>
    </row>
    <row r="60" spans="1:5" x14ac:dyDescent="0.2">
      <c r="A60" s="1">
        <v>39913</v>
      </c>
      <c r="B60" s="1">
        <v>37988</v>
      </c>
      <c r="C60" s="1">
        <v>38733</v>
      </c>
      <c r="E60" s="2">
        <v>38733</v>
      </c>
    </row>
    <row r="61" spans="1:5" x14ac:dyDescent="0.2">
      <c r="A61" s="1">
        <v>39916</v>
      </c>
      <c r="B61" s="1">
        <v>37998</v>
      </c>
      <c r="C61" s="1">
        <v>38768</v>
      </c>
      <c r="E61" s="2">
        <v>38768</v>
      </c>
    </row>
    <row r="62" spans="1:5" x14ac:dyDescent="0.2">
      <c r="A62" s="1">
        <v>39934</v>
      </c>
      <c r="B62" s="1">
        <v>38028</v>
      </c>
      <c r="C62" s="1">
        <v>38821</v>
      </c>
      <c r="E62" s="2">
        <v>38821</v>
      </c>
    </row>
    <row r="63" spans="1:5" x14ac:dyDescent="0.2">
      <c r="A63" s="1">
        <v>40172</v>
      </c>
      <c r="B63" s="1">
        <v>38106</v>
      </c>
      <c r="C63" s="1">
        <v>38866</v>
      </c>
      <c r="E63" s="2">
        <v>38866</v>
      </c>
    </row>
    <row r="64" spans="1:5" x14ac:dyDescent="0.2">
      <c r="A64" s="1">
        <v>40175</v>
      </c>
      <c r="B64" s="1">
        <v>38110</v>
      </c>
      <c r="C64" s="1">
        <v>38902</v>
      </c>
      <c r="E64" s="2">
        <v>38902</v>
      </c>
    </row>
    <row r="65" spans="1:5" x14ac:dyDescent="0.2">
      <c r="A65" s="1">
        <v>40179</v>
      </c>
      <c r="B65" s="1">
        <v>38111</v>
      </c>
      <c r="C65" s="1">
        <v>38964</v>
      </c>
      <c r="E65" s="2">
        <v>38964</v>
      </c>
    </row>
    <row r="66" spans="1:5" x14ac:dyDescent="0.2">
      <c r="A66" s="1">
        <v>40270</v>
      </c>
      <c r="B66" s="1">
        <v>38112</v>
      </c>
      <c r="C66" s="1">
        <v>39044</v>
      </c>
      <c r="E66" s="2">
        <v>39044</v>
      </c>
    </row>
    <row r="67" spans="1:5" x14ac:dyDescent="0.2">
      <c r="A67" s="1">
        <v>40273</v>
      </c>
      <c r="B67" s="1">
        <v>38187</v>
      </c>
      <c r="C67" s="1">
        <v>39076</v>
      </c>
      <c r="E67" s="2">
        <v>39076</v>
      </c>
    </row>
    <row r="68" spans="1:5" x14ac:dyDescent="0.2">
      <c r="A68" s="1">
        <v>40539</v>
      </c>
      <c r="B68" s="1">
        <v>38250</v>
      </c>
      <c r="C68" s="1">
        <v>39083</v>
      </c>
      <c r="E68" s="2">
        <v>39083</v>
      </c>
    </row>
    <row r="69" spans="1:5" x14ac:dyDescent="0.2">
      <c r="A69" s="1">
        <v>40540</v>
      </c>
      <c r="B69" s="1">
        <v>38253</v>
      </c>
      <c r="C69" s="1">
        <v>39084</v>
      </c>
      <c r="E69" s="2">
        <v>39084</v>
      </c>
    </row>
    <row r="70" spans="1:5" x14ac:dyDescent="0.2">
      <c r="A70" s="1">
        <v>40655</v>
      </c>
      <c r="B70" s="1">
        <v>38271</v>
      </c>
      <c r="C70" s="1">
        <v>39097</v>
      </c>
      <c r="E70" s="2">
        <v>39097</v>
      </c>
    </row>
    <row r="71" spans="1:5" x14ac:dyDescent="0.2">
      <c r="A71" s="1">
        <v>40658</v>
      </c>
      <c r="B71" s="1">
        <v>38294</v>
      </c>
      <c r="C71" s="1">
        <v>39132</v>
      </c>
      <c r="E71" s="2">
        <v>39132</v>
      </c>
    </row>
    <row r="72" spans="1:5" x14ac:dyDescent="0.2">
      <c r="A72" s="1">
        <v>40819</v>
      </c>
      <c r="B72" s="1">
        <v>38314</v>
      </c>
      <c r="C72" s="1">
        <v>39178</v>
      </c>
      <c r="E72" s="2">
        <v>39178</v>
      </c>
    </row>
    <row r="73" spans="1:5" x14ac:dyDescent="0.2">
      <c r="A73" s="1">
        <v>40903</v>
      </c>
      <c r="B73" s="1">
        <v>38344</v>
      </c>
      <c r="C73" s="1">
        <v>39230</v>
      </c>
      <c r="E73" s="2">
        <v>39230</v>
      </c>
    </row>
    <row r="74" spans="1:5" x14ac:dyDescent="0.2">
      <c r="A74" s="1">
        <v>40904</v>
      </c>
      <c r="B74" s="1">
        <v>38352</v>
      </c>
      <c r="C74" s="1">
        <v>39267</v>
      </c>
      <c r="E74" s="2">
        <v>39267</v>
      </c>
    </row>
    <row r="75" spans="1:5" x14ac:dyDescent="0.2">
      <c r="A75" s="1">
        <v>41005</v>
      </c>
      <c r="B75" s="1">
        <v>38355</v>
      </c>
      <c r="C75" s="1">
        <v>39328</v>
      </c>
      <c r="E75" s="2">
        <v>39328</v>
      </c>
    </row>
    <row r="76" spans="1:5" x14ac:dyDescent="0.2">
      <c r="A76" s="1">
        <v>41008</v>
      </c>
      <c r="B76" s="1">
        <v>38362</v>
      </c>
      <c r="C76" s="1">
        <v>39408</v>
      </c>
      <c r="E76" s="2">
        <v>39408</v>
      </c>
    </row>
    <row r="77" spans="1:5" x14ac:dyDescent="0.2">
      <c r="A77" s="1">
        <v>41030</v>
      </c>
      <c r="B77" s="1">
        <v>38394</v>
      </c>
      <c r="C77" s="1">
        <v>39441</v>
      </c>
      <c r="E77" s="2">
        <v>39441</v>
      </c>
    </row>
    <row r="78" spans="1:5" x14ac:dyDescent="0.2">
      <c r="A78" s="1">
        <v>41185</v>
      </c>
      <c r="B78" s="1">
        <v>38432</v>
      </c>
      <c r="C78" s="1">
        <v>39448</v>
      </c>
      <c r="E78" s="2">
        <v>39448</v>
      </c>
    </row>
    <row r="79" spans="1:5" x14ac:dyDescent="0.2">
      <c r="A79" s="1">
        <v>41268</v>
      </c>
      <c r="B79" s="1">
        <v>38471</v>
      </c>
      <c r="C79" s="1">
        <v>39468</v>
      </c>
      <c r="E79" s="2">
        <v>39468</v>
      </c>
    </row>
    <row r="80" spans="1:5" x14ac:dyDescent="0.2">
      <c r="A80" s="1">
        <v>41269</v>
      </c>
      <c r="B80" s="1">
        <v>38475</v>
      </c>
      <c r="C80" s="1">
        <v>39496</v>
      </c>
      <c r="E80" s="2">
        <v>39496</v>
      </c>
    </row>
    <row r="81" spans="1:5" x14ac:dyDescent="0.2">
      <c r="A81" s="1">
        <v>41275</v>
      </c>
      <c r="B81" s="1">
        <v>38476</v>
      </c>
      <c r="C81" s="1">
        <v>39528</v>
      </c>
      <c r="E81" s="2">
        <v>39528</v>
      </c>
    </row>
    <row r="82" spans="1:5" x14ac:dyDescent="0.2">
      <c r="A82" s="1">
        <v>41362</v>
      </c>
      <c r="B82" s="1">
        <v>38477</v>
      </c>
      <c r="C82" s="1">
        <v>39594</v>
      </c>
      <c r="E82" s="2">
        <v>39594</v>
      </c>
    </row>
    <row r="83" spans="1:5" x14ac:dyDescent="0.2">
      <c r="A83" s="1">
        <v>41365</v>
      </c>
      <c r="B83" s="1">
        <v>38551</v>
      </c>
      <c r="C83" s="1">
        <v>39633</v>
      </c>
      <c r="E83" s="2">
        <v>39633</v>
      </c>
    </row>
    <row r="84" spans="1:5" x14ac:dyDescent="0.2">
      <c r="A84" s="1">
        <v>41395</v>
      </c>
      <c r="B84" s="1">
        <v>38614</v>
      </c>
      <c r="C84" s="1">
        <v>39692</v>
      </c>
      <c r="E84" s="2">
        <v>39692</v>
      </c>
    </row>
    <row r="85" spans="1:5" x14ac:dyDescent="0.2">
      <c r="A85" s="1">
        <v>41550</v>
      </c>
      <c r="B85" s="1">
        <v>38618</v>
      </c>
      <c r="C85" s="1">
        <v>39779</v>
      </c>
      <c r="E85" s="2">
        <v>39779</v>
      </c>
    </row>
    <row r="86" spans="1:5" x14ac:dyDescent="0.2">
      <c r="A86" s="1">
        <v>41633</v>
      </c>
      <c r="B86" s="1">
        <v>38635</v>
      </c>
      <c r="C86" s="1">
        <v>39807</v>
      </c>
      <c r="E86" s="2">
        <v>39807</v>
      </c>
    </row>
    <row r="87" spans="1:5" x14ac:dyDescent="0.2">
      <c r="A87" s="1">
        <v>41634</v>
      </c>
      <c r="B87" s="1">
        <v>38659</v>
      </c>
      <c r="C87" s="1">
        <v>39814</v>
      </c>
      <c r="E87" s="2">
        <v>39814</v>
      </c>
    </row>
    <row r="88" spans="1:5" x14ac:dyDescent="0.2">
      <c r="A88" s="1">
        <v>41640</v>
      </c>
      <c r="B88" s="1">
        <v>38679</v>
      </c>
      <c r="C88" s="1">
        <v>39832</v>
      </c>
      <c r="E88" s="2">
        <v>39832</v>
      </c>
    </row>
    <row r="89" spans="1:5" x14ac:dyDescent="0.2">
      <c r="A89" s="1">
        <v>41747</v>
      </c>
      <c r="B89" s="1">
        <v>38709</v>
      </c>
      <c r="C89" s="1">
        <v>39860</v>
      </c>
      <c r="E89" s="2">
        <v>39860</v>
      </c>
    </row>
    <row r="90" spans="1:5" x14ac:dyDescent="0.2">
      <c r="A90" s="1">
        <v>41750</v>
      </c>
      <c r="B90" s="1">
        <v>38719</v>
      </c>
      <c r="C90" s="1">
        <v>39913</v>
      </c>
      <c r="E90" s="2">
        <v>39913</v>
      </c>
    </row>
    <row r="91" spans="1:5" x14ac:dyDescent="0.2">
      <c r="A91" s="1">
        <v>41760</v>
      </c>
      <c r="B91" s="1">
        <v>38720</v>
      </c>
      <c r="C91" s="1">
        <v>39958</v>
      </c>
      <c r="E91" s="2">
        <v>39958</v>
      </c>
    </row>
    <row r="92" spans="1:5" x14ac:dyDescent="0.2">
      <c r="A92" s="1">
        <v>41915</v>
      </c>
      <c r="B92" s="1">
        <v>38726</v>
      </c>
      <c r="C92" s="1">
        <v>39997</v>
      </c>
      <c r="E92" s="2">
        <v>39997</v>
      </c>
    </row>
    <row r="93" spans="1:5" x14ac:dyDescent="0.2">
      <c r="A93" s="1">
        <v>41998</v>
      </c>
      <c r="B93" s="1">
        <v>38797</v>
      </c>
      <c r="C93" s="1">
        <v>40063</v>
      </c>
      <c r="E93" s="2">
        <v>40063</v>
      </c>
    </row>
    <row r="94" spans="1:5" x14ac:dyDescent="0.2">
      <c r="A94" s="1">
        <v>41999</v>
      </c>
      <c r="B94" s="1">
        <v>38840</v>
      </c>
      <c r="C94" s="1">
        <v>40143</v>
      </c>
      <c r="E94" s="2">
        <v>40143</v>
      </c>
    </row>
    <row r="95" spans="1:5" x14ac:dyDescent="0.2">
      <c r="A95" s="1">
        <v>42005</v>
      </c>
      <c r="B95" s="1">
        <v>38841</v>
      </c>
      <c r="C95" s="1">
        <v>40172</v>
      </c>
      <c r="E95" s="2">
        <v>40172</v>
      </c>
    </row>
    <row r="96" spans="1:5" x14ac:dyDescent="0.2">
      <c r="A96" s="1">
        <v>42097</v>
      </c>
      <c r="B96" s="1">
        <v>38842</v>
      </c>
      <c r="C96" s="1">
        <v>40179</v>
      </c>
      <c r="E96" s="2">
        <v>40179</v>
      </c>
    </row>
    <row r="97" spans="1:5" x14ac:dyDescent="0.2">
      <c r="A97" s="1">
        <v>42100</v>
      </c>
      <c r="B97" s="1">
        <v>38915</v>
      </c>
      <c r="C97" s="1">
        <v>40196</v>
      </c>
      <c r="E97" s="2">
        <v>40196</v>
      </c>
    </row>
    <row r="98" spans="1:5" x14ac:dyDescent="0.2">
      <c r="A98" s="1">
        <v>42125</v>
      </c>
      <c r="B98" s="1">
        <v>38978</v>
      </c>
      <c r="C98" s="1">
        <v>40224</v>
      </c>
      <c r="E98" s="2">
        <v>40224</v>
      </c>
    </row>
    <row r="99" spans="1:5" x14ac:dyDescent="0.2">
      <c r="A99" s="1">
        <v>42363</v>
      </c>
      <c r="B99" s="1">
        <v>38999</v>
      </c>
      <c r="C99" s="1">
        <v>40270</v>
      </c>
      <c r="E99" s="2">
        <v>40270</v>
      </c>
    </row>
    <row r="100" spans="1:5" x14ac:dyDescent="0.2">
      <c r="A100" s="1">
        <v>42366</v>
      </c>
      <c r="B100" s="1">
        <v>39024</v>
      </c>
      <c r="C100" s="1">
        <v>40329</v>
      </c>
      <c r="E100" s="2">
        <v>40329</v>
      </c>
    </row>
    <row r="101" spans="1:5" x14ac:dyDescent="0.2">
      <c r="A101" s="1">
        <v>42370</v>
      </c>
      <c r="B101" s="1">
        <v>39044</v>
      </c>
      <c r="C101" s="1">
        <v>40364</v>
      </c>
      <c r="E101" s="2">
        <v>40364</v>
      </c>
    </row>
    <row r="102" spans="1:5" x14ac:dyDescent="0.2">
      <c r="A102" s="1">
        <v>42454</v>
      </c>
      <c r="B102" s="1">
        <v>39083</v>
      </c>
      <c r="C102" s="1">
        <v>40427</v>
      </c>
      <c r="E102" s="2">
        <v>40427</v>
      </c>
    </row>
    <row r="103" spans="1:5" x14ac:dyDescent="0.2">
      <c r="A103" s="1">
        <v>42457</v>
      </c>
      <c r="B103" s="1">
        <v>39084</v>
      </c>
      <c r="C103" s="1">
        <v>40507</v>
      </c>
      <c r="E103" s="2">
        <v>40507</v>
      </c>
    </row>
    <row r="104" spans="1:5" x14ac:dyDescent="0.2">
      <c r="A104" s="1">
        <v>42646</v>
      </c>
      <c r="B104" s="1">
        <v>39085</v>
      </c>
      <c r="C104" s="1">
        <v>40536</v>
      </c>
      <c r="E104" s="2">
        <v>40536</v>
      </c>
    </row>
    <row r="105" spans="1:5" x14ac:dyDescent="0.2">
      <c r="A105" s="1">
        <v>42730</v>
      </c>
      <c r="B105" s="1">
        <v>39090</v>
      </c>
      <c r="C105" s="1">
        <v>40560</v>
      </c>
      <c r="E105" s="2">
        <v>40560</v>
      </c>
    </row>
    <row r="106" spans="1:5" x14ac:dyDescent="0.2">
      <c r="A106" s="1">
        <v>42731</v>
      </c>
      <c r="B106" s="1">
        <v>39125</v>
      </c>
      <c r="C106" s="1">
        <v>40595</v>
      </c>
      <c r="E106" s="2">
        <v>40595</v>
      </c>
    </row>
    <row r="107" spans="1:5" x14ac:dyDescent="0.2">
      <c r="A107" s="1">
        <v>42839</v>
      </c>
      <c r="B107" s="1">
        <v>39162</v>
      </c>
      <c r="C107" s="1">
        <v>40655</v>
      </c>
      <c r="E107" s="2">
        <v>40655</v>
      </c>
    </row>
    <row r="108" spans="1:5" x14ac:dyDescent="0.2">
      <c r="A108" s="1">
        <v>42842</v>
      </c>
      <c r="B108" s="1">
        <v>39202</v>
      </c>
      <c r="C108" s="1">
        <v>40693</v>
      </c>
      <c r="E108" s="2">
        <v>40693</v>
      </c>
    </row>
    <row r="109" spans="1:5" x14ac:dyDescent="0.2">
      <c r="A109" s="1">
        <v>42856</v>
      </c>
      <c r="B109" s="1">
        <v>39205</v>
      </c>
      <c r="C109" s="1">
        <v>40728</v>
      </c>
      <c r="E109" s="2">
        <v>40728</v>
      </c>
    </row>
    <row r="110" spans="1:5" x14ac:dyDescent="0.2">
      <c r="A110" s="1">
        <v>43011</v>
      </c>
      <c r="B110" s="1">
        <v>39206</v>
      </c>
      <c r="C110" s="1">
        <v>40791</v>
      </c>
      <c r="E110" s="2">
        <v>40791</v>
      </c>
    </row>
    <row r="111" spans="1:5" x14ac:dyDescent="0.2">
      <c r="A111" s="1">
        <v>43094</v>
      </c>
      <c r="B111" s="1">
        <v>39279</v>
      </c>
      <c r="C111" s="1">
        <v>40871</v>
      </c>
      <c r="E111" s="2">
        <v>40871</v>
      </c>
    </row>
    <row r="112" spans="1:5" x14ac:dyDescent="0.2">
      <c r="A112" s="1">
        <v>43095</v>
      </c>
      <c r="B112" s="1">
        <v>39342</v>
      </c>
      <c r="C112" s="1">
        <v>40903</v>
      </c>
      <c r="E112" s="2">
        <v>40903</v>
      </c>
    </row>
    <row r="113" spans="1:5" x14ac:dyDescent="0.2">
      <c r="A113" s="1">
        <v>43101</v>
      </c>
      <c r="B113" s="1">
        <v>39349</v>
      </c>
      <c r="C113" s="1">
        <v>40910</v>
      </c>
      <c r="E113" s="2">
        <v>40910</v>
      </c>
    </row>
    <row r="114" spans="1:5" x14ac:dyDescent="0.2">
      <c r="A114" s="1">
        <v>43189</v>
      </c>
      <c r="B114" s="1">
        <v>39363</v>
      </c>
      <c r="C114" s="1">
        <v>40924</v>
      </c>
      <c r="E114" s="2">
        <v>40924</v>
      </c>
    </row>
    <row r="115" spans="1:5" x14ac:dyDescent="0.2">
      <c r="A115" s="1">
        <v>43192</v>
      </c>
      <c r="B115" s="1">
        <v>39409</v>
      </c>
      <c r="C115" s="1">
        <v>40959</v>
      </c>
      <c r="E115" s="2">
        <v>40959</v>
      </c>
    </row>
    <row r="116" spans="1:5" x14ac:dyDescent="0.2">
      <c r="A116" s="1">
        <v>43221</v>
      </c>
      <c r="B116" s="1">
        <v>39440</v>
      </c>
      <c r="C116" s="1">
        <v>41005</v>
      </c>
      <c r="E116" s="2">
        <v>41005</v>
      </c>
    </row>
    <row r="117" spans="1:5" x14ac:dyDescent="0.2">
      <c r="A117" s="1">
        <v>43376</v>
      </c>
      <c r="B117" s="1">
        <v>39447</v>
      </c>
      <c r="C117" s="1">
        <v>41057</v>
      </c>
      <c r="E117" s="2">
        <v>41057</v>
      </c>
    </row>
    <row r="118" spans="1:5" x14ac:dyDescent="0.2">
      <c r="A118" s="1">
        <v>43459</v>
      </c>
      <c r="B118" s="1">
        <v>39448</v>
      </c>
      <c r="C118" s="1">
        <v>41094</v>
      </c>
      <c r="E118" s="2">
        <v>41094</v>
      </c>
    </row>
    <row r="119" spans="1:5" x14ac:dyDescent="0.2">
      <c r="A119" s="1">
        <v>43460</v>
      </c>
      <c r="B119" s="1">
        <v>39449</v>
      </c>
      <c r="C119" s="1">
        <v>41155</v>
      </c>
      <c r="E119" s="2">
        <v>41155</v>
      </c>
    </row>
    <row r="120" spans="1:5" x14ac:dyDescent="0.2">
      <c r="A120" s="1">
        <v>43466</v>
      </c>
      <c r="B120" s="1">
        <v>39450</v>
      </c>
      <c r="C120" s="1">
        <v>41211</v>
      </c>
      <c r="E120" s="2">
        <v>41211</v>
      </c>
    </row>
    <row r="121" spans="1:5" x14ac:dyDescent="0.2">
      <c r="A121" s="1">
        <v>43574</v>
      </c>
      <c r="B121" s="1">
        <v>39461</v>
      </c>
      <c r="C121" s="1">
        <v>41212</v>
      </c>
      <c r="E121" s="2">
        <v>41212</v>
      </c>
    </row>
    <row r="122" spans="1:5" x14ac:dyDescent="0.2">
      <c r="A122" s="1">
        <v>43577</v>
      </c>
      <c r="B122" s="1">
        <v>39489</v>
      </c>
      <c r="C122" s="1">
        <v>41235</v>
      </c>
      <c r="E122" s="2">
        <v>41235</v>
      </c>
    </row>
    <row r="123" spans="1:5" x14ac:dyDescent="0.2">
      <c r="A123" s="1">
        <v>43586</v>
      </c>
      <c r="B123" s="1">
        <v>39527</v>
      </c>
      <c r="C123" s="1">
        <v>41268</v>
      </c>
      <c r="E123" s="2">
        <v>41268</v>
      </c>
    </row>
    <row r="124" spans="1:5" x14ac:dyDescent="0.2">
      <c r="A124" s="1">
        <v>43741</v>
      </c>
      <c r="B124" s="1">
        <v>39567</v>
      </c>
      <c r="C124" s="1">
        <v>41275</v>
      </c>
      <c r="E124" s="2">
        <v>41275</v>
      </c>
    </row>
    <row r="125" spans="1:5" x14ac:dyDescent="0.2">
      <c r="A125" s="1">
        <v>43824</v>
      </c>
      <c r="B125" s="1">
        <v>39573</v>
      </c>
      <c r="C125" s="1">
        <v>41295</v>
      </c>
      <c r="E125" s="2">
        <v>41295</v>
      </c>
    </row>
    <row r="126" spans="1:5" x14ac:dyDescent="0.2">
      <c r="A126" s="1">
        <v>43825</v>
      </c>
      <c r="B126" s="1">
        <v>39574</v>
      </c>
      <c r="C126" s="1">
        <v>41323</v>
      </c>
      <c r="E126" s="2">
        <v>41323</v>
      </c>
    </row>
    <row r="127" spans="1:5" x14ac:dyDescent="0.2">
      <c r="A127" s="1">
        <v>43831</v>
      </c>
      <c r="B127" s="1">
        <v>39650</v>
      </c>
      <c r="C127" s="1">
        <v>41362</v>
      </c>
      <c r="E127" s="2">
        <v>41362</v>
      </c>
    </row>
    <row r="128" spans="1:5" x14ac:dyDescent="0.2">
      <c r="A128" s="1">
        <v>43931</v>
      </c>
      <c r="B128" s="1">
        <v>39706</v>
      </c>
      <c r="C128" s="1">
        <v>41421</v>
      </c>
      <c r="E128" s="2">
        <v>41421</v>
      </c>
    </row>
    <row r="129" spans="1:5" x14ac:dyDescent="0.2">
      <c r="A129" s="1">
        <v>43934</v>
      </c>
      <c r="B129" s="1">
        <v>39714</v>
      </c>
      <c r="C129" s="1">
        <v>41459</v>
      </c>
      <c r="E129" s="2">
        <v>41459</v>
      </c>
    </row>
    <row r="130" spans="1:5" x14ac:dyDescent="0.2">
      <c r="A130" s="1">
        <v>43952</v>
      </c>
      <c r="B130" s="1">
        <v>39734</v>
      </c>
      <c r="C130" s="1">
        <v>41519</v>
      </c>
      <c r="E130" s="2">
        <v>41519</v>
      </c>
    </row>
    <row r="131" spans="1:5" x14ac:dyDescent="0.2">
      <c r="A131" s="1">
        <v>44190</v>
      </c>
      <c r="B131" s="1">
        <v>39755</v>
      </c>
      <c r="C131" s="1">
        <v>41606</v>
      </c>
      <c r="E131" s="2">
        <v>41606</v>
      </c>
    </row>
    <row r="132" spans="1:5" x14ac:dyDescent="0.2">
      <c r="A132" s="1">
        <v>44193</v>
      </c>
      <c r="B132" s="1">
        <v>39776</v>
      </c>
      <c r="C132" s="1">
        <v>41633</v>
      </c>
      <c r="E132" s="2">
        <v>41633</v>
      </c>
    </row>
    <row r="133" spans="1:5" x14ac:dyDescent="0.2">
      <c r="A133" s="1">
        <v>44197</v>
      </c>
      <c r="B133" s="1">
        <v>39805</v>
      </c>
      <c r="C133" s="1">
        <v>41640</v>
      </c>
      <c r="E133" s="2">
        <v>41640</v>
      </c>
    </row>
    <row r="134" spans="1:5" x14ac:dyDescent="0.2">
      <c r="A134" s="1">
        <v>44288</v>
      </c>
      <c r="B134" s="1">
        <v>39813</v>
      </c>
      <c r="C134" s="1">
        <v>41659</v>
      </c>
      <c r="E134" s="2">
        <v>41659</v>
      </c>
    </row>
    <row r="135" spans="1:5" x14ac:dyDescent="0.2">
      <c r="A135" s="1">
        <v>44291</v>
      </c>
      <c r="B135" s="1">
        <v>39814</v>
      </c>
      <c r="C135" s="1">
        <v>41687</v>
      </c>
      <c r="E135" s="2">
        <v>41687</v>
      </c>
    </row>
    <row r="136" spans="1:5" x14ac:dyDescent="0.2">
      <c r="A136" s="1">
        <v>44557</v>
      </c>
      <c r="B136" s="1">
        <v>39815</v>
      </c>
      <c r="C136" s="1">
        <v>41747</v>
      </c>
      <c r="E136" s="2">
        <v>41747</v>
      </c>
    </row>
    <row r="137" spans="1:5" x14ac:dyDescent="0.2">
      <c r="A137" s="1">
        <v>44558</v>
      </c>
      <c r="B137" s="1">
        <v>39825</v>
      </c>
      <c r="C137" s="1">
        <v>41785</v>
      </c>
      <c r="E137" s="2">
        <v>41785</v>
      </c>
    </row>
    <row r="138" spans="1:5" x14ac:dyDescent="0.2">
      <c r="A138" s="1">
        <v>44666</v>
      </c>
      <c r="B138" s="1">
        <v>39855</v>
      </c>
      <c r="C138" s="1">
        <v>41824</v>
      </c>
      <c r="E138" s="2">
        <v>41824</v>
      </c>
    </row>
    <row r="139" spans="1:5" x14ac:dyDescent="0.2">
      <c r="A139" s="1">
        <v>44669</v>
      </c>
      <c r="B139" s="1">
        <v>39892</v>
      </c>
      <c r="C139" s="1">
        <v>41883</v>
      </c>
      <c r="E139" s="2">
        <v>41883</v>
      </c>
    </row>
    <row r="140" spans="1:5" x14ac:dyDescent="0.2">
      <c r="A140" s="1">
        <v>44837</v>
      </c>
      <c r="B140" s="1">
        <v>39932</v>
      </c>
      <c r="C140" s="1">
        <v>41970</v>
      </c>
      <c r="E140" s="2">
        <v>41970</v>
      </c>
    </row>
    <row r="141" spans="1:5" x14ac:dyDescent="0.2">
      <c r="A141" s="1">
        <v>44921</v>
      </c>
      <c r="B141" s="1">
        <v>39937</v>
      </c>
      <c r="C141" s="1">
        <v>41998</v>
      </c>
      <c r="E141" s="2">
        <v>41998</v>
      </c>
    </row>
    <row r="142" spans="1:5" x14ac:dyDescent="0.2">
      <c r="A142" s="1">
        <v>44922</v>
      </c>
      <c r="B142" s="1">
        <v>39938</v>
      </c>
      <c r="C142" s="1">
        <v>42005</v>
      </c>
      <c r="E142" s="2">
        <v>42005</v>
      </c>
    </row>
    <row r="143" spans="1:5" x14ac:dyDescent="0.2">
      <c r="A143" s="1">
        <v>45023</v>
      </c>
      <c r="B143" s="1">
        <v>39939</v>
      </c>
      <c r="C143" s="1">
        <v>42023</v>
      </c>
      <c r="E143" s="2">
        <v>42023</v>
      </c>
    </row>
    <row r="144" spans="1:5" x14ac:dyDescent="0.2">
      <c r="A144" s="1">
        <v>45026</v>
      </c>
      <c r="B144" s="1">
        <v>40014</v>
      </c>
      <c r="C144" s="1">
        <v>42051</v>
      </c>
      <c r="E144" s="2">
        <v>42051</v>
      </c>
    </row>
    <row r="145" spans="1:5" x14ac:dyDescent="0.2">
      <c r="A145" s="1">
        <v>45047</v>
      </c>
      <c r="B145" s="1">
        <v>40077</v>
      </c>
      <c r="C145" s="1">
        <v>42097</v>
      </c>
      <c r="E145" s="2">
        <v>42097</v>
      </c>
    </row>
    <row r="146" spans="1:5" x14ac:dyDescent="0.2">
      <c r="A146" s="1">
        <v>45202</v>
      </c>
      <c r="B146" s="1">
        <v>40078</v>
      </c>
      <c r="C146" s="1">
        <v>42149</v>
      </c>
      <c r="E146" s="2">
        <v>42149</v>
      </c>
    </row>
    <row r="147" spans="1:5" x14ac:dyDescent="0.2">
      <c r="A147" s="1">
        <v>45285</v>
      </c>
      <c r="B147" s="1">
        <v>40079</v>
      </c>
      <c r="C147" s="1">
        <v>42188</v>
      </c>
      <c r="E147" s="2">
        <v>42188</v>
      </c>
    </row>
    <row r="148" spans="1:5" x14ac:dyDescent="0.2">
      <c r="A148" s="1">
        <v>45286</v>
      </c>
      <c r="B148" s="1">
        <v>40098</v>
      </c>
      <c r="C148" s="1">
        <v>42254</v>
      </c>
      <c r="E148" s="2">
        <v>42254</v>
      </c>
    </row>
    <row r="149" spans="1:5" x14ac:dyDescent="0.2">
      <c r="A149" s="1">
        <v>45292</v>
      </c>
      <c r="B149" s="1">
        <v>40120</v>
      </c>
      <c r="C149" s="1">
        <v>42334</v>
      </c>
      <c r="E149" s="2">
        <v>42334</v>
      </c>
    </row>
    <row r="150" spans="1:5" x14ac:dyDescent="0.2">
      <c r="A150" s="1">
        <v>45380</v>
      </c>
      <c r="B150" s="1">
        <v>40140</v>
      </c>
      <c r="C150" s="1">
        <v>42363</v>
      </c>
      <c r="E150" s="2">
        <v>42363</v>
      </c>
    </row>
    <row r="151" spans="1:5" x14ac:dyDescent="0.2">
      <c r="A151" s="1">
        <v>45383</v>
      </c>
      <c r="B151" s="1">
        <v>40170</v>
      </c>
      <c r="C151" s="1">
        <v>42370</v>
      </c>
      <c r="E151" s="2">
        <v>42370</v>
      </c>
    </row>
    <row r="152" spans="1:5" x14ac:dyDescent="0.2">
      <c r="A152" s="1">
        <v>45413</v>
      </c>
      <c r="B152" s="1">
        <v>40178</v>
      </c>
      <c r="C152" s="1">
        <v>42387</v>
      </c>
      <c r="E152" s="2">
        <v>42387</v>
      </c>
    </row>
    <row r="153" spans="1:5" x14ac:dyDescent="0.2">
      <c r="A153" s="1">
        <v>45568</v>
      </c>
      <c r="B153" s="1">
        <v>40179</v>
      </c>
      <c r="C153" s="1">
        <v>42415</v>
      </c>
      <c r="E153" s="2">
        <v>42415</v>
      </c>
    </row>
    <row r="154" spans="1:5" x14ac:dyDescent="0.2">
      <c r="A154" s="1">
        <v>45651</v>
      </c>
      <c r="B154" s="1">
        <v>40189</v>
      </c>
      <c r="C154" s="1">
        <v>42454</v>
      </c>
      <c r="E154" s="2">
        <v>42454</v>
      </c>
    </row>
    <row r="155" spans="1:5" x14ac:dyDescent="0.2">
      <c r="A155" s="1">
        <v>45652</v>
      </c>
      <c r="B155" s="1">
        <v>40220</v>
      </c>
      <c r="C155" s="1">
        <v>42520</v>
      </c>
      <c r="E155" s="2">
        <v>42520</v>
      </c>
    </row>
    <row r="156" spans="1:5" x14ac:dyDescent="0.2">
      <c r="A156" s="1">
        <v>45658</v>
      </c>
      <c r="B156" s="1">
        <v>40259</v>
      </c>
      <c r="C156" s="1">
        <v>42555</v>
      </c>
      <c r="E156" s="2">
        <v>42555</v>
      </c>
    </row>
    <row r="157" spans="1:5" x14ac:dyDescent="0.2">
      <c r="A157" s="1">
        <v>45765</v>
      </c>
      <c r="B157" s="1">
        <v>40297</v>
      </c>
      <c r="C157" s="1">
        <v>42618</v>
      </c>
      <c r="E157" s="2">
        <v>42618</v>
      </c>
    </row>
    <row r="158" spans="1:5" x14ac:dyDescent="0.2">
      <c r="A158" s="1">
        <v>45768</v>
      </c>
      <c r="B158" s="1">
        <v>40301</v>
      </c>
      <c r="C158" s="1">
        <v>42698</v>
      </c>
      <c r="E158" s="2">
        <v>42698</v>
      </c>
    </row>
    <row r="159" spans="1:5" x14ac:dyDescent="0.2">
      <c r="A159" s="1">
        <v>45778</v>
      </c>
      <c r="B159" s="1">
        <v>40302</v>
      </c>
      <c r="C159" s="1">
        <v>42730</v>
      </c>
      <c r="E159" s="2">
        <v>42730</v>
      </c>
    </row>
    <row r="160" spans="1:5" x14ac:dyDescent="0.2">
      <c r="A160" s="1">
        <v>45933</v>
      </c>
      <c r="B160" s="1">
        <v>40303</v>
      </c>
      <c r="C160" s="1">
        <v>42737</v>
      </c>
      <c r="E160" s="2">
        <v>42737</v>
      </c>
    </row>
    <row r="161" spans="1:5" x14ac:dyDescent="0.2">
      <c r="A161" s="1">
        <v>46016</v>
      </c>
      <c r="B161" s="1">
        <v>40378</v>
      </c>
      <c r="C161" s="1">
        <v>42751</v>
      </c>
      <c r="E161" s="2">
        <v>42751</v>
      </c>
    </row>
    <row r="162" spans="1:5" x14ac:dyDescent="0.2">
      <c r="A162" s="1">
        <v>46017</v>
      </c>
      <c r="B162" s="1">
        <v>40441</v>
      </c>
      <c r="C162" s="1">
        <v>42786</v>
      </c>
      <c r="E162" s="2">
        <v>42786</v>
      </c>
    </row>
    <row r="163" spans="1:5" x14ac:dyDescent="0.2">
      <c r="A163" s="1">
        <v>46023</v>
      </c>
      <c r="B163" s="1">
        <v>40444</v>
      </c>
      <c r="C163" s="1">
        <v>42839</v>
      </c>
      <c r="E163" s="2">
        <v>42839</v>
      </c>
    </row>
    <row r="164" spans="1:5" x14ac:dyDescent="0.2">
      <c r="A164" s="1">
        <v>46115</v>
      </c>
      <c r="B164" s="1">
        <v>40462</v>
      </c>
      <c r="C164" s="1">
        <v>42884</v>
      </c>
      <c r="E164" s="2">
        <v>42884</v>
      </c>
    </row>
    <row r="165" spans="1:5" x14ac:dyDescent="0.2">
      <c r="A165" s="1">
        <v>46118</v>
      </c>
      <c r="B165" s="1">
        <v>40485</v>
      </c>
      <c r="C165" s="1">
        <v>42920</v>
      </c>
      <c r="E165" s="2">
        <v>42920</v>
      </c>
    </row>
    <row r="166" spans="1:5" x14ac:dyDescent="0.2">
      <c r="A166" s="1">
        <v>46143</v>
      </c>
      <c r="B166" s="1">
        <v>40505</v>
      </c>
      <c r="C166" s="1">
        <v>42982</v>
      </c>
      <c r="E166" s="2">
        <v>42982</v>
      </c>
    </row>
    <row r="167" spans="1:5" x14ac:dyDescent="0.2">
      <c r="A167" s="1">
        <v>46381</v>
      </c>
      <c r="B167" s="1">
        <v>40535</v>
      </c>
      <c r="C167" s="1">
        <v>43062</v>
      </c>
      <c r="E167" s="2">
        <v>43062</v>
      </c>
    </row>
    <row r="168" spans="1:5" x14ac:dyDescent="0.2">
      <c r="A168" s="1">
        <v>46384</v>
      </c>
      <c r="B168" s="1">
        <v>40543</v>
      </c>
      <c r="C168" s="1">
        <v>43094</v>
      </c>
      <c r="E168" s="2">
        <v>43094</v>
      </c>
    </row>
    <row r="169" spans="1:5" x14ac:dyDescent="0.2">
      <c r="A169" s="1">
        <v>46388</v>
      </c>
      <c r="B169" s="1">
        <v>40546</v>
      </c>
      <c r="C169" s="1">
        <v>43101</v>
      </c>
      <c r="E169" s="2">
        <v>43101</v>
      </c>
    </row>
    <row r="170" spans="1:5" x14ac:dyDescent="0.2">
      <c r="A170" s="1">
        <v>46472</v>
      </c>
      <c r="B170" s="1">
        <v>40553</v>
      </c>
      <c r="C170" s="1">
        <v>43115</v>
      </c>
      <c r="E170" s="2">
        <v>43115</v>
      </c>
    </row>
    <row r="171" spans="1:5" x14ac:dyDescent="0.2">
      <c r="A171" s="1">
        <v>46475</v>
      </c>
      <c r="B171" s="1">
        <v>40585</v>
      </c>
      <c r="C171" s="1">
        <v>43150</v>
      </c>
      <c r="E171" s="2">
        <v>43150</v>
      </c>
    </row>
    <row r="172" spans="1:5" x14ac:dyDescent="0.2">
      <c r="A172" s="1">
        <v>46748</v>
      </c>
      <c r="B172" s="1">
        <v>40623</v>
      </c>
      <c r="C172" s="1">
        <v>43189</v>
      </c>
      <c r="E172" s="2">
        <v>43189</v>
      </c>
    </row>
    <row r="173" spans="1:5" x14ac:dyDescent="0.2">
      <c r="A173" s="1">
        <v>46749</v>
      </c>
      <c r="B173" s="1">
        <v>40662</v>
      </c>
      <c r="C173" s="1">
        <v>43248</v>
      </c>
      <c r="E173" s="2">
        <v>43248</v>
      </c>
    </row>
    <row r="174" spans="1:5" x14ac:dyDescent="0.2">
      <c r="A174" s="1">
        <v>46857</v>
      </c>
      <c r="B174" s="1">
        <v>40666</v>
      </c>
      <c r="C174" s="1">
        <v>43285</v>
      </c>
      <c r="E174" s="2">
        <v>43285</v>
      </c>
    </row>
    <row r="175" spans="1:5" x14ac:dyDescent="0.2">
      <c r="A175" s="1">
        <v>46860</v>
      </c>
      <c r="B175" s="1">
        <v>40667</v>
      </c>
      <c r="C175" s="1">
        <v>43346</v>
      </c>
      <c r="E175" s="2">
        <v>43346</v>
      </c>
    </row>
    <row r="176" spans="1:5" x14ac:dyDescent="0.2">
      <c r="A176" s="1">
        <v>46874</v>
      </c>
      <c r="B176" s="1">
        <v>40668</v>
      </c>
      <c r="C176" s="1">
        <v>43426</v>
      </c>
      <c r="E176" s="2">
        <v>43426</v>
      </c>
    </row>
    <row r="177" spans="1:5" x14ac:dyDescent="0.2">
      <c r="A177" s="1">
        <v>47029</v>
      </c>
      <c r="B177" s="1">
        <v>40742</v>
      </c>
      <c r="C177" s="1">
        <v>43439</v>
      </c>
      <c r="E177" s="2">
        <v>43439</v>
      </c>
    </row>
    <row r="178" spans="1:5" x14ac:dyDescent="0.2">
      <c r="A178" s="1">
        <v>47112</v>
      </c>
      <c r="B178" s="1">
        <v>40805</v>
      </c>
      <c r="C178" s="1">
        <v>43459</v>
      </c>
      <c r="E178" s="2">
        <v>43459</v>
      </c>
    </row>
    <row r="179" spans="1:5" x14ac:dyDescent="0.2">
      <c r="A179" s="1">
        <v>47113</v>
      </c>
      <c r="B179" s="1">
        <v>40809</v>
      </c>
      <c r="C179" s="1">
        <v>43466</v>
      </c>
      <c r="E179" s="2">
        <v>43466</v>
      </c>
    </row>
    <row r="180" spans="1:5" x14ac:dyDescent="0.2">
      <c r="A180" s="1">
        <v>47119</v>
      </c>
      <c r="B180" s="1">
        <v>40826</v>
      </c>
      <c r="C180" s="1">
        <v>43486</v>
      </c>
      <c r="E180" s="2">
        <v>43486</v>
      </c>
    </row>
    <row r="181" spans="1:5" x14ac:dyDescent="0.2">
      <c r="A181" s="1">
        <v>47207</v>
      </c>
      <c r="B181" s="1">
        <v>40850</v>
      </c>
      <c r="C181" s="1">
        <v>43514</v>
      </c>
      <c r="E181" s="2">
        <v>43514</v>
      </c>
    </row>
    <row r="182" spans="1:5" x14ac:dyDescent="0.2">
      <c r="A182" s="1">
        <v>47210</v>
      </c>
      <c r="B182" s="1">
        <v>40870</v>
      </c>
      <c r="C182" s="1">
        <v>43574</v>
      </c>
      <c r="E182" s="2">
        <v>43574</v>
      </c>
    </row>
    <row r="183" spans="1:5" x14ac:dyDescent="0.2">
      <c r="A183" s="1">
        <v>47239</v>
      </c>
      <c r="B183" s="1">
        <v>40900</v>
      </c>
      <c r="C183" s="1">
        <v>43612</v>
      </c>
      <c r="E183" s="2">
        <v>43612</v>
      </c>
    </row>
    <row r="184" spans="1:5" x14ac:dyDescent="0.2">
      <c r="A184" s="1">
        <v>47394</v>
      </c>
      <c r="B184" s="1">
        <v>40910</v>
      </c>
      <c r="C184" s="1">
        <v>43650</v>
      </c>
      <c r="E184" s="2">
        <v>43650</v>
      </c>
    </row>
    <row r="185" spans="1:5" x14ac:dyDescent="0.2">
      <c r="A185" s="1">
        <v>47477</v>
      </c>
      <c r="B185" s="1">
        <v>40911</v>
      </c>
      <c r="C185" s="1">
        <v>43710</v>
      </c>
      <c r="E185" s="2">
        <v>43710</v>
      </c>
    </row>
    <row r="186" spans="1:5" x14ac:dyDescent="0.2">
      <c r="A186" s="1">
        <v>47478</v>
      </c>
      <c r="B186" s="1">
        <v>40917</v>
      </c>
      <c r="C186" s="1">
        <v>43797</v>
      </c>
      <c r="E186" s="2">
        <v>43797</v>
      </c>
    </row>
    <row r="187" spans="1:5" x14ac:dyDescent="0.2">
      <c r="A187" s="1">
        <v>47484</v>
      </c>
      <c r="B187" s="1">
        <v>40988</v>
      </c>
      <c r="C187" s="1">
        <v>43824</v>
      </c>
      <c r="E187" s="2">
        <v>43824</v>
      </c>
    </row>
    <row r="188" spans="1:5" x14ac:dyDescent="0.2">
      <c r="A188" s="1">
        <v>47592</v>
      </c>
      <c r="B188" s="1">
        <v>41029</v>
      </c>
      <c r="C188" s="1">
        <v>43831</v>
      </c>
      <c r="E188" s="2">
        <v>43831</v>
      </c>
    </row>
    <row r="189" spans="1:5" x14ac:dyDescent="0.2">
      <c r="A189" s="1">
        <v>47595</v>
      </c>
      <c r="B189" s="1">
        <v>41032</v>
      </c>
      <c r="C189" s="1">
        <v>43850</v>
      </c>
      <c r="E189" s="2">
        <v>43850</v>
      </c>
    </row>
    <row r="190" spans="1:5" x14ac:dyDescent="0.2">
      <c r="A190" s="1">
        <v>47604</v>
      </c>
      <c r="B190" s="1">
        <v>41033</v>
      </c>
      <c r="C190" s="1">
        <v>43878</v>
      </c>
      <c r="E190" s="2">
        <v>43878</v>
      </c>
    </row>
    <row r="191" spans="1:5" x14ac:dyDescent="0.2">
      <c r="A191" s="1">
        <v>47759</v>
      </c>
      <c r="B191" s="1">
        <v>41106</v>
      </c>
      <c r="C191" s="1">
        <v>43931</v>
      </c>
      <c r="E191" s="2">
        <v>43931</v>
      </c>
    </row>
    <row r="192" spans="1:5" x14ac:dyDescent="0.2">
      <c r="A192" s="1">
        <v>47842</v>
      </c>
      <c r="B192" s="1">
        <v>41169</v>
      </c>
      <c r="C192" s="1">
        <v>43976</v>
      </c>
      <c r="E192" s="2">
        <v>43976</v>
      </c>
    </row>
    <row r="193" spans="1:5" x14ac:dyDescent="0.2">
      <c r="A193" s="1">
        <v>47843</v>
      </c>
      <c r="B193" s="1">
        <v>41190</v>
      </c>
      <c r="C193" s="1">
        <v>44015</v>
      </c>
      <c r="E193" s="2">
        <v>44015</v>
      </c>
    </row>
    <row r="194" spans="1:5" x14ac:dyDescent="0.2">
      <c r="A194" s="1">
        <v>47849</v>
      </c>
      <c r="B194" s="1">
        <v>41236</v>
      </c>
      <c r="C194" s="1">
        <v>44081</v>
      </c>
      <c r="E194" s="2">
        <v>44081</v>
      </c>
    </row>
    <row r="195" spans="1:5" x14ac:dyDescent="0.2">
      <c r="A195" s="1">
        <v>47949</v>
      </c>
      <c r="B195" s="1">
        <v>41267</v>
      </c>
      <c r="C195" s="1">
        <v>44161</v>
      </c>
      <c r="E195" s="2">
        <v>44161</v>
      </c>
    </row>
    <row r="196" spans="1:5" x14ac:dyDescent="0.2">
      <c r="A196" s="1">
        <v>47952</v>
      </c>
      <c r="B196" s="1">
        <v>41274</v>
      </c>
      <c r="C196" s="1">
        <v>44190</v>
      </c>
      <c r="E196" s="2">
        <v>44190</v>
      </c>
    </row>
    <row r="197" spans="1:5" x14ac:dyDescent="0.2">
      <c r="A197" s="1">
        <v>47969</v>
      </c>
      <c r="B197" s="1">
        <v>41275</v>
      </c>
      <c r="C197" s="1">
        <v>44197</v>
      </c>
      <c r="E197" s="2">
        <v>44197</v>
      </c>
    </row>
    <row r="198" spans="1:5" x14ac:dyDescent="0.2">
      <c r="A198" s="1">
        <v>48124</v>
      </c>
      <c r="B198" s="1">
        <v>41276</v>
      </c>
      <c r="C198" s="1">
        <v>44214</v>
      </c>
      <c r="E198" s="2">
        <v>44214</v>
      </c>
    </row>
    <row r="199" spans="1:5" x14ac:dyDescent="0.2">
      <c r="A199" s="1">
        <v>48207</v>
      </c>
      <c r="B199" s="1">
        <v>41277</v>
      </c>
      <c r="C199" s="1">
        <v>44242</v>
      </c>
      <c r="E199" s="2">
        <v>44242</v>
      </c>
    </row>
    <row r="200" spans="1:5" x14ac:dyDescent="0.2">
      <c r="A200" s="1">
        <v>48208</v>
      </c>
      <c r="B200" s="1">
        <v>41288</v>
      </c>
      <c r="C200" s="1">
        <v>44288</v>
      </c>
      <c r="E200" s="2">
        <v>44288</v>
      </c>
    </row>
    <row r="201" spans="1:5" x14ac:dyDescent="0.2">
      <c r="A201" s="1">
        <v>48214</v>
      </c>
      <c r="B201" s="1">
        <v>41316</v>
      </c>
      <c r="C201" s="1">
        <v>44347</v>
      </c>
      <c r="E201" s="2">
        <v>44347</v>
      </c>
    </row>
    <row r="202" spans="1:5" x14ac:dyDescent="0.2">
      <c r="A202" s="1">
        <v>48299</v>
      </c>
      <c r="B202" s="1">
        <v>41353</v>
      </c>
      <c r="C202" s="1">
        <v>44382</v>
      </c>
      <c r="E202" s="2">
        <v>44382</v>
      </c>
    </row>
    <row r="203" spans="1:5" x14ac:dyDescent="0.2">
      <c r="A203" s="1">
        <v>48302</v>
      </c>
      <c r="B203" s="1">
        <v>41393</v>
      </c>
      <c r="C203" s="1">
        <v>44445</v>
      </c>
      <c r="E203" s="2">
        <v>44445</v>
      </c>
    </row>
    <row r="204" spans="1:5" x14ac:dyDescent="0.2">
      <c r="A204" s="1">
        <v>48575</v>
      </c>
      <c r="B204" s="1">
        <v>41397</v>
      </c>
      <c r="C204" s="1">
        <v>44525</v>
      </c>
      <c r="E204" s="2">
        <v>44525</v>
      </c>
    </row>
    <row r="205" spans="1:5" x14ac:dyDescent="0.2">
      <c r="A205" s="1">
        <v>48576</v>
      </c>
      <c r="B205" s="1">
        <v>41400</v>
      </c>
      <c r="C205" s="1">
        <v>44554</v>
      </c>
      <c r="E205" s="2">
        <v>44554</v>
      </c>
    </row>
    <row r="206" spans="1:5" x14ac:dyDescent="0.2">
      <c r="A206" s="1">
        <v>48684</v>
      </c>
      <c r="B206" s="1">
        <v>41470</v>
      </c>
      <c r="C206" s="1">
        <v>44578</v>
      </c>
      <c r="E206" s="2">
        <v>44578</v>
      </c>
    </row>
    <row r="207" spans="1:5" x14ac:dyDescent="0.2">
      <c r="A207" s="1">
        <v>48687</v>
      </c>
      <c r="B207" s="1">
        <v>41533</v>
      </c>
      <c r="C207" s="1">
        <v>44613</v>
      </c>
      <c r="E207" s="2">
        <v>44613</v>
      </c>
    </row>
    <row r="208" spans="1:5" x14ac:dyDescent="0.2">
      <c r="A208" s="1">
        <v>48855</v>
      </c>
      <c r="B208" s="1">
        <v>41540</v>
      </c>
      <c r="C208" s="1">
        <v>44666</v>
      </c>
      <c r="E208" s="2">
        <v>44666</v>
      </c>
    </row>
    <row r="209" spans="1:5" x14ac:dyDescent="0.2">
      <c r="A209" s="1">
        <v>48939</v>
      </c>
      <c r="B209" s="1">
        <v>41561</v>
      </c>
      <c r="C209" s="1">
        <v>44711</v>
      </c>
      <c r="E209" s="2">
        <v>44711</v>
      </c>
    </row>
    <row r="210" spans="1:5" x14ac:dyDescent="0.2">
      <c r="A210" s="1">
        <v>48940</v>
      </c>
      <c r="B210" s="1">
        <v>41582</v>
      </c>
      <c r="C210" s="1">
        <v>44732</v>
      </c>
      <c r="E210" s="2">
        <v>44732</v>
      </c>
    </row>
    <row r="211" spans="1:5" x14ac:dyDescent="0.2">
      <c r="A211" s="1">
        <v>49041</v>
      </c>
      <c r="B211" s="1">
        <v>41631</v>
      </c>
      <c r="C211" s="1">
        <v>44746</v>
      </c>
      <c r="E211" s="2">
        <v>44746</v>
      </c>
    </row>
    <row r="212" spans="1:5" x14ac:dyDescent="0.2">
      <c r="A212" s="1">
        <v>49044</v>
      </c>
      <c r="B212" s="1">
        <v>41639</v>
      </c>
      <c r="C212" s="1">
        <v>44809</v>
      </c>
      <c r="E212" s="2">
        <v>44809</v>
      </c>
    </row>
    <row r="213" spans="1:5" x14ac:dyDescent="0.2">
      <c r="A213" s="1">
        <v>49065</v>
      </c>
      <c r="B213" s="1">
        <v>41640</v>
      </c>
      <c r="C213" s="1">
        <v>44889</v>
      </c>
      <c r="E213" s="2">
        <v>44889</v>
      </c>
    </row>
    <row r="214" spans="1:5" x14ac:dyDescent="0.2">
      <c r="A214" s="1">
        <v>49220</v>
      </c>
      <c r="B214" s="1">
        <v>41641</v>
      </c>
      <c r="C214" s="1">
        <v>44921</v>
      </c>
      <c r="E214" s="2">
        <v>44921</v>
      </c>
    </row>
    <row r="215" spans="1:5" x14ac:dyDescent="0.2">
      <c r="A215" s="1">
        <v>49303</v>
      </c>
      <c r="B215" s="1">
        <v>41642</v>
      </c>
      <c r="C215" s="1">
        <v>44928</v>
      </c>
      <c r="E215" s="2">
        <v>44928</v>
      </c>
    </row>
    <row r="216" spans="1:5" x14ac:dyDescent="0.2">
      <c r="A216" s="1">
        <v>49304</v>
      </c>
      <c r="B216" s="1">
        <v>41652</v>
      </c>
      <c r="C216" s="1">
        <v>44942</v>
      </c>
      <c r="E216" s="2">
        <v>44942</v>
      </c>
    </row>
    <row r="217" spans="1:5" x14ac:dyDescent="0.2">
      <c r="A217" s="1">
        <v>49310</v>
      </c>
      <c r="B217" s="1">
        <v>41681</v>
      </c>
      <c r="C217" s="1">
        <v>44977</v>
      </c>
      <c r="E217" s="2">
        <v>44977</v>
      </c>
    </row>
    <row r="218" spans="1:5" x14ac:dyDescent="0.2">
      <c r="A218" s="1">
        <v>49391</v>
      </c>
      <c r="B218" s="1">
        <v>41719</v>
      </c>
      <c r="C218" s="1">
        <v>45023</v>
      </c>
      <c r="E218" s="2">
        <v>45023</v>
      </c>
    </row>
    <row r="219" spans="1:5" x14ac:dyDescent="0.2">
      <c r="A219" s="1">
        <v>49394</v>
      </c>
      <c r="B219" s="1">
        <v>41758</v>
      </c>
      <c r="C219" s="1">
        <v>45075</v>
      </c>
      <c r="E219" s="2">
        <v>45075</v>
      </c>
    </row>
    <row r="220" spans="1:5" x14ac:dyDescent="0.2">
      <c r="A220" s="1">
        <v>49430</v>
      </c>
      <c r="B220" s="1">
        <v>41764</v>
      </c>
      <c r="C220" s="1">
        <v>45096</v>
      </c>
      <c r="E220" s="2">
        <v>45096</v>
      </c>
    </row>
    <row r="221" spans="1:5" x14ac:dyDescent="0.2">
      <c r="A221" s="1">
        <v>49585</v>
      </c>
      <c r="B221" s="1">
        <v>41765</v>
      </c>
      <c r="C221" s="1">
        <v>45111</v>
      </c>
      <c r="E221" s="2">
        <v>45111</v>
      </c>
    </row>
    <row r="222" spans="1:5" x14ac:dyDescent="0.2">
      <c r="A222" s="1">
        <v>49668</v>
      </c>
      <c r="B222" s="1">
        <v>41841</v>
      </c>
      <c r="C222" s="1">
        <v>45173</v>
      </c>
      <c r="E222" s="2">
        <v>45173</v>
      </c>
    </row>
    <row r="223" spans="1:5" x14ac:dyDescent="0.2">
      <c r="A223" s="1">
        <v>49669</v>
      </c>
      <c r="B223" s="1">
        <v>41897</v>
      </c>
      <c r="C223" s="1">
        <v>45253</v>
      </c>
      <c r="E223" s="2">
        <v>45253</v>
      </c>
    </row>
    <row r="224" spans="1:5" x14ac:dyDescent="0.2">
      <c r="A224" s="1">
        <v>49675</v>
      </c>
      <c r="B224" s="1">
        <v>41905</v>
      </c>
      <c r="C224" s="1">
        <v>45285</v>
      </c>
      <c r="E224" s="2">
        <v>45285</v>
      </c>
    </row>
    <row r="225" spans="1:5" x14ac:dyDescent="0.2">
      <c r="A225" s="1">
        <v>49776</v>
      </c>
      <c r="B225" s="1">
        <v>41925</v>
      </c>
      <c r="C225" s="1">
        <v>45292</v>
      </c>
      <c r="E225" s="2">
        <v>45292</v>
      </c>
    </row>
    <row r="226" spans="1:5" x14ac:dyDescent="0.2">
      <c r="A226" s="1">
        <v>49779</v>
      </c>
      <c r="B226" s="1">
        <v>41946</v>
      </c>
      <c r="C226" s="1">
        <v>45306</v>
      </c>
      <c r="E226" s="2">
        <v>45306</v>
      </c>
    </row>
    <row r="227" spans="1:5" x14ac:dyDescent="0.2">
      <c r="A227" s="1">
        <v>49796</v>
      </c>
      <c r="B227" s="1">
        <v>41967</v>
      </c>
      <c r="C227" s="1">
        <v>45341</v>
      </c>
      <c r="E227" s="2">
        <v>45341</v>
      </c>
    </row>
    <row r="228" spans="1:5" x14ac:dyDescent="0.2">
      <c r="A228" s="1">
        <v>49951</v>
      </c>
      <c r="B228" s="1">
        <v>41996</v>
      </c>
      <c r="C228" s="1">
        <v>45380</v>
      </c>
      <c r="E228" s="2">
        <v>45380</v>
      </c>
    </row>
    <row r="229" spans="1:5" x14ac:dyDescent="0.2">
      <c r="A229" s="1">
        <v>50034</v>
      </c>
      <c r="B229" s="1">
        <v>42004</v>
      </c>
      <c r="C229" s="1">
        <v>45439</v>
      </c>
      <c r="E229" s="2">
        <v>45439</v>
      </c>
    </row>
    <row r="230" spans="1:5" x14ac:dyDescent="0.2">
      <c r="A230" s="1">
        <v>50035</v>
      </c>
      <c r="B230" s="1">
        <v>42005</v>
      </c>
      <c r="C230" s="1">
        <v>45462</v>
      </c>
      <c r="E230" s="2">
        <v>45462</v>
      </c>
    </row>
    <row r="231" spans="1:5" x14ac:dyDescent="0.2">
      <c r="A231" s="1">
        <v>50041</v>
      </c>
      <c r="B231" s="1">
        <v>42006</v>
      </c>
      <c r="C231" s="1">
        <v>45477</v>
      </c>
      <c r="E231" s="2">
        <v>45477</v>
      </c>
    </row>
    <row r="232" spans="1:5" x14ac:dyDescent="0.2">
      <c r="A232" s="1">
        <v>50133</v>
      </c>
      <c r="B232" s="1">
        <v>42016</v>
      </c>
      <c r="C232" s="1">
        <v>45537</v>
      </c>
      <c r="E232" s="2">
        <v>45537</v>
      </c>
    </row>
    <row r="233" spans="1:5" x14ac:dyDescent="0.2">
      <c r="A233" s="1">
        <v>50136</v>
      </c>
      <c r="B233" s="1">
        <v>42046</v>
      </c>
      <c r="C233" s="1">
        <v>45624</v>
      </c>
      <c r="E233" s="2">
        <v>45624</v>
      </c>
    </row>
    <row r="234" spans="1:5" x14ac:dyDescent="0.2">
      <c r="A234" s="1">
        <v>50161</v>
      </c>
      <c r="B234" s="1">
        <v>42123</v>
      </c>
      <c r="C234" s="1">
        <v>45651</v>
      </c>
      <c r="E234" s="2">
        <v>45651</v>
      </c>
    </row>
    <row r="235" spans="1:5" x14ac:dyDescent="0.2">
      <c r="A235" s="1">
        <v>50399</v>
      </c>
      <c r="B235" s="1">
        <v>42128</v>
      </c>
      <c r="C235" s="1">
        <v>45658</v>
      </c>
      <c r="E235" s="2">
        <v>45658</v>
      </c>
    </row>
    <row r="236" spans="1:5" x14ac:dyDescent="0.2">
      <c r="A236" s="1">
        <v>50402</v>
      </c>
      <c r="B236" s="1">
        <v>42129</v>
      </c>
      <c r="C236" s="1">
        <v>45677</v>
      </c>
      <c r="E236" s="2">
        <v>45677</v>
      </c>
    </row>
    <row r="237" spans="1:5" x14ac:dyDescent="0.2">
      <c r="A237" s="1">
        <v>50406</v>
      </c>
      <c r="B237" s="1">
        <v>42130</v>
      </c>
      <c r="C237" s="1">
        <v>45705</v>
      </c>
      <c r="E237" s="2">
        <v>45705</v>
      </c>
    </row>
    <row r="238" spans="1:5" x14ac:dyDescent="0.2">
      <c r="A238" s="1">
        <v>50518</v>
      </c>
      <c r="B238" s="1">
        <v>42205</v>
      </c>
      <c r="C238" s="1">
        <v>45765</v>
      </c>
      <c r="E238" s="2">
        <v>45765</v>
      </c>
    </row>
    <row r="239" spans="1:5" x14ac:dyDescent="0.2">
      <c r="A239" s="1">
        <v>50521</v>
      </c>
      <c r="B239" s="1">
        <v>42268</v>
      </c>
      <c r="C239" s="1">
        <v>45803</v>
      </c>
      <c r="E239" s="2">
        <v>45803</v>
      </c>
    </row>
    <row r="240" spans="1:5" x14ac:dyDescent="0.2">
      <c r="A240" s="1">
        <v>50766</v>
      </c>
      <c r="B240" s="1">
        <v>42269</v>
      </c>
      <c r="C240" s="1">
        <v>45827</v>
      </c>
      <c r="E240" s="2">
        <v>45827</v>
      </c>
    </row>
    <row r="241" spans="1:5" x14ac:dyDescent="0.2">
      <c r="A241" s="1">
        <v>50767</v>
      </c>
      <c r="B241" s="1">
        <v>42270</v>
      </c>
      <c r="C241" s="1">
        <v>45842</v>
      </c>
      <c r="E241" s="2">
        <v>45842</v>
      </c>
    </row>
    <row r="242" spans="1:5" x14ac:dyDescent="0.2">
      <c r="A242" s="1">
        <v>50868</v>
      </c>
      <c r="B242" s="1">
        <v>42289</v>
      </c>
      <c r="C242" s="1">
        <v>45901</v>
      </c>
      <c r="E242" s="2">
        <v>45901</v>
      </c>
    </row>
    <row r="243" spans="1:5" x14ac:dyDescent="0.2">
      <c r="A243" s="1">
        <v>50871</v>
      </c>
      <c r="B243" s="1">
        <v>42311</v>
      </c>
      <c r="C243" s="1">
        <v>45988</v>
      </c>
      <c r="E243" s="2">
        <v>45988</v>
      </c>
    </row>
    <row r="244" spans="1:5" x14ac:dyDescent="0.2">
      <c r="A244" s="1">
        <v>51046</v>
      </c>
      <c r="B244" s="1">
        <v>42331</v>
      </c>
      <c r="C244" s="1">
        <v>46016</v>
      </c>
      <c r="E244" s="2">
        <v>46016</v>
      </c>
    </row>
    <row r="245" spans="1:5" x14ac:dyDescent="0.2">
      <c r="A245" s="1">
        <v>51130</v>
      </c>
      <c r="B245" s="1">
        <v>42361</v>
      </c>
      <c r="C245" s="1">
        <v>46023</v>
      </c>
      <c r="E245" s="2">
        <v>46023</v>
      </c>
    </row>
    <row r="246" spans="1:5" x14ac:dyDescent="0.2">
      <c r="A246" s="1">
        <v>51131</v>
      </c>
      <c r="B246" s="1">
        <v>42369</v>
      </c>
      <c r="C246" s="1">
        <v>46041</v>
      </c>
      <c r="E246" s="2">
        <v>46041</v>
      </c>
    </row>
    <row r="247" spans="1:5" x14ac:dyDescent="0.2">
      <c r="A247" s="1">
        <v>51225</v>
      </c>
      <c r="B247" s="1">
        <v>42370</v>
      </c>
      <c r="C247" s="1">
        <v>46069</v>
      </c>
      <c r="E247" s="2">
        <v>46069</v>
      </c>
    </row>
    <row r="248" spans="1:5" x14ac:dyDescent="0.2">
      <c r="A248" s="1">
        <v>51228</v>
      </c>
      <c r="B248" s="1">
        <v>42380</v>
      </c>
      <c r="C248" s="1">
        <v>46115</v>
      </c>
      <c r="E248" s="2">
        <v>46115</v>
      </c>
    </row>
    <row r="249" spans="1:5" x14ac:dyDescent="0.2">
      <c r="A249" s="1">
        <v>51257</v>
      </c>
      <c r="B249" s="1">
        <v>42411</v>
      </c>
      <c r="C249" s="1">
        <v>46167</v>
      </c>
      <c r="E249" s="2">
        <v>46167</v>
      </c>
    </row>
    <row r="250" spans="1:5" x14ac:dyDescent="0.2">
      <c r="A250" s="1">
        <v>51412</v>
      </c>
      <c r="B250" s="1">
        <v>42450</v>
      </c>
      <c r="C250" s="1">
        <v>46192</v>
      </c>
      <c r="E250" s="2">
        <v>46192</v>
      </c>
    </row>
    <row r="251" spans="1:5" x14ac:dyDescent="0.2">
      <c r="A251" s="1">
        <v>51495</v>
      </c>
      <c r="B251" s="1">
        <v>42489</v>
      </c>
      <c r="C251" s="1">
        <v>46206</v>
      </c>
      <c r="E251" s="2">
        <v>46206</v>
      </c>
    </row>
    <row r="252" spans="1:5" x14ac:dyDescent="0.2">
      <c r="A252" s="1">
        <v>51496</v>
      </c>
      <c r="B252" s="1">
        <v>42493</v>
      </c>
      <c r="C252" s="1">
        <v>46272</v>
      </c>
      <c r="E252" s="2">
        <v>46272</v>
      </c>
    </row>
    <row r="253" spans="1:5" x14ac:dyDescent="0.2">
      <c r="A253" s="1">
        <v>51502</v>
      </c>
      <c r="B253" s="1">
        <v>42494</v>
      </c>
      <c r="C253" s="1">
        <v>46352</v>
      </c>
      <c r="E253" s="2">
        <v>46352</v>
      </c>
    </row>
    <row r="254" spans="1:5" x14ac:dyDescent="0.2">
      <c r="A254" s="1">
        <v>51610</v>
      </c>
      <c r="B254" s="1">
        <v>42495</v>
      </c>
      <c r="C254" s="1">
        <v>46381</v>
      </c>
      <c r="E254" s="2">
        <v>46381</v>
      </c>
    </row>
    <row r="255" spans="1:5" x14ac:dyDescent="0.2">
      <c r="A255" s="1">
        <v>51613</v>
      </c>
      <c r="B255" s="1">
        <v>42569</v>
      </c>
      <c r="C255" s="1">
        <v>46388</v>
      </c>
      <c r="E255" s="2">
        <v>46388</v>
      </c>
    </row>
    <row r="256" spans="1:5" x14ac:dyDescent="0.2">
      <c r="A256" s="1">
        <v>51622</v>
      </c>
      <c r="B256" s="1">
        <v>42593</v>
      </c>
      <c r="C256" s="1">
        <v>46405</v>
      </c>
      <c r="E256" s="2">
        <v>46405</v>
      </c>
    </row>
    <row r="257" spans="1:5" x14ac:dyDescent="0.2">
      <c r="A257" s="1">
        <v>51777</v>
      </c>
      <c r="B257" s="1">
        <v>42632</v>
      </c>
      <c r="C257" s="1">
        <v>46433</v>
      </c>
      <c r="E257" s="2">
        <v>46433</v>
      </c>
    </row>
    <row r="258" spans="1:5" x14ac:dyDescent="0.2">
      <c r="A258" s="1">
        <v>51860</v>
      </c>
      <c r="B258" s="1">
        <v>42635</v>
      </c>
      <c r="C258" s="1">
        <v>46472</v>
      </c>
      <c r="E258" s="2">
        <v>46472</v>
      </c>
    </row>
    <row r="259" spans="1:5" x14ac:dyDescent="0.2">
      <c r="A259" s="1">
        <v>51861</v>
      </c>
      <c r="B259" s="1">
        <v>42653</v>
      </c>
      <c r="C259" s="1">
        <v>46538</v>
      </c>
      <c r="E259" s="2">
        <v>46538</v>
      </c>
    </row>
    <row r="260" spans="1:5" x14ac:dyDescent="0.2">
      <c r="A260" s="1">
        <v>51867</v>
      </c>
      <c r="B260" s="1">
        <v>42677</v>
      </c>
      <c r="C260" s="1">
        <v>46556</v>
      </c>
      <c r="E260" s="2">
        <v>46556</v>
      </c>
    </row>
    <row r="261" spans="1:5" x14ac:dyDescent="0.2">
      <c r="A261" s="1">
        <v>51960</v>
      </c>
      <c r="B261" s="1">
        <v>42697</v>
      </c>
      <c r="C261" s="1">
        <v>46573</v>
      </c>
      <c r="E261" s="2">
        <v>46573</v>
      </c>
    </row>
    <row r="262" spans="1:5" x14ac:dyDescent="0.2">
      <c r="A262" s="1">
        <v>51963</v>
      </c>
      <c r="B262" s="1">
        <v>42727</v>
      </c>
      <c r="C262" s="1">
        <v>46636</v>
      </c>
      <c r="E262" s="2">
        <v>46636</v>
      </c>
    </row>
    <row r="263" spans="1:5" x14ac:dyDescent="0.2">
      <c r="A263" s="1">
        <v>51987</v>
      </c>
      <c r="B263" s="1">
        <v>42737</v>
      </c>
      <c r="C263" s="1">
        <v>46716</v>
      </c>
      <c r="E263" s="2">
        <v>46716</v>
      </c>
    </row>
    <row r="264" spans="1:5" x14ac:dyDescent="0.2">
      <c r="A264" s="1">
        <v>52142</v>
      </c>
      <c r="B264" s="1">
        <v>42738</v>
      </c>
      <c r="C264" s="1">
        <v>46745</v>
      </c>
      <c r="E264" s="2">
        <v>46745</v>
      </c>
    </row>
    <row r="265" spans="1:5" x14ac:dyDescent="0.2">
      <c r="A265" s="1">
        <v>52225</v>
      </c>
      <c r="B265" s="1">
        <v>42744</v>
      </c>
      <c r="C265" s="1">
        <v>46769</v>
      </c>
      <c r="E265" s="2">
        <v>46769</v>
      </c>
    </row>
    <row r="266" spans="1:5" x14ac:dyDescent="0.2">
      <c r="A266" s="1">
        <v>52226</v>
      </c>
      <c r="B266" s="1">
        <v>42814</v>
      </c>
      <c r="C266" s="1">
        <v>46804</v>
      </c>
      <c r="E266" s="2">
        <v>46804</v>
      </c>
    </row>
    <row r="267" spans="1:5" x14ac:dyDescent="0.2">
      <c r="A267" s="1">
        <v>52232</v>
      </c>
      <c r="B267" s="1">
        <v>42858</v>
      </c>
      <c r="C267" s="1">
        <v>46857</v>
      </c>
      <c r="E267" s="2">
        <v>46857</v>
      </c>
    </row>
    <row r="268" spans="1:5" x14ac:dyDescent="0.2">
      <c r="A268" s="1">
        <v>52317</v>
      </c>
      <c r="B268" s="1">
        <v>42859</v>
      </c>
      <c r="C268" s="1">
        <v>46902</v>
      </c>
      <c r="E268" s="2">
        <v>46902</v>
      </c>
    </row>
    <row r="269" spans="1:5" x14ac:dyDescent="0.2">
      <c r="A269" s="1">
        <v>52320</v>
      </c>
      <c r="B269" s="1">
        <v>42860</v>
      </c>
      <c r="C269" s="1">
        <v>46923</v>
      </c>
      <c r="E269" s="2">
        <v>46923</v>
      </c>
    </row>
    <row r="270" spans="1:5" x14ac:dyDescent="0.2">
      <c r="A270" s="1">
        <v>52352</v>
      </c>
      <c r="B270" s="1">
        <v>42933</v>
      </c>
      <c r="C270" s="1">
        <v>46938</v>
      </c>
      <c r="E270" s="2">
        <v>46938</v>
      </c>
    </row>
    <row r="271" spans="1:5" x14ac:dyDescent="0.2">
      <c r="A271" s="1">
        <v>52590</v>
      </c>
      <c r="B271" s="1">
        <v>42958</v>
      </c>
      <c r="C271" s="1">
        <v>47000</v>
      </c>
      <c r="E271" s="2">
        <v>47000</v>
      </c>
    </row>
    <row r="272" spans="1:5" x14ac:dyDescent="0.2">
      <c r="A272" s="1">
        <v>52593</v>
      </c>
      <c r="B272" s="1">
        <v>42996</v>
      </c>
      <c r="C272" s="1">
        <v>47080</v>
      </c>
      <c r="E272" s="2">
        <v>47080</v>
      </c>
    </row>
    <row r="273" spans="1:5" x14ac:dyDescent="0.2">
      <c r="A273" s="1">
        <v>52597</v>
      </c>
      <c r="B273" s="1">
        <v>43017</v>
      </c>
      <c r="C273" s="1">
        <v>47112</v>
      </c>
      <c r="E273" s="2">
        <v>47112</v>
      </c>
    </row>
    <row r="274" spans="1:5" x14ac:dyDescent="0.2">
      <c r="A274" s="1">
        <v>52702</v>
      </c>
      <c r="B274" s="1">
        <v>43042</v>
      </c>
      <c r="C274" s="1">
        <v>47119</v>
      </c>
      <c r="E274" s="2">
        <v>47119</v>
      </c>
    </row>
    <row r="275" spans="1:5" x14ac:dyDescent="0.2">
      <c r="A275" s="1">
        <v>52705</v>
      </c>
      <c r="B275" s="1">
        <v>43062</v>
      </c>
      <c r="C275" s="1">
        <v>47133</v>
      </c>
      <c r="E275" s="2">
        <v>47133</v>
      </c>
    </row>
    <row r="276" spans="1:5" x14ac:dyDescent="0.2">
      <c r="A276" s="1">
        <v>52873</v>
      </c>
      <c r="B276" s="1">
        <v>43101</v>
      </c>
      <c r="C276" s="1">
        <v>47168</v>
      </c>
      <c r="E276" s="2">
        <v>47168</v>
      </c>
    </row>
    <row r="277" spans="1:5" x14ac:dyDescent="0.2">
      <c r="A277" s="1">
        <v>52957</v>
      </c>
      <c r="B277" s="1">
        <v>43102</v>
      </c>
      <c r="C277" s="1">
        <v>47207</v>
      </c>
      <c r="E277" s="2">
        <v>47207</v>
      </c>
    </row>
    <row r="278" spans="1:5" x14ac:dyDescent="0.2">
      <c r="A278" s="1">
        <v>52958</v>
      </c>
      <c r="B278" s="1">
        <v>43103</v>
      </c>
      <c r="C278" s="1">
        <v>47266</v>
      </c>
      <c r="E278" s="2">
        <v>47266</v>
      </c>
    </row>
    <row r="279" spans="1:5" x14ac:dyDescent="0.2">
      <c r="A279" s="1">
        <v>53059</v>
      </c>
      <c r="B279" s="1">
        <v>43108</v>
      </c>
      <c r="C279" s="1">
        <v>47288</v>
      </c>
      <c r="E279" s="2">
        <v>47288</v>
      </c>
    </row>
    <row r="280" spans="1:5" x14ac:dyDescent="0.2">
      <c r="A280" s="1">
        <v>53062</v>
      </c>
      <c r="B280" s="1">
        <v>43143</v>
      </c>
      <c r="C280" s="1">
        <v>47303</v>
      </c>
      <c r="E280" s="2">
        <v>47303</v>
      </c>
    </row>
    <row r="281" spans="1:5" x14ac:dyDescent="0.2">
      <c r="A281" s="1">
        <v>53083</v>
      </c>
      <c r="B281" s="1">
        <v>43180</v>
      </c>
      <c r="C281" s="1">
        <v>47364</v>
      </c>
      <c r="E281" s="2">
        <v>47364</v>
      </c>
    </row>
    <row r="282" spans="1:5" x14ac:dyDescent="0.2">
      <c r="A282" s="1">
        <v>53238</v>
      </c>
      <c r="B282" s="1">
        <v>43220</v>
      </c>
      <c r="C282" s="1">
        <v>47444</v>
      </c>
      <c r="E282" s="2">
        <v>47444</v>
      </c>
    </row>
    <row r="283" spans="1:5" x14ac:dyDescent="0.2">
      <c r="A283" s="1">
        <v>53321</v>
      </c>
      <c r="B283" s="1">
        <v>43223</v>
      </c>
      <c r="C283" s="1">
        <v>47477</v>
      </c>
      <c r="E283" s="2">
        <v>47477</v>
      </c>
    </row>
    <row r="284" spans="1:5" x14ac:dyDescent="0.2">
      <c r="A284" s="1">
        <v>53322</v>
      </c>
      <c r="B284" s="1">
        <v>43224</v>
      </c>
      <c r="C284" s="1">
        <v>47484</v>
      </c>
      <c r="E284" s="2">
        <v>47484</v>
      </c>
    </row>
    <row r="285" spans="1:5" x14ac:dyDescent="0.2">
      <c r="A285" s="1">
        <v>53328</v>
      </c>
      <c r="B285" s="1">
        <v>43297</v>
      </c>
      <c r="C285" s="1">
        <v>47504</v>
      </c>
      <c r="E285" s="2">
        <v>47504</v>
      </c>
    </row>
    <row r="286" spans="1:5" x14ac:dyDescent="0.2">
      <c r="A286" s="1">
        <v>53409</v>
      </c>
      <c r="B286" s="1">
        <v>43360</v>
      </c>
      <c r="C286" s="1">
        <v>47532</v>
      </c>
      <c r="E286" s="2">
        <v>47532</v>
      </c>
    </row>
    <row r="287" spans="1:5" x14ac:dyDescent="0.2">
      <c r="A287" s="1">
        <v>53412</v>
      </c>
      <c r="B287" s="1">
        <v>43367</v>
      </c>
      <c r="C287" s="1">
        <v>47592</v>
      </c>
      <c r="E287" s="2">
        <v>47592</v>
      </c>
    </row>
    <row r="288" spans="1:5" x14ac:dyDescent="0.2">
      <c r="A288" s="1">
        <v>53448</v>
      </c>
      <c r="B288" s="1">
        <v>43381</v>
      </c>
      <c r="C288" s="1">
        <v>47630</v>
      </c>
      <c r="E288" s="2">
        <v>47630</v>
      </c>
    </row>
    <row r="289" spans="1:5" x14ac:dyDescent="0.2">
      <c r="A289" s="1">
        <v>53603</v>
      </c>
      <c r="B289" s="1">
        <v>43427</v>
      </c>
      <c r="C289" s="1">
        <v>47653</v>
      </c>
      <c r="E289" s="2">
        <v>47653</v>
      </c>
    </row>
    <row r="290" spans="1:5" x14ac:dyDescent="0.2">
      <c r="A290" s="1">
        <v>53686</v>
      </c>
      <c r="B290" s="1">
        <v>43458</v>
      </c>
      <c r="C290" s="1">
        <v>47668</v>
      </c>
      <c r="E290" s="2">
        <v>47668</v>
      </c>
    </row>
    <row r="291" spans="1:5" x14ac:dyDescent="0.2">
      <c r="A291" s="1">
        <v>53687</v>
      </c>
      <c r="B291" s="1">
        <v>43465</v>
      </c>
      <c r="C291" s="1">
        <v>47728</v>
      </c>
      <c r="E291" s="2">
        <v>47728</v>
      </c>
    </row>
    <row r="292" spans="1:5" x14ac:dyDescent="0.2">
      <c r="A292" s="1">
        <v>53693</v>
      </c>
      <c r="B292" s="1">
        <v>43466</v>
      </c>
      <c r="C292" s="1">
        <v>47815</v>
      </c>
      <c r="E292" s="2">
        <v>47815</v>
      </c>
    </row>
    <row r="293" spans="1:5" x14ac:dyDescent="0.2">
      <c r="A293" s="1">
        <v>53794</v>
      </c>
      <c r="B293" s="1">
        <v>43467</v>
      </c>
      <c r="C293" s="1">
        <v>47842</v>
      </c>
      <c r="E293" s="2">
        <v>47842</v>
      </c>
    </row>
    <row r="294" spans="1:5" x14ac:dyDescent="0.2">
      <c r="A294" s="1">
        <v>53797</v>
      </c>
      <c r="B294" s="1">
        <v>43468</v>
      </c>
      <c r="C294" s="1">
        <v>47849</v>
      </c>
      <c r="E294" s="2">
        <v>47849</v>
      </c>
    </row>
    <row r="295" spans="1:5" x14ac:dyDescent="0.2">
      <c r="A295" s="1">
        <v>53813</v>
      </c>
      <c r="B295" s="1">
        <v>43479</v>
      </c>
      <c r="C295" s="1">
        <v>47868</v>
      </c>
      <c r="E295" s="2">
        <v>47868</v>
      </c>
    </row>
    <row r="296" spans="1:5" x14ac:dyDescent="0.2">
      <c r="A296" s="1">
        <v>53968</v>
      </c>
      <c r="B296" s="1">
        <v>43507</v>
      </c>
      <c r="C296" s="1">
        <v>47896</v>
      </c>
      <c r="E296" s="2">
        <v>47896</v>
      </c>
    </row>
    <row r="297" spans="1:5" x14ac:dyDescent="0.2">
      <c r="A297" s="1">
        <v>54051</v>
      </c>
      <c r="B297" s="1">
        <v>43545</v>
      </c>
      <c r="C297" s="1">
        <v>47949</v>
      </c>
      <c r="E297" s="2">
        <v>47949</v>
      </c>
    </row>
    <row r="298" spans="1:5" x14ac:dyDescent="0.2">
      <c r="A298" s="1">
        <v>54052</v>
      </c>
      <c r="B298" s="1">
        <v>43584</v>
      </c>
      <c r="C298" s="1">
        <v>47994</v>
      </c>
      <c r="E298" s="2">
        <v>47994</v>
      </c>
    </row>
    <row r="299" spans="1:5" x14ac:dyDescent="0.2">
      <c r="A299" s="1">
        <v>54058</v>
      </c>
      <c r="B299" s="1">
        <v>43585</v>
      </c>
      <c r="C299" s="1">
        <v>48018</v>
      </c>
      <c r="E299" s="2">
        <v>48018</v>
      </c>
    </row>
    <row r="300" spans="1:5" x14ac:dyDescent="0.2">
      <c r="A300" s="1">
        <v>54151</v>
      </c>
      <c r="B300" s="1">
        <v>43586</v>
      </c>
      <c r="C300" s="1">
        <v>48033</v>
      </c>
      <c r="E300" s="2">
        <v>48033</v>
      </c>
    </row>
    <row r="301" spans="1:5" x14ac:dyDescent="0.2">
      <c r="A301" s="1">
        <v>54154</v>
      </c>
      <c r="B301" s="1">
        <v>43587</v>
      </c>
      <c r="C301" s="1">
        <v>48092</v>
      </c>
      <c r="E301" s="2">
        <v>48092</v>
      </c>
    </row>
    <row r="302" spans="1:5" x14ac:dyDescent="0.2">
      <c r="A302" s="1">
        <v>54179</v>
      </c>
      <c r="B302" s="1">
        <v>43588</v>
      </c>
      <c r="C302" s="1">
        <v>48179</v>
      </c>
      <c r="E302" s="2">
        <v>48179</v>
      </c>
    </row>
    <row r="303" spans="1:5" x14ac:dyDescent="0.2">
      <c r="A303" s="1">
        <v>54417</v>
      </c>
      <c r="B303" s="1">
        <v>43591</v>
      </c>
      <c r="C303" s="1">
        <v>48207</v>
      </c>
      <c r="E303" s="2">
        <v>48207</v>
      </c>
    </row>
    <row r="304" spans="1:5" x14ac:dyDescent="0.2">
      <c r="A304" s="1">
        <v>54420</v>
      </c>
      <c r="B304" s="1">
        <v>43661</v>
      </c>
      <c r="C304" s="1">
        <v>48214</v>
      </c>
      <c r="E304" s="2">
        <v>48214</v>
      </c>
    </row>
    <row r="305" spans="1:5" x14ac:dyDescent="0.2">
      <c r="A305" s="1">
        <v>54424</v>
      </c>
      <c r="B305" s="1">
        <v>43689</v>
      </c>
      <c r="C305" s="1">
        <v>48232</v>
      </c>
      <c r="E305" s="2">
        <v>48232</v>
      </c>
    </row>
    <row r="306" spans="1:5" x14ac:dyDescent="0.2">
      <c r="A306" s="1">
        <v>54529</v>
      </c>
      <c r="B306" s="1">
        <v>43724</v>
      </c>
      <c r="C306" s="1">
        <v>48260</v>
      </c>
      <c r="E306" s="2">
        <v>48260</v>
      </c>
    </row>
    <row r="307" spans="1:5" x14ac:dyDescent="0.2">
      <c r="A307" s="1">
        <v>54532</v>
      </c>
      <c r="B307" s="1">
        <v>43731</v>
      </c>
      <c r="C307" s="1">
        <v>48299</v>
      </c>
      <c r="E307" s="2">
        <v>48299</v>
      </c>
    </row>
    <row r="308" spans="1:5" x14ac:dyDescent="0.2">
      <c r="A308" s="1">
        <v>54784</v>
      </c>
      <c r="B308" s="1">
        <v>43752</v>
      </c>
      <c r="C308" s="1">
        <v>48365</v>
      </c>
      <c r="E308" s="2">
        <v>48365</v>
      </c>
    </row>
    <row r="309" spans="1:5" x14ac:dyDescent="0.2">
      <c r="A309" s="1">
        <v>54785</v>
      </c>
      <c r="B309" s="1">
        <v>43760</v>
      </c>
      <c r="C309" s="1">
        <v>48383</v>
      </c>
      <c r="E309" s="2">
        <v>48383</v>
      </c>
    </row>
    <row r="310" spans="1:5" x14ac:dyDescent="0.2">
      <c r="A310" s="1">
        <v>54886</v>
      </c>
      <c r="B310" s="1">
        <v>43773</v>
      </c>
      <c r="C310" s="1">
        <v>48400</v>
      </c>
      <c r="E310" s="2">
        <v>48400</v>
      </c>
    </row>
    <row r="311" spans="1:5" x14ac:dyDescent="0.2">
      <c r="A311" s="1">
        <v>54889</v>
      </c>
      <c r="B311" s="1">
        <v>43830</v>
      </c>
      <c r="C311" s="1">
        <v>48463</v>
      </c>
      <c r="E311" s="2">
        <v>48463</v>
      </c>
    </row>
    <row r="312" spans="1:5" x14ac:dyDescent="0.2">
      <c r="A312" s="1">
        <v>55064</v>
      </c>
      <c r="B312" s="1">
        <v>43831</v>
      </c>
      <c r="C312" s="1">
        <v>48543</v>
      </c>
      <c r="E312" s="2">
        <v>48543</v>
      </c>
    </row>
    <row r="313" spans="1:5" x14ac:dyDescent="0.2">
      <c r="A313" s="1">
        <v>55148</v>
      </c>
      <c r="B313" s="1">
        <v>43832</v>
      </c>
      <c r="C313" s="1">
        <v>48572</v>
      </c>
      <c r="E313" s="2">
        <v>48572</v>
      </c>
    </row>
    <row r="314" spans="1:5" x14ac:dyDescent="0.2">
      <c r="A314" s="1">
        <v>55149</v>
      </c>
      <c r="B314" s="1">
        <v>43833</v>
      </c>
      <c r="C314" s="1">
        <v>48596</v>
      </c>
      <c r="E314" s="2">
        <v>48596</v>
      </c>
    </row>
    <row r="315" spans="1:5" x14ac:dyDescent="0.2">
      <c r="A315" s="1">
        <v>55243</v>
      </c>
      <c r="B315" s="1">
        <v>43843</v>
      </c>
      <c r="C315" s="1">
        <v>48631</v>
      </c>
      <c r="E315" s="2">
        <v>48631</v>
      </c>
    </row>
    <row r="316" spans="1:5" x14ac:dyDescent="0.2">
      <c r="A316" s="1">
        <v>55246</v>
      </c>
      <c r="B316" s="1">
        <v>43872</v>
      </c>
      <c r="C316" s="1">
        <v>48684</v>
      </c>
      <c r="E316" s="2">
        <v>48684</v>
      </c>
    </row>
    <row r="317" spans="1:5" x14ac:dyDescent="0.2">
      <c r="A317" s="1">
        <v>55274</v>
      </c>
      <c r="B317" s="1">
        <v>43885</v>
      </c>
      <c r="C317" s="1">
        <v>48729</v>
      </c>
      <c r="E317" s="2">
        <v>48729</v>
      </c>
    </row>
    <row r="318" spans="1:5" x14ac:dyDescent="0.2">
      <c r="A318" s="1">
        <v>55429</v>
      </c>
      <c r="B318" s="1">
        <v>43910</v>
      </c>
      <c r="C318" s="1">
        <v>48750</v>
      </c>
      <c r="E318" s="2">
        <v>48750</v>
      </c>
    </row>
    <row r="319" spans="1:5" x14ac:dyDescent="0.2">
      <c r="A319" s="1">
        <v>55512</v>
      </c>
      <c r="B319" s="1">
        <v>43950</v>
      </c>
      <c r="C319" s="1">
        <v>48764</v>
      </c>
      <c r="E319" s="2">
        <v>48764</v>
      </c>
    </row>
    <row r="320" spans="1:5" x14ac:dyDescent="0.2">
      <c r="A320" s="1">
        <v>55513</v>
      </c>
      <c r="B320" s="1">
        <v>43955</v>
      </c>
      <c r="C320" s="1">
        <v>48827</v>
      </c>
      <c r="E320" s="2">
        <v>48827</v>
      </c>
    </row>
    <row r="321" spans="1:5" x14ac:dyDescent="0.2">
      <c r="A321" s="1">
        <v>55519</v>
      </c>
      <c r="B321" s="1">
        <v>43956</v>
      </c>
      <c r="C321" s="1">
        <v>48907</v>
      </c>
      <c r="E321" s="2">
        <v>48907</v>
      </c>
    </row>
    <row r="322" spans="1:5" x14ac:dyDescent="0.2">
      <c r="A322" s="1">
        <v>55628</v>
      </c>
      <c r="B322" s="1">
        <v>43957</v>
      </c>
      <c r="C322" s="1">
        <v>48939</v>
      </c>
      <c r="E322" s="2">
        <v>48939</v>
      </c>
    </row>
    <row r="323" spans="1:5" x14ac:dyDescent="0.2">
      <c r="A323" s="1">
        <v>55631</v>
      </c>
      <c r="B323" s="1">
        <v>44035</v>
      </c>
      <c r="C323" s="1">
        <v>48946</v>
      </c>
      <c r="E323" s="2">
        <v>48946</v>
      </c>
    </row>
    <row r="324" spans="1:5" x14ac:dyDescent="0.2">
      <c r="A324" s="1">
        <v>55640</v>
      </c>
      <c r="B324" s="1">
        <v>44036</v>
      </c>
      <c r="C324" s="1">
        <v>48960</v>
      </c>
      <c r="E324" s="2">
        <v>48960</v>
      </c>
    </row>
    <row r="325" spans="1:5" x14ac:dyDescent="0.2">
      <c r="A325" s="1">
        <v>55795</v>
      </c>
      <c r="B325" s="1">
        <v>44053</v>
      </c>
      <c r="C325" s="1">
        <v>48995</v>
      </c>
      <c r="E325" s="2">
        <v>48995</v>
      </c>
    </row>
    <row r="326" spans="1:5" x14ac:dyDescent="0.2">
      <c r="A326" s="1">
        <v>55878</v>
      </c>
      <c r="B326" s="1">
        <v>44095</v>
      </c>
      <c r="C326" s="1">
        <v>49041</v>
      </c>
      <c r="E326" s="2">
        <v>49041</v>
      </c>
    </row>
    <row r="327" spans="1:5" x14ac:dyDescent="0.2">
      <c r="A327" s="1">
        <v>55879</v>
      </c>
      <c r="B327" s="1">
        <v>44096</v>
      </c>
      <c r="C327" s="1">
        <v>49093</v>
      </c>
      <c r="E327" s="2">
        <v>49093</v>
      </c>
    </row>
    <row r="328" spans="1:5" x14ac:dyDescent="0.2">
      <c r="A328" s="1">
        <v>55885</v>
      </c>
      <c r="B328" s="1">
        <v>44105</v>
      </c>
      <c r="C328" s="1">
        <v>49114</v>
      </c>
      <c r="E328" s="2">
        <v>49114</v>
      </c>
    </row>
    <row r="329" spans="1:5" x14ac:dyDescent="0.2">
      <c r="A329" s="1">
        <v>55978</v>
      </c>
      <c r="B329" s="1">
        <v>44138</v>
      </c>
      <c r="C329" s="1">
        <v>49129</v>
      </c>
      <c r="E329" s="2">
        <v>49129</v>
      </c>
    </row>
    <row r="330" spans="1:5" x14ac:dyDescent="0.2">
      <c r="A330" s="1">
        <v>55981</v>
      </c>
      <c r="B330" s="1">
        <v>44158</v>
      </c>
      <c r="C330" s="1">
        <v>49191</v>
      </c>
      <c r="E330" s="2">
        <v>49191</v>
      </c>
    </row>
    <row r="331" spans="1:5" x14ac:dyDescent="0.2">
      <c r="A331" s="1">
        <v>56005</v>
      </c>
      <c r="B331" s="1">
        <v>44196</v>
      </c>
      <c r="C331" s="1">
        <v>49271</v>
      </c>
      <c r="E331" s="2">
        <v>49271</v>
      </c>
    </row>
    <row r="332" spans="1:5" x14ac:dyDescent="0.2">
      <c r="A332" s="1">
        <v>56160</v>
      </c>
      <c r="B332" s="1">
        <v>44197</v>
      </c>
      <c r="C332" s="1">
        <v>49303</v>
      </c>
      <c r="E332" s="2">
        <v>49303</v>
      </c>
    </row>
    <row r="333" spans="1:5" x14ac:dyDescent="0.2">
      <c r="A333" s="1">
        <v>56243</v>
      </c>
      <c r="B333" s="1">
        <v>44207</v>
      </c>
      <c r="C333" s="1">
        <v>49310</v>
      </c>
      <c r="E333" s="2">
        <v>49310</v>
      </c>
    </row>
    <row r="334" spans="1:5" x14ac:dyDescent="0.2">
      <c r="A334" s="1">
        <v>56244</v>
      </c>
      <c r="B334" s="1">
        <v>44238</v>
      </c>
      <c r="C334" s="1">
        <v>49324</v>
      </c>
      <c r="E334" s="2">
        <v>49324</v>
      </c>
    </row>
    <row r="335" spans="1:5" x14ac:dyDescent="0.2">
      <c r="A335" s="1">
        <v>56250</v>
      </c>
      <c r="B335" s="1">
        <v>44250</v>
      </c>
      <c r="C335" s="1">
        <v>49359</v>
      </c>
      <c r="E335" s="2">
        <v>49359</v>
      </c>
    </row>
    <row r="336" spans="1:5" x14ac:dyDescent="0.2">
      <c r="A336" s="1">
        <v>56335</v>
      </c>
      <c r="B336" s="1">
        <v>44315</v>
      </c>
      <c r="C336" s="1">
        <v>49391</v>
      </c>
      <c r="E336" s="2">
        <v>49391</v>
      </c>
    </row>
    <row r="337" spans="1:5" x14ac:dyDescent="0.2">
      <c r="A337" s="1">
        <v>56338</v>
      </c>
      <c r="B337" s="1">
        <v>44319</v>
      </c>
      <c r="C337" s="1">
        <v>49457</v>
      </c>
      <c r="E337" s="2">
        <v>49457</v>
      </c>
    </row>
    <row r="338" spans="1:5" x14ac:dyDescent="0.2">
      <c r="A338" s="1">
        <v>56370</v>
      </c>
      <c r="B338" s="1">
        <v>44320</v>
      </c>
      <c r="C338" s="1">
        <v>49479</v>
      </c>
      <c r="E338" s="2">
        <v>49479</v>
      </c>
    </row>
    <row r="339" spans="1:5" x14ac:dyDescent="0.2">
      <c r="A339" s="1">
        <v>56608</v>
      </c>
      <c r="B339" s="1">
        <v>44321</v>
      </c>
      <c r="C339" s="1">
        <v>49494</v>
      </c>
      <c r="E339" s="2">
        <v>49494</v>
      </c>
    </row>
    <row r="340" spans="1:5" x14ac:dyDescent="0.2">
      <c r="A340" s="1">
        <v>56611</v>
      </c>
      <c r="B340" s="1">
        <v>44399</v>
      </c>
      <c r="C340" s="1">
        <v>49555</v>
      </c>
      <c r="E340" s="2">
        <v>49555</v>
      </c>
    </row>
    <row r="341" spans="1:5" x14ac:dyDescent="0.2">
      <c r="A341" s="1">
        <v>56615</v>
      </c>
      <c r="B341" s="1">
        <v>44400</v>
      </c>
      <c r="C341" s="1">
        <v>49635</v>
      </c>
      <c r="E341" s="2">
        <v>49635</v>
      </c>
    </row>
    <row r="342" spans="1:5" x14ac:dyDescent="0.2">
      <c r="A342" s="1">
        <v>56720</v>
      </c>
      <c r="B342" s="1">
        <v>44417</v>
      </c>
      <c r="C342" s="1">
        <v>49668</v>
      </c>
      <c r="E342" s="2">
        <v>49668</v>
      </c>
    </row>
    <row r="343" spans="1:5" x14ac:dyDescent="0.2">
      <c r="A343" s="1">
        <v>56723</v>
      </c>
      <c r="B343" s="1">
        <v>44459</v>
      </c>
      <c r="C343" s="1">
        <v>49675</v>
      </c>
      <c r="E343" s="2">
        <v>49675</v>
      </c>
    </row>
    <row r="344" spans="1:5" x14ac:dyDescent="0.2">
      <c r="A344" s="1">
        <v>56975</v>
      </c>
      <c r="B344" s="1">
        <v>44462</v>
      </c>
      <c r="C344" s="1">
        <v>49695</v>
      </c>
      <c r="E344" s="2">
        <v>49695</v>
      </c>
    </row>
    <row r="345" spans="1:5" x14ac:dyDescent="0.2">
      <c r="A345" s="1">
        <v>56976</v>
      </c>
      <c r="B345" s="1">
        <v>44503</v>
      </c>
      <c r="C345" s="1">
        <v>49723</v>
      </c>
      <c r="E345" s="2">
        <v>49723</v>
      </c>
    </row>
    <row r="346" spans="1:5" x14ac:dyDescent="0.2">
      <c r="A346" s="1">
        <v>57070</v>
      </c>
      <c r="B346" s="1">
        <v>44523</v>
      </c>
      <c r="C346" s="1">
        <v>49776</v>
      </c>
      <c r="E346" s="2">
        <v>49776</v>
      </c>
    </row>
    <row r="347" spans="1:5" x14ac:dyDescent="0.2">
      <c r="A347" s="1">
        <v>57073</v>
      </c>
      <c r="B347" s="1">
        <v>44561</v>
      </c>
      <c r="C347" s="1">
        <v>49821</v>
      </c>
      <c r="E347" s="2">
        <v>49821</v>
      </c>
    </row>
    <row r="348" spans="1:5" x14ac:dyDescent="0.2">
      <c r="A348" s="1">
        <v>57101</v>
      </c>
      <c r="B348" s="1">
        <v>44564</v>
      </c>
      <c r="C348" s="1">
        <v>49845</v>
      </c>
      <c r="E348" s="2">
        <v>49845</v>
      </c>
    </row>
    <row r="349" spans="1:5" x14ac:dyDescent="0.2">
      <c r="A349" s="1">
        <v>57256</v>
      </c>
      <c r="B349" s="1">
        <v>44571</v>
      </c>
      <c r="C349" s="1">
        <v>49860</v>
      </c>
      <c r="E349" s="2">
        <v>49860</v>
      </c>
    </row>
    <row r="350" spans="1:5" x14ac:dyDescent="0.2">
      <c r="A350" s="1">
        <v>57339</v>
      </c>
      <c r="B350" s="1">
        <v>44603</v>
      </c>
      <c r="C350" s="1">
        <v>49919</v>
      </c>
      <c r="E350" s="2">
        <v>49919</v>
      </c>
    </row>
    <row r="351" spans="1:5" x14ac:dyDescent="0.2">
      <c r="A351" s="1">
        <v>57340</v>
      </c>
      <c r="B351" s="1">
        <v>44615</v>
      </c>
      <c r="C351" s="1">
        <v>50006</v>
      </c>
      <c r="E351" s="2">
        <v>50006</v>
      </c>
    </row>
    <row r="352" spans="1:5" x14ac:dyDescent="0.2">
      <c r="A352" s="1">
        <v>57346</v>
      </c>
      <c r="B352" s="1">
        <v>44641</v>
      </c>
      <c r="C352" s="1">
        <v>50034</v>
      </c>
      <c r="E352" s="2">
        <v>50034</v>
      </c>
    </row>
    <row r="353" spans="1:5" x14ac:dyDescent="0.2">
      <c r="A353" s="1">
        <v>57455</v>
      </c>
      <c r="B353" s="1">
        <v>44680</v>
      </c>
      <c r="C353" s="1">
        <v>50041</v>
      </c>
      <c r="E353" s="2">
        <v>50041</v>
      </c>
    </row>
    <row r="354" spans="1:5" x14ac:dyDescent="0.2">
      <c r="A354" s="1">
        <v>57458</v>
      </c>
      <c r="B354" s="1">
        <v>44684</v>
      </c>
      <c r="C354" s="1">
        <v>50059</v>
      </c>
      <c r="E354" s="2">
        <v>50059</v>
      </c>
    </row>
    <row r="355" spans="1:5" x14ac:dyDescent="0.2">
      <c r="A355" s="1">
        <v>57466</v>
      </c>
      <c r="B355" s="1">
        <v>44685</v>
      </c>
      <c r="C355" s="1">
        <v>50087</v>
      </c>
      <c r="E355" s="2">
        <v>50087</v>
      </c>
    </row>
    <row r="356" spans="1:5" x14ac:dyDescent="0.2">
      <c r="A356" s="1">
        <v>57621</v>
      </c>
      <c r="B356" s="1">
        <v>44686</v>
      </c>
      <c r="C356" s="1">
        <v>50133</v>
      </c>
      <c r="E356" s="2">
        <v>50133</v>
      </c>
    </row>
    <row r="357" spans="1:5" x14ac:dyDescent="0.2">
      <c r="A357" s="1">
        <v>57704</v>
      </c>
      <c r="B357" s="1">
        <v>44760</v>
      </c>
      <c r="C357" s="1">
        <v>50185</v>
      </c>
      <c r="E357" s="2">
        <v>50185</v>
      </c>
    </row>
    <row r="358" spans="1:5" x14ac:dyDescent="0.2">
      <c r="A358" s="1">
        <v>57705</v>
      </c>
      <c r="B358" s="1">
        <v>44784</v>
      </c>
      <c r="C358" s="1">
        <v>50210</v>
      </c>
      <c r="E358" s="2">
        <v>50210</v>
      </c>
    </row>
    <row r="359" spans="1:5" x14ac:dyDescent="0.2">
      <c r="A359" s="1">
        <v>57711</v>
      </c>
      <c r="B359" s="1">
        <v>44823</v>
      </c>
      <c r="C359" s="1">
        <v>50224</v>
      </c>
      <c r="E359" s="2">
        <v>50224</v>
      </c>
    </row>
    <row r="360" spans="1:5" x14ac:dyDescent="0.2">
      <c r="A360" s="1">
        <v>57812</v>
      </c>
      <c r="B360" s="1">
        <v>44827</v>
      </c>
      <c r="C360" s="1">
        <v>50290</v>
      </c>
      <c r="E360" s="2">
        <v>50290</v>
      </c>
    </row>
    <row r="361" spans="1:5" x14ac:dyDescent="0.2">
      <c r="A361" s="1">
        <v>57815</v>
      </c>
      <c r="B361" s="1">
        <v>44844</v>
      </c>
      <c r="C361" s="1">
        <v>50370</v>
      </c>
      <c r="E361" s="2">
        <v>50370</v>
      </c>
    </row>
    <row r="362" spans="1:5" x14ac:dyDescent="0.2">
      <c r="A362" s="1">
        <v>57831</v>
      </c>
      <c r="B362" s="1">
        <v>44868</v>
      </c>
      <c r="C362" s="1">
        <v>50399</v>
      </c>
      <c r="E362" s="2">
        <v>50399</v>
      </c>
    </row>
    <row r="363" spans="1:5" x14ac:dyDescent="0.2">
      <c r="A363" s="1">
        <v>57986</v>
      </c>
      <c r="B363" s="1">
        <v>44888</v>
      </c>
      <c r="C363" s="1">
        <v>50406</v>
      </c>
      <c r="E363" s="2">
        <v>50406</v>
      </c>
    </row>
    <row r="364" spans="1:5" x14ac:dyDescent="0.2">
      <c r="A364" s="1">
        <v>58069</v>
      </c>
      <c r="B364" s="1">
        <v>44928</v>
      </c>
      <c r="C364" s="1">
        <v>50423</v>
      </c>
      <c r="E364" s="2">
        <v>50423</v>
      </c>
    </row>
    <row r="365" spans="1:5" x14ac:dyDescent="0.2">
      <c r="A365" s="1">
        <v>58070</v>
      </c>
      <c r="B365" s="1">
        <v>44929</v>
      </c>
      <c r="C365" s="1">
        <v>50451</v>
      </c>
      <c r="E365" s="2">
        <v>50451</v>
      </c>
    </row>
    <row r="366" spans="1:5" x14ac:dyDescent="0.2">
      <c r="A366" s="1">
        <v>58076</v>
      </c>
      <c r="B366" s="1">
        <v>44935</v>
      </c>
      <c r="C366" s="1">
        <v>50518</v>
      </c>
      <c r="E366" s="2">
        <v>50518</v>
      </c>
    </row>
    <row r="367" spans="1:5" x14ac:dyDescent="0.2">
      <c r="A367" s="1">
        <v>58162</v>
      </c>
      <c r="B367" s="1">
        <v>44980</v>
      </c>
      <c r="C367" s="1">
        <v>50556</v>
      </c>
      <c r="E367" s="2">
        <v>50556</v>
      </c>
    </row>
    <row r="368" spans="1:5" x14ac:dyDescent="0.2">
      <c r="A368" s="1">
        <v>58165</v>
      </c>
      <c r="B368" s="1">
        <v>45006</v>
      </c>
      <c r="C368" s="1">
        <v>50574</v>
      </c>
      <c r="E368" s="2">
        <v>50574</v>
      </c>
    </row>
    <row r="369" spans="1:5" x14ac:dyDescent="0.2">
      <c r="A369" s="1">
        <v>58196</v>
      </c>
      <c r="B369" s="1">
        <v>45049</v>
      </c>
      <c r="C369" s="1">
        <v>50591</v>
      </c>
      <c r="E369" s="2">
        <v>50591</v>
      </c>
    </row>
    <row r="370" spans="1:5" x14ac:dyDescent="0.2">
      <c r="A370" s="1">
        <v>58351</v>
      </c>
      <c r="B370" s="1">
        <v>45050</v>
      </c>
      <c r="C370" s="1">
        <v>50654</v>
      </c>
      <c r="E370" s="2">
        <v>50654</v>
      </c>
    </row>
    <row r="371" spans="1:5" x14ac:dyDescent="0.2">
      <c r="A371" s="1">
        <v>58434</v>
      </c>
      <c r="B371" s="1">
        <v>45051</v>
      </c>
      <c r="C371" s="1">
        <v>50734</v>
      </c>
      <c r="E371" s="2">
        <v>50734</v>
      </c>
    </row>
    <row r="372" spans="1:5" x14ac:dyDescent="0.2">
      <c r="A372" s="1">
        <v>58435</v>
      </c>
      <c r="B372" s="1">
        <v>45124</v>
      </c>
      <c r="C372" s="1">
        <v>50763</v>
      </c>
      <c r="E372" s="2">
        <v>50763</v>
      </c>
    </row>
    <row r="373" spans="1:5" x14ac:dyDescent="0.2">
      <c r="A373" s="1">
        <v>58441</v>
      </c>
      <c r="B373" s="1">
        <v>45149</v>
      </c>
      <c r="C373" s="1">
        <v>50787</v>
      </c>
      <c r="E373" s="2">
        <v>50787</v>
      </c>
    </row>
    <row r="374" spans="1:5" x14ac:dyDescent="0.2">
      <c r="A374" s="1">
        <v>58547</v>
      </c>
      <c r="B374" s="1">
        <v>45187</v>
      </c>
      <c r="C374" s="1">
        <v>50822</v>
      </c>
      <c r="E374" s="2">
        <v>50822</v>
      </c>
    </row>
    <row r="375" spans="1:5" x14ac:dyDescent="0.2">
      <c r="A375" s="1">
        <v>58550</v>
      </c>
      <c r="B375" s="1">
        <v>45208</v>
      </c>
      <c r="C375" s="1">
        <v>50868</v>
      </c>
      <c r="E375" s="2">
        <v>50868</v>
      </c>
    </row>
    <row r="376" spans="1:5" x14ac:dyDescent="0.2">
      <c r="A376" s="1">
        <v>58802</v>
      </c>
      <c r="B376" s="1">
        <v>45233</v>
      </c>
      <c r="C376" s="1">
        <v>50920</v>
      </c>
      <c r="E376" s="2">
        <v>50920</v>
      </c>
    </row>
    <row r="377" spans="1:5" x14ac:dyDescent="0.2">
      <c r="A377" s="1">
        <v>58803</v>
      </c>
      <c r="B377" s="1">
        <v>45253</v>
      </c>
      <c r="C377" s="1">
        <v>50941</v>
      </c>
      <c r="E377" s="2">
        <v>50941</v>
      </c>
    </row>
    <row r="378" spans="1:5" x14ac:dyDescent="0.2">
      <c r="A378" s="1">
        <v>58904</v>
      </c>
      <c r="B378" s="1">
        <v>45292</v>
      </c>
      <c r="C378" s="1">
        <v>50955</v>
      </c>
      <c r="E378" s="2">
        <v>50955</v>
      </c>
    </row>
    <row r="379" spans="1:5" x14ac:dyDescent="0.2">
      <c r="A379" s="1">
        <v>58907</v>
      </c>
      <c r="B379" s="1">
        <v>45293</v>
      </c>
      <c r="C379" s="1">
        <v>51018</v>
      </c>
      <c r="E379" s="2">
        <v>51018</v>
      </c>
    </row>
    <row r="380" spans="1:5" x14ac:dyDescent="0.2">
      <c r="A380" s="1">
        <v>59082</v>
      </c>
      <c r="B380" s="1">
        <v>45294</v>
      </c>
      <c r="C380" s="1">
        <v>51098</v>
      </c>
      <c r="E380" s="2">
        <v>51098</v>
      </c>
    </row>
    <row r="381" spans="1:5" x14ac:dyDescent="0.2">
      <c r="A381" s="1">
        <v>59166</v>
      </c>
      <c r="B381" s="1">
        <v>45299</v>
      </c>
      <c r="C381" s="1">
        <v>51130</v>
      </c>
      <c r="E381" s="2">
        <v>51130</v>
      </c>
    </row>
    <row r="382" spans="1:5" x14ac:dyDescent="0.2">
      <c r="A382" s="1">
        <v>59167</v>
      </c>
      <c r="B382" s="1">
        <v>45334</v>
      </c>
      <c r="C382" s="1">
        <v>51137</v>
      </c>
      <c r="E382" s="2">
        <v>51137</v>
      </c>
    </row>
    <row r="383" spans="1:5" x14ac:dyDescent="0.2">
      <c r="A383" s="1">
        <v>59254</v>
      </c>
      <c r="B383" s="1">
        <v>45345</v>
      </c>
      <c r="C383" s="1">
        <v>51151</v>
      </c>
      <c r="E383" s="2">
        <v>51151</v>
      </c>
    </row>
    <row r="384" spans="1:5" x14ac:dyDescent="0.2">
      <c r="A384" s="1">
        <v>59257</v>
      </c>
      <c r="B384" s="1">
        <v>45371</v>
      </c>
      <c r="C384" s="1">
        <v>51186</v>
      </c>
      <c r="E384" s="2">
        <v>51186</v>
      </c>
    </row>
    <row r="385" spans="1:5" x14ac:dyDescent="0.2">
      <c r="A385" s="1">
        <v>59292</v>
      </c>
      <c r="B385" s="1">
        <v>45411</v>
      </c>
      <c r="C385" s="1">
        <v>51225</v>
      </c>
      <c r="E385" s="2">
        <v>51225</v>
      </c>
    </row>
    <row r="386" spans="1:5" x14ac:dyDescent="0.2">
      <c r="A386" s="1">
        <v>59447</v>
      </c>
      <c r="B386" s="1">
        <v>45415</v>
      </c>
      <c r="C386" s="1">
        <v>51284</v>
      </c>
      <c r="E386" s="2">
        <v>51284</v>
      </c>
    </row>
    <row r="387" spans="1:5" x14ac:dyDescent="0.2">
      <c r="A387" s="1">
        <v>59530</v>
      </c>
      <c r="B387" s="1">
        <v>45418</v>
      </c>
      <c r="C387" s="1">
        <v>51306</v>
      </c>
      <c r="E387" s="2">
        <v>51306</v>
      </c>
    </row>
    <row r="388" spans="1:5" x14ac:dyDescent="0.2">
      <c r="A388" s="1">
        <v>59531</v>
      </c>
      <c r="B388" s="1">
        <v>45488</v>
      </c>
      <c r="C388" s="1">
        <v>51321</v>
      </c>
      <c r="E388" s="2">
        <v>51321</v>
      </c>
    </row>
    <row r="389" spans="1:5" x14ac:dyDescent="0.2">
      <c r="A389" s="1">
        <v>59537</v>
      </c>
      <c r="B389" s="1">
        <v>45516</v>
      </c>
      <c r="C389" s="1">
        <v>51382</v>
      </c>
      <c r="E389" s="2">
        <v>51382</v>
      </c>
    </row>
    <row r="390" spans="1:5" x14ac:dyDescent="0.2">
      <c r="A390" s="1">
        <v>59639</v>
      </c>
      <c r="B390" s="1">
        <v>45551</v>
      </c>
      <c r="C390" s="1">
        <v>51462</v>
      </c>
      <c r="E390" s="2">
        <v>51462</v>
      </c>
    </row>
    <row r="391" spans="1:5" x14ac:dyDescent="0.2">
      <c r="A391" s="1">
        <v>59642</v>
      </c>
      <c r="B391" s="1">
        <v>45558</v>
      </c>
      <c r="C391" s="1">
        <v>51495</v>
      </c>
      <c r="E391" s="2">
        <v>51495</v>
      </c>
    </row>
    <row r="392" spans="1:5" x14ac:dyDescent="0.2">
      <c r="A392" s="1">
        <v>59657</v>
      </c>
      <c r="B392" s="1">
        <v>45579</v>
      </c>
      <c r="C392" s="1">
        <v>51502</v>
      </c>
      <c r="E392" s="2">
        <v>51502</v>
      </c>
    </row>
    <row r="393" spans="1:5" x14ac:dyDescent="0.2">
      <c r="A393" s="1">
        <v>59812</v>
      </c>
      <c r="B393" s="1">
        <v>45600</v>
      </c>
      <c r="C393" s="1">
        <v>51522</v>
      </c>
      <c r="E393" s="2">
        <v>51522</v>
      </c>
    </row>
    <row r="394" spans="1:5" x14ac:dyDescent="0.2">
      <c r="A394" s="1">
        <v>59895</v>
      </c>
      <c r="B394" s="1">
        <v>45657</v>
      </c>
      <c r="C394" s="1">
        <v>51550</v>
      </c>
      <c r="E394" s="2">
        <v>51550</v>
      </c>
    </row>
    <row r="395" spans="1:5" x14ac:dyDescent="0.2">
      <c r="A395" s="1">
        <v>59896</v>
      </c>
      <c r="B395" s="1">
        <v>45658</v>
      </c>
      <c r="C395" s="1">
        <v>51610</v>
      </c>
      <c r="E395" s="2">
        <v>51610</v>
      </c>
    </row>
    <row r="396" spans="1:5" x14ac:dyDescent="0.2">
      <c r="A396" s="1">
        <v>59902</v>
      </c>
      <c r="B396" s="1">
        <v>45659</v>
      </c>
      <c r="C396" s="1">
        <v>51648</v>
      </c>
      <c r="E396" s="2">
        <v>51648</v>
      </c>
    </row>
    <row r="397" spans="1:5" x14ac:dyDescent="0.2">
      <c r="A397" s="1">
        <v>59996</v>
      </c>
      <c r="B397" s="1">
        <v>45660</v>
      </c>
      <c r="C397" s="1">
        <v>51671</v>
      </c>
      <c r="E397" s="2">
        <v>51671</v>
      </c>
    </row>
    <row r="398" spans="1:5" x14ac:dyDescent="0.2">
      <c r="A398" s="1">
        <v>59999</v>
      </c>
      <c r="B398" s="1">
        <v>45670</v>
      </c>
      <c r="C398" s="1">
        <v>51686</v>
      </c>
      <c r="E398" s="2">
        <v>51686</v>
      </c>
    </row>
    <row r="399" spans="1:5" x14ac:dyDescent="0.2">
      <c r="A399" s="1">
        <v>60023</v>
      </c>
      <c r="B399" s="1">
        <v>45699</v>
      </c>
      <c r="C399" s="1">
        <v>51746</v>
      </c>
      <c r="E399" s="2">
        <v>51746</v>
      </c>
    </row>
    <row r="400" spans="1:5" x14ac:dyDescent="0.2">
      <c r="A400" s="1">
        <v>60178</v>
      </c>
      <c r="B400" s="1">
        <v>45712</v>
      </c>
      <c r="C400" s="1">
        <v>51833</v>
      </c>
      <c r="E400" s="2">
        <v>51833</v>
      </c>
    </row>
    <row r="401" spans="1:5" x14ac:dyDescent="0.2">
      <c r="A401" s="1">
        <v>60261</v>
      </c>
      <c r="B401" s="1">
        <v>45736</v>
      </c>
      <c r="C401" s="1">
        <v>51860</v>
      </c>
      <c r="E401" s="2">
        <v>51860</v>
      </c>
    </row>
    <row r="402" spans="1:5" x14ac:dyDescent="0.2">
      <c r="A402" s="1">
        <v>60262</v>
      </c>
      <c r="B402" s="1">
        <v>45776</v>
      </c>
      <c r="C402" s="1">
        <v>51867</v>
      </c>
      <c r="E402" s="2">
        <v>51867</v>
      </c>
    </row>
    <row r="403" spans="1:5" x14ac:dyDescent="0.2">
      <c r="A403" s="1">
        <v>60268</v>
      </c>
      <c r="B403" s="1">
        <v>45782</v>
      </c>
      <c r="C403" s="1">
        <v>51886</v>
      </c>
      <c r="E403" s="2">
        <v>51886</v>
      </c>
    </row>
    <row r="404" spans="1:5" x14ac:dyDescent="0.2">
      <c r="A404" s="1">
        <v>60353</v>
      </c>
      <c r="B404" s="1">
        <v>45783</v>
      </c>
      <c r="C404" s="1">
        <v>51914</v>
      </c>
      <c r="E404" s="2">
        <v>51914</v>
      </c>
    </row>
    <row r="405" spans="1:5" x14ac:dyDescent="0.2">
      <c r="A405" s="1">
        <v>60356</v>
      </c>
      <c r="B405" s="1">
        <v>45859</v>
      </c>
      <c r="C405" s="1">
        <v>51960</v>
      </c>
      <c r="E405" s="2">
        <v>51960</v>
      </c>
    </row>
    <row r="406" spans="1:5" x14ac:dyDescent="0.2">
      <c r="A406" s="1">
        <v>60388</v>
      </c>
      <c r="B406" s="1">
        <v>45880</v>
      </c>
      <c r="C406" s="1">
        <v>52012</v>
      </c>
      <c r="E406" s="2">
        <v>52012</v>
      </c>
    </row>
    <row r="407" spans="1:5" x14ac:dyDescent="0.2">
      <c r="A407" s="1">
        <v>60626</v>
      </c>
      <c r="B407" s="1">
        <v>45915</v>
      </c>
      <c r="C407" s="1">
        <v>52036</v>
      </c>
      <c r="E407" s="2">
        <v>52036</v>
      </c>
    </row>
    <row r="408" spans="1:5" x14ac:dyDescent="0.2">
      <c r="A408" s="1">
        <v>60629</v>
      </c>
      <c r="B408" s="1">
        <v>45923</v>
      </c>
      <c r="C408" s="1">
        <v>52051</v>
      </c>
      <c r="E408" s="2">
        <v>52051</v>
      </c>
    </row>
    <row r="409" spans="1:5" x14ac:dyDescent="0.2">
      <c r="A409" s="1">
        <v>60633</v>
      </c>
      <c r="B409" s="1">
        <v>45943</v>
      </c>
      <c r="C409" s="1">
        <v>52110</v>
      </c>
      <c r="E409" s="2">
        <v>52110</v>
      </c>
    </row>
    <row r="410" spans="1:5" x14ac:dyDescent="0.2">
      <c r="A410" s="1">
        <v>60731</v>
      </c>
      <c r="B410" s="1">
        <v>45964</v>
      </c>
      <c r="C410" s="1">
        <v>52197</v>
      </c>
      <c r="E410" s="2">
        <v>52197</v>
      </c>
    </row>
    <row r="411" spans="1:5" x14ac:dyDescent="0.2">
      <c r="A411" s="1">
        <v>60734</v>
      </c>
      <c r="B411" s="1">
        <v>45985</v>
      </c>
      <c r="C411" s="1">
        <v>52225</v>
      </c>
      <c r="E411" s="2">
        <v>52225</v>
      </c>
    </row>
    <row r="412" spans="1:5" x14ac:dyDescent="0.2">
      <c r="A412" s="1">
        <v>60993</v>
      </c>
      <c r="B412" s="1">
        <v>46022</v>
      </c>
      <c r="C412" s="1">
        <v>52232</v>
      </c>
      <c r="E412" s="2">
        <v>52232</v>
      </c>
    </row>
    <row r="413" spans="1:5" x14ac:dyDescent="0.2">
      <c r="A413" s="1">
        <v>60994</v>
      </c>
      <c r="B413" s="1">
        <v>46023</v>
      </c>
      <c r="C413" s="1">
        <v>52250</v>
      </c>
      <c r="E413" s="2">
        <v>52250</v>
      </c>
    </row>
    <row r="414" spans="1:5" x14ac:dyDescent="0.2">
      <c r="A414" s="1">
        <v>61088</v>
      </c>
      <c r="B414" s="1">
        <v>46024</v>
      </c>
      <c r="C414" s="1">
        <v>52278</v>
      </c>
      <c r="E414" s="2">
        <v>52278</v>
      </c>
    </row>
    <row r="415" spans="1:5" x14ac:dyDescent="0.2">
      <c r="A415" s="1">
        <v>61091</v>
      </c>
      <c r="B415" s="1">
        <v>46034</v>
      </c>
      <c r="C415" s="1">
        <v>52317</v>
      </c>
      <c r="E415" s="2">
        <v>52317</v>
      </c>
    </row>
    <row r="416" spans="1:5" x14ac:dyDescent="0.2">
      <c r="A416" s="1">
        <v>61273</v>
      </c>
      <c r="B416" s="1">
        <v>46064</v>
      </c>
      <c r="C416" s="1">
        <v>52376</v>
      </c>
      <c r="E416" s="2">
        <v>52376</v>
      </c>
    </row>
    <row r="417" spans="1:5" x14ac:dyDescent="0.2">
      <c r="A417" s="1">
        <v>61357</v>
      </c>
      <c r="B417" s="1">
        <v>46076</v>
      </c>
      <c r="C417" s="1">
        <v>52401</v>
      </c>
      <c r="E417" s="2">
        <v>52401</v>
      </c>
    </row>
    <row r="418" spans="1:5" x14ac:dyDescent="0.2">
      <c r="A418" s="1">
        <v>61358</v>
      </c>
      <c r="B418" s="1">
        <v>46101</v>
      </c>
      <c r="C418" s="1">
        <v>52415</v>
      </c>
      <c r="E418" s="2">
        <v>52415</v>
      </c>
    </row>
    <row r="419" spans="1:5" x14ac:dyDescent="0.2">
      <c r="A419" s="1">
        <v>61473</v>
      </c>
      <c r="B419" s="1">
        <v>46141</v>
      </c>
      <c r="C419" s="1">
        <v>52481</v>
      </c>
      <c r="E419" s="2">
        <v>52481</v>
      </c>
    </row>
    <row r="420" spans="1:5" x14ac:dyDescent="0.2">
      <c r="A420" s="1">
        <v>61476</v>
      </c>
      <c r="B420" s="1">
        <v>46146</v>
      </c>
      <c r="C420" s="1">
        <v>52561</v>
      </c>
      <c r="E420" s="2">
        <v>52561</v>
      </c>
    </row>
    <row r="421" spans="1:5" x14ac:dyDescent="0.2">
      <c r="A421" s="1">
        <v>61484</v>
      </c>
      <c r="B421" s="1">
        <v>46147</v>
      </c>
      <c r="C421" s="1">
        <v>52590</v>
      </c>
      <c r="E421" s="2">
        <v>52590</v>
      </c>
    </row>
    <row r="422" spans="1:5" x14ac:dyDescent="0.2">
      <c r="A422" s="1">
        <v>61639</v>
      </c>
      <c r="B422" s="1">
        <v>46148</v>
      </c>
      <c r="C422" s="1">
        <v>52597</v>
      </c>
      <c r="E422" s="2">
        <v>52597</v>
      </c>
    </row>
    <row r="423" spans="1:5" x14ac:dyDescent="0.2">
      <c r="A423" s="1">
        <v>61722</v>
      </c>
      <c r="B423" s="1">
        <v>46223</v>
      </c>
      <c r="C423" s="1">
        <v>52614</v>
      </c>
      <c r="E423" s="2">
        <v>52614</v>
      </c>
    </row>
    <row r="424" spans="1:5" x14ac:dyDescent="0.2">
      <c r="A424" s="1">
        <v>61723</v>
      </c>
      <c r="B424" s="1">
        <v>46245</v>
      </c>
      <c r="C424" s="1">
        <v>52642</v>
      </c>
      <c r="E424" s="2">
        <v>52642</v>
      </c>
    </row>
    <row r="425" spans="1:5" x14ac:dyDescent="0.2">
      <c r="A425" s="1">
        <v>61729</v>
      </c>
      <c r="B425" s="1">
        <v>46286</v>
      </c>
      <c r="C425" s="1">
        <v>52702</v>
      </c>
      <c r="E425" s="2">
        <v>52702</v>
      </c>
    </row>
    <row r="426" spans="1:5" x14ac:dyDescent="0.2">
      <c r="A426" s="1">
        <v>61830</v>
      </c>
      <c r="B426" s="1">
        <v>46287</v>
      </c>
      <c r="C426" s="1">
        <v>52747</v>
      </c>
      <c r="E426" s="2">
        <v>52747</v>
      </c>
    </row>
    <row r="427" spans="1:5" x14ac:dyDescent="0.2">
      <c r="A427" s="1">
        <v>61833</v>
      </c>
      <c r="B427" s="1">
        <v>46288</v>
      </c>
      <c r="C427" s="1">
        <v>52768</v>
      </c>
      <c r="E427" s="2">
        <v>52768</v>
      </c>
    </row>
    <row r="428" spans="1:5" x14ac:dyDescent="0.2">
      <c r="A428" s="1">
        <v>61849</v>
      </c>
      <c r="B428" s="1">
        <v>46307</v>
      </c>
      <c r="C428" s="1">
        <v>52782</v>
      </c>
      <c r="E428" s="2">
        <v>52782</v>
      </c>
    </row>
    <row r="429" spans="1:5" x14ac:dyDescent="0.2">
      <c r="A429" s="1">
        <v>62004</v>
      </c>
      <c r="B429" s="1">
        <v>46329</v>
      </c>
      <c r="C429" s="1">
        <v>52845</v>
      </c>
      <c r="E429" s="2">
        <v>52845</v>
      </c>
    </row>
    <row r="430" spans="1:5" x14ac:dyDescent="0.2">
      <c r="A430" s="1">
        <v>62087</v>
      </c>
      <c r="B430" s="1">
        <v>46349</v>
      </c>
      <c r="C430" s="1">
        <v>52925</v>
      </c>
      <c r="E430" s="2">
        <v>52925</v>
      </c>
    </row>
    <row r="431" spans="1:5" x14ac:dyDescent="0.2">
      <c r="A431" s="1">
        <v>62088</v>
      </c>
      <c r="B431" s="1">
        <v>46387</v>
      </c>
      <c r="C431" s="1">
        <v>52957</v>
      </c>
      <c r="E431" s="2">
        <v>52957</v>
      </c>
    </row>
    <row r="432" spans="1:5" x14ac:dyDescent="0.2">
      <c r="A432" s="1">
        <v>62094</v>
      </c>
      <c r="B432" s="1">
        <v>46388</v>
      </c>
      <c r="C432" s="1">
        <v>52964</v>
      </c>
      <c r="E432" s="2">
        <v>52964</v>
      </c>
    </row>
    <row r="433" spans="1:5" x14ac:dyDescent="0.2">
      <c r="A433" s="1">
        <v>62180</v>
      </c>
      <c r="B433" s="1">
        <v>46398</v>
      </c>
      <c r="C433" s="1">
        <v>52978</v>
      </c>
      <c r="E433" s="2">
        <v>52978</v>
      </c>
    </row>
    <row r="434" spans="1:5" x14ac:dyDescent="0.2">
      <c r="A434" s="1">
        <v>62183</v>
      </c>
      <c r="B434" s="1">
        <v>46429</v>
      </c>
      <c r="C434" s="1">
        <v>53013</v>
      </c>
      <c r="E434" s="2">
        <v>53013</v>
      </c>
    </row>
    <row r="435" spans="1:5" x14ac:dyDescent="0.2">
      <c r="A435" s="1">
        <v>62214</v>
      </c>
      <c r="B435" s="1">
        <v>46441</v>
      </c>
      <c r="C435" s="1">
        <v>53059</v>
      </c>
      <c r="E435" s="2">
        <v>53059</v>
      </c>
    </row>
    <row r="436" spans="1:5" x14ac:dyDescent="0.2">
      <c r="A436" s="1">
        <v>62369</v>
      </c>
      <c r="B436" s="1">
        <v>46468</v>
      </c>
      <c r="C436" s="1">
        <v>53111</v>
      </c>
      <c r="E436" s="2">
        <v>53111</v>
      </c>
    </row>
    <row r="437" spans="1:5" x14ac:dyDescent="0.2">
      <c r="A437" s="1">
        <v>62452</v>
      </c>
      <c r="B437" s="1">
        <v>46506</v>
      </c>
      <c r="C437" s="1">
        <v>53132</v>
      </c>
      <c r="E437" s="2">
        <v>53132</v>
      </c>
    </row>
    <row r="438" spans="1:5" x14ac:dyDescent="0.2">
      <c r="A438" s="1">
        <v>62453</v>
      </c>
      <c r="B438" s="1">
        <v>46510</v>
      </c>
      <c r="C438" s="1">
        <v>53147</v>
      </c>
      <c r="E438" s="2">
        <v>53147</v>
      </c>
    </row>
    <row r="439" spans="1:5" x14ac:dyDescent="0.2">
      <c r="A439" s="1">
        <v>62459</v>
      </c>
      <c r="B439" s="1">
        <v>46511</v>
      </c>
      <c r="C439" s="1">
        <v>53209</v>
      </c>
      <c r="E439" s="2">
        <v>53209</v>
      </c>
    </row>
    <row r="440" spans="1:5" x14ac:dyDescent="0.2">
      <c r="A440" s="1">
        <v>62565</v>
      </c>
      <c r="B440" s="1">
        <v>46512</v>
      </c>
      <c r="C440" s="1">
        <v>53289</v>
      </c>
      <c r="E440" s="2">
        <v>53289</v>
      </c>
    </row>
    <row r="441" spans="1:5" x14ac:dyDescent="0.2">
      <c r="A441" s="1">
        <v>62568</v>
      </c>
      <c r="B441" s="1">
        <v>46587</v>
      </c>
      <c r="C441" s="1">
        <v>53321</v>
      </c>
      <c r="E441" s="2">
        <v>53321</v>
      </c>
    </row>
    <row r="442" spans="1:5" x14ac:dyDescent="0.2">
      <c r="A442" s="1">
        <v>62579</v>
      </c>
      <c r="B442" s="1">
        <v>46610</v>
      </c>
      <c r="C442" s="1">
        <v>53328</v>
      </c>
      <c r="E442" s="2">
        <v>53328</v>
      </c>
    </row>
    <row r="443" spans="1:5" x14ac:dyDescent="0.2">
      <c r="A443" s="1">
        <v>62817</v>
      </c>
      <c r="B443" s="1">
        <v>46650</v>
      </c>
      <c r="C443" s="1">
        <v>53342</v>
      </c>
      <c r="E443" s="2">
        <v>53342</v>
      </c>
    </row>
    <row r="444" spans="1:5" x14ac:dyDescent="0.2">
      <c r="A444" s="1">
        <v>62820</v>
      </c>
      <c r="B444" s="1">
        <v>46653</v>
      </c>
      <c r="C444" s="1">
        <v>53377</v>
      </c>
      <c r="E444" s="2">
        <v>53377</v>
      </c>
    </row>
    <row r="445" spans="1:5" x14ac:dyDescent="0.2">
      <c r="A445" s="1">
        <v>62824</v>
      </c>
      <c r="B445" s="1">
        <v>46671</v>
      </c>
      <c r="C445" s="1">
        <v>53409</v>
      </c>
      <c r="E445" s="2">
        <v>53409</v>
      </c>
    </row>
    <row r="446" spans="1:5" x14ac:dyDescent="0.2">
      <c r="A446" s="1">
        <v>62922</v>
      </c>
      <c r="B446" s="1">
        <v>46694</v>
      </c>
      <c r="C446" s="1">
        <v>53475</v>
      </c>
      <c r="E446" s="2">
        <v>53475</v>
      </c>
    </row>
    <row r="447" spans="1:5" x14ac:dyDescent="0.2">
      <c r="A447" s="1">
        <v>62925</v>
      </c>
      <c r="B447" s="1">
        <v>46714</v>
      </c>
      <c r="C447" s="1">
        <v>53497</v>
      </c>
      <c r="E447" s="2">
        <v>53497</v>
      </c>
    </row>
    <row r="448" spans="1:5" x14ac:dyDescent="0.2">
      <c r="A448" s="1">
        <v>63100</v>
      </c>
      <c r="B448" s="1">
        <v>46752</v>
      </c>
      <c r="C448" s="1">
        <v>53512</v>
      </c>
      <c r="E448" s="2">
        <v>53512</v>
      </c>
    </row>
    <row r="449" spans="1:5" x14ac:dyDescent="0.2">
      <c r="A449" s="1">
        <v>63184</v>
      </c>
      <c r="B449" s="1">
        <v>46755</v>
      </c>
      <c r="C449" s="1">
        <v>53573</v>
      </c>
      <c r="E449" s="2">
        <v>53573</v>
      </c>
    </row>
    <row r="450" spans="1:5" x14ac:dyDescent="0.2">
      <c r="A450" s="1">
        <v>63185</v>
      </c>
      <c r="B450" s="1">
        <v>46762</v>
      </c>
      <c r="C450" s="1">
        <v>53653</v>
      </c>
      <c r="E450" s="2">
        <v>53653</v>
      </c>
    </row>
    <row r="451" spans="1:5" x14ac:dyDescent="0.2">
      <c r="A451" s="1">
        <v>63272</v>
      </c>
      <c r="B451" s="1">
        <v>46794</v>
      </c>
      <c r="C451" s="1">
        <v>53686</v>
      </c>
      <c r="E451" s="2">
        <v>53686</v>
      </c>
    </row>
    <row r="452" spans="1:5" x14ac:dyDescent="0.2">
      <c r="A452" s="1">
        <v>63275</v>
      </c>
      <c r="B452" s="1">
        <v>46806</v>
      </c>
      <c r="C452" s="1">
        <v>53693</v>
      </c>
      <c r="E452" s="2">
        <v>53693</v>
      </c>
    </row>
    <row r="453" spans="1:5" x14ac:dyDescent="0.2">
      <c r="A453" s="1">
        <v>63310</v>
      </c>
      <c r="B453" s="1">
        <v>46832</v>
      </c>
      <c r="C453" s="1">
        <v>53713</v>
      </c>
      <c r="E453" s="2">
        <v>53713</v>
      </c>
    </row>
    <row r="454" spans="1:5" x14ac:dyDescent="0.2">
      <c r="A454" s="1">
        <v>63465</v>
      </c>
      <c r="B454" s="1">
        <v>46876</v>
      </c>
      <c r="C454" s="1">
        <v>53741</v>
      </c>
      <c r="E454" s="2">
        <v>53741</v>
      </c>
    </row>
    <row r="455" spans="1:5" x14ac:dyDescent="0.2">
      <c r="A455" s="1">
        <v>63548</v>
      </c>
      <c r="B455" s="1">
        <v>46877</v>
      </c>
      <c r="C455" s="1">
        <v>53794</v>
      </c>
      <c r="E455" s="2">
        <v>53794</v>
      </c>
    </row>
    <row r="456" spans="1:5" x14ac:dyDescent="0.2">
      <c r="A456" s="1">
        <v>63549</v>
      </c>
      <c r="B456" s="1">
        <v>46878</v>
      </c>
      <c r="C456" s="1">
        <v>53839</v>
      </c>
      <c r="E456" s="2">
        <v>53839</v>
      </c>
    </row>
    <row r="457" spans="1:5" x14ac:dyDescent="0.2">
      <c r="A457" s="1">
        <v>63555</v>
      </c>
      <c r="B457" s="1">
        <v>46951</v>
      </c>
      <c r="C457" s="1">
        <v>53862</v>
      </c>
      <c r="E457" s="2">
        <v>53862</v>
      </c>
    </row>
    <row r="458" spans="1:5" x14ac:dyDescent="0.2">
      <c r="A458" s="1">
        <v>63657</v>
      </c>
      <c r="B458" s="1">
        <v>46976</v>
      </c>
      <c r="C458" s="1">
        <v>53877</v>
      </c>
      <c r="E458" s="2">
        <v>53877</v>
      </c>
    </row>
    <row r="459" spans="1:5" x14ac:dyDescent="0.2">
      <c r="A459" s="1">
        <v>63660</v>
      </c>
      <c r="B459" s="1">
        <v>47014</v>
      </c>
      <c r="C459" s="1">
        <v>53937</v>
      </c>
      <c r="E459" s="2">
        <v>53937</v>
      </c>
    </row>
    <row r="460" spans="1:5" x14ac:dyDescent="0.2">
      <c r="A460" s="1">
        <v>63675</v>
      </c>
      <c r="B460" s="1">
        <v>47018</v>
      </c>
      <c r="C460" s="1">
        <v>54024</v>
      </c>
      <c r="E460" s="2">
        <v>54024</v>
      </c>
    </row>
    <row r="461" spans="1:5" x14ac:dyDescent="0.2">
      <c r="A461" s="1">
        <v>63830</v>
      </c>
      <c r="B461" s="1">
        <v>47035</v>
      </c>
      <c r="C461" s="1">
        <v>54051</v>
      </c>
      <c r="E461" s="2">
        <v>54051</v>
      </c>
    </row>
    <row r="462" spans="1:5" x14ac:dyDescent="0.2">
      <c r="A462" s="1">
        <v>63913</v>
      </c>
      <c r="B462" s="1">
        <v>47060</v>
      </c>
      <c r="C462" s="1">
        <v>54058</v>
      </c>
      <c r="E462" s="2">
        <v>54058</v>
      </c>
    </row>
    <row r="463" spans="1:5" x14ac:dyDescent="0.2">
      <c r="A463" s="1">
        <v>63914</v>
      </c>
      <c r="B463" s="1">
        <v>47080</v>
      </c>
      <c r="C463" s="1">
        <v>54077</v>
      </c>
      <c r="E463" s="2">
        <v>54077</v>
      </c>
    </row>
    <row r="464" spans="1:5" x14ac:dyDescent="0.2">
      <c r="A464" s="1">
        <v>63920</v>
      </c>
      <c r="B464" s="1">
        <v>47119</v>
      </c>
      <c r="C464" s="1">
        <v>54105</v>
      </c>
      <c r="E464" s="2">
        <v>54105</v>
      </c>
    </row>
    <row r="465" spans="1:5" x14ac:dyDescent="0.2">
      <c r="A465" s="1">
        <v>64014</v>
      </c>
      <c r="B465" s="1">
        <v>47120</v>
      </c>
      <c r="C465" s="1">
        <v>54151</v>
      </c>
      <c r="E465" s="2">
        <v>54151</v>
      </c>
    </row>
    <row r="466" spans="1:5" x14ac:dyDescent="0.2">
      <c r="A466" s="1">
        <v>64017</v>
      </c>
      <c r="B466" s="1">
        <v>47121</v>
      </c>
      <c r="C466" s="1">
        <v>54203</v>
      </c>
      <c r="E466" s="2">
        <v>54203</v>
      </c>
    </row>
    <row r="467" spans="1:5" x14ac:dyDescent="0.2">
      <c r="A467" s="1">
        <v>64040</v>
      </c>
      <c r="B467" s="1">
        <v>47126</v>
      </c>
      <c r="C467" s="1">
        <v>54228</v>
      </c>
      <c r="E467" s="2">
        <v>54228</v>
      </c>
    </row>
    <row r="468" spans="1:5" x14ac:dyDescent="0.2">
      <c r="A468" s="1">
        <v>64195</v>
      </c>
      <c r="B468" s="1">
        <v>47161</v>
      </c>
      <c r="C468" s="1">
        <v>54242</v>
      </c>
      <c r="E468" s="2">
        <v>54242</v>
      </c>
    </row>
    <row r="469" spans="1:5" x14ac:dyDescent="0.2">
      <c r="A469" s="1">
        <v>64278</v>
      </c>
      <c r="B469" s="1">
        <v>47172</v>
      </c>
      <c r="C469" s="1">
        <v>54308</v>
      </c>
      <c r="E469" s="2">
        <v>54308</v>
      </c>
    </row>
    <row r="470" spans="1:5" x14ac:dyDescent="0.2">
      <c r="A470" s="1">
        <v>64279</v>
      </c>
      <c r="B470" s="1">
        <v>47197</v>
      </c>
      <c r="C470" s="1">
        <v>54388</v>
      </c>
      <c r="E470" s="2">
        <v>54388</v>
      </c>
    </row>
    <row r="471" spans="1:5" x14ac:dyDescent="0.2">
      <c r="A471" s="1">
        <v>64285</v>
      </c>
      <c r="B471" s="1">
        <v>47238</v>
      </c>
      <c r="C471" s="1">
        <v>54417</v>
      </c>
      <c r="E471" s="2">
        <v>54417</v>
      </c>
    </row>
    <row r="472" spans="1:5" x14ac:dyDescent="0.2">
      <c r="A472" s="1">
        <v>64392</v>
      </c>
      <c r="B472" s="1">
        <v>47241</v>
      </c>
      <c r="C472" s="1">
        <v>54424</v>
      </c>
      <c r="E472" s="2">
        <v>54424</v>
      </c>
    </row>
    <row r="473" spans="1:5" x14ac:dyDescent="0.2">
      <c r="A473" s="1">
        <v>64395</v>
      </c>
      <c r="B473" s="1">
        <v>47242</v>
      </c>
      <c r="C473" s="1">
        <v>54441</v>
      </c>
      <c r="E473" s="2">
        <v>54441</v>
      </c>
    </row>
    <row r="474" spans="1:5" x14ac:dyDescent="0.2">
      <c r="A474" s="1">
        <v>64406</v>
      </c>
      <c r="B474" s="1">
        <v>47315</v>
      </c>
      <c r="C474" s="1">
        <v>54469</v>
      </c>
      <c r="E474" s="2">
        <v>54469</v>
      </c>
    </row>
    <row r="475" spans="1:5" x14ac:dyDescent="0.2">
      <c r="A475" s="1">
        <v>64644</v>
      </c>
      <c r="B475" s="1">
        <v>47378</v>
      </c>
      <c r="C475" s="1">
        <v>54529</v>
      </c>
      <c r="E475" s="2">
        <v>54529</v>
      </c>
    </row>
    <row r="476" spans="1:5" x14ac:dyDescent="0.2">
      <c r="A476" s="1">
        <v>64647</v>
      </c>
      <c r="B476" s="1">
        <v>47385</v>
      </c>
      <c r="C476" s="1">
        <v>54574</v>
      </c>
      <c r="E476" s="2">
        <v>54574</v>
      </c>
    </row>
    <row r="477" spans="1:5" x14ac:dyDescent="0.2">
      <c r="A477" s="1">
        <v>64651</v>
      </c>
      <c r="B477" s="1">
        <v>47399</v>
      </c>
      <c r="C477" s="1">
        <v>54592</v>
      </c>
      <c r="E477" s="2">
        <v>54592</v>
      </c>
    </row>
    <row r="478" spans="1:5" x14ac:dyDescent="0.2">
      <c r="A478" s="1">
        <v>64749</v>
      </c>
      <c r="B478" s="1">
        <v>47445</v>
      </c>
      <c r="C478" s="1">
        <v>54609</v>
      </c>
      <c r="E478" s="2">
        <v>54609</v>
      </c>
    </row>
    <row r="479" spans="1:5" x14ac:dyDescent="0.2">
      <c r="A479" s="1">
        <v>64752</v>
      </c>
      <c r="B479" s="1">
        <v>47483</v>
      </c>
      <c r="C479" s="1">
        <v>54672</v>
      </c>
      <c r="E479" s="2">
        <v>54672</v>
      </c>
    </row>
    <row r="480" spans="1:5" x14ac:dyDescent="0.2">
      <c r="A480" s="1">
        <v>65011</v>
      </c>
      <c r="B480" s="1">
        <v>47484</v>
      </c>
      <c r="C480" s="1">
        <v>54752</v>
      </c>
      <c r="E480" s="2">
        <v>54752</v>
      </c>
    </row>
    <row r="481" spans="1:5" x14ac:dyDescent="0.2">
      <c r="A481" s="1">
        <v>65012</v>
      </c>
      <c r="B481" s="1">
        <v>47485</v>
      </c>
      <c r="C481" s="1">
        <v>54781</v>
      </c>
      <c r="E481" s="2">
        <v>54781</v>
      </c>
    </row>
    <row r="482" spans="1:5" x14ac:dyDescent="0.2">
      <c r="A482" s="1">
        <v>65106</v>
      </c>
      <c r="B482" s="1">
        <v>47486</v>
      </c>
      <c r="C482" s="1">
        <v>54805</v>
      </c>
      <c r="E482" s="2">
        <v>54805</v>
      </c>
    </row>
    <row r="483" spans="1:5" x14ac:dyDescent="0.2">
      <c r="A483" s="1">
        <v>65109</v>
      </c>
      <c r="B483" s="1">
        <v>47497</v>
      </c>
      <c r="C483" s="1">
        <v>54840</v>
      </c>
      <c r="E483" s="2">
        <v>54840</v>
      </c>
    </row>
    <row r="484" spans="1:5" x14ac:dyDescent="0.2">
      <c r="A484" s="1">
        <v>65291</v>
      </c>
      <c r="B484" s="1">
        <v>47525</v>
      </c>
      <c r="C484" s="1">
        <v>54886</v>
      </c>
      <c r="E484" s="2">
        <v>54886</v>
      </c>
    </row>
    <row r="485" spans="1:5" x14ac:dyDescent="0.2">
      <c r="A485" s="1">
        <v>65375</v>
      </c>
      <c r="B485" s="1">
        <v>47562</v>
      </c>
      <c r="C485" s="1">
        <v>54938</v>
      </c>
      <c r="E485" s="2">
        <v>54938</v>
      </c>
    </row>
    <row r="486" spans="1:5" x14ac:dyDescent="0.2">
      <c r="A486" s="1">
        <v>65376</v>
      </c>
      <c r="B486" s="1">
        <v>47602</v>
      </c>
      <c r="C486" s="1">
        <v>54959</v>
      </c>
      <c r="E486" s="2">
        <v>54959</v>
      </c>
    </row>
    <row r="487" spans="1:5" x14ac:dyDescent="0.2">
      <c r="A487" s="1">
        <v>65491</v>
      </c>
      <c r="B487" s="1">
        <v>47606</v>
      </c>
      <c r="C487" s="1">
        <v>54973</v>
      </c>
      <c r="E487" s="2">
        <v>54973</v>
      </c>
    </row>
    <row r="488" spans="1:5" x14ac:dyDescent="0.2">
      <c r="A488" s="1">
        <v>65494</v>
      </c>
      <c r="B488" s="1">
        <v>47609</v>
      </c>
      <c r="C488" s="1">
        <v>55036</v>
      </c>
      <c r="E488" s="2">
        <v>55036</v>
      </c>
    </row>
    <row r="489" spans="1:5" x14ac:dyDescent="0.2">
      <c r="A489" s="1">
        <v>65501</v>
      </c>
      <c r="B489" s="1">
        <v>47679</v>
      </c>
      <c r="C489" s="1">
        <v>55116</v>
      </c>
      <c r="E489" s="2">
        <v>55116</v>
      </c>
    </row>
    <row r="490" spans="1:5" x14ac:dyDescent="0.2">
      <c r="A490" s="1">
        <v>65656</v>
      </c>
      <c r="B490" s="1">
        <v>47707</v>
      </c>
      <c r="C490" s="1">
        <v>55148</v>
      </c>
      <c r="E490" s="2">
        <v>55148</v>
      </c>
    </row>
    <row r="491" spans="1:5" x14ac:dyDescent="0.2">
      <c r="A491" s="1">
        <v>65739</v>
      </c>
      <c r="B491" s="1">
        <v>47742</v>
      </c>
      <c r="C491" s="1">
        <v>55155</v>
      </c>
      <c r="E491" s="2">
        <v>55155</v>
      </c>
    </row>
    <row r="492" spans="1:5" x14ac:dyDescent="0.2">
      <c r="A492" s="1">
        <v>65740</v>
      </c>
      <c r="B492" s="1">
        <v>47749</v>
      </c>
      <c r="C492" s="1">
        <v>55169</v>
      </c>
      <c r="E492" s="2">
        <v>55169</v>
      </c>
    </row>
    <row r="493" spans="1:5" x14ac:dyDescent="0.2">
      <c r="A493" s="1">
        <v>65746</v>
      </c>
      <c r="B493" s="1">
        <v>47770</v>
      </c>
      <c r="C493" s="1">
        <v>55204</v>
      </c>
      <c r="E493" s="2">
        <v>55204</v>
      </c>
    </row>
    <row r="494" spans="1:5" x14ac:dyDescent="0.2">
      <c r="A494" s="1">
        <v>65841</v>
      </c>
      <c r="B494" s="1">
        <v>47791</v>
      </c>
      <c r="C494" s="1">
        <v>55243</v>
      </c>
      <c r="E494" s="2">
        <v>55243</v>
      </c>
    </row>
    <row r="495" spans="1:5" x14ac:dyDescent="0.2">
      <c r="A495" s="1">
        <v>65844</v>
      </c>
      <c r="B495" s="1">
        <v>47848</v>
      </c>
      <c r="C495" s="1">
        <v>55302</v>
      </c>
      <c r="E495" s="2">
        <v>55302</v>
      </c>
    </row>
    <row r="496" spans="1:5" x14ac:dyDescent="0.2">
      <c r="A496" s="1">
        <v>65867</v>
      </c>
      <c r="B496" s="1">
        <v>47849</v>
      </c>
      <c r="C496" s="1">
        <v>55323</v>
      </c>
      <c r="E496" s="2">
        <v>55323</v>
      </c>
    </row>
    <row r="497" spans="1:5" x14ac:dyDescent="0.2">
      <c r="A497" s="1">
        <v>66022</v>
      </c>
      <c r="B497" s="1">
        <v>47850</v>
      </c>
      <c r="C497" s="1">
        <v>55338</v>
      </c>
      <c r="E497" s="2">
        <v>55338</v>
      </c>
    </row>
    <row r="498" spans="1:5" x14ac:dyDescent="0.2">
      <c r="A498" s="1">
        <v>66105</v>
      </c>
      <c r="B498" s="1">
        <v>47851</v>
      </c>
      <c r="C498" s="1">
        <v>55400</v>
      </c>
      <c r="E498" s="2">
        <v>55400</v>
      </c>
    </row>
    <row r="499" spans="1:5" x14ac:dyDescent="0.2">
      <c r="A499" s="1">
        <v>66106</v>
      </c>
      <c r="B499" s="1">
        <v>47861</v>
      </c>
      <c r="C499" s="1">
        <v>55480</v>
      </c>
      <c r="E499" s="2">
        <v>55480</v>
      </c>
    </row>
    <row r="500" spans="1:5" x14ac:dyDescent="0.2">
      <c r="A500" s="1">
        <v>66112</v>
      </c>
      <c r="B500" s="1">
        <v>47890</v>
      </c>
      <c r="C500" s="1">
        <v>55512</v>
      </c>
      <c r="E500" s="2">
        <v>55512</v>
      </c>
    </row>
    <row r="501" spans="1:5" x14ac:dyDescent="0.2">
      <c r="A501" s="1">
        <v>66198</v>
      </c>
      <c r="B501" s="1">
        <v>47903</v>
      </c>
      <c r="C501" s="1">
        <v>55519</v>
      </c>
      <c r="E501" s="2">
        <v>55519</v>
      </c>
    </row>
    <row r="502" spans="1:5" x14ac:dyDescent="0.2">
      <c r="A502" s="1">
        <v>66201</v>
      </c>
      <c r="B502" s="1">
        <v>47928</v>
      </c>
      <c r="C502" s="1">
        <v>55533</v>
      </c>
      <c r="E502" s="2">
        <v>55533</v>
      </c>
    </row>
    <row r="503" spans="1:5" x14ac:dyDescent="0.2">
      <c r="A503" s="1">
        <v>66232</v>
      </c>
      <c r="B503" s="1">
        <v>47967</v>
      </c>
      <c r="C503" s="1">
        <v>55568</v>
      </c>
      <c r="E503" s="2">
        <v>55568</v>
      </c>
    </row>
    <row r="504" spans="1:5" x14ac:dyDescent="0.2">
      <c r="A504" s="1">
        <v>66387</v>
      </c>
      <c r="B504" s="1">
        <v>47973</v>
      </c>
      <c r="C504" s="1">
        <v>55628</v>
      </c>
      <c r="E504" s="2">
        <v>55628</v>
      </c>
    </row>
    <row r="505" spans="1:5" x14ac:dyDescent="0.2">
      <c r="A505" s="1">
        <v>66470</v>
      </c>
      <c r="B505" s="1">
        <v>47974</v>
      </c>
      <c r="C505" s="1">
        <v>55666</v>
      </c>
      <c r="E505" s="2">
        <v>55666</v>
      </c>
    </row>
    <row r="506" spans="1:5" x14ac:dyDescent="0.2">
      <c r="A506" s="1">
        <v>66471</v>
      </c>
      <c r="B506" s="1">
        <v>48050</v>
      </c>
      <c r="C506" s="1">
        <v>55689</v>
      </c>
      <c r="E506" s="2">
        <v>55689</v>
      </c>
    </row>
    <row r="507" spans="1:5" x14ac:dyDescent="0.2">
      <c r="A507" s="1">
        <v>66477</v>
      </c>
      <c r="B507" s="1">
        <v>48071</v>
      </c>
      <c r="C507" s="1">
        <v>55704</v>
      </c>
      <c r="E507" s="2">
        <v>55704</v>
      </c>
    </row>
    <row r="508" spans="1:5" x14ac:dyDescent="0.2">
      <c r="A508" s="1">
        <v>66583</v>
      </c>
      <c r="B508" s="1">
        <v>48106</v>
      </c>
      <c r="C508" s="1">
        <v>55764</v>
      </c>
      <c r="E508" s="2">
        <v>55764</v>
      </c>
    </row>
    <row r="509" spans="1:5" x14ac:dyDescent="0.2">
      <c r="A509" s="1">
        <v>66586</v>
      </c>
      <c r="B509" s="1">
        <v>48114</v>
      </c>
      <c r="C509" s="1">
        <v>55851</v>
      </c>
      <c r="E509" s="2">
        <v>55851</v>
      </c>
    </row>
    <row r="510" spans="1:5" x14ac:dyDescent="0.2">
      <c r="A510" s="1">
        <v>66597</v>
      </c>
      <c r="B510" s="1">
        <v>48134</v>
      </c>
      <c r="C510" s="1">
        <v>55878</v>
      </c>
      <c r="E510" s="2">
        <v>55878</v>
      </c>
    </row>
    <row r="511" spans="1:5" x14ac:dyDescent="0.2">
      <c r="A511" s="1">
        <v>66835</v>
      </c>
      <c r="B511" s="1">
        <v>48155</v>
      </c>
      <c r="C511" s="1">
        <v>55885</v>
      </c>
      <c r="E511" s="2">
        <v>55885</v>
      </c>
    </row>
    <row r="512" spans="1:5" x14ac:dyDescent="0.2">
      <c r="A512" s="1">
        <v>66838</v>
      </c>
      <c r="B512" s="1">
        <v>48176</v>
      </c>
      <c r="C512" s="1">
        <v>55904</v>
      </c>
      <c r="E512" s="2">
        <v>55904</v>
      </c>
    </row>
    <row r="513" spans="1:5" x14ac:dyDescent="0.2">
      <c r="A513" s="1">
        <v>66842</v>
      </c>
      <c r="B513" s="1">
        <v>48213</v>
      </c>
      <c r="C513" s="1">
        <v>55932</v>
      </c>
      <c r="E513" s="2">
        <v>55932</v>
      </c>
    </row>
    <row r="514" spans="1:5" x14ac:dyDescent="0.2">
      <c r="A514" s="1">
        <v>66933</v>
      </c>
      <c r="B514" s="1">
        <v>48214</v>
      </c>
      <c r="C514" s="1">
        <v>55978</v>
      </c>
      <c r="E514" s="2">
        <v>55978</v>
      </c>
    </row>
    <row r="515" spans="1:5" x14ac:dyDescent="0.2">
      <c r="A515" s="1">
        <v>66936</v>
      </c>
      <c r="B515" s="1">
        <v>48215</v>
      </c>
      <c r="C515" s="1">
        <v>56030</v>
      </c>
      <c r="E515" s="2">
        <v>56030</v>
      </c>
    </row>
    <row r="516" spans="1:5" x14ac:dyDescent="0.2">
      <c r="A516" s="1">
        <v>67202</v>
      </c>
      <c r="B516" s="1">
        <v>48225</v>
      </c>
      <c r="C516" s="1">
        <v>56054</v>
      </c>
      <c r="E516" s="2">
        <v>56054</v>
      </c>
    </row>
    <row r="517" spans="1:5" x14ac:dyDescent="0.2">
      <c r="A517" s="1">
        <v>67203</v>
      </c>
      <c r="B517" s="1">
        <v>48255</v>
      </c>
      <c r="C517" s="1">
        <v>56069</v>
      </c>
      <c r="E517" s="2">
        <v>56069</v>
      </c>
    </row>
    <row r="518" spans="1:5" x14ac:dyDescent="0.2">
      <c r="A518" s="1">
        <v>67290</v>
      </c>
      <c r="B518" s="1">
        <v>48267</v>
      </c>
      <c r="C518" s="1">
        <v>56128</v>
      </c>
      <c r="E518" s="2">
        <v>56128</v>
      </c>
    </row>
    <row r="519" spans="1:5" x14ac:dyDescent="0.2">
      <c r="A519" s="1">
        <v>67293</v>
      </c>
      <c r="B519" s="1">
        <v>48333</v>
      </c>
      <c r="C519" s="1">
        <v>56215</v>
      </c>
      <c r="E519" s="2">
        <v>56215</v>
      </c>
    </row>
    <row r="520" spans="1:5" x14ac:dyDescent="0.2">
      <c r="A520" s="1">
        <v>67328</v>
      </c>
      <c r="B520" s="1">
        <v>48337</v>
      </c>
      <c r="C520" s="1">
        <v>56243</v>
      </c>
      <c r="E520" s="2">
        <v>56243</v>
      </c>
    </row>
    <row r="521" spans="1:5" x14ac:dyDescent="0.2">
      <c r="A521" s="1">
        <v>67483</v>
      </c>
      <c r="B521" s="1">
        <v>48338</v>
      </c>
      <c r="C521" s="1">
        <v>56250</v>
      </c>
      <c r="E521" s="2">
        <v>56250</v>
      </c>
    </row>
    <row r="522" spans="1:5" x14ac:dyDescent="0.2">
      <c r="A522" s="1">
        <v>67566</v>
      </c>
      <c r="B522" s="1">
        <v>48339</v>
      </c>
      <c r="C522" s="1">
        <v>56268</v>
      </c>
      <c r="E522" s="2">
        <v>56268</v>
      </c>
    </row>
    <row r="523" spans="1:5" x14ac:dyDescent="0.2">
      <c r="A523" s="1">
        <v>67567</v>
      </c>
      <c r="B523" s="1">
        <v>48414</v>
      </c>
      <c r="C523" s="1">
        <v>56296</v>
      </c>
      <c r="E523" s="2">
        <v>56296</v>
      </c>
    </row>
    <row r="524" spans="1:5" x14ac:dyDescent="0.2">
      <c r="A524" s="1">
        <v>67573</v>
      </c>
      <c r="B524" s="1">
        <v>48437</v>
      </c>
      <c r="C524" s="1">
        <v>56335</v>
      </c>
      <c r="E524" s="2">
        <v>56335</v>
      </c>
    </row>
    <row r="525" spans="1:5" x14ac:dyDescent="0.2">
      <c r="A525" s="1">
        <v>67675</v>
      </c>
      <c r="B525" s="1">
        <v>48477</v>
      </c>
      <c r="C525" s="1">
        <v>56394</v>
      </c>
      <c r="E525" s="2">
        <v>56394</v>
      </c>
    </row>
    <row r="526" spans="1:5" x14ac:dyDescent="0.2">
      <c r="A526" s="1">
        <v>67678</v>
      </c>
      <c r="B526" s="1">
        <v>48478</v>
      </c>
      <c r="C526" s="1">
        <v>56419</v>
      </c>
      <c r="E526" s="2">
        <v>56419</v>
      </c>
    </row>
    <row r="527" spans="1:5" x14ac:dyDescent="0.2">
      <c r="A527" s="1">
        <v>67693</v>
      </c>
      <c r="B527" s="1">
        <v>48479</v>
      </c>
      <c r="C527" s="1">
        <v>56433</v>
      </c>
      <c r="E527" s="2">
        <v>56433</v>
      </c>
    </row>
    <row r="528" spans="1:5" x14ac:dyDescent="0.2">
      <c r="A528" s="1">
        <v>67848</v>
      </c>
      <c r="B528" s="1">
        <v>48498</v>
      </c>
      <c r="C528" s="1">
        <v>56499</v>
      </c>
      <c r="E528" s="2">
        <v>56499</v>
      </c>
    </row>
    <row r="529" spans="1:5" x14ac:dyDescent="0.2">
      <c r="A529" s="1">
        <v>67931</v>
      </c>
      <c r="B529" s="1">
        <v>48521</v>
      </c>
      <c r="C529" s="1">
        <v>56579</v>
      </c>
      <c r="E529" s="2">
        <v>56579</v>
      </c>
    </row>
    <row r="530" spans="1:5" x14ac:dyDescent="0.2">
      <c r="A530" s="1">
        <v>67932</v>
      </c>
      <c r="B530" s="1">
        <v>48541</v>
      </c>
      <c r="C530" s="1">
        <v>56608</v>
      </c>
      <c r="E530" s="2">
        <v>56608</v>
      </c>
    </row>
    <row r="531" spans="1:5" x14ac:dyDescent="0.2">
      <c r="A531" s="1">
        <v>67938</v>
      </c>
      <c r="B531" s="1">
        <v>48579</v>
      </c>
      <c r="C531" s="1">
        <v>56615</v>
      </c>
      <c r="E531" s="2">
        <v>56615</v>
      </c>
    </row>
    <row r="532" spans="1:5" x14ac:dyDescent="0.2">
      <c r="A532" s="1">
        <v>68025</v>
      </c>
      <c r="B532" s="1">
        <v>48582</v>
      </c>
      <c r="C532" s="1">
        <v>56632</v>
      </c>
      <c r="E532" s="2">
        <v>56632</v>
      </c>
    </row>
    <row r="533" spans="1:5" x14ac:dyDescent="0.2">
      <c r="A533" s="1">
        <v>68028</v>
      </c>
      <c r="B533" s="1">
        <v>48589</v>
      </c>
      <c r="C533" s="1">
        <v>56660</v>
      </c>
      <c r="E533" s="2">
        <v>56660</v>
      </c>
    </row>
    <row r="534" spans="1:5" x14ac:dyDescent="0.2">
      <c r="A534" s="1">
        <v>68058</v>
      </c>
      <c r="B534" s="1">
        <v>48621</v>
      </c>
      <c r="C534" s="1">
        <v>56720</v>
      </c>
      <c r="E534" s="2">
        <v>56720</v>
      </c>
    </row>
    <row r="535" spans="1:5" x14ac:dyDescent="0.2">
      <c r="A535" s="1">
        <v>68213</v>
      </c>
      <c r="B535" s="1">
        <v>48633</v>
      </c>
      <c r="C535" s="1">
        <v>56765</v>
      </c>
      <c r="E535" s="2">
        <v>56765</v>
      </c>
    </row>
    <row r="536" spans="1:5" x14ac:dyDescent="0.2">
      <c r="A536" s="1">
        <v>68296</v>
      </c>
      <c r="B536" s="1">
        <v>48659</v>
      </c>
      <c r="C536" s="1">
        <v>56783</v>
      </c>
      <c r="E536" s="2">
        <v>56783</v>
      </c>
    </row>
    <row r="537" spans="1:5" x14ac:dyDescent="0.2">
      <c r="A537" s="1">
        <v>68297</v>
      </c>
      <c r="B537" s="1">
        <v>48698</v>
      </c>
      <c r="C537" s="1">
        <v>56800</v>
      </c>
      <c r="E537" s="2">
        <v>56800</v>
      </c>
    </row>
    <row r="538" spans="1:5" x14ac:dyDescent="0.2">
      <c r="A538" s="1">
        <v>68303</v>
      </c>
      <c r="B538" s="1">
        <v>48702</v>
      </c>
      <c r="C538" s="1">
        <v>56863</v>
      </c>
      <c r="E538" s="2">
        <v>56863</v>
      </c>
    </row>
    <row r="539" spans="1:5" x14ac:dyDescent="0.2">
      <c r="A539" s="1">
        <v>68410</v>
      </c>
      <c r="B539" s="1">
        <v>48703</v>
      </c>
      <c r="C539" s="1">
        <v>56943</v>
      </c>
      <c r="E539" s="2">
        <v>56943</v>
      </c>
    </row>
    <row r="540" spans="1:5" x14ac:dyDescent="0.2">
      <c r="A540" s="1">
        <v>68413</v>
      </c>
      <c r="B540" s="1">
        <v>48704</v>
      </c>
      <c r="C540" s="1">
        <v>56972</v>
      </c>
      <c r="E540" s="2">
        <v>56972</v>
      </c>
    </row>
    <row r="541" spans="1:5" x14ac:dyDescent="0.2">
      <c r="A541" s="1">
        <v>68423</v>
      </c>
      <c r="B541" s="1">
        <v>48778</v>
      </c>
      <c r="C541" s="1">
        <v>56996</v>
      </c>
      <c r="E541" s="2">
        <v>56996</v>
      </c>
    </row>
    <row r="542" spans="1:5" x14ac:dyDescent="0.2">
      <c r="A542" s="1">
        <v>68578</v>
      </c>
      <c r="B542" s="1">
        <v>48802</v>
      </c>
      <c r="C542" s="1">
        <v>57031</v>
      </c>
      <c r="E542" s="2">
        <v>57031</v>
      </c>
    </row>
    <row r="543" spans="1:5" x14ac:dyDescent="0.2">
      <c r="A543" s="1">
        <v>68661</v>
      </c>
      <c r="B543" s="1">
        <v>48841</v>
      </c>
      <c r="C543" s="1">
        <v>57070</v>
      </c>
      <c r="E543" s="2">
        <v>57070</v>
      </c>
    </row>
    <row r="544" spans="1:5" x14ac:dyDescent="0.2">
      <c r="A544" s="1">
        <v>68662</v>
      </c>
      <c r="B544" s="1">
        <v>48845</v>
      </c>
      <c r="C544" s="1">
        <v>57129</v>
      </c>
      <c r="E544" s="2">
        <v>57129</v>
      </c>
    </row>
    <row r="545" spans="1:5" x14ac:dyDescent="0.2">
      <c r="A545" s="1">
        <v>68668</v>
      </c>
      <c r="B545" s="1">
        <v>48862</v>
      </c>
      <c r="C545" s="1">
        <v>57150</v>
      </c>
      <c r="E545" s="2">
        <v>57150</v>
      </c>
    </row>
    <row r="546" spans="1:5" x14ac:dyDescent="0.2">
      <c r="A546" s="1">
        <v>68767</v>
      </c>
      <c r="B546" s="1">
        <v>48886</v>
      </c>
      <c r="C546" s="1">
        <v>57165</v>
      </c>
      <c r="E546" s="2">
        <v>57165</v>
      </c>
    </row>
    <row r="547" spans="1:5" x14ac:dyDescent="0.2">
      <c r="A547" s="1">
        <v>68770</v>
      </c>
      <c r="B547" s="1">
        <v>48906</v>
      </c>
      <c r="C547" s="1">
        <v>57227</v>
      </c>
      <c r="E547" s="2">
        <v>57227</v>
      </c>
    </row>
    <row r="548" spans="1:5" x14ac:dyDescent="0.2">
      <c r="A548" s="1">
        <v>69029</v>
      </c>
      <c r="B548" s="1">
        <v>48946</v>
      </c>
      <c r="C548" s="1">
        <v>57307</v>
      </c>
      <c r="E548" s="2">
        <v>57307</v>
      </c>
    </row>
    <row r="549" spans="1:5" x14ac:dyDescent="0.2">
      <c r="A549" s="1">
        <v>69030</v>
      </c>
      <c r="B549" s="1">
        <v>48947</v>
      </c>
      <c r="C549" s="1">
        <v>57339</v>
      </c>
      <c r="E549" s="2">
        <v>57339</v>
      </c>
    </row>
    <row r="550" spans="1:5" x14ac:dyDescent="0.2">
      <c r="A550" s="1">
        <v>69124</v>
      </c>
      <c r="B550" s="1">
        <v>48953</v>
      </c>
      <c r="C550" s="1">
        <v>57346</v>
      </c>
      <c r="E550" s="2">
        <v>57346</v>
      </c>
    </row>
    <row r="551" spans="1:5" x14ac:dyDescent="0.2">
      <c r="A551" s="1">
        <v>69127</v>
      </c>
      <c r="B551" s="1">
        <v>48998</v>
      </c>
      <c r="C551" s="1">
        <v>57360</v>
      </c>
      <c r="E551" s="2">
        <v>57360</v>
      </c>
    </row>
    <row r="552" spans="1:5" x14ac:dyDescent="0.2">
      <c r="A552" s="1">
        <v>69309</v>
      </c>
      <c r="B552" s="1">
        <v>49023</v>
      </c>
      <c r="C552" s="1">
        <v>57395</v>
      </c>
      <c r="E552" s="2">
        <v>57395</v>
      </c>
    </row>
    <row r="553" spans="1:5" x14ac:dyDescent="0.2">
      <c r="A553" s="1">
        <v>69393</v>
      </c>
      <c r="B553" s="1">
        <v>49067</v>
      </c>
      <c r="C553" s="1">
        <v>57455</v>
      </c>
      <c r="E553" s="2">
        <v>57455</v>
      </c>
    </row>
    <row r="554" spans="1:5" x14ac:dyDescent="0.2">
      <c r="A554" s="1">
        <v>69394</v>
      </c>
      <c r="B554" s="1">
        <v>49068</v>
      </c>
      <c r="C554" s="1">
        <v>57493</v>
      </c>
      <c r="E554" s="2">
        <v>57493</v>
      </c>
    </row>
    <row r="555" spans="1:5" x14ac:dyDescent="0.2">
      <c r="A555" s="1">
        <v>69502</v>
      </c>
      <c r="B555" s="1">
        <v>49069</v>
      </c>
      <c r="C555" s="1">
        <v>57515</v>
      </c>
      <c r="E555" s="2">
        <v>57515</v>
      </c>
    </row>
    <row r="556" spans="1:5" x14ac:dyDescent="0.2">
      <c r="A556" s="1">
        <v>69505</v>
      </c>
      <c r="B556" s="1">
        <v>49142</v>
      </c>
      <c r="C556" s="1">
        <v>57530</v>
      </c>
      <c r="E556" s="2">
        <v>57530</v>
      </c>
    </row>
    <row r="557" spans="1:5" x14ac:dyDescent="0.2">
      <c r="A557" s="1">
        <v>69519</v>
      </c>
      <c r="B557" s="1">
        <v>49167</v>
      </c>
      <c r="C557" s="1">
        <v>57591</v>
      </c>
      <c r="E557" s="2">
        <v>57591</v>
      </c>
    </row>
    <row r="558" spans="1:5" x14ac:dyDescent="0.2">
      <c r="A558" s="1">
        <v>69674</v>
      </c>
      <c r="B558" s="1">
        <v>49205</v>
      </c>
      <c r="C558" s="1">
        <v>57671</v>
      </c>
      <c r="E558" s="2">
        <v>57671</v>
      </c>
    </row>
    <row r="559" spans="1:5" x14ac:dyDescent="0.2">
      <c r="A559" s="1">
        <v>69757</v>
      </c>
      <c r="B559" s="1">
        <v>49226</v>
      </c>
      <c r="C559" s="1">
        <v>57704</v>
      </c>
      <c r="E559" s="2">
        <v>57704</v>
      </c>
    </row>
    <row r="560" spans="1:5" x14ac:dyDescent="0.2">
      <c r="A560" s="1">
        <v>69758</v>
      </c>
      <c r="B560" s="1">
        <v>49251</v>
      </c>
      <c r="C560" s="1">
        <v>57711</v>
      </c>
      <c r="E560" s="2">
        <v>57711</v>
      </c>
    </row>
    <row r="561" spans="1:5" x14ac:dyDescent="0.2">
      <c r="A561" s="1">
        <v>69764</v>
      </c>
      <c r="B561" s="1">
        <v>49271</v>
      </c>
      <c r="C561" s="1">
        <v>57731</v>
      </c>
      <c r="E561" s="2">
        <v>57731</v>
      </c>
    </row>
    <row r="562" spans="1:5" x14ac:dyDescent="0.2">
      <c r="A562" s="1">
        <v>69859</v>
      </c>
      <c r="B562" s="1">
        <v>49310</v>
      </c>
      <c r="C562" s="1">
        <v>57759</v>
      </c>
      <c r="E562" s="2">
        <v>57759</v>
      </c>
    </row>
    <row r="563" spans="1:5" x14ac:dyDescent="0.2">
      <c r="A563" s="1">
        <v>69862</v>
      </c>
      <c r="B563" s="1">
        <v>49311</v>
      </c>
      <c r="C563" s="1">
        <v>57812</v>
      </c>
      <c r="E563" s="2">
        <v>57812</v>
      </c>
    </row>
    <row r="564" spans="1:5" x14ac:dyDescent="0.2">
      <c r="A564" s="1">
        <v>69884</v>
      </c>
      <c r="B564" s="1">
        <v>49312</v>
      </c>
      <c r="C564" s="1">
        <v>57857</v>
      </c>
      <c r="E564" s="2">
        <v>57857</v>
      </c>
    </row>
    <row r="565" spans="1:5" x14ac:dyDescent="0.2">
      <c r="A565" s="1">
        <v>70039</v>
      </c>
      <c r="B565" s="1">
        <v>49317</v>
      </c>
      <c r="C565" s="1">
        <v>57880</v>
      </c>
      <c r="E565" s="2">
        <v>57880</v>
      </c>
    </row>
    <row r="566" spans="1:5" x14ac:dyDescent="0.2">
      <c r="A566" s="1">
        <v>70122</v>
      </c>
      <c r="B566" s="1">
        <v>49352</v>
      </c>
      <c r="C566" s="1">
        <v>57895</v>
      </c>
      <c r="E566" s="2">
        <v>57895</v>
      </c>
    </row>
    <row r="567" spans="1:5" x14ac:dyDescent="0.2">
      <c r="A567" s="1">
        <v>70123</v>
      </c>
      <c r="B567" s="1">
        <v>49363</v>
      </c>
      <c r="C567" s="1">
        <v>57955</v>
      </c>
      <c r="E567" s="2">
        <v>57955</v>
      </c>
    </row>
    <row r="568" spans="1:5" x14ac:dyDescent="0.2">
      <c r="A568" s="1">
        <v>70129</v>
      </c>
      <c r="B568" s="1">
        <v>49389</v>
      </c>
      <c r="C568" s="1">
        <v>58042</v>
      </c>
      <c r="E568" s="2">
        <v>58042</v>
      </c>
    </row>
    <row r="569" spans="1:5" x14ac:dyDescent="0.2">
      <c r="A569" s="1">
        <v>70216</v>
      </c>
      <c r="B569" s="1">
        <v>49429</v>
      </c>
      <c r="C569" s="1">
        <v>58069</v>
      </c>
      <c r="E569" s="2">
        <v>58069</v>
      </c>
    </row>
    <row r="570" spans="1:5" x14ac:dyDescent="0.2">
      <c r="A570" s="1">
        <v>70219</v>
      </c>
      <c r="B570" s="1">
        <v>49432</v>
      </c>
      <c r="C570" s="1">
        <v>58076</v>
      </c>
      <c r="E570" s="2">
        <v>58076</v>
      </c>
    </row>
    <row r="571" spans="1:5" x14ac:dyDescent="0.2">
      <c r="A571" s="1">
        <v>70250</v>
      </c>
      <c r="B571" s="1">
        <v>49433</v>
      </c>
      <c r="C571" s="1">
        <v>58095</v>
      </c>
      <c r="E571" s="2">
        <v>58095</v>
      </c>
    </row>
    <row r="572" spans="1:5" x14ac:dyDescent="0.2">
      <c r="A572" s="1">
        <v>70405</v>
      </c>
      <c r="B572" s="1">
        <v>49506</v>
      </c>
      <c r="C572" s="1">
        <v>58123</v>
      </c>
      <c r="E572" s="2">
        <v>58123</v>
      </c>
    </row>
    <row r="573" spans="1:5" x14ac:dyDescent="0.2">
      <c r="A573" s="1">
        <v>70488</v>
      </c>
      <c r="B573" s="1">
        <v>49569</v>
      </c>
      <c r="C573" s="1">
        <v>58162</v>
      </c>
      <c r="E573" s="2">
        <v>58162</v>
      </c>
    </row>
    <row r="574" spans="1:5" x14ac:dyDescent="0.2">
      <c r="A574" s="1">
        <v>70489</v>
      </c>
      <c r="B574" s="1">
        <v>49576</v>
      </c>
      <c r="C574" s="1">
        <v>58221</v>
      </c>
      <c r="E574" s="2">
        <v>58221</v>
      </c>
    </row>
    <row r="575" spans="1:5" x14ac:dyDescent="0.2">
      <c r="A575" s="1">
        <v>70495</v>
      </c>
      <c r="B575" s="1">
        <v>49590</v>
      </c>
      <c r="C575" s="1">
        <v>58245</v>
      </c>
      <c r="E575" s="2">
        <v>58245</v>
      </c>
    </row>
    <row r="576" spans="1:5" x14ac:dyDescent="0.2">
      <c r="A576" s="1">
        <v>70594</v>
      </c>
      <c r="B576" s="1">
        <v>49636</v>
      </c>
      <c r="C576" s="1">
        <v>58260</v>
      </c>
      <c r="E576" s="2">
        <v>58260</v>
      </c>
    </row>
    <row r="577" spans="1:5" x14ac:dyDescent="0.2">
      <c r="A577" s="1">
        <v>70597</v>
      </c>
      <c r="B577" s="1">
        <v>49674</v>
      </c>
      <c r="C577" s="1">
        <v>58319</v>
      </c>
      <c r="E577" s="2">
        <v>58319</v>
      </c>
    </row>
    <row r="578" spans="1:5" x14ac:dyDescent="0.2">
      <c r="A578" s="1">
        <v>70615</v>
      </c>
      <c r="B578" s="1">
        <v>49675</v>
      </c>
      <c r="C578" s="1">
        <v>58406</v>
      </c>
      <c r="E578" s="2">
        <v>58406</v>
      </c>
    </row>
    <row r="579" spans="1:5" x14ac:dyDescent="0.2">
      <c r="A579" s="1">
        <v>70853</v>
      </c>
      <c r="B579" s="1">
        <v>49676</v>
      </c>
      <c r="C579" s="1">
        <v>58434</v>
      </c>
      <c r="E579" s="2">
        <v>58434</v>
      </c>
    </row>
    <row r="580" spans="1:5" x14ac:dyDescent="0.2">
      <c r="A580" s="1">
        <v>70856</v>
      </c>
      <c r="B580" s="1">
        <v>49677</v>
      </c>
      <c r="C580" s="1">
        <v>58441</v>
      </c>
      <c r="E580" s="2">
        <v>58441</v>
      </c>
    </row>
    <row r="581" spans="1:5" x14ac:dyDescent="0.2">
      <c r="A581" s="1">
        <v>70860</v>
      </c>
      <c r="B581" s="1">
        <v>49688</v>
      </c>
      <c r="C581" s="1">
        <v>58459</v>
      </c>
      <c r="E581" s="2">
        <v>58459</v>
      </c>
    </row>
    <row r="582" spans="1:5" x14ac:dyDescent="0.2">
      <c r="A582" s="1">
        <v>70951</v>
      </c>
      <c r="B582" s="1">
        <v>49716</v>
      </c>
      <c r="C582" s="1">
        <v>58487</v>
      </c>
      <c r="E582" s="2">
        <v>58487</v>
      </c>
    </row>
    <row r="583" spans="1:5" x14ac:dyDescent="0.2">
      <c r="A583" s="1">
        <v>70954</v>
      </c>
      <c r="B583" s="1">
        <v>49754</v>
      </c>
      <c r="C583" s="1">
        <v>58547</v>
      </c>
      <c r="E583" s="2">
        <v>58547</v>
      </c>
    </row>
    <row r="584" spans="1:5" x14ac:dyDescent="0.2">
      <c r="A584" s="1">
        <v>71220</v>
      </c>
      <c r="B584" s="1">
        <v>49794</v>
      </c>
      <c r="C584" s="1">
        <v>58592</v>
      </c>
      <c r="E584" s="2">
        <v>58592</v>
      </c>
    </row>
    <row r="585" spans="1:5" x14ac:dyDescent="0.2">
      <c r="A585" s="1">
        <v>71221</v>
      </c>
      <c r="B585" s="1">
        <v>49800</v>
      </c>
      <c r="C585" s="1">
        <v>58610</v>
      </c>
      <c r="E585" s="2">
        <v>58610</v>
      </c>
    </row>
    <row r="586" spans="1:5" x14ac:dyDescent="0.2">
      <c r="A586" s="1">
        <v>71336</v>
      </c>
      <c r="B586" s="1">
        <v>49801</v>
      </c>
      <c r="C586" s="1">
        <v>58627</v>
      </c>
      <c r="E586" s="2">
        <v>58627</v>
      </c>
    </row>
    <row r="587" spans="1:5" x14ac:dyDescent="0.2">
      <c r="A587" s="1">
        <v>71339</v>
      </c>
      <c r="B587" s="1">
        <v>49877</v>
      </c>
      <c r="C587" s="1">
        <v>58690</v>
      </c>
      <c r="E587" s="2">
        <v>58690</v>
      </c>
    </row>
    <row r="588" spans="1:5" x14ac:dyDescent="0.2">
      <c r="A588" s="1">
        <v>71500</v>
      </c>
      <c r="B588" s="1">
        <v>49898</v>
      </c>
      <c r="C588" s="1">
        <v>58770</v>
      </c>
      <c r="E588" s="2">
        <v>58770</v>
      </c>
    </row>
    <row r="589" spans="1:5" x14ac:dyDescent="0.2">
      <c r="A589" s="1">
        <v>71584</v>
      </c>
      <c r="B589" s="1">
        <v>49933</v>
      </c>
      <c r="C589" s="1">
        <v>58799</v>
      </c>
      <c r="E589" s="2">
        <v>58799</v>
      </c>
    </row>
    <row r="590" spans="1:5" x14ac:dyDescent="0.2">
      <c r="A590" s="1">
        <v>71585</v>
      </c>
      <c r="B590" s="1">
        <v>49940</v>
      </c>
      <c r="C590" s="1">
        <v>58823</v>
      </c>
      <c r="E590" s="2">
        <v>58823</v>
      </c>
    </row>
    <row r="591" spans="1:5" x14ac:dyDescent="0.2">
      <c r="A591" s="1">
        <v>71693</v>
      </c>
      <c r="B591" s="1">
        <v>49961</v>
      </c>
      <c r="C591" s="1">
        <v>58858</v>
      </c>
      <c r="E591" s="2">
        <v>58858</v>
      </c>
    </row>
    <row r="592" spans="1:5" x14ac:dyDescent="0.2">
      <c r="A592" s="1">
        <v>71696</v>
      </c>
      <c r="B592" s="1">
        <v>49982</v>
      </c>
      <c r="C592" s="1">
        <v>58904</v>
      </c>
      <c r="E592" s="2">
        <v>58904</v>
      </c>
    </row>
    <row r="593" spans="1:5" x14ac:dyDescent="0.2">
      <c r="A593" s="1">
        <v>71711</v>
      </c>
      <c r="B593" s="1">
        <v>50003</v>
      </c>
      <c r="C593" s="1">
        <v>58956</v>
      </c>
      <c r="E593" s="2">
        <v>58956</v>
      </c>
    </row>
    <row r="594" spans="1:5" x14ac:dyDescent="0.2">
      <c r="A594" s="1">
        <v>71866</v>
      </c>
      <c r="B594" s="1">
        <v>50040</v>
      </c>
      <c r="C594" s="1">
        <v>58977</v>
      </c>
      <c r="E594" s="2">
        <v>58977</v>
      </c>
    </row>
    <row r="595" spans="1:5" x14ac:dyDescent="0.2">
      <c r="A595" s="1">
        <v>71949</v>
      </c>
      <c r="B595" s="1">
        <v>50041</v>
      </c>
      <c r="C595" s="1">
        <v>58991</v>
      </c>
      <c r="E595" s="2">
        <v>58991</v>
      </c>
    </row>
    <row r="596" spans="1:5" x14ac:dyDescent="0.2">
      <c r="A596" s="1">
        <v>71950</v>
      </c>
      <c r="B596" s="1">
        <v>50042</v>
      </c>
      <c r="C596" s="1">
        <v>59054</v>
      </c>
      <c r="E596" s="2">
        <v>59054</v>
      </c>
    </row>
    <row r="597" spans="1:5" x14ac:dyDescent="0.2">
      <c r="A597" s="1">
        <v>71956</v>
      </c>
      <c r="B597" s="1">
        <v>50052</v>
      </c>
      <c r="C597" s="1">
        <v>59134</v>
      </c>
      <c r="E597" s="2">
        <v>59134</v>
      </c>
    </row>
    <row r="598" spans="1:5" x14ac:dyDescent="0.2">
      <c r="A598" s="1">
        <v>72043</v>
      </c>
      <c r="B598" s="1">
        <v>50082</v>
      </c>
      <c r="C598" s="1">
        <v>59166</v>
      </c>
      <c r="E598" s="2">
        <v>59166</v>
      </c>
    </row>
    <row r="599" spans="1:5" x14ac:dyDescent="0.2">
      <c r="A599" s="1">
        <v>72046</v>
      </c>
      <c r="B599" s="1">
        <v>50094</v>
      </c>
      <c r="C599" s="1">
        <v>59173</v>
      </c>
      <c r="E599" s="2">
        <v>59173</v>
      </c>
    </row>
    <row r="600" spans="1:5" x14ac:dyDescent="0.2">
      <c r="A600" s="1">
        <v>72076</v>
      </c>
      <c r="B600" s="1">
        <v>50119</v>
      </c>
      <c r="C600" s="1">
        <v>59187</v>
      </c>
      <c r="E600" s="2">
        <v>59187</v>
      </c>
    </row>
    <row r="601" spans="1:5" x14ac:dyDescent="0.2">
      <c r="A601" s="1">
        <v>72231</v>
      </c>
      <c r="B601" s="1">
        <v>50159</v>
      </c>
      <c r="C601" s="1">
        <v>59222</v>
      </c>
      <c r="E601" s="2">
        <v>59222</v>
      </c>
    </row>
    <row r="602" spans="1:5" x14ac:dyDescent="0.2">
      <c r="A602" s="1">
        <v>72314</v>
      </c>
      <c r="B602" s="1">
        <v>50164</v>
      </c>
      <c r="C602" s="1">
        <v>59254</v>
      </c>
      <c r="E602" s="2">
        <v>59254</v>
      </c>
    </row>
    <row r="603" spans="1:5" x14ac:dyDescent="0.2">
      <c r="A603" s="1">
        <v>72315</v>
      </c>
      <c r="B603" s="1">
        <v>50165</v>
      </c>
      <c r="C603" s="1">
        <v>59320</v>
      </c>
      <c r="E603" s="2">
        <v>59320</v>
      </c>
    </row>
    <row r="604" spans="1:5" x14ac:dyDescent="0.2">
      <c r="A604" s="1">
        <v>72321</v>
      </c>
      <c r="B604" s="1">
        <v>50166</v>
      </c>
      <c r="C604" s="1">
        <v>59341</v>
      </c>
      <c r="E604" s="2">
        <v>59341</v>
      </c>
    </row>
    <row r="605" spans="1:5" x14ac:dyDescent="0.2">
      <c r="A605" s="1">
        <v>72428</v>
      </c>
      <c r="B605" s="1">
        <v>50241</v>
      </c>
      <c r="C605" s="1">
        <v>59356</v>
      </c>
      <c r="E605" s="2">
        <v>59356</v>
      </c>
    </row>
    <row r="606" spans="1:5" x14ac:dyDescent="0.2">
      <c r="A606" s="1">
        <v>72431</v>
      </c>
      <c r="B606" s="1">
        <v>50263</v>
      </c>
      <c r="C606" s="1">
        <v>59418</v>
      </c>
      <c r="E606" s="2">
        <v>59418</v>
      </c>
    </row>
    <row r="607" spans="1:5" x14ac:dyDescent="0.2">
      <c r="A607" s="1">
        <v>72441</v>
      </c>
      <c r="B607" s="1">
        <v>50304</v>
      </c>
      <c r="C607" s="1">
        <v>59498</v>
      </c>
      <c r="E607" s="2">
        <v>59498</v>
      </c>
    </row>
    <row r="608" spans="1:5" x14ac:dyDescent="0.2">
      <c r="A608" s="1">
        <v>72596</v>
      </c>
      <c r="B608" s="1">
        <v>50305</v>
      </c>
      <c r="C608" s="1">
        <v>59530</v>
      </c>
      <c r="E608" s="2">
        <v>59530</v>
      </c>
    </row>
    <row r="609" spans="1:5" x14ac:dyDescent="0.2">
      <c r="A609" s="1">
        <v>72679</v>
      </c>
      <c r="B609" s="1">
        <v>50306</v>
      </c>
      <c r="C609" s="1">
        <v>59537</v>
      </c>
      <c r="E609" s="2">
        <v>59537</v>
      </c>
    </row>
    <row r="610" spans="1:5" x14ac:dyDescent="0.2">
      <c r="A610" s="1">
        <v>72680</v>
      </c>
      <c r="B610" s="1">
        <v>50325</v>
      </c>
      <c r="C610" s="1">
        <v>59551</v>
      </c>
      <c r="E610" s="2">
        <v>59551</v>
      </c>
    </row>
    <row r="611" spans="1:5" x14ac:dyDescent="0.2">
      <c r="A611" s="1">
        <v>72686</v>
      </c>
      <c r="B611" s="1">
        <v>50347</v>
      </c>
      <c r="C611" s="1">
        <v>59586</v>
      </c>
      <c r="E611" s="2">
        <v>59586</v>
      </c>
    </row>
    <row r="612" spans="1:5" x14ac:dyDescent="0.2">
      <c r="A612" s="1">
        <v>72785</v>
      </c>
      <c r="B612" s="1">
        <v>50367</v>
      </c>
      <c r="C612" s="1">
        <v>59639</v>
      </c>
      <c r="E612" s="2">
        <v>59639</v>
      </c>
    </row>
    <row r="613" spans="1:5" x14ac:dyDescent="0.2">
      <c r="A613" s="1">
        <v>72788</v>
      </c>
      <c r="B613" s="1">
        <v>50405</v>
      </c>
      <c r="C613" s="1">
        <v>59684</v>
      </c>
      <c r="E613" s="2">
        <v>59684</v>
      </c>
    </row>
    <row r="614" spans="1:5" x14ac:dyDescent="0.2">
      <c r="A614" s="1">
        <v>72806</v>
      </c>
      <c r="B614" s="1">
        <v>50406</v>
      </c>
      <c r="C614" s="1">
        <v>59706</v>
      </c>
      <c r="E614" s="2">
        <v>59706</v>
      </c>
    </row>
    <row r="615" spans="1:5" x14ac:dyDescent="0.2">
      <c r="A615" s="1">
        <v>73044</v>
      </c>
      <c r="B615" s="1">
        <v>50416</v>
      </c>
      <c r="C615" s="1">
        <v>59721</v>
      </c>
      <c r="E615" s="2">
        <v>59721</v>
      </c>
    </row>
    <row r="616" spans="1:5" x14ac:dyDescent="0.2">
      <c r="A616" s="1">
        <v>73047</v>
      </c>
      <c r="B616" s="1">
        <v>50447</v>
      </c>
      <c r="C616" s="1">
        <v>59782</v>
      </c>
      <c r="E616" s="2">
        <v>59782</v>
      </c>
    </row>
    <row r="617" spans="1:5" x14ac:dyDescent="0.2">
      <c r="B617" s="1">
        <v>50459</v>
      </c>
      <c r="C617" s="1">
        <v>59862</v>
      </c>
      <c r="E617" s="2">
        <v>59862</v>
      </c>
    </row>
    <row r="618" spans="1:5" x14ac:dyDescent="0.2">
      <c r="B618" s="1">
        <v>50524</v>
      </c>
      <c r="C618" s="1">
        <v>59895</v>
      </c>
      <c r="E618" s="2">
        <v>59895</v>
      </c>
    </row>
    <row r="619" spans="1:5" x14ac:dyDescent="0.2">
      <c r="B619" s="1">
        <v>50528</v>
      </c>
      <c r="C619" s="1">
        <v>59902</v>
      </c>
      <c r="E619" s="2">
        <v>59902</v>
      </c>
    </row>
    <row r="620" spans="1:5" x14ac:dyDescent="0.2">
      <c r="B620" s="1">
        <v>50529</v>
      </c>
      <c r="C620" s="1">
        <v>59922</v>
      </c>
      <c r="E620" s="2">
        <v>59922</v>
      </c>
    </row>
    <row r="621" spans="1:5" x14ac:dyDescent="0.2">
      <c r="B621" s="1">
        <v>50530</v>
      </c>
      <c r="C621" s="1">
        <v>59950</v>
      </c>
      <c r="E621" s="2">
        <v>59950</v>
      </c>
    </row>
    <row r="622" spans="1:5" x14ac:dyDescent="0.2">
      <c r="B622" s="1">
        <v>50605</v>
      </c>
      <c r="C622" s="1">
        <v>59996</v>
      </c>
      <c r="E622" s="2">
        <v>59996</v>
      </c>
    </row>
    <row r="623" spans="1:5" x14ac:dyDescent="0.2">
      <c r="B623" s="1">
        <v>50628</v>
      </c>
      <c r="C623" s="1">
        <v>60048</v>
      </c>
      <c r="E623" s="2">
        <v>60048</v>
      </c>
    </row>
    <row r="624" spans="1:5" x14ac:dyDescent="0.2">
      <c r="B624" s="1">
        <v>50668</v>
      </c>
      <c r="C624" s="1">
        <v>60072</v>
      </c>
      <c r="E624" s="2">
        <v>60072</v>
      </c>
    </row>
    <row r="625" spans="2:5" x14ac:dyDescent="0.2">
      <c r="B625" s="1">
        <v>50671</v>
      </c>
      <c r="C625" s="1">
        <v>60087</v>
      </c>
      <c r="E625" s="2">
        <v>60087</v>
      </c>
    </row>
    <row r="626" spans="2:5" x14ac:dyDescent="0.2">
      <c r="B626" s="1">
        <v>50689</v>
      </c>
      <c r="C626" s="1">
        <v>60146</v>
      </c>
      <c r="E626" s="2">
        <v>60146</v>
      </c>
    </row>
    <row r="627" spans="2:5" x14ac:dyDescent="0.2">
      <c r="B627" s="1">
        <v>50712</v>
      </c>
      <c r="C627" s="1">
        <v>60233</v>
      </c>
      <c r="E627" s="2">
        <v>60233</v>
      </c>
    </row>
    <row r="628" spans="2:5" x14ac:dyDescent="0.2">
      <c r="B628" s="1">
        <v>50732</v>
      </c>
      <c r="C628" s="1">
        <v>60261</v>
      </c>
      <c r="E628" s="2">
        <v>60261</v>
      </c>
    </row>
    <row r="629" spans="2:5" x14ac:dyDescent="0.2">
      <c r="B629" s="1">
        <v>50770</v>
      </c>
      <c r="C629" s="1">
        <v>60268</v>
      </c>
      <c r="E629" s="2">
        <v>60268</v>
      </c>
    </row>
    <row r="630" spans="2:5" x14ac:dyDescent="0.2">
      <c r="B630" s="1">
        <v>50773</v>
      </c>
      <c r="C630" s="1">
        <v>60286</v>
      </c>
      <c r="E630" s="2">
        <v>60286</v>
      </c>
    </row>
    <row r="631" spans="2:5" x14ac:dyDescent="0.2">
      <c r="B631" s="1">
        <v>50780</v>
      </c>
      <c r="C631" s="1">
        <v>60314</v>
      </c>
      <c r="E631" s="2">
        <v>60314</v>
      </c>
    </row>
    <row r="632" spans="2:5" x14ac:dyDescent="0.2">
      <c r="B632" s="1">
        <v>50812</v>
      </c>
      <c r="C632" s="1">
        <v>60353</v>
      </c>
      <c r="E632" s="2">
        <v>60353</v>
      </c>
    </row>
    <row r="633" spans="2:5" x14ac:dyDescent="0.2">
      <c r="B633" s="1">
        <v>50824</v>
      </c>
      <c r="C633" s="1">
        <v>60412</v>
      </c>
      <c r="E633" s="2">
        <v>60412</v>
      </c>
    </row>
    <row r="634" spans="2:5" x14ac:dyDescent="0.2">
      <c r="B634" s="1">
        <v>50850</v>
      </c>
      <c r="C634" s="1">
        <v>60437</v>
      </c>
      <c r="E634" s="2">
        <v>60437</v>
      </c>
    </row>
    <row r="635" spans="2:5" x14ac:dyDescent="0.2">
      <c r="B635" s="1">
        <v>50889</v>
      </c>
      <c r="C635" s="1">
        <v>60451</v>
      </c>
      <c r="E635" s="2">
        <v>60451</v>
      </c>
    </row>
    <row r="636" spans="2:5" x14ac:dyDescent="0.2">
      <c r="B636" s="1">
        <v>50893</v>
      </c>
      <c r="C636" s="1">
        <v>60517</v>
      </c>
      <c r="E636" s="2">
        <v>60517</v>
      </c>
    </row>
    <row r="637" spans="2:5" x14ac:dyDescent="0.2">
      <c r="B637" s="1">
        <v>50894</v>
      </c>
      <c r="C637" s="1">
        <v>60597</v>
      </c>
      <c r="E637" s="2">
        <v>60597</v>
      </c>
    </row>
    <row r="638" spans="2:5" x14ac:dyDescent="0.2">
      <c r="B638" s="1">
        <v>50895</v>
      </c>
      <c r="C638" s="1">
        <v>60626</v>
      </c>
      <c r="E638" s="2">
        <v>60626</v>
      </c>
    </row>
    <row r="639" spans="2:5" x14ac:dyDescent="0.2">
      <c r="B639" s="1">
        <v>50969</v>
      </c>
      <c r="C639" s="1">
        <v>60633</v>
      </c>
      <c r="E639" s="2">
        <v>60633</v>
      </c>
    </row>
    <row r="640" spans="2:5" x14ac:dyDescent="0.2">
      <c r="B640" s="1">
        <v>50993</v>
      </c>
      <c r="C640" s="1">
        <v>60650</v>
      </c>
      <c r="E640" s="2">
        <v>60650</v>
      </c>
    </row>
    <row r="641" spans="2:5" x14ac:dyDescent="0.2">
      <c r="B641" s="1">
        <v>51032</v>
      </c>
      <c r="C641" s="1">
        <v>60678</v>
      </c>
      <c r="E641" s="2">
        <v>60678</v>
      </c>
    </row>
    <row r="642" spans="2:5" x14ac:dyDescent="0.2">
      <c r="B642" s="1">
        <v>51036</v>
      </c>
      <c r="C642" s="1">
        <v>60731</v>
      </c>
      <c r="E642" s="2">
        <v>60731</v>
      </c>
    </row>
    <row r="643" spans="2:5" x14ac:dyDescent="0.2">
      <c r="B643" s="1">
        <v>51053</v>
      </c>
      <c r="C643" s="1">
        <v>60783</v>
      </c>
      <c r="E643" s="2">
        <v>60783</v>
      </c>
    </row>
    <row r="644" spans="2:5" x14ac:dyDescent="0.2">
      <c r="B644" s="1">
        <v>51077</v>
      </c>
      <c r="C644" s="1">
        <v>60801</v>
      </c>
      <c r="E644" s="2">
        <v>60801</v>
      </c>
    </row>
    <row r="645" spans="2:5" x14ac:dyDescent="0.2">
      <c r="B645" s="1">
        <v>51097</v>
      </c>
      <c r="C645" s="1">
        <v>60818</v>
      </c>
      <c r="E645" s="2">
        <v>60818</v>
      </c>
    </row>
    <row r="646" spans="2:5" x14ac:dyDescent="0.2">
      <c r="B646" s="1">
        <v>51137</v>
      </c>
      <c r="C646" s="1">
        <v>60881</v>
      </c>
      <c r="E646" s="2">
        <v>60881</v>
      </c>
    </row>
    <row r="647" spans="2:5" x14ac:dyDescent="0.2">
      <c r="B647" s="1">
        <v>51138</v>
      </c>
      <c r="C647" s="1">
        <v>60961</v>
      </c>
      <c r="E647" s="2">
        <v>60961</v>
      </c>
    </row>
    <row r="648" spans="2:5" x14ac:dyDescent="0.2">
      <c r="B648" s="1">
        <v>51144</v>
      </c>
      <c r="C648" s="1">
        <v>60990</v>
      </c>
      <c r="E648" s="2">
        <v>60990</v>
      </c>
    </row>
    <row r="649" spans="2:5" x14ac:dyDescent="0.2">
      <c r="B649" s="1">
        <v>51189</v>
      </c>
      <c r="C649" s="1">
        <v>61014</v>
      </c>
      <c r="E649" s="2">
        <v>61014</v>
      </c>
    </row>
    <row r="650" spans="2:5" x14ac:dyDescent="0.2">
      <c r="B650" s="1">
        <v>51215</v>
      </c>
      <c r="C650" s="1">
        <v>61049</v>
      </c>
      <c r="E650" s="2">
        <v>61049</v>
      </c>
    </row>
    <row r="651" spans="2:5" x14ac:dyDescent="0.2">
      <c r="B651" s="1">
        <v>51256</v>
      </c>
      <c r="C651" s="1">
        <v>61088</v>
      </c>
      <c r="E651" s="2">
        <v>61088</v>
      </c>
    </row>
    <row r="652" spans="2:5" x14ac:dyDescent="0.2">
      <c r="B652" s="1">
        <v>51259</v>
      </c>
      <c r="C652" s="1">
        <v>61147</v>
      </c>
      <c r="E652" s="2">
        <v>61147</v>
      </c>
    </row>
    <row r="653" spans="2:5" x14ac:dyDescent="0.2">
      <c r="B653" s="1">
        <v>51260</v>
      </c>
      <c r="C653" s="1">
        <v>61168</v>
      </c>
      <c r="E653" s="2">
        <v>61168</v>
      </c>
    </row>
    <row r="654" spans="2:5" x14ac:dyDescent="0.2">
      <c r="B654" s="1">
        <v>51333</v>
      </c>
      <c r="C654" s="1">
        <v>61182</v>
      </c>
      <c r="E654" s="2">
        <v>61182</v>
      </c>
    </row>
    <row r="655" spans="2:5" x14ac:dyDescent="0.2">
      <c r="B655" s="1">
        <v>51396</v>
      </c>
      <c r="C655" s="1">
        <v>61245</v>
      </c>
      <c r="E655" s="2">
        <v>61245</v>
      </c>
    </row>
    <row r="656" spans="2:5" x14ac:dyDescent="0.2">
      <c r="B656" s="1">
        <v>51417</v>
      </c>
      <c r="C656" s="1">
        <v>61325</v>
      </c>
      <c r="E656" s="2">
        <v>61325</v>
      </c>
    </row>
    <row r="657" spans="2:5" x14ac:dyDescent="0.2">
      <c r="B657" s="1">
        <v>51463</v>
      </c>
      <c r="C657" s="1">
        <v>61357</v>
      </c>
      <c r="E657" s="2">
        <v>61357</v>
      </c>
    </row>
    <row r="658" spans="2:5" x14ac:dyDescent="0.2">
      <c r="B658" s="1">
        <v>51501</v>
      </c>
      <c r="C658" s="1">
        <v>61364</v>
      </c>
      <c r="E658" s="2">
        <v>61364</v>
      </c>
    </row>
    <row r="659" spans="2:5" x14ac:dyDescent="0.2">
      <c r="B659" s="1">
        <v>51502</v>
      </c>
      <c r="C659" s="1">
        <v>61378</v>
      </c>
      <c r="E659" s="2">
        <v>61378</v>
      </c>
    </row>
    <row r="660" spans="2:5" x14ac:dyDescent="0.2">
      <c r="B660" s="1">
        <v>51503</v>
      </c>
      <c r="C660" s="1">
        <v>61413</v>
      </c>
      <c r="E660" s="2">
        <v>61413</v>
      </c>
    </row>
    <row r="661" spans="2:5" x14ac:dyDescent="0.2">
      <c r="B661" s="1">
        <v>51504</v>
      </c>
      <c r="C661" s="1">
        <v>61473</v>
      </c>
      <c r="E661" s="2">
        <v>61473</v>
      </c>
    </row>
    <row r="662" spans="2:5" x14ac:dyDescent="0.2">
      <c r="B662" s="1">
        <v>51515</v>
      </c>
      <c r="C662" s="1">
        <v>61511</v>
      </c>
      <c r="E662" s="2">
        <v>61511</v>
      </c>
    </row>
    <row r="663" spans="2:5" x14ac:dyDescent="0.2">
      <c r="B663" s="1">
        <v>51543</v>
      </c>
      <c r="C663" s="1">
        <v>61533</v>
      </c>
      <c r="E663" s="2">
        <v>61533</v>
      </c>
    </row>
    <row r="664" spans="2:5" x14ac:dyDescent="0.2">
      <c r="B664" s="1">
        <v>51580</v>
      </c>
      <c r="C664" s="1">
        <v>61548</v>
      </c>
      <c r="E664" s="2">
        <v>61548</v>
      </c>
    </row>
    <row r="665" spans="2:5" x14ac:dyDescent="0.2">
      <c r="B665" s="1">
        <v>51620</v>
      </c>
      <c r="C665" s="1">
        <v>61609</v>
      </c>
      <c r="E665" s="2">
        <v>61609</v>
      </c>
    </row>
    <row r="666" spans="2:5" x14ac:dyDescent="0.2">
      <c r="B666" s="1">
        <v>51624</v>
      </c>
      <c r="C666" s="1">
        <v>61689</v>
      </c>
      <c r="E666" s="2">
        <v>61689</v>
      </c>
    </row>
    <row r="667" spans="2:5" x14ac:dyDescent="0.2">
      <c r="B667" s="1">
        <v>51627</v>
      </c>
      <c r="C667" s="1">
        <v>61722</v>
      </c>
      <c r="E667" s="2">
        <v>61722</v>
      </c>
    </row>
    <row r="668" spans="2:5" x14ac:dyDescent="0.2">
      <c r="B668" s="1">
        <v>51697</v>
      </c>
      <c r="C668" s="1">
        <v>61729</v>
      </c>
      <c r="E668" s="2">
        <v>61729</v>
      </c>
    </row>
    <row r="669" spans="2:5" x14ac:dyDescent="0.2">
      <c r="B669" s="1">
        <v>51725</v>
      </c>
      <c r="C669" s="1">
        <v>61749</v>
      </c>
      <c r="E669" s="2">
        <v>61749</v>
      </c>
    </row>
    <row r="670" spans="2:5" x14ac:dyDescent="0.2">
      <c r="B670" s="1">
        <v>51760</v>
      </c>
      <c r="C670" s="1">
        <v>61777</v>
      </c>
      <c r="E670" s="2">
        <v>61777</v>
      </c>
    </row>
    <row r="671" spans="2:5" x14ac:dyDescent="0.2">
      <c r="B671" s="1">
        <v>51767</v>
      </c>
      <c r="C671" s="1">
        <v>61830</v>
      </c>
      <c r="E671" s="2">
        <v>61830</v>
      </c>
    </row>
    <row r="672" spans="2:5" x14ac:dyDescent="0.2">
      <c r="B672" s="1">
        <v>51788</v>
      </c>
      <c r="C672" s="1">
        <v>61875</v>
      </c>
      <c r="E672" s="2">
        <v>61875</v>
      </c>
    </row>
    <row r="673" spans="2:5" x14ac:dyDescent="0.2">
      <c r="B673" s="1">
        <v>51809</v>
      </c>
      <c r="C673" s="1">
        <v>61898</v>
      </c>
      <c r="E673" s="2">
        <v>61898</v>
      </c>
    </row>
    <row r="674" spans="2:5" x14ac:dyDescent="0.2">
      <c r="B674" s="1">
        <v>51866</v>
      </c>
      <c r="C674" s="1">
        <v>61913</v>
      </c>
      <c r="E674" s="2">
        <v>61913</v>
      </c>
    </row>
    <row r="675" spans="2:5" x14ac:dyDescent="0.2">
      <c r="B675" s="1">
        <v>51867</v>
      </c>
      <c r="C675" s="1">
        <v>61973</v>
      </c>
      <c r="E675" s="2">
        <v>61973</v>
      </c>
    </row>
    <row r="676" spans="2:5" x14ac:dyDescent="0.2">
      <c r="B676" s="1">
        <v>51868</v>
      </c>
      <c r="C676" s="1">
        <v>62060</v>
      </c>
      <c r="E676" s="2">
        <v>62060</v>
      </c>
    </row>
    <row r="677" spans="2:5" x14ac:dyDescent="0.2">
      <c r="B677" s="1">
        <v>51869</v>
      </c>
      <c r="C677" s="1">
        <v>62087</v>
      </c>
      <c r="E677" s="2">
        <v>62087</v>
      </c>
    </row>
    <row r="678" spans="2:5" x14ac:dyDescent="0.2">
      <c r="B678" s="1">
        <v>51879</v>
      </c>
      <c r="C678" s="1">
        <v>62094</v>
      </c>
      <c r="E678" s="2">
        <v>62094</v>
      </c>
    </row>
    <row r="679" spans="2:5" x14ac:dyDescent="0.2">
      <c r="B679" s="1">
        <v>51908</v>
      </c>
      <c r="C679" s="1">
        <v>62113</v>
      </c>
      <c r="E679" s="2">
        <v>62113</v>
      </c>
    </row>
    <row r="680" spans="2:5" x14ac:dyDescent="0.2">
      <c r="B680" s="1">
        <v>51921</v>
      </c>
      <c r="C680" s="1">
        <v>62141</v>
      </c>
      <c r="E680" s="2">
        <v>62141</v>
      </c>
    </row>
    <row r="681" spans="2:5" x14ac:dyDescent="0.2">
      <c r="B681" s="1">
        <v>51945</v>
      </c>
      <c r="C681" s="1">
        <v>62180</v>
      </c>
      <c r="E681" s="2">
        <v>62180</v>
      </c>
    </row>
    <row r="682" spans="2:5" x14ac:dyDescent="0.2">
      <c r="B682" s="1">
        <v>51985</v>
      </c>
      <c r="C682" s="1">
        <v>62239</v>
      </c>
      <c r="E682" s="2">
        <v>62239</v>
      </c>
    </row>
    <row r="683" spans="2:5" x14ac:dyDescent="0.2">
      <c r="B683" s="1">
        <v>51991</v>
      </c>
      <c r="C683" s="1">
        <v>62263</v>
      </c>
      <c r="E683" s="2">
        <v>62263</v>
      </c>
    </row>
    <row r="684" spans="2:5" x14ac:dyDescent="0.2">
      <c r="B684" s="1">
        <v>51992</v>
      </c>
      <c r="C684" s="1">
        <v>62278</v>
      </c>
      <c r="E684" s="2">
        <v>62278</v>
      </c>
    </row>
    <row r="685" spans="2:5" x14ac:dyDescent="0.2">
      <c r="B685" s="1">
        <v>52068</v>
      </c>
      <c r="C685" s="1">
        <v>62337</v>
      </c>
      <c r="E685" s="2">
        <v>62337</v>
      </c>
    </row>
    <row r="686" spans="2:5" x14ac:dyDescent="0.2">
      <c r="B686" s="1">
        <v>52089</v>
      </c>
      <c r="C686" s="1">
        <v>62424</v>
      </c>
      <c r="E686" s="2">
        <v>62424</v>
      </c>
    </row>
    <row r="687" spans="2:5" x14ac:dyDescent="0.2">
      <c r="B687" s="1">
        <v>52124</v>
      </c>
      <c r="C687" s="1">
        <v>62452</v>
      </c>
      <c r="E687" s="2">
        <v>62452</v>
      </c>
    </row>
    <row r="688" spans="2:5" x14ac:dyDescent="0.2">
      <c r="B688" s="1">
        <v>52132</v>
      </c>
      <c r="C688" s="1">
        <v>62459</v>
      </c>
      <c r="E688" s="2">
        <v>62459</v>
      </c>
    </row>
    <row r="689" spans="2:5" x14ac:dyDescent="0.2">
      <c r="B689" s="1">
        <v>52152</v>
      </c>
      <c r="C689" s="1">
        <v>62477</v>
      </c>
      <c r="E689" s="2">
        <v>62477</v>
      </c>
    </row>
    <row r="690" spans="2:5" x14ac:dyDescent="0.2">
      <c r="B690" s="1">
        <v>52173</v>
      </c>
      <c r="C690" s="1">
        <v>62505</v>
      </c>
      <c r="E690" s="2">
        <v>62505</v>
      </c>
    </row>
    <row r="691" spans="2:5" x14ac:dyDescent="0.2">
      <c r="B691" s="1">
        <v>52194</v>
      </c>
      <c r="C691" s="1">
        <v>62565</v>
      </c>
      <c r="E691" s="2">
        <v>62565</v>
      </c>
    </row>
    <row r="692" spans="2:5" x14ac:dyDescent="0.2">
      <c r="B692" s="1">
        <v>52231</v>
      </c>
      <c r="C692" s="1">
        <v>62603</v>
      </c>
      <c r="E692" s="2">
        <v>62603</v>
      </c>
    </row>
    <row r="693" spans="2:5" x14ac:dyDescent="0.2">
      <c r="B693" s="1">
        <v>52232</v>
      </c>
      <c r="C693" s="1">
        <v>62628</v>
      </c>
      <c r="E693" s="2">
        <v>62628</v>
      </c>
    </row>
    <row r="694" spans="2:5" x14ac:dyDescent="0.2">
      <c r="B694" s="1">
        <v>52233</v>
      </c>
      <c r="C694" s="1">
        <v>62642</v>
      </c>
      <c r="E694" s="2">
        <v>62642</v>
      </c>
    </row>
    <row r="695" spans="2:5" x14ac:dyDescent="0.2">
      <c r="B695" s="1">
        <v>52243</v>
      </c>
      <c r="C695" s="1">
        <v>62708</v>
      </c>
      <c r="E695" s="2">
        <v>62708</v>
      </c>
    </row>
    <row r="696" spans="2:5" x14ac:dyDescent="0.2">
      <c r="B696" s="1">
        <v>52273</v>
      </c>
      <c r="C696" s="1">
        <v>62788</v>
      </c>
      <c r="E696" s="2">
        <v>62788</v>
      </c>
    </row>
    <row r="697" spans="2:5" x14ac:dyDescent="0.2">
      <c r="B697" s="1">
        <v>52285</v>
      </c>
      <c r="C697" s="1">
        <v>62817</v>
      </c>
      <c r="E697" s="2">
        <v>62817</v>
      </c>
    </row>
    <row r="698" spans="2:5" x14ac:dyDescent="0.2">
      <c r="B698" s="1">
        <v>52350</v>
      </c>
      <c r="C698" s="1">
        <v>62824</v>
      </c>
      <c r="E698" s="2">
        <v>62824</v>
      </c>
    </row>
    <row r="699" spans="2:5" x14ac:dyDescent="0.2">
      <c r="B699" s="1">
        <v>52355</v>
      </c>
      <c r="C699" s="1">
        <v>62841</v>
      </c>
      <c r="E699" s="2">
        <v>62841</v>
      </c>
    </row>
    <row r="700" spans="2:5" x14ac:dyDescent="0.2">
      <c r="B700" s="1">
        <v>52356</v>
      </c>
      <c r="C700" s="1">
        <v>62869</v>
      </c>
      <c r="E700" s="2">
        <v>62869</v>
      </c>
    </row>
    <row r="701" spans="2:5" x14ac:dyDescent="0.2">
      <c r="B701" s="1">
        <v>52357</v>
      </c>
      <c r="C701" s="1">
        <v>62922</v>
      </c>
      <c r="E701" s="2">
        <v>62922</v>
      </c>
    </row>
    <row r="702" spans="2:5" x14ac:dyDescent="0.2">
      <c r="B702" s="1">
        <v>52432</v>
      </c>
      <c r="C702" s="1">
        <v>62974</v>
      </c>
      <c r="E702" s="2">
        <v>62974</v>
      </c>
    </row>
    <row r="703" spans="2:5" x14ac:dyDescent="0.2">
      <c r="B703" s="1">
        <v>52454</v>
      </c>
      <c r="C703" s="1">
        <v>62995</v>
      </c>
      <c r="E703" s="2">
        <v>62995</v>
      </c>
    </row>
    <row r="704" spans="2:5" x14ac:dyDescent="0.2">
      <c r="B704" s="1">
        <v>52495</v>
      </c>
      <c r="C704" s="1">
        <v>63009</v>
      </c>
      <c r="E704" s="2">
        <v>63009</v>
      </c>
    </row>
    <row r="705" spans="2:5" x14ac:dyDescent="0.2">
      <c r="B705" s="1">
        <v>52496</v>
      </c>
      <c r="C705" s="1">
        <v>63072</v>
      </c>
      <c r="E705" s="2">
        <v>63072</v>
      </c>
    </row>
    <row r="706" spans="2:5" x14ac:dyDescent="0.2">
      <c r="B706" s="1">
        <v>52497</v>
      </c>
      <c r="C706" s="1">
        <v>63152</v>
      </c>
      <c r="E706" s="2">
        <v>63152</v>
      </c>
    </row>
    <row r="707" spans="2:5" x14ac:dyDescent="0.2">
      <c r="B707" s="1">
        <v>52516</v>
      </c>
      <c r="C707" s="1">
        <v>63184</v>
      </c>
      <c r="E707" s="2">
        <v>63184</v>
      </c>
    </row>
    <row r="708" spans="2:5" x14ac:dyDescent="0.2">
      <c r="B708" s="1">
        <v>52538</v>
      </c>
      <c r="C708" s="1">
        <v>63191</v>
      </c>
      <c r="E708" s="2">
        <v>63191</v>
      </c>
    </row>
    <row r="709" spans="2:5" x14ac:dyDescent="0.2">
      <c r="B709" s="1">
        <v>52558</v>
      </c>
      <c r="C709" s="1">
        <v>63205</v>
      </c>
      <c r="E709" s="2">
        <v>63205</v>
      </c>
    </row>
    <row r="710" spans="2:5" x14ac:dyDescent="0.2">
      <c r="B710" s="1">
        <v>52596</v>
      </c>
      <c r="C710" s="1">
        <v>63240</v>
      </c>
      <c r="E710" s="2">
        <v>63240</v>
      </c>
    </row>
    <row r="711" spans="2:5" x14ac:dyDescent="0.2">
      <c r="B711" s="1">
        <v>52597</v>
      </c>
      <c r="C711" s="1">
        <v>63272</v>
      </c>
      <c r="E711" s="2">
        <v>63272</v>
      </c>
    </row>
    <row r="712" spans="2:5" x14ac:dyDescent="0.2">
      <c r="B712" s="1">
        <v>52607</v>
      </c>
      <c r="C712" s="1">
        <v>63338</v>
      </c>
      <c r="E712" s="2">
        <v>63338</v>
      </c>
    </row>
    <row r="713" spans="2:5" x14ac:dyDescent="0.2">
      <c r="B713" s="1">
        <v>52638</v>
      </c>
      <c r="C713" s="1">
        <v>63359</v>
      </c>
      <c r="E713" s="2">
        <v>63359</v>
      </c>
    </row>
    <row r="714" spans="2:5" x14ac:dyDescent="0.2">
      <c r="B714" s="1">
        <v>52650</v>
      </c>
      <c r="C714" s="1">
        <v>63374</v>
      </c>
      <c r="E714" s="2">
        <v>63374</v>
      </c>
    </row>
    <row r="715" spans="2:5" x14ac:dyDescent="0.2">
      <c r="B715" s="1">
        <v>52677</v>
      </c>
      <c r="C715" s="1">
        <v>63436</v>
      </c>
      <c r="E715" s="2">
        <v>63436</v>
      </c>
    </row>
    <row r="716" spans="2:5" x14ac:dyDescent="0.2">
      <c r="B716" s="1">
        <v>52716</v>
      </c>
      <c r="C716" s="1">
        <v>63516</v>
      </c>
      <c r="E716" s="2">
        <v>63516</v>
      </c>
    </row>
    <row r="717" spans="2:5" x14ac:dyDescent="0.2">
      <c r="B717" s="1">
        <v>52720</v>
      </c>
      <c r="C717" s="1">
        <v>63548</v>
      </c>
      <c r="E717" s="2">
        <v>63548</v>
      </c>
    </row>
    <row r="718" spans="2:5" x14ac:dyDescent="0.2">
      <c r="B718" s="1">
        <v>52721</v>
      </c>
      <c r="C718" s="1">
        <v>63555</v>
      </c>
      <c r="E718" s="2">
        <v>63555</v>
      </c>
    </row>
    <row r="719" spans="2:5" x14ac:dyDescent="0.2">
      <c r="B719" s="1">
        <v>52722</v>
      </c>
      <c r="C719" s="1">
        <v>63569</v>
      </c>
      <c r="E719" s="2">
        <v>63569</v>
      </c>
    </row>
    <row r="720" spans="2:5" x14ac:dyDescent="0.2">
      <c r="B720" s="1">
        <v>52796</v>
      </c>
      <c r="C720" s="1">
        <v>63604</v>
      </c>
      <c r="E720" s="2">
        <v>63604</v>
      </c>
    </row>
    <row r="721" spans="2:5" x14ac:dyDescent="0.2">
      <c r="B721" s="1">
        <v>52820</v>
      </c>
      <c r="C721" s="1">
        <v>63657</v>
      </c>
      <c r="E721" s="2">
        <v>63657</v>
      </c>
    </row>
    <row r="722" spans="2:5" x14ac:dyDescent="0.2">
      <c r="B722" s="1">
        <v>52859</v>
      </c>
      <c r="C722" s="1">
        <v>63702</v>
      </c>
      <c r="E722" s="2">
        <v>63702</v>
      </c>
    </row>
    <row r="723" spans="2:5" x14ac:dyDescent="0.2">
      <c r="B723" s="1">
        <v>52862</v>
      </c>
      <c r="C723" s="1">
        <v>63724</v>
      </c>
      <c r="E723" s="2">
        <v>63724</v>
      </c>
    </row>
    <row r="724" spans="2:5" x14ac:dyDescent="0.2">
      <c r="B724" s="1">
        <v>52880</v>
      </c>
      <c r="C724" s="1">
        <v>63739</v>
      </c>
      <c r="E724" s="2">
        <v>63739</v>
      </c>
    </row>
    <row r="725" spans="2:5" x14ac:dyDescent="0.2">
      <c r="B725" s="1">
        <v>52904</v>
      </c>
      <c r="C725" s="1">
        <v>63800</v>
      </c>
      <c r="E725" s="2">
        <v>63800</v>
      </c>
    </row>
    <row r="726" spans="2:5" x14ac:dyDescent="0.2">
      <c r="B726" s="1">
        <v>52924</v>
      </c>
      <c r="C726" s="1">
        <v>63880</v>
      </c>
      <c r="E726" s="2">
        <v>63880</v>
      </c>
    </row>
    <row r="727" spans="2:5" x14ac:dyDescent="0.2">
      <c r="B727" s="1">
        <v>52964</v>
      </c>
      <c r="C727" s="1">
        <v>63913</v>
      </c>
      <c r="E727" s="2">
        <v>63913</v>
      </c>
    </row>
    <row r="728" spans="2:5" x14ac:dyDescent="0.2">
      <c r="B728" s="1">
        <v>52965</v>
      </c>
      <c r="C728" s="1">
        <v>63920</v>
      </c>
      <c r="E728" s="2">
        <v>63920</v>
      </c>
    </row>
    <row r="729" spans="2:5" x14ac:dyDescent="0.2">
      <c r="B729" s="1">
        <v>52971</v>
      </c>
      <c r="C729" s="1">
        <v>63940</v>
      </c>
      <c r="E729" s="2">
        <v>63940</v>
      </c>
    </row>
    <row r="730" spans="2:5" x14ac:dyDescent="0.2">
      <c r="B730" s="1">
        <v>53016</v>
      </c>
      <c r="C730" s="1">
        <v>63968</v>
      </c>
      <c r="E730" s="2">
        <v>63968</v>
      </c>
    </row>
    <row r="731" spans="2:5" x14ac:dyDescent="0.2">
      <c r="B731" s="1">
        <v>53041</v>
      </c>
      <c r="C731" s="1">
        <v>64014</v>
      </c>
      <c r="E731" s="2">
        <v>64014</v>
      </c>
    </row>
    <row r="732" spans="2:5" x14ac:dyDescent="0.2">
      <c r="B732" s="1">
        <v>53085</v>
      </c>
      <c r="C732" s="1">
        <v>64066</v>
      </c>
      <c r="E732" s="2">
        <v>64066</v>
      </c>
    </row>
    <row r="733" spans="2:5" x14ac:dyDescent="0.2">
      <c r="B733" s="1">
        <v>53086</v>
      </c>
      <c r="C733" s="1">
        <v>64089</v>
      </c>
      <c r="E733" s="2">
        <v>64089</v>
      </c>
    </row>
    <row r="734" spans="2:5" x14ac:dyDescent="0.2">
      <c r="B734" s="1">
        <v>53087</v>
      </c>
      <c r="C734" s="1">
        <v>64104</v>
      </c>
      <c r="E734" s="2">
        <v>64104</v>
      </c>
    </row>
    <row r="735" spans="2:5" x14ac:dyDescent="0.2">
      <c r="B735" s="1">
        <v>53160</v>
      </c>
      <c r="C735" s="1">
        <v>64164</v>
      </c>
      <c r="E735" s="2">
        <v>64164</v>
      </c>
    </row>
    <row r="736" spans="2:5" x14ac:dyDescent="0.2">
      <c r="B736" s="1">
        <v>53185</v>
      </c>
      <c r="C736" s="1">
        <v>64251</v>
      </c>
      <c r="E736" s="2">
        <v>64251</v>
      </c>
    </row>
    <row r="737" spans="2:5" x14ac:dyDescent="0.2">
      <c r="B737" s="1">
        <v>53223</v>
      </c>
      <c r="C737" s="1">
        <v>64278</v>
      </c>
      <c r="E737" s="2">
        <v>64278</v>
      </c>
    </row>
    <row r="738" spans="2:5" x14ac:dyDescent="0.2">
      <c r="B738" s="1">
        <v>53227</v>
      </c>
      <c r="C738" s="1">
        <v>64285</v>
      </c>
      <c r="E738" s="2">
        <v>64285</v>
      </c>
    </row>
    <row r="739" spans="2:5" x14ac:dyDescent="0.2">
      <c r="B739" s="1">
        <v>53244</v>
      </c>
      <c r="C739" s="1">
        <v>64304</v>
      </c>
      <c r="E739" s="2">
        <v>64304</v>
      </c>
    </row>
    <row r="740" spans="2:5" x14ac:dyDescent="0.2">
      <c r="B740" s="1">
        <v>53269</v>
      </c>
      <c r="C740" s="1">
        <v>64332</v>
      </c>
      <c r="E740" s="2">
        <v>64332</v>
      </c>
    </row>
    <row r="741" spans="2:5" x14ac:dyDescent="0.2">
      <c r="B741" s="1">
        <v>53289</v>
      </c>
      <c r="C741" s="1">
        <v>64392</v>
      </c>
      <c r="E741" s="2">
        <v>64392</v>
      </c>
    </row>
    <row r="742" spans="2:5" x14ac:dyDescent="0.2">
      <c r="B742" s="1">
        <v>53328</v>
      </c>
      <c r="C742" s="1">
        <v>64430</v>
      </c>
      <c r="E742" s="2">
        <v>64430</v>
      </c>
    </row>
    <row r="743" spans="2:5" x14ac:dyDescent="0.2">
      <c r="B743" s="1">
        <v>53329</v>
      </c>
      <c r="C743" s="1">
        <v>64455</v>
      </c>
      <c r="E743" s="2">
        <v>64455</v>
      </c>
    </row>
    <row r="744" spans="2:5" x14ac:dyDescent="0.2">
      <c r="B744" s="1">
        <v>53330</v>
      </c>
      <c r="C744" s="1">
        <v>64469</v>
      </c>
      <c r="E744" s="2">
        <v>64469</v>
      </c>
    </row>
    <row r="745" spans="2:5" x14ac:dyDescent="0.2">
      <c r="B745" s="1">
        <v>53335</v>
      </c>
      <c r="C745" s="1">
        <v>64535</v>
      </c>
      <c r="E745" s="2">
        <v>64535</v>
      </c>
    </row>
    <row r="746" spans="2:5" x14ac:dyDescent="0.2">
      <c r="B746" s="1">
        <v>53370</v>
      </c>
      <c r="C746" s="1">
        <v>64615</v>
      </c>
      <c r="E746" s="2">
        <v>64615</v>
      </c>
    </row>
    <row r="747" spans="2:5" x14ac:dyDescent="0.2">
      <c r="B747" s="1">
        <v>53381</v>
      </c>
      <c r="C747" s="1">
        <v>64644</v>
      </c>
      <c r="E747" s="2">
        <v>64644</v>
      </c>
    </row>
    <row r="748" spans="2:5" x14ac:dyDescent="0.2">
      <c r="B748" s="1">
        <v>53406</v>
      </c>
      <c r="C748" s="1">
        <v>64651</v>
      </c>
      <c r="E748" s="2">
        <v>64651</v>
      </c>
    </row>
    <row r="749" spans="2:5" x14ac:dyDescent="0.2">
      <c r="B749" s="1">
        <v>53447</v>
      </c>
      <c r="C749" s="1">
        <v>64668</v>
      </c>
      <c r="E749" s="2">
        <v>64668</v>
      </c>
    </row>
    <row r="750" spans="2:5" x14ac:dyDescent="0.2">
      <c r="B750" s="1">
        <v>53450</v>
      </c>
      <c r="C750" s="1">
        <v>64696</v>
      </c>
      <c r="E750" s="2">
        <v>64696</v>
      </c>
    </row>
    <row r="751" spans="2:5" x14ac:dyDescent="0.2">
      <c r="B751" s="1">
        <v>53451</v>
      </c>
      <c r="C751" s="1">
        <v>64749</v>
      </c>
      <c r="E751" s="2">
        <v>64749</v>
      </c>
    </row>
    <row r="752" spans="2:5" x14ac:dyDescent="0.2">
      <c r="B752" s="1">
        <v>53524</v>
      </c>
      <c r="C752" s="1">
        <v>64801</v>
      </c>
      <c r="E752" s="2">
        <v>64801</v>
      </c>
    </row>
    <row r="753" spans="2:5" x14ac:dyDescent="0.2">
      <c r="B753" s="1">
        <v>53587</v>
      </c>
      <c r="C753" s="1">
        <v>64819</v>
      </c>
      <c r="E753" s="2">
        <v>64819</v>
      </c>
    </row>
    <row r="754" spans="2:5" x14ac:dyDescent="0.2">
      <c r="B754" s="1">
        <v>53594</v>
      </c>
      <c r="C754" s="1">
        <v>64836</v>
      </c>
      <c r="E754" s="2">
        <v>64836</v>
      </c>
    </row>
    <row r="755" spans="2:5" x14ac:dyDescent="0.2">
      <c r="B755" s="1">
        <v>53608</v>
      </c>
      <c r="C755" s="1">
        <v>64899</v>
      </c>
      <c r="E755" s="2">
        <v>64899</v>
      </c>
    </row>
    <row r="756" spans="2:5" x14ac:dyDescent="0.2">
      <c r="B756" s="1">
        <v>53654</v>
      </c>
      <c r="C756" s="1">
        <v>64979</v>
      </c>
      <c r="E756" s="2">
        <v>64979</v>
      </c>
    </row>
    <row r="757" spans="2:5" x14ac:dyDescent="0.2">
      <c r="B757" s="1">
        <v>53692</v>
      </c>
      <c r="C757" s="1">
        <v>65008</v>
      </c>
      <c r="E757" s="2">
        <v>65008</v>
      </c>
    </row>
    <row r="758" spans="2:5" x14ac:dyDescent="0.2">
      <c r="B758" s="1">
        <v>53693</v>
      </c>
      <c r="C758" s="1">
        <v>65032</v>
      </c>
      <c r="E758" s="2">
        <v>65032</v>
      </c>
    </row>
    <row r="759" spans="2:5" x14ac:dyDescent="0.2">
      <c r="B759" s="1">
        <v>53694</v>
      </c>
      <c r="C759" s="1">
        <v>65067</v>
      </c>
      <c r="E759" s="2">
        <v>65067</v>
      </c>
    </row>
    <row r="760" spans="2:5" x14ac:dyDescent="0.2">
      <c r="B760" s="1">
        <v>53695</v>
      </c>
      <c r="C760" s="1">
        <v>65106</v>
      </c>
      <c r="E760" s="2">
        <v>65106</v>
      </c>
    </row>
    <row r="761" spans="2:5" x14ac:dyDescent="0.2">
      <c r="B761" s="1">
        <v>53706</v>
      </c>
      <c r="C761" s="1">
        <v>65165</v>
      </c>
      <c r="E761" s="2">
        <v>65165</v>
      </c>
    </row>
    <row r="762" spans="2:5" x14ac:dyDescent="0.2">
      <c r="B762" s="1">
        <v>53734</v>
      </c>
      <c r="C762" s="1">
        <v>65186</v>
      </c>
      <c r="E762" s="2">
        <v>65186</v>
      </c>
    </row>
    <row r="763" spans="2:5" x14ac:dyDescent="0.2">
      <c r="B763" s="1">
        <v>53772</v>
      </c>
      <c r="C763" s="1">
        <v>65200</v>
      </c>
      <c r="E763" s="2">
        <v>65200</v>
      </c>
    </row>
    <row r="764" spans="2:5" x14ac:dyDescent="0.2">
      <c r="B764" s="1">
        <v>53811</v>
      </c>
      <c r="C764" s="1">
        <v>65263</v>
      </c>
      <c r="E764" s="2">
        <v>65263</v>
      </c>
    </row>
    <row r="765" spans="2:5" x14ac:dyDescent="0.2">
      <c r="B765" s="1">
        <v>53815</v>
      </c>
      <c r="C765" s="1">
        <v>65343</v>
      </c>
      <c r="E765" s="2">
        <v>65343</v>
      </c>
    </row>
    <row r="766" spans="2:5" x14ac:dyDescent="0.2">
      <c r="B766" s="1">
        <v>53818</v>
      </c>
      <c r="C766" s="1">
        <v>65375</v>
      </c>
      <c r="E766" s="2">
        <v>65375</v>
      </c>
    </row>
    <row r="767" spans="2:5" x14ac:dyDescent="0.2">
      <c r="B767" s="1">
        <v>53888</v>
      </c>
      <c r="C767" s="1">
        <v>65382</v>
      </c>
      <c r="E767" s="2">
        <v>65382</v>
      </c>
    </row>
    <row r="768" spans="2:5" x14ac:dyDescent="0.2">
      <c r="B768" s="1">
        <v>53916</v>
      </c>
      <c r="C768" s="1">
        <v>65396</v>
      </c>
      <c r="E768" s="2">
        <v>65396</v>
      </c>
    </row>
    <row r="769" spans="2:5" x14ac:dyDescent="0.2">
      <c r="B769" s="1">
        <v>53951</v>
      </c>
      <c r="C769" s="1">
        <v>65431</v>
      </c>
      <c r="E769" s="2">
        <v>65431</v>
      </c>
    </row>
    <row r="770" spans="2:5" x14ac:dyDescent="0.2">
      <c r="B770" s="1">
        <v>53958</v>
      </c>
      <c r="C770" s="1">
        <v>65491</v>
      </c>
      <c r="E770" s="2">
        <v>65491</v>
      </c>
    </row>
    <row r="771" spans="2:5" x14ac:dyDescent="0.2">
      <c r="B771" s="1">
        <v>53979</v>
      </c>
      <c r="C771" s="1">
        <v>65529</v>
      </c>
      <c r="E771" s="2">
        <v>65529</v>
      </c>
    </row>
    <row r="772" spans="2:5" x14ac:dyDescent="0.2">
      <c r="B772" s="1">
        <v>54000</v>
      </c>
      <c r="C772" s="1">
        <v>65550</v>
      </c>
      <c r="E772" s="2">
        <v>65550</v>
      </c>
    </row>
    <row r="773" spans="2:5" x14ac:dyDescent="0.2">
      <c r="B773" s="1">
        <v>54057</v>
      </c>
      <c r="C773" s="1">
        <v>65565</v>
      </c>
      <c r="E773" s="2">
        <v>65565</v>
      </c>
    </row>
    <row r="774" spans="2:5" x14ac:dyDescent="0.2">
      <c r="B774" s="1">
        <v>54058</v>
      </c>
      <c r="C774" s="1">
        <v>65627</v>
      </c>
      <c r="E774" s="2">
        <v>65627</v>
      </c>
    </row>
    <row r="775" spans="2:5" x14ac:dyDescent="0.2">
      <c r="B775" s="1">
        <v>54059</v>
      </c>
      <c r="C775" s="1">
        <v>65707</v>
      </c>
      <c r="E775" s="2">
        <v>65707</v>
      </c>
    </row>
    <row r="776" spans="2:5" x14ac:dyDescent="0.2">
      <c r="B776" s="1">
        <v>54060</v>
      </c>
      <c r="C776" s="1">
        <v>65739</v>
      </c>
      <c r="E776" s="2">
        <v>65739</v>
      </c>
    </row>
    <row r="777" spans="2:5" x14ac:dyDescent="0.2">
      <c r="B777" s="1">
        <v>54070</v>
      </c>
      <c r="C777" s="1">
        <v>65746</v>
      </c>
      <c r="E777" s="2">
        <v>65746</v>
      </c>
    </row>
    <row r="778" spans="2:5" x14ac:dyDescent="0.2">
      <c r="B778" s="1">
        <v>54099</v>
      </c>
      <c r="C778" s="1">
        <v>65760</v>
      </c>
      <c r="E778" s="2">
        <v>65760</v>
      </c>
    </row>
    <row r="779" spans="2:5" x14ac:dyDescent="0.2">
      <c r="B779" s="1">
        <v>54112</v>
      </c>
      <c r="C779" s="1">
        <v>65795</v>
      </c>
      <c r="E779" s="2">
        <v>65795</v>
      </c>
    </row>
    <row r="780" spans="2:5" x14ac:dyDescent="0.2">
      <c r="B780" s="1">
        <v>54137</v>
      </c>
      <c r="C780" s="1">
        <v>65841</v>
      </c>
      <c r="E780" s="2">
        <v>65841</v>
      </c>
    </row>
    <row r="781" spans="2:5" x14ac:dyDescent="0.2">
      <c r="B781" s="1">
        <v>54177</v>
      </c>
      <c r="C781" s="1">
        <v>65893</v>
      </c>
      <c r="E781" s="2">
        <v>65893</v>
      </c>
    </row>
    <row r="782" spans="2:5" x14ac:dyDescent="0.2">
      <c r="B782" s="1">
        <v>54182</v>
      </c>
      <c r="C782" s="1">
        <v>65916</v>
      </c>
      <c r="E782" s="2">
        <v>65916</v>
      </c>
    </row>
    <row r="783" spans="2:5" x14ac:dyDescent="0.2">
      <c r="B783" s="1">
        <v>54183</v>
      </c>
      <c r="C783" s="1">
        <v>65931</v>
      </c>
      <c r="E783" s="2">
        <v>65931</v>
      </c>
    </row>
    <row r="784" spans="2:5" x14ac:dyDescent="0.2">
      <c r="B784" s="1">
        <v>54184</v>
      </c>
      <c r="C784" s="1">
        <v>65991</v>
      </c>
      <c r="E784" s="2">
        <v>65991</v>
      </c>
    </row>
    <row r="785" spans="2:5" x14ac:dyDescent="0.2">
      <c r="B785" s="1">
        <v>54259</v>
      </c>
      <c r="C785" s="1">
        <v>66078</v>
      </c>
      <c r="E785" s="2">
        <v>66078</v>
      </c>
    </row>
    <row r="786" spans="2:5" x14ac:dyDescent="0.2">
      <c r="B786" s="1">
        <v>54281</v>
      </c>
      <c r="C786" s="1">
        <v>66105</v>
      </c>
      <c r="E786" s="2">
        <v>66105</v>
      </c>
    </row>
    <row r="787" spans="2:5" x14ac:dyDescent="0.2">
      <c r="B787" s="1">
        <v>54322</v>
      </c>
      <c r="C787" s="1">
        <v>66112</v>
      </c>
      <c r="E787" s="2">
        <v>66112</v>
      </c>
    </row>
    <row r="788" spans="2:5" x14ac:dyDescent="0.2">
      <c r="B788" s="1">
        <v>54323</v>
      </c>
      <c r="C788" s="1">
        <v>66131</v>
      </c>
      <c r="E788" s="2">
        <v>66131</v>
      </c>
    </row>
    <row r="789" spans="2:5" x14ac:dyDescent="0.2">
      <c r="B789" s="1">
        <v>54343</v>
      </c>
      <c r="C789" s="1">
        <v>66159</v>
      </c>
      <c r="E789" s="2">
        <v>66159</v>
      </c>
    </row>
    <row r="790" spans="2:5" x14ac:dyDescent="0.2">
      <c r="B790" s="1">
        <v>54365</v>
      </c>
      <c r="C790" s="1">
        <v>66198</v>
      </c>
      <c r="E790" s="2">
        <v>66198</v>
      </c>
    </row>
    <row r="791" spans="2:5" x14ac:dyDescent="0.2">
      <c r="B791" s="1">
        <v>54385</v>
      </c>
      <c r="C791" s="1">
        <v>66257</v>
      </c>
      <c r="E791" s="2">
        <v>66257</v>
      </c>
    </row>
    <row r="792" spans="2:5" x14ac:dyDescent="0.2">
      <c r="B792" s="1">
        <v>54423</v>
      </c>
      <c r="C792" s="1">
        <v>66281</v>
      </c>
      <c r="E792" s="2">
        <v>66281</v>
      </c>
    </row>
    <row r="793" spans="2:5" x14ac:dyDescent="0.2">
      <c r="B793" s="1">
        <v>54424</v>
      </c>
      <c r="C793" s="1">
        <v>66296</v>
      </c>
      <c r="E793" s="2">
        <v>66296</v>
      </c>
    </row>
    <row r="794" spans="2:5" x14ac:dyDescent="0.2">
      <c r="B794" s="1">
        <v>54434</v>
      </c>
      <c r="C794" s="1">
        <v>66355</v>
      </c>
      <c r="E794" s="2">
        <v>66355</v>
      </c>
    </row>
    <row r="795" spans="2:5" x14ac:dyDescent="0.2">
      <c r="B795" s="1">
        <v>54465</v>
      </c>
      <c r="C795" s="1">
        <v>66442</v>
      </c>
      <c r="E795" s="2">
        <v>66442</v>
      </c>
    </row>
    <row r="796" spans="2:5" x14ac:dyDescent="0.2">
      <c r="B796" s="1">
        <v>54477</v>
      </c>
      <c r="C796" s="1">
        <v>66470</v>
      </c>
      <c r="E796" s="2">
        <v>66470</v>
      </c>
    </row>
    <row r="797" spans="2:5" x14ac:dyDescent="0.2">
      <c r="B797" s="1">
        <v>54542</v>
      </c>
      <c r="C797" s="1">
        <v>66477</v>
      </c>
      <c r="E797" s="2">
        <v>66477</v>
      </c>
    </row>
    <row r="798" spans="2:5" x14ac:dyDescent="0.2">
      <c r="B798" s="1">
        <v>54546</v>
      </c>
      <c r="C798" s="1">
        <v>66495</v>
      </c>
      <c r="E798" s="2">
        <v>66495</v>
      </c>
    </row>
    <row r="799" spans="2:5" x14ac:dyDescent="0.2">
      <c r="B799" s="1">
        <v>54547</v>
      </c>
      <c r="C799" s="1">
        <v>66523</v>
      </c>
      <c r="E799" s="2">
        <v>66523</v>
      </c>
    </row>
    <row r="800" spans="2:5" x14ac:dyDescent="0.2">
      <c r="B800" s="1">
        <v>54548</v>
      </c>
      <c r="C800" s="1">
        <v>66583</v>
      </c>
      <c r="E800" s="2">
        <v>66583</v>
      </c>
    </row>
    <row r="801" spans="2:5" x14ac:dyDescent="0.2">
      <c r="B801" s="1">
        <v>54623</v>
      </c>
      <c r="C801" s="1">
        <v>66621</v>
      </c>
      <c r="E801" s="2">
        <v>66621</v>
      </c>
    </row>
    <row r="802" spans="2:5" x14ac:dyDescent="0.2">
      <c r="B802" s="1">
        <v>54646</v>
      </c>
      <c r="C802" s="1">
        <v>66646</v>
      </c>
      <c r="E802" s="2">
        <v>66646</v>
      </c>
    </row>
    <row r="803" spans="2:5" x14ac:dyDescent="0.2">
      <c r="B803" s="1">
        <v>54686</v>
      </c>
      <c r="C803" s="1">
        <v>66660</v>
      </c>
      <c r="E803" s="2">
        <v>66660</v>
      </c>
    </row>
    <row r="804" spans="2:5" x14ac:dyDescent="0.2">
      <c r="B804" s="1">
        <v>54687</v>
      </c>
      <c r="C804" s="1">
        <v>66726</v>
      </c>
      <c r="E804" s="2">
        <v>66726</v>
      </c>
    </row>
    <row r="805" spans="2:5" x14ac:dyDescent="0.2">
      <c r="B805" s="1">
        <v>54688</v>
      </c>
      <c r="C805" s="1">
        <v>66806</v>
      </c>
      <c r="E805" s="2">
        <v>66806</v>
      </c>
    </row>
    <row r="806" spans="2:5" x14ac:dyDescent="0.2">
      <c r="B806" s="1">
        <v>54707</v>
      </c>
      <c r="C806" s="1">
        <v>66835</v>
      </c>
      <c r="E806" s="2">
        <v>66835</v>
      </c>
    </row>
    <row r="807" spans="2:5" x14ac:dyDescent="0.2">
      <c r="B807" s="1">
        <v>54730</v>
      </c>
      <c r="C807" s="1">
        <v>66842</v>
      </c>
      <c r="E807" s="2">
        <v>66842</v>
      </c>
    </row>
    <row r="808" spans="2:5" x14ac:dyDescent="0.2">
      <c r="B808" s="1">
        <v>54750</v>
      </c>
      <c r="C808" s="1">
        <v>66859</v>
      </c>
      <c r="E808" s="2">
        <v>66859</v>
      </c>
    </row>
    <row r="809" spans="2:5" x14ac:dyDescent="0.2">
      <c r="B809" s="1">
        <v>54788</v>
      </c>
      <c r="C809" s="1">
        <v>66887</v>
      </c>
      <c r="E809" s="2">
        <v>66887</v>
      </c>
    </row>
    <row r="810" spans="2:5" x14ac:dyDescent="0.2">
      <c r="B810" s="1">
        <v>54791</v>
      </c>
      <c r="C810" s="1">
        <v>66933</v>
      </c>
      <c r="E810" s="2">
        <v>66933</v>
      </c>
    </row>
    <row r="811" spans="2:5" x14ac:dyDescent="0.2">
      <c r="B811" s="1">
        <v>54798</v>
      </c>
      <c r="C811" s="1">
        <v>66992</v>
      </c>
      <c r="E811" s="2">
        <v>66992</v>
      </c>
    </row>
    <row r="812" spans="2:5" x14ac:dyDescent="0.2">
      <c r="B812" s="1">
        <v>54830</v>
      </c>
      <c r="C812" s="1">
        <v>67010</v>
      </c>
      <c r="E812" s="2">
        <v>67010</v>
      </c>
    </row>
    <row r="813" spans="2:5" x14ac:dyDescent="0.2">
      <c r="B813" s="1">
        <v>54842</v>
      </c>
      <c r="C813" s="1">
        <v>67027</v>
      </c>
      <c r="E813" s="2">
        <v>67027</v>
      </c>
    </row>
    <row r="814" spans="2:5" x14ac:dyDescent="0.2">
      <c r="B814" s="1">
        <v>54868</v>
      </c>
      <c r="C814" s="1">
        <v>67090</v>
      </c>
      <c r="E814" s="2">
        <v>67090</v>
      </c>
    </row>
    <row r="815" spans="2:5" x14ac:dyDescent="0.2">
      <c r="B815" s="1">
        <v>54907</v>
      </c>
      <c r="C815" s="1">
        <v>67170</v>
      </c>
      <c r="E815" s="2">
        <v>67170</v>
      </c>
    </row>
    <row r="816" spans="2:5" x14ac:dyDescent="0.2">
      <c r="B816" s="1">
        <v>54911</v>
      </c>
      <c r="C816" s="1">
        <v>67199</v>
      </c>
      <c r="E816" s="2">
        <v>67199</v>
      </c>
    </row>
    <row r="817" spans="2:5" x14ac:dyDescent="0.2">
      <c r="B817" s="1">
        <v>54912</v>
      </c>
      <c r="C817" s="1">
        <v>67223</v>
      </c>
      <c r="E817" s="2">
        <v>67223</v>
      </c>
    </row>
    <row r="818" spans="2:5" x14ac:dyDescent="0.2">
      <c r="B818" s="1">
        <v>54913</v>
      </c>
      <c r="C818" s="1">
        <v>67258</v>
      </c>
      <c r="E818" s="2">
        <v>67258</v>
      </c>
    </row>
    <row r="819" spans="2:5" x14ac:dyDescent="0.2">
      <c r="B819" s="1">
        <v>54987</v>
      </c>
      <c r="C819" s="1">
        <v>67290</v>
      </c>
      <c r="E819" s="2">
        <v>67290</v>
      </c>
    </row>
    <row r="820" spans="2:5" x14ac:dyDescent="0.2">
      <c r="B820" s="1">
        <v>55011</v>
      </c>
      <c r="C820" s="1">
        <v>67356</v>
      </c>
      <c r="E820" s="2">
        <v>67356</v>
      </c>
    </row>
    <row r="821" spans="2:5" x14ac:dyDescent="0.2">
      <c r="B821" s="1">
        <v>55050</v>
      </c>
      <c r="C821" s="1">
        <v>67377</v>
      </c>
      <c r="E821" s="2">
        <v>67377</v>
      </c>
    </row>
    <row r="822" spans="2:5" x14ac:dyDescent="0.2">
      <c r="B822" s="1">
        <v>55054</v>
      </c>
      <c r="C822" s="1">
        <v>67392</v>
      </c>
      <c r="E822" s="2">
        <v>67392</v>
      </c>
    </row>
    <row r="823" spans="2:5" x14ac:dyDescent="0.2">
      <c r="B823" s="1">
        <v>55071</v>
      </c>
      <c r="C823" s="1">
        <v>67454</v>
      </c>
      <c r="E823" s="2">
        <v>67454</v>
      </c>
    </row>
    <row r="824" spans="2:5" x14ac:dyDescent="0.2">
      <c r="B824" s="1">
        <v>55095</v>
      </c>
      <c r="C824" s="1">
        <v>67534</v>
      </c>
      <c r="E824" s="2">
        <v>67534</v>
      </c>
    </row>
    <row r="825" spans="2:5" x14ac:dyDescent="0.2">
      <c r="B825" s="1">
        <v>55115</v>
      </c>
      <c r="C825" s="1">
        <v>67566</v>
      </c>
      <c r="E825" s="2">
        <v>67566</v>
      </c>
    </row>
    <row r="826" spans="2:5" x14ac:dyDescent="0.2">
      <c r="B826" s="1">
        <v>55155</v>
      </c>
      <c r="C826" s="1">
        <v>67573</v>
      </c>
      <c r="E826" s="2">
        <v>67573</v>
      </c>
    </row>
    <row r="827" spans="2:5" x14ac:dyDescent="0.2">
      <c r="B827" s="1">
        <v>55156</v>
      </c>
      <c r="C827" s="1">
        <v>67587</v>
      </c>
      <c r="E827" s="2">
        <v>67587</v>
      </c>
    </row>
    <row r="828" spans="2:5" x14ac:dyDescent="0.2">
      <c r="B828" s="1">
        <v>55162</v>
      </c>
      <c r="C828" s="1">
        <v>67622</v>
      </c>
      <c r="E828" s="2">
        <v>67622</v>
      </c>
    </row>
    <row r="829" spans="2:5" x14ac:dyDescent="0.2">
      <c r="B829" s="1">
        <v>55207</v>
      </c>
      <c r="C829" s="1">
        <v>67675</v>
      </c>
      <c r="E829" s="2">
        <v>67675</v>
      </c>
    </row>
    <row r="830" spans="2:5" x14ac:dyDescent="0.2">
      <c r="B830" s="1">
        <v>55233</v>
      </c>
      <c r="C830" s="1">
        <v>67720</v>
      </c>
      <c r="E830" s="2">
        <v>67720</v>
      </c>
    </row>
    <row r="831" spans="2:5" x14ac:dyDescent="0.2">
      <c r="B831" s="1">
        <v>55276</v>
      </c>
      <c r="C831" s="1">
        <v>67742</v>
      </c>
      <c r="E831" s="2">
        <v>67742</v>
      </c>
    </row>
    <row r="832" spans="2:5" x14ac:dyDescent="0.2">
      <c r="B832" s="1">
        <v>55277</v>
      </c>
      <c r="C832" s="1">
        <v>67757</v>
      </c>
      <c r="E832" s="2">
        <v>67757</v>
      </c>
    </row>
    <row r="833" spans="2:5" x14ac:dyDescent="0.2">
      <c r="B833" s="1">
        <v>55278</v>
      </c>
      <c r="C833" s="1">
        <v>67818</v>
      </c>
      <c r="E833" s="2">
        <v>67818</v>
      </c>
    </row>
    <row r="834" spans="2:5" x14ac:dyDescent="0.2">
      <c r="B834" s="1">
        <v>55351</v>
      </c>
      <c r="C834" s="1">
        <v>67898</v>
      </c>
      <c r="E834" s="2">
        <v>67898</v>
      </c>
    </row>
    <row r="835" spans="2:5" x14ac:dyDescent="0.2">
      <c r="B835" s="1">
        <v>55376</v>
      </c>
      <c r="C835" s="1">
        <v>67931</v>
      </c>
      <c r="E835" s="2">
        <v>67931</v>
      </c>
    </row>
    <row r="836" spans="2:5" x14ac:dyDescent="0.2">
      <c r="B836" s="1">
        <v>55414</v>
      </c>
      <c r="C836" s="1">
        <v>67938</v>
      </c>
      <c r="E836" s="2">
        <v>67938</v>
      </c>
    </row>
    <row r="837" spans="2:5" x14ac:dyDescent="0.2">
      <c r="B837" s="1">
        <v>55435</v>
      </c>
      <c r="C837" s="1">
        <v>67958</v>
      </c>
      <c r="E837" s="2">
        <v>67958</v>
      </c>
    </row>
    <row r="838" spans="2:5" x14ac:dyDescent="0.2">
      <c r="B838" s="1">
        <v>55460</v>
      </c>
      <c r="C838" s="1">
        <v>67986</v>
      </c>
      <c r="E838" s="2">
        <v>67986</v>
      </c>
    </row>
    <row r="839" spans="2:5" x14ac:dyDescent="0.2">
      <c r="B839" s="1">
        <v>55480</v>
      </c>
      <c r="C839" s="1">
        <v>68025</v>
      </c>
      <c r="E839" s="2">
        <v>68025</v>
      </c>
    </row>
    <row r="840" spans="2:5" x14ac:dyDescent="0.2">
      <c r="B840" s="1">
        <v>55519</v>
      </c>
      <c r="C840" s="1">
        <v>68084</v>
      </c>
      <c r="E840" s="2">
        <v>68084</v>
      </c>
    </row>
    <row r="841" spans="2:5" x14ac:dyDescent="0.2">
      <c r="B841" s="1">
        <v>55520</v>
      </c>
      <c r="C841" s="1">
        <v>68107</v>
      </c>
      <c r="E841" s="2">
        <v>68107</v>
      </c>
    </row>
    <row r="842" spans="2:5" x14ac:dyDescent="0.2">
      <c r="B842" s="1">
        <v>55521</v>
      </c>
      <c r="C842" s="1">
        <v>68122</v>
      </c>
      <c r="E842" s="2">
        <v>68122</v>
      </c>
    </row>
    <row r="843" spans="2:5" x14ac:dyDescent="0.2">
      <c r="B843" s="1">
        <v>55526</v>
      </c>
      <c r="C843" s="1">
        <v>68182</v>
      </c>
      <c r="E843" s="2">
        <v>68182</v>
      </c>
    </row>
    <row r="844" spans="2:5" x14ac:dyDescent="0.2">
      <c r="B844" s="1">
        <v>55561</v>
      </c>
      <c r="C844" s="1">
        <v>68269</v>
      </c>
      <c r="E844" s="2">
        <v>68269</v>
      </c>
    </row>
    <row r="845" spans="2:5" x14ac:dyDescent="0.2">
      <c r="B845" s="1">
        <v>55572</v>
      </c>
      <c r="C845" s="1">
        <v>68296</v>
      </c>
      <c r="E845" s="2">
        <v>68296</v>
      </c>
    </row>
    <row r="846" spans="2:5" x14ac:dyDescent="0.2">
      <c r="B846" s="1">
        <v>55598</v>
      </c>
      <c r="C846" s="1">
        <v>68303</v>
      </c>
      <c r="E846" s="2">
        <v>68303</v>
      </c>
    </row>
    <row r="847" spans="2:5" x14ac:dyDescent="0.2">
      <c r="B847" s="1">
        <v>55638</v>
      </c>
      <c r="C847" s="1">
        <v>68322</v>
      </c>
      <c r="E847" s="2">
        <v>68322</v>
      </c>
    </row>
    <row r="848" spans="2:5" x14ac:dyDescent="0.2">
      <c r="B848" s="1">
        <v>55642</v>
      </c>
      <c r="C848" s="1">
        <v>68350</v>
      </c>
      <c r="E848" s="2">
        <v>68350</v>
      </c>
    </row>
    <row r="849" spans="2:5" x14ac:dyDescent="0.2">
      <c r="B849" s="1">
        <v>55645</v>
      </c>
      <c r="C849" s="1">
        <v>68410</v>
      </c>
      <c r="E849" s="2">
        <v>68410</v>
      </c>
    </row>
    <row r="850" spans="2:5" x14ac:dyDescent="0.2">
      <c r="B850" s="1">
        <v>55715</v>
      </c>
      <c r="C850" s="1">
        <v>68448</v>
      </c>
      <c r="E850" s="2">
        <v>68448</v>
      </c>
    </row>
    <row r="851" spans="2:5" x14ac:dyDescent="0.2">
      <c r="B851" s="1">
        <v>55743</v>
      </c>
      <c r="C851" s="1">
        <v>68472</v>
      </c>
      <c r="E851" s="2">
        <v>68472</v>
      </c>
    </row>
    <row r="852" spans="2:5" x14ac:dyDescent="0.2">
      <c r="B852" s="1">
        <v>55778</v>
      </c>
      <c r="C852" s="1">
        <v>68487</v>
      </c>
      <c r="E852" s="2">
        <v>68487</v>
      </c>
    </row>
    <row r="853" spans="2:5" x14ac:dyDescent="0.2">
      <c r="B853" s="1">
        <v>55785</v>
      </c>
      <c r="C853" s="1">
        <v>68546</v>
      </c>
      <c r="E853" s="2">
        <v>68546</v>
      </c>
    </row>
    <row r="854" spans="2:5" x14ac:dyDescent="0.2">
      <c r="B854" s="1">
        <v>55806</v>
      </c>
      <c r="C854" s="1">
        <v>68633</v>
      </c>
      <c r="E854" s="2">
        <v>68633</v>
      </c>
    </row>
    <row r="855" spans="2:5" x14ac:dyDescent="0.2">
      <c r="B855" s="1">
        <v>55827</v>
      </c>
      <c r="C855" s="1">
        <v>68661</v>
      </c>
      <c r="E855" s="2">
        <v>68661</v>
      </c>
    </row>
    <row r="856" spans="2:5" x14ac:dyDescent="0.2">
      <c r="B856" s="1">
        <v>55884</v>
      </c>
      <c r="C856" s="1">
        <v>68668</v>
      </c>
      <c r="E856" s="2">
        <v>68668</v>
      </c>
    </row>
    <row r="857" spans="2:5" x14ac:dyDescent="0.2">
      <c r="B857" s="1">
        <v>55885</v>
      </c>
      <c r="C857" s="1">
        <v>68686</v>
      </c>
      <c r="E857" s="2">
        <v>68686</v>
      </c>
    </row>
    <row r="858" spans="2:5" x14ac:dyDescent="0.2">
      <c r="B858" s="1">
        <v>55886</v>
      </c>
      <c r="C858" s="1">
        <v>68714</v>
      </c>
      <c r="E858" s="2">
        <v>68714</v>
      </c>
    </row>
    <row r="859" spans="2:5" x14ac:dyDescent="0.2">
      <c r="B859" s="1">
        <v>55887</v>
      </c>
      <c r="C859" s="1">
        <v>68767</v>
      </c>
      <c r="E859" s="2">
        <v>68767</v>
      </c>
    </row>
    <row r="860" spans="2:5" x14ac:dyDescent="0.2">
      <c r="B860" s="1">
        <v>55897</v>
      </c>
      <c r="C860" s="1">
        <v>68819</v>
      </c>
      <c r="E860" s="2">
        <v>68819</v>
      </c>
    </row>
    <row r="861" spans="2:5" x14ac:dyDescent="0.2">
      <c r="B861" s="1">
        <v>55926</v>
      </c>
      <c r="C861" s="1">
        <v>68837</v>
      </c>
      <c r="E861" s="2">
        <v>68837</v>
      </c>
    </row>
    <row r="862" spans="2:5" x14ac:dyDescent="0.2">
      <c r="B862" s="1">
        <v>55939</v>
      </c>
      <c r="C862" s="1">
        <v>68854</v>
      </c>
      <c r="E862" s="2">
        <v>68854</v>
      </c>
    </row>
    <row r="863" spans="2:5" x14ac:dyDescent="0.2">
      <c r="B863" s="1">
        <v>55963</v>
      </c>
      <c r="C863" s="1">
        <v>68917</v>
      </c>
      <c r="E863" s="2">
        <v>68917</v>
      </c>
    </row>
    <row r="864" spans="2:5" x14ac:dyDescent="0.2">
      <c r="B864" s="1">
        <v>56003</v>
      </c>
      <c r="C864" s="1">
        <v>68997</v>
      </c>
      <c r="E864" s="2">
        <v>68997</v>
      </c>
    </row>
    <row r="865" spans="2:5" x14ac:dyDescent="0.2">
      <c r="B865" s="1">
        <v>56009</v>
      </c>
      <c r="C865" s="1">
        <v>69026</v>
      </c>
      <c r="E865" s="2">
        <v>69026</v>
      </c>
    </row>
    <row r="866" spans="2:5" x14ac:dyDescent="0.2">
      <c r="B866" s="1">
        <v>56010</v>
      </c>
      <c r="C866" s="1">
        <v>69050</v>
      </c>
      <c r="E866" s="2">
        <v>69050</v>
      </c>
    </row>
    <row r="867" spans="2:5" x14ac:dyDescent="0.2">
      <c r="B867" s="1">
        <v>56086</v>
      </c>
      <c r="C867" s="1">
        <v>69085</v>
      </c>
      <c r="E867" s="2">
        <v>69085</v>
      </c>
    </row>
    <row r="868" spans="2:5" x14ac:dyDescent="0.2">
      <c r="B868" s="1">
        <v>56107</v>
      </c>
      <c r="C868" s="1">
        <v>69124</v>
      </c>
      <c r="E868" s="2">
        <v>69124</v>
      </c>
    </row>
    <row r="869" spans="2:5" x14ac:dyDescent="0.2">
      <c r="B869" s="1">
        <v>56142</v>
      </c>
      <c r="C869" s="1">
        <v>69183</v>
      </c>
      <c r="E869" s="2">
        <v>69183</v>
      </c>
    </row>
    <row r="870" spans="2:5" x14ac:dyDescent="0.2">
      <c r="B870" s="1">
        <v>56149</v>
      </c>
      <c r="C870" s="1">
        <v>69204</v>
      </c>
      <c r="E870" s="2">
        <v>69204</v>
      </c>
    </row>
    <row r="871" spans="2:5" x14ac:dyDescent="0.2">
      <c r="B871" s="1">
        <v>56170</v>
      </c>
      <c r="C871" s="1">
        <v>69218</v>
      </c>
      <c r="E871" s="2">
        <v>69218</v>
      </c>
    </row>
    <row r="872" spans="2:5" x14ac:dyDescent="0.2">
      <c r="B872" s="1">
        <v>56191</v>
      </c>
      <c r="C872" s="1">
        <v>69281</v>
      </c>
      <c r="E872" s="2">
        <v>69281</v>
      </c>
    </row>
    <row r="873" spans="2:5" x14ac:dyDescent="0.2">
      <c r="B873" s="1">
        <v>56212</v>
      </c>
      <c r="C873" s="1">
        <v>69361</v>
      </c>
      <c r="E873" s="2">
        <v>69361</v>
      </c>
    </row>
    <row r="874" spans="2:5" x14ac:dyDescent="0.2">
      <c r="B874" s="1">
        <v>56249</v>
      </c>
      <c r="C874" s="1">
        <v>69393</v>
      </c>
      <c r="E874" s="2">
        <v>69393</v>
      </c>
    </row>
    <row r="875" spans="2:5" x14ac:dyDescent="0.2">
      <c r="B875" s="1">
        <v>56250</v>
      </c>
      <c r="C875" s="1">
        <v>69400</v>
      </c>
      <c r="E875" s="2">
        <v>69400</v>
      </c>
    </row>
    <row r="876" spans="2:5" x14ac:dyDescent="0.2">
      <c r="B876" s="1">
        <v>56251</v>
      </c>
      <c r="C876" s="1">
        <v>69414</v>
      </c>
      <c r="E876" s="2">
        <v>69414</v>
      </c>
    </row>
    <row r="877" spans="2:5" x14ac:dyDescent="0.2">
      <c r="B877" s="1">
        <v>56261</v>
      </c>
      <c r="C877" s="1">
        <v>69449</v>
      </c>
      <c r="E877" s="2">
        <v>69449</v>
      </c>
    </row>
    <row r="878" spans="2:5" x14ac:dyDescent="0.2">
      <c r="B878" s="1">
        <v>56291</v>
      </c>
      <c r="C878" s="1">
        <v>69502</v>
      </c>
      <c r="E878" s="2">
        <v>69502</v>
      </c>
    </row>
    <row r="879" spans="2:5" x14ac:dyDescent="0.2">
      <c r="B879" s="1">
        <v>56303</v>
      </c>
      <c r="C879" s="1">
        <v>69547</v>
      </c>
      <c r="E879" s="2">
        <v>69547</v>
      </c>
    </row>
    <row r="880" spans="2:5" x14ac:dyDescent="0.2">
      <c r="B880" s="1">
        <v>56328</v>
      </c>
      <c r="C880" s="1">
        <v>69568</v>
      </c>
      <c r="E880" s="2">
        <v>69568</v>
      </c>
    </row>
    <row r="881" spans="2:5" x14ac:dyDescent="0.2">
      <c r="B881" s="1">
        <v>56368</v>
      </c>
      <c r="C881" s="1">
        <v>69583</v>
      </c>
      <c r="E881" s="2">
        <v>69583</v>
      </c>
    </row>
    <row r="882" spans="2:5" x14ac:dyDescent="0.2">
      <c r="B882" s="1">
        <v>56373</v>
      </c>
      <c r="C882" s="1">
        <v>69645</v>
      </c>
      <c r="E882" s="2">
        <v>69645</v>
      </c>
    </row>
    <row r="883" spans="2:5" x14ac:dyDescent="0.2">
      <c r="B883" s="1">
        <v>56374</v>
      </c>
      <c r="C883" s="1">
        <v>69725</v>
      </c>
      <c r="E883" s="2">
        <v>69725</v>
      </c>
    </row>
    <row r="884" spans="2:5" x14ac:dyDescent="0.2">
      <c r="B884" s="1">
        <v>56375</v>
      </c>
      <c r="C884" s="1">
        <v>69757</v>
      </c>
      <c r="E884" s="2">
        <v>69757</v>
      </c>
    </row>
    <row r="885" spans="2:5" x14ac:dyDescent="0.2">
      <c r="B885" s="1">
        <v>56450</v>
      </c>
      <c r="C885" s="1">
        <v>69764</v>
      </c>
      <c r="E885" s="2">
        <v>69764</v>
      </c>
    </row>
    <row r="886" spans="2:5" x14ac:dyDescent="0.2">
      <c r="B886" s="1">
        <v>56472</v>
      </c>
      <c r="C886" s="1">
        <v>69778</v>
      </c>
      <c r="E886" s="2">
        <v>69778</v>
      </c>
    </row>
    <row r="887" spans="2:5" x14ac:dyDescent="0.2">
      <c r="B887" s="1">
        <v>56513</v>
      </c>
      <c r="C887" s="1">
        <v>69813</v>
      </c>
      <c r="E887" s="2">
        <v>69813</v>
      </c>
    </row>
    <row r="888" spans="2:5" x14ac:dyDescent="0.2">
      <c r="B888" s="1">
        <v>56514</v>
      </c>
      <c r="C888" s="1">
        <v>69859</v>
      </c>
      <c r="E888" s="2">
        <v>69859</v>
      </c>
    </row>
    <row r="889" spans="2:5" x14ac:dyDescent="0.2">
      <c r="B889" s="1">
        <v>56515</v>
      </c>
      <c r="C889" s="1">
        <v>69911</v>
      </c>
      <c r="E889" s="2">
        <v>69911</v>
      </c>
    </row>
    <row r="890" spans="2:5" x14ac:dyDescent="0.2">
      <c r="B890" s="1">
        <v>56534</v>
      </c>
      <c r="C890" s="1">
        <v>69933</v>
      </c>
      <c r="E890" s="2">
        <v>69933</v>
      </c>
    </row>
    <row r="891" spans="2:5" x14ac:dyDescent="0.2">
      <c r="B891" s="1">
        <v>56556</v>
      </c>
      <c r="C891" s="1">
        <v>69948</v>
      </c>
      <c r="E891" s="2">
        <v>69948</v>
      </c>
    </row>
    <row r="892" spans="2:5" x14ac:dyDescent="0.2">
      <c r="B892" s="1">
        <v>56576</v>
      </c>
      <c r="C892" s="1">
        <v>70009</v>
      </c>
      <c r="E892" s="2">
        <v>70009</v>
      </c>
    </row>
    <row r="893" spans="2:5" x14ac:dyDescent="0.2">
      <c r="B893" s="1">
        <v>56614</v>
      </c>
      <c r="C893" s="1">
        <v>70089</v>
      </c>
      <c r="E893" s="2">
        <v>70089</v>
      </c>
    </row>
    <row r="894" spans="2:5" x14ac:dyDescent="0.2">
      <c r="B894" s="1">
        <v>56615</v>
      </c>
      <c r="C894" s="1">
        <v>70122</v>
      </c>
      <c r="E894" s="2">
        <v>70122</v>
      </c>
    </row>
    <row r="895" spans="2:5" x14ac:dyDescent="0.2">
      <c r="B895" s="1">
        <v>56625</v>
      </c>
      <c r="C895" s="1">
        <v>70129</v>
      </c>
      <c r="E895" s="2">
        <v>70129</v>
      </c>
    </row>
    <row r="896" spans="2:5" x14ac:dyDescent="0.2">
      <c r="B896" s="1">
        <v>56656</v>
      </c>
      <c r="C896" s="1">
        <v>70149</v>
      </c>
      <c r="E896" s="2">
        <v>70149</v>
      </c>
    </row>
    <row r="897" spans="2:5" x14ac:dyDescent="0.2">
      <c r="B897" s="1">
        <v>56668</v>
      </c>
      <c r="C897" s="1">
        <v>70177</v>
      </c>
      <c r="E897" s="2">
        <v>70177</v>
      </c>
    </row>
    <row r="898" spans="2:5" x14ac:dyDescent="0.2">
      <c r="B898" s="1">
        <v>56695</v>
      </c>
      <c r="C898" s="1">
        <v>70216</v>
      </c>
      <c r="E898" s="2">
        <v>70216</v>
      </c>
    </row>
    <row r="899" spans="2:5" x14ac:dyDescent="0.2">
      <c r="B899" s="1">
        <v>56733</v>
      </c>
      <c r="C899" s="1">
        <v>70275</v>
      </c>
      <c r="E899" s="2">
        <v>70275</v>
      </c>
    </row>
    <row r="900" spans="2:5" x14ac:dyDescent="0.2">
      <c r="B900" s="1">
        <v>56737</v>
      </c>
      <c r="C900" s="1">
        <v>70299</v>
      </c>
      <c r="E900" s="2">
        <v>70299</v>
      </c>
    </row>
    <row r="901" spans="2:5" x14ac:dyDescent="0.2">
      <c r="B901" s="1">
        <v>56738</v>
      </c>
      <c r="C901" s="1">
        <v>70314</v>
      </c>
      <c r="E901" s="2">
        <v>70314</v>
      </c>
    </row>
    <row r="902" spans="2:5" x14ac:dyDescent="0.2">
      <c r="B902" s="1">
        <v>56739</v>
      </c>
      <c r="C902" s="1">
        <v>70373</v>
      </c>
      <c r="E902" s="2">
        <v>70373</v>
      </c>
    </row>
    <row r="903" spans="2:5" x14ac:dyDescent="0.2">
      <c r="B903" s="1">
        <v>56814</v>
      </c>
      <c r="C903" s="1">
        <v>70460</v>
      </c>
      <c r="E903" s="2">
        <v>70460</v>
      </c>
    </row>
    <row r="904" spans="2:5" x14ac:dyDescent="0.2">
      <c r="B904" s="1">
        <v>56837</v>
      </c>
      <c r="C904" s="1">
        <v>70488</v>
      </c>
      <c r="E904" s="2">
        <v>70488</v>
      </c>
    </row>
    <row r="905" spans="2:5" x14ac:dyDescent="0.2">
      <c r="B905" s="1">
        <v>56877</v>
      </c>
      <c r="C905" s="1">
        <v>70495</v>
      </c>
      <c r="E905" s="2">
        <v>70495</v>
      </c>
    </row>
    <row r="906" spans="2:5" x14ac:dyDescent="0.2">
      <c r="B906" s="1">
        <v>56880</v>
      </c>
      <c r="C906" s="1">
        <v>70513</v>
      </c>
      <c r="E906" s="2">
        <v>70513</v>
      </c>
    </row>
    <row r="907" spans="2:5" x14ac:dyDescent="0.2">
      <c r="B907" s="1">
        <v>56898</v>
      </c>
      <c r="C907" s="1">
        <v>70541</v>
      </c>
      <c r="E907" s="2">
        <v>70541</v>
      </c>
    </row>
    <row r="908" spans="2:5" x14ac:dyDescent="0.2">
      <c r="B908" s="1">
        <v>56921</v>
      </c>
      <c r="C908" s="1">
        <v>70594</v>
      </c>
      <c r="E908" s="2">
        <v>70594</v>
      </c>
    </row>
    <row r="909" spans="2:5" x14ac:dyDescent="0.2">
      <c r="B909" s="1">
        <v>56941</v>
      </c>
      <c r="C909" s="1">
        <v>70639</v>
      </c>
      <c r="E909" s="2">
        <v>70639</v>
      </c>
    </row>
    <row r="910" spans="2:5" x14ac:dyDescent="0.2">
      <c r="B910" s="1">
        <v>56979</v>
      </c>
      <c r="C910" s="1">
        <v>70664</v>
      </c>
      <c r="E910" s="2">
        <v>70664</v>
      </c>
    </row>
    <row r="911" spans="2:5" x14ac:dyDescent="0.2">
      <c r="B911" s="1">
        <v>56982</v>
      </c>
      <c r="C911" s="1">
        <v>70678</v>
      </c>
      <c r="E911" s="2">
        <v>70678</v>
      </c>
    </row>
    <row r="912" spans="2:5" x14ac:dyDescent="0.2">
      <c r="B912" s="1">
        <v>56989</v>
      </c>
      <c r="C912" s="1">
        <v>70744</v>
      </c>
      <c r="E912" s="2">
        <v>70744</v>
      </c>
    </row>
    <row r="913" spans="2:5" x14ac:dyDescent="0.2">
      <c r="B913" s="1">
        <v>57021</v>
      </c>
      <c r="C913" s="1">
        <v>70824</v>
      </c>
      <c r="E913" s="2">
        <v>70824</v>
      </c>
    </row>
    <row r="914" spans="2:5" x14ac:dyDescent="0.2">
      <c r="B914" s="1">
        <v>57033</v>
      </c>
      <c r="C914" s="1">
        <v>70853</v>
      </c>
      <c r="E914" s="2">
        <v>70853</v>
      </c>
    </row>
    <row r="915" spans="2:5" x14ac:dyDescent="0.2">
      <c r="B915" s="1">
        <v>57059</v>
      </c>
      <c r="C915" s="1">
        <v>70860</v>
      </c>
      <c r="E915" s="2">
        <v>70860</v>
      </c>
    </row>
    <row r="916" spans="2:5" x14ac:dyDescent="0.2">
      <c r="B916" s="1">
        <v>57103</v>
      </c>
      <c r="C916" s="1">
        <v>70877</v>
      </c>
      <c r="E916" s="2">
        <v>70877</v>
      </c>
    </row>
    <row r="917" spans="2:5" x14ac:dyDescent="0.2">
      <c r="B917" s="1">
        <v>57104</v>
      </c>
      <c r="C917" s="1">
        <v>70905</v>
      </c>
      <c r="E917" s="2">
        <v>70905</v>
      </c>
    </row>
    <row r="918" spans="2:5" x14ac:dyDescent="0.2">
      <c r="B918" s="1">
        <v>57105</v>
      </c>
      <c r="C918" s="1">
        <v>70951</v>
      </c>
      <c r="E918" s="2">
        <v>70951</v>
      </c>
    </row>
    <row r="919" spans="2:5" x14ac:dyDescent="0.2">
      <c r="B919" s="1">
        <v>57178</v>
      </c>
      <c r="C919" s="1">
        <v>71010</v>
      </c>
      <c r="E919" s="2">
        <v>71010</v>
      </c>
    </row>
    <row r="920" spans="2:5" x14ac:dyDescent="0.2">
      <c r="B920" s="1">
        <v>57203</v>
      </c>
      <c r="C920" s="1">
        <v>71028</v>
      </c>
      <c r="E920" s="2">
        <v>71028</v>
      </c>
    </row>
    <row r="921" spans="2:5" x14ac:dyDescent="0.2">
      <c r="B921" s="1">
        <v>57241</v>
      </c>
      <c r="C921" s="1">
        <v>71045</v>
      </c>
      <c r="E921" s="2">
        <v>71045</v>
      </c>
    </row>
    <row r="922" spans="2:5" x14ac:dyDescent="0.2">
      <c r="B922" s="1">
        <v>57245</v>
      </c>
      <c r="C922" s="1">
        <v>71108</v>
      </c>
      <c r="E922" s="2">
        <v>71108</v>
      </c>
    </row>
    <row r="923" spans="2:5" x14ac:dyDescent="0.2">
      <c r="B923" s="1">
        <v>57262</v>
      </c>
      <c r="C923" s="1">
        <v>71188</v>
      </c>
      <c r="E923" s="2">
        <v>71188</v>
      </c>
    </row>
    <row r="924" spans="2:5" x14ac:dyDescent="0.2">
      <c r="B924" s="1">
        <v>57287</v>
      </c>
      <c r="C924" s="1">
        <v>71217</v>
      </c>
      <c r="E924" s="2">
        <v>71217</v>
      </c>
    </row>
    <row r="925" spans="2:5" x14ac:dyDescent="0.2">
      <c r="B925" s="1">
        <v>57307</v>
      </c>
      <c r="C925" s="1">
        <v>71241</v>
      </c>
      <c r="E925" s="2">
        <v>71241</v>
      </c>
    </row>
    <row r="926" spans="2:5" x14ac:dyDescent="0.2">
      <c r="B926" s="1">
        <v>57346</v>
      </c>
      <c r="C926" s="1">
        <v>71276</v>
      </c>
      <c r="E926" s="2">
        <v>71276</v>
      </c>
    </row>
    <row r="927" spans="2:5" x14ac:dyDescent="0.2">
      <c r="B927" s="1">
        <v>57347</v>
      </c>
      <c r="C927" s="1">
        <v>71336</v>
      </c>
      <c r="E927" s="2">
        <v>71336</v>
      </c>
    </row>
    <row r="928" spans="2:5" x14ac:dyDescent="0.2">
      <c r="B928" s="1">
        <v>57348</v>
      </c>
      <c r="C928" s="1">
        <v>71374</v>
      </c>
      <c r="E928" s="2">
        <v>71374</v>
      </c>
    </row>
    <row r="929" spans="2:5" x14ac:dyDescent="0.2">
      <c r="B929" s="1">
        <v>57353</v>
      </c>
      <c r="C929" s="1">
        <v>71395</v>
      </c>
      <c r="E929" s="2">
        <v>71395</v>
      </c>
    </row>
    <row r="930" spans="2:5" x14ac:dyDescent="0.2">
      <c r="B930" s="1">
        <v>57388</v>
      </c>
      <c r="C930" s="1">
        <v>71409</v>
      </c>
      <c r="E930" s="2">
        <v>71409</v>
      </c>
    </row>
    <row r="931" spans="2:5" x14ac:dyDescent="0.2">
      <c r="B931" s="1">
        <v>57399</v>
      </c>
      <c r="C931" s="1">
        <v>71472</v>
      </c>
      <c r="E931" s="2">
        <v>71472</v>
      </c>
    </row>
    <row r="932" spans="2:5" x14ac:dyDescent="0.2">
      <c r="B932" s="1">
        <v>57424</v>
      </c>
      <c r="C932" s="1">
        <v>71552</v>
      </c>
      <c r="E932" s="2">
        <v>71552</v>
      </c>
    </row>
    <row r="933" spans="2:5" x14ac:dyDescent="0.2">
      <c r="B933" s="1">
        <v>57465</v>
      </c>
      <c r="C933" s="1">
        <v>71584</v>
      </c>
      <c r="E933" s="2">
        <v>71584</v>
      </c>
    </row>
    <row r="934" spans="2:5" x14ac:dyDescent="0.2">
      <c r="B934" s="1">
        <v>57468</v>
      </c>
      <c r="C934" s="1">
        <v>71591</v>
      </c>
      <c r="E934" s="2">
        <v>71591</v>
      </c>
    </row>
    <row r="935" spans="2:5" x14ac:dyDescent="0.2">
      <c r="B935" s="1">
        <v>57469</v>
      </c>
      <c r="C935" s="1">
        <v>71605</v>
      </c>
      <c r="E935" s="2">
        <v>71605</v>
      </c>
    </row>
    <row r="936" spans="2:5" x14ac:dyDescent="0.2">
      <c r="B936" s="1">
        <v>57542</v>
      </c>
      <c r="C936" s="1">
        <v>71640</v>
      </c>
      <c r="E936" s="2">
        <v>71640</v>
      </c>
    </row>
    <row r="937" spans="2:5" x14ac:dyDescent="0.2">
      <c r="B937" s="1">
        <v>57605</v>
      </c>
      <c r="C937" s="1">
        <v>71693</v>
      </c>
      <c r="E937" s="2">
        <v>71693</v>
      </c>
    </row>
    <row r="938" spans="2:5" x14ac:dyDescent="0.2">
      <c r="B938" s="1">
        <v>57626</v>
      </c>
      <c r="C938" s="1">
        <v>71738</v>
      </c>
      <c r="E938" s="2">
        <v>71738</v>
      </c>
    </row>
    <row r="939" spans="2:5" x14ac:dyDescent="0.2">
      <c r="B939" s="1">
        <v>57672</v>
      </c>
      <c r="C939" s="1">
        <v>71760</v>
      </c>
      <c r="E939" s="2">
        <v>71760</v>
      </c>
    </row>
    <row r="940" spans="2:5" x14ac:dyDescent="0.2">
      <c r="B940" s="1">
        <v>57710</v>
      </c>
      <c r="C940" s="1">
        <v>71775</v>
      </c>
      <c r="E940" s="2">
        <v>71775</v>
      </c>
    </row>
    <row r="941" spans="2:5" x14ac:dyDescent="0.2">
      <c r="B941" s="1">
        <v>57711</v>
      </c>
      <c r="C941" s="1">
        <v>71836</v>
      </c>
      <c r="E941" s="2">
        <v>71836</v>
      </c>
    </row>
    <row r="942" spans="2:5" x14ac:dyDescent="0.2">
      <c r="B942" s="1">
        <v>57712</v>
      </c>
      <c r="C942" s="1">
        <v>71916</v>
      </c>
      <c r="E942" s="2">
        <v>71916</v>
      </c>
    </row>
    <row r="943" spans="2:5" x14ac:dyDescent="0.2">
      <c r="B943" s="1">
        <v>57713</v>
      </c>
      <c r="C943" s="1">
        <v>71949</v>
      </c>
      <c r="E943" s="2">
        <v>71949</v>
      </c>
    </row>
    <row r="944" spans="2:5" x14ac:dyDescent="0.2">
      <c r="B944" s="1">
        <v>57724</v>
      </c>
      <c r="C944" s="1">
        <v>71956</v>
      </c>
      <c r="E944" s="2">
        <v>71956</v>
      </c>
    </row>
    <row r="945" spans="2:5" x14ac:dyDescent="0.2">
      <c r="B945" s="1">
        <v>57752</v>
      </c>
      <c r="C945" s="1">
        <v>71976</v>
      </c>
      <c r="E945" s="2">
        <v>71976</v>
      </c>
    </row>
    <row r="946" spans="2:5" x14ac:dyDescent="0.2">
      <c r="B946" s="1">
        <v>57789</v>
      </c>
      <c r="C946" s="1">
        <v>72004</v>
      </c>
      <c r="E946" s="2">
        <v>72004</v>
      </c>
    </row>
    <row r="947" spans="2:5" x14ac:dyDescent="0.2">
      <c r="B947" s="1">
        <v>57829</v>
      </c>
      <c r="C947" s="1">
        <v>72043</v>
      </c>
      <c r="E947" s="2">
        <v>72043</v>
      </c>
    </row>
    <row r="948" spans="2:5" x14ac:dyDescent="0.2">
      <c r="B948" s="1">
        <v>57833</v>
      </c>
      <c r="C948" s="1">
        <v>72102</v>
      </c>
      <c r="E948" s="2">
        <v>72102</v>
      </c>
    </row>
    <row r="949" spans="2:5" x14ac:dyDescent="0.2">
      <c r="B949" s="1">
        <v>57836</v>
      </c>
      <c r="C949" s="1">
        <v>72125</v>
      </c>
      <c r="E949" s="2">
        <v>72125</v>
      </c>
    </row>
    <row r="950" spans="2:5" x14ac:dyDescent="0.2">
      <c r="B950" s="1">
        <v>57906</v>
      </c>
      <c r="C950" s="1">
        <v>72140</v>
      </c>
      <c r="E950" s="2">
        <v>72140</v>
      </c>
    </row>
    <row r="951" spans="2:5" x14ac:dyDescent="0.2">
      <c r="B951" s="1">
        <v>57934</v>
      </c>
      <c r="C951" s="1">
        <v>72200</v>
      </c>
      <c r="E951" s="2">
        <v>72200</v>
      </c>
    </row>
    <row r="952" spans="2:5" x14ac:dyDescent="0.2">
      <c r="B952" s="1">
        <v>57969</v>
      </c>
      <c r="C952" s="1">
        <v>72287</v>
      </c>
      <c r="E952" s="2">
        <v>72287</v>
      </c>
    </row>
    <row r="953" spans="2:5" x14ac:dyDescent="0.2">
      <c r="B953" s="1">
        <v>57976</v>
      </c>
      <c r="C953" s="1">
        <v>72314</v>
      </c>
      <c r="E953" s="2">
        <v>72314</v>
      </c>
    </row>
    <row r="954" spans="2:5" x14ac:dyDescent="0.2">
      <c r="B954" s="1">
        <v>57997</v>
      </c>
      <c r="C954" s="1">
        <v>72321</v>
      </c>
      <c r="E954" s="2">
        <v>72321</v>
      </c>
    </row>
    <row r="955" spans="2:5" x14ac:dyDescent="0.2">
      <c r="B955" s="1">
        <v>58018</v>
      </c>
      <c r="C955" s="1">
        <v>72340</v>
      </c>
      <c r="E955" s="2">
        <v>72340</v>
      </c>
    </row>
    <row r="956" spans="2:5" x14ac:dyDescent="0.2">
      <c r="B956" s="1">
        <v>58075</v>
      </c>
      <c r="C956" s="1">
        <v>72368</v>
      </c>
      <c r="E956" s="2">
        <v>72368</v>
      </c>
    </row>
    <row r="957" spans="2:5" x14ac:dyDescent="0.2">
      <c r="B957" s="1">
        <v>58076</v>
      </c>
      <c r="C957" s="1">
        <v>72428</v>
      </c>
      <c r="E957" s="2">
        <v>72428</v>
      </c>
    </row>
    <row r="958" spans="2:5" x14ac:dyDescent="0.2">
      <c r="B958" s="1">
        <v>58077</v>
      </c>
      <c r="C958" s="1">
        <v>72466</v>
      </c>
      <c r="E958" s="2">
        <v>72466</v>
      </c>
    </row>
    <row r="959" spans="2:5" x14ac:dyDescent="0.2">
      <c r="B959" s="1">
        <v>58078</v>
      </c>
      <c r="C959" s="1">
        <v>72490</v>
      </c>
      <c r="E959" s="2">
        <v>72490</v>
      </c>
    </row>
    <row r="960" spans="2:5" x14ac:dyDescent="0.2">
      <c r="B960" s="1">
        <v>58088</v>
      </c>
      <c r="C960" s="1">
        <v>72505</v>
      </c>
      <c r="E960" s="2">
        <v>72505</v>
      </c>
    </row>
    <row r="961" spans="2:5" x14ac:dyDescent="0.2">
      <c r="B961" s="1">
        <v>58117</v>
      </c>
      <c r="C961" s="1">
        <v>72564</v>
      </c>
      <c r="E961" s="2">
        <v>72564</v>
      </c>
    </row>
    <row r="962" spans="2:5" x14ac:dyDescent="0.2">
      <c r="B962" s="1">
        <v>58130</v>
      </c>
      <c r="C962" s="1">
        <v>72651</v>
      </c>
      <c r="E962" s="2">
        <v>72651</v>
      </c>
    </row>
    <row r="963" spans="2:5" x14ac:dyDescent="0.2">
      <c r="B963" s="1">
        <v>58154</v>
      </c>
      <c r="C963" s="1">
        <v>72679</v>
      </c>
      <c r="E963" s="2">
        <v>72679</v>
      </c>
    </row>
    <row r="964" spans="2:5" x14ac:dyDescent="0.2">
      <c r="B964" s="1">
        <v>58194</v>
      </c>
      <c r="C964" s="1">
        <v>72686</v>
      </c>
      <c r="E964" s="2">
        <v>72686</v>
      </c>
    </row>
    <row r="965" spans="2:5" x14ac:dyDescent="0.2">
      <c r="B965" s="1">
        <v>58200</v>
      </c>
      <c r="C965" s="1">
        <v>72704</v>
      </c>
      <c r="E965" s="2">
        <v>72704</v>
      </c>
    </row>
    <row r="966" spans="2:5" x14ac:dyDescent="0.2">
      <c r="B966" s="1">
        <v>58201</v>
      </c>
      <c r="C966" s="1">
        <v>72732</v>
      </c>
      <c r="E966" s="2">
        <v>72732</v>
      </c>
    </row>
    <row r="967" spans="2:5" x14ac:dyDescent="0.2">
      <c r="B967" s="1">
        <v>58277</v>
      </c>
      <c r="C967" s="1">
        <v>72785</v>
      </c>
      <c r="E967" s="2">
        <v>72785</v>
      </c>
    </row>
    <row r="968" spans="2:5" x14ac:dyDescent="0.2">
      <c r="B968" s="1">
        <v>58298</v>
      </c>
      <c r="C968" s="1">
        <v>72830</v>
      </c>
      <c r="E968" s="2">
        <v>72830</v>
      </c>
    </row>
    <row r="969" spans="2:5" x14ac:dyDescent="0.2">
      <c r="B969" s="1">
        <v>58333</v>
      </c>
      <c r="C969" s="1">
        <v>72855</v>
      </c>
      <c r="E969" s="2">
        <v>72855</v>
      </c>
    </row>
    <row r="970" spans="2:5" x14ac:dyDescent="0.2">
      <c r="B970" s="1">
        <v>58341</v>
      </c>
      <c r="C970" s="1">
        <v>72869</v>
      </c>
      <c r="E970" s="2">
        <v>72869</v>
      </c>
    </row>
    <row r="971" spans="2:5" x14ac:dyDescent="0.2">
      <c r="B971" s="1">
        <v>58361</v>
      </c>
      <c r="C971" s="1">
        <v>72935</v>
      </c>
      <c r="E971" s="2">
        <v>72935</v>
      </c>
    </row>
    <row r="972" spans="2:5" x14ac:dyDescent="0.2">
      <c r="B972" s="1">
        <v>58382</v>
      </c>
      <c r="C972" s="1">
        <v>73015</v>
      </c>
      <c r="E972" s="2">
        <v>73015</v>
      </c>
    </row>
    <row r="973" spans="2:5" x14ac:dyDescent="0.2">
      <c r="B973" s="1">
        <v>58403</v>
      </c>
      <c r="C973" s="1">
        <v>73044</v>
      </c>
      <c r="E973" s="2">
        <v>73044</v>
      </c>
    </row>
    <row r="974" spans="2:5" x14ac:dyDescent="0.2">
      <c r="B974" s="1">
        <v>58440</v>
      </c>
    </row>
    <row r="975" spans="2:5" x14ac:dyDescent="0.2">
      <c r="B975" s="1">
        <v>58441</v>
      </c>
    </row>
    <row r="976" spans="2:5" x14ac:dyDescent="0.2">
      <c r="B976" s="1">
        <v>58442</v>
      </c>
    </row>
    <row r="977" spans="2:2" x14ac:dyDescent="0.2">
      <c r="B977" s="1">
        <v>58452</v>
      </c>
    </row>
    <row r="978" spans="2:2" x14ac:dyDescent="0.2">
      <c r="B978" s="1">
        <v>58482</v>
      </c>
    </row>
    <row r="979" spans="2:2" x14ac:dyDescent="0.2">
      <c r="B979" s="1">
        <v>58494</v>
      </c>
    </row>
    <row r="980" spans="2:2" x14ac:dyDescent="0.2">
      <c r="B980" s="1">
        <v>58560</v>
      </c>
    </row>
    <row r="981" spans="2:2" x14ac:dyDescent="0.2">
      <c r="B981" s="1">
        <v>58564</v>
      </c>
    </row>
    <row r="982" spans="2:2" x14ac:dyDescent="0.2">
      <c r="B982" s="1">
        <v>58565</v>
      </c>
    </row>
    <row r="983" spans="2:2" x14ac:dyDescent="0.2">
      <c r="B983" s="1">
        <v>58566</v>
      </c>
    </row>
    <row r="984" spans="2:2" x14ac:dyDescent="0.2">
      <c r="B984" s="1">
        <v>58641</v>
      </c>
    </row>
    <row r="985" spans="2:2" x14ac:dyDescent="0.2">
      <c r="B985" s="1">
        <v>58664</v>
      </c>
    </row>
    <row r="986" spans="2:2" x14ac:dyDescent="0.2">
      <c r="B986" s="1">
        <v>58704</v>
      </c>
    </row>
    <row r="987" spans="2:2" x14ac:dyDescent="0.2">
      <c r="B987" s="1">
        <v>58705</v>
      </c>
    </row>
    <row r="988" spans="2:2" x14ac:dyDescent="0.2">
      <c r="B988" s="1">
        <v>58706</v>
      </c>
    </row>
    <row r="989" spans="2:2" x14ac:dyDescent="0.2">
      <c r="B989" s="1">
        <v>58725</v>
      </c>
    </row>
    <row r="990" spans="2:2" x14ac:dyDescent="0.2">
      <c r="B990" s="1">
        <v>58748</v>
      </c>
    </row>
    <row r="991" spans="2:2" x14ac:dyDescent="0.2">
      <c r="B991" s="1">
        <v>58768</v>
      </c>
    </row>
    <row r="992" spans="2:2" x14ac:dyDescent="0.2">
      <c r="B992" s="1">
        <v>58806</v>
      </c>
    </row>
    <row r="993" spans="2:2" x14ac:dyDescent="0.2">
      <c r="B993" s="1">
        <v>58809</v>
      </c>
    </row>
    <row r="994" spans="2:2" x14ac:dyDescent="0.2">
      <c r="B994" s="1">
        <v>58816</v>
      </c>
    </row>
    <row r="995" spans="2:2" x14ac:dyDescent="0.2">
      <c r="B995" s="1">
        <v>58848</v>
      </c>
    </row>
    <row r="996" spans="2:2" x14ac:dyDescent="0.2">
      <c r="B996" s="1">
        <v>58860</v>
      </c>
    </row>
    <row r="997" spans="2:2" x14ac:dyDescent="0.2">
      <c r="B997" s="1">
        <v>58886</v>
      </c>
    </row>
    <row r="998" spans="2:2" x14ac:dyDescent="0.2">
      <c r="B998" s="1">
        <v>58925</v>
      </c>
    </row>
    <row r="999" spans="2:2" x14ac:dyDescent="0.2">
      <c r="B999" s="1">
        <v>58929</v>
      </c>
    </row>
    <row r="1000" spans="2:2" x14ac:dyDescent="0.2">
      <c r="B1000" s="1">
        <v>58930</v>
      </c>
    </row>
    <row r="1001" spans="2:2" x14ac:dyDescent="0.2">
      <c r="B1001" s="1">
        <v>58931</v>
      </c>
    </row>
    <row r="1002" spans="2:2" x14ac:dyDescent="0.2">
      <c r="B1002" s="1">
        <v>59005</v>
      </c>
    </row>
    <row r="1003" spans="2:2" x14ac:dyDescent="0.2">
      <c r="B1003" s="1">
        <v>59029</v>
      </c>
    </row>
    <row r="1004" spans="2:2" x14ac:dyDescent="0.2">
      <c r="B1004" s="1">
        <v>59068</v>
      </c>
    </row>
    <row r="1005" spans="2:2" x14ac:dyDescent="0.2">
      <c r="B1005" s="1">
        <v>59071</v>
      </c>
    </row>
    <row r="1006" spans="2:2" x14ac:dyDescent="0.2">
      <c r="B1006" s="1">
        <v>59089</v>
      </c>
    </row>
    <row r="1007" spans="2:2" x14ac:dyDescent="0.2">
      <c r="B1007" s="1">
        <v>59113</v>
      </c>
    </row>
    <row r="1008" spans="2:2" x14ac:dyDescent="0.2">
      <c r="B1008" s="1">
        <v>59133</v>
      </c>
    </row>
    <row r="1009" spans="2:2" x14ac:dyDescent="0.2">
      <c r="B1009" s="1">
        <v>59173</v>
      </c>
    </row>
    <row r="1010" spans="2:2" x14ac:dyDescent="0.2">
      <c r="B1010" s="1">
        <v>59174</v>
      </c>
    </row>
    <row r="1011" spans="2:2" x14ac:dyDescent="0.2">
      <c r="B1011" s="1">
        <v>59180</v>
      </c>
    </row>
    <row r="1012" spans="2:2" x14ac:dyDescent="0.2">
      <c r="B1012" s="1">
        <v>59225</v>
      </c>
    </row>
    <row r="1013" spans="2:2" x14ac:dyDescent="0.2">
      <c r="B1013" s="1">
        <v>59250</v>
      </c>
    </row>
    <row r="1014" spans="2:2" x14ac:dyDescent="0.2">
      <c r="B1014" s="1">
        <v>59294</v>
      </c>
    </row>
    <row r="1015" spans="2:2" x14ac:dyDescent="0.2">
      <c r="B1015" s="1">
        <v>59295</v>
      </c>
    </row>
    <row r="1016" spans="2:2" x14ac:dyDescent="0.2">
      <c r="B1016" s="1">
        <v>59296</v>
      </c>
    </row>
    <row r="1017" spans="2:2" x14ac:dyDescent="0.2">
      <c r="B1017" s="1">
        <v>59369</v>
      </c>
    </row>
    <row r="1018" spans="2:2" x14ac:dyDescent="0.2">
      <c r="B1018" s="1">
        <v>59394</v>
      </c>
    </row>
    <row r="1019" spans="2:2" x14ac:dyDescent="0.2">
      <c r="B1019" s="1">
        <v>59432</v>
      </c>
    </row>
    <row r="1020" spans="2:2" x14ac:dyDescent="0.2">
      <c r="B1020" s="1">
        <v>59453</v>
      </c>
    </row>
    <row r="1021" spans="2:2" x14ac:dyDescent="0.2">
      <c r="B1021" s="1">
        <v>59478</v>
      </c>
    </row>
    <row r="1022" spans="2:2" x14ac:dyDescent="0.2">
      <c r="B1022" s="1">
        <v>59498</v>
      </c>
    </row>
    <row r="1023" spans="2:2" x14ac:dyDescent="0.2">
      <c r="B1023" s="1">
        <v>59537</v>
      </c>
    </row>
    <row r="1024" spans="2:2" x14ac:dyDescent="0.2">
      <c r="B1024" s="1">
        <v>59538</v>
      </c>
    </row>
    <row r="1025" spans="2:2" x14ac:dyDescent="0.2">
      <c r="B1025" s="1">
        <v>59539</v>
      </c>
    </row>
    <row r="1026" spans="2:2" x14ac:dyDescent="0.2">
      <c r="B1026" s="1">
        <v>59544</v>
      </c>
    </row>
    <row r="1027" spans="2:2" x14ac:dyDescent="0.2">
      <c r="B1027" s="1">
        <v>59579</v>
      </c>
    </row>
    <row r="1028" spans="2:2" x14ac:dyDescent="0.2">
      <c r="B1028" s="1">
        <v>59590</v>
      </c>
    </row>
    <row r="1029" spans="2:2" x14ac:dyDescent="0.2">
      <c r="B1029" s="1">
        <v>59615</v>
      </c>
    </row>
    <row r="1030" spans="2:2" x14ac:dyDescent="0.2">
      <c r="B1030" s="1">
        <v>59656</v>
      </c>
    </row>
    <row r="1031" spans="2:2" x14ac:dyDescent="0.2">
      <c r="B1031" s="1">
        <v>59659</v>
      </c>
    </row>
    <row r="1032" spans="2:2" x14ac:dyDescent="0.2">
      <c r="B1032" s="1">
        <v>59660</v>
      </c>
    </row>
    <row r="1033" spans="2:2" x14ac:dyDescent="0.2">
      <c r="B1033" s="1">
        <v>59733</v>
      </c>
    </row>
    <row r="1034" spans="2:2" x14ac:dyDescent="0.2">
      <c r="B1034" s="1">
        <v>59796</v>
      </c>
    </row>
    <row r="1035" spans="2:2" x14ac:dyDescent="0.2">
      <c r="B1035" s="1">
        <v>59803</v>
      </c>
    </row>
    <row r="1036" spans="2:2" x14ac:dyDescent="0.2">
      <c r="B1036" s="1">
        <v>59817</v>
      </c>
    </row>
    <row r="1037" spans="2:2" x14ac:dyDescent="0.2">
      <c r="B1037" s="1">
        <v>59863</v>
      </c>
    </row>
    <row r="1038" spans="2:2" x14ac:dyDescent="0.2">
      <c r="B1038" s="1">
        <v>59901</v>
      </c>
    </row>
    <row r="1039" spans="2:2" x14ac:dyDescent="0.2">
      <c r="B1039" s="1">
        <v>59902</v>
      </c>
    </row>
    <row r="1040" spans="2:2" x14ac:dyDescent="0.2">
      <c r="B1040" s="1">
        <v>59903</v>
      </c>
    </row>
    <row r="1041" spans="2:2" x14ac:dyDescent="0.2">
      <c r="B1041" s="1">
        <v>59904</v>
      </c>
    </row>
    <row r="1042" spans="2:2" x14ac:dyDescent="0.2">
      <c r="B1042" s="1">
        <v>59915</v>
      </c>
    </row>
    <row r="1043" spans="2:2" x14ac:dyDescent="0.2">
      <c r="B1043" s="1">
        <v>59943</v>
      </c>
    </row>
    <row r="1044" spans="2:2" x14ac:dyDescent="0.2">
      <c r="B1044" s="1">
        <v>59981</v>
      </c>
    </row>
    <row r="1045" spans="2:2" x14ac:dyDescent="0.2">
      <c r="B1045" s="1">
        <v>60021</v>
      </c>
    </row>
    <row r="1046" spans="2:2" x14ac:dyDescent="0.2">
      <c r="B1046" s="1">
        <v>60027</v>
      </c>
    </row>
    <row r="1047" spans="2:2" x14ac:dyDescent="0.2">
      <c r="B1047" s="1">
        <v>60028</v>
      </c>
    </row>
    <row r="1048" spans="2:2" x14ac:dyDescent="0.2">
      <c r="B1048" s="1">
        <v>60104</v>
      </c>
    </row>
    <row r="1049" spans="2:2" x14ac:dyDescent="0.2">
      <c r="B1049" s="1">
        <v>60125</v>
      </c>
    </row>
    <row r="1050" spans="2:2" x14ac:dyDescent="0.2">
      <c r="B1050" s="1">
        <v>60160</v>
      </c>
    </row>
    <row r="1051" spans="2:2" x14ac:dyDescent="0.2">
      <c r="B1051" s="1">
        <v>60167</v>
      </c>
    </row>
    <row r="1052" spans="2:2" x14ac:dyDescent="0.2">
      <c r="B1052" s="1">
        <v>60188</v>
      </c>
    </row>
    <row r="1053" spans="2:2" x14ac:dyDescent="0.2">
      <c r="B1053" s="1">
        <v>60209</v>
      </c>
    </row>
    <row r="1054" spans="2:2" x14ac:dyDescent="0.2">
      <c r="B1054" s="1">
        <v>60230</v>
      </c>
    </row>
    <row r="1055" spans="2:2" x14ac:dyDescent="0.2">
      <c r="B1055" s="1">
        <v>60267</v>
      </c>
    </row>
    <row r="1056" spans="2:2" x14ac:dyDescent="0.2">
      <c r="B1056" s="1">
        <v>60268</v>
      </c>
    </row>
    <row r="1057" spans="2:2" x14ac:dyDescent="0.2">
      <c r="B1057" s="1">
        <v>60269</v>
      </c>
    </row>
    <row r="1058" spans="2:2" x14ac:dyDescent="0.2">
      <c r="B1058" s="1">
        <v>60279</v>
      </c>
    </row>
    <row r="1059" spans="2:2" x14ac:dyDescent="0.2">
      <c r="B1059" s="1">
        <v>60309</v>
      </c>
    </row>
    <row r="1060" spans="2:2" x14ac:dyDescent="0.2">
      <c r="B1060" s="1">
        <v>60321</v>
      </c>
    </row>
    <row r="1061" spans="2:2" x14ac:dyDescent="0.2">
      <c r="B1061" s="1">
        <v>60346</v>
      </c>
    </row>
    <row r="1062" spans="2:2" x14ac:dyDescent="0.2">
      <c r="B1062" s="1">
        <v>60386</v>
      </c>
    </row>
    <row r="1063" spans="2:2" x14ac:dyDescent="0.2">
      <c r="B1063" s="1">
        <v>60391</v>
      </c>
    </row>
    <row r="1064" spans="2:2" x14ac:dyDescent="0.2">
      <c r="B1064" s="1">
        <v>60392</v>
      </c>
    </row>
    <row r="1065" spans="2:2" x14ac:dyDescent="0.2">
      <c r="B1065" s="1">
        <v>60393</v>
      </c>
    </row>
    <row r="1066" spans="2:2" x14ac:dyDescent="0.2">
      <c r="B1066" s="1">
        <v>60468</v>
      </c>
    </row>
    <row r="1067" spans="2:2" x14ac:dyDescent="0.2">
      <c r="B1067" s="1">
        <v>60490</v>
      </c>
    </row>
    <row r="1068" spans="2:2" x14ac:dyDescent="0.2">
      <c r="B1068" s="1">
        <v>60531</v>
      </c>
    </row>
    <row r="1069" spans="2:2" x14ac:dyDescent="0.2">
      <c r="B1069" s="1">
        <v>60532</v>
      </c>
    </row>
    <row r="1070" spans="2:2" x14ac:dyDescent="0.2">
      <c r="B1070" s="1">
        <v>60552</v>
      </c>
    </row>
    <row r="1071" spans="2:2" x14ac:dyDescent="0.2">
      <c r="B1071" s="1">
        <v>60574</v>
      </c>
    </row>
    <row r="1072" spans="2:2" x14ac:dyDescent="0.2">
      <c r="B1072" s="1">
        <v>60594</v>
      </c>
    </row>
    <row r="1073" spans="2:2" x14ac:dyDescent="0.2">
      <c r="B1073" s="1">
        <v>60632</v>
      </c>
    </row>
    <row r="1074" spans="2:2" x14ac:dyDescent="0.2">
      <c r="B1074" s="1">
        <v>60633</v>
      </c>
    </row>
    <row r="1075" spans="2:2" x14ac:dyDescent="0.2">
      <c r="B1075" s="1">
        <v>60643</v>
      </c>
    </row>
    <row r="1076" spans="2:2" x14ac:dyDescent="0.2">
      <c r="B1076" s="1">
        <v>60674</v>
      </c>
    </row>
    <row r="1077" spans="2:2" x14ac:dyDescent="0.2">
      <c r="B1077" s="1">
        <v>60686</v>
      </c>
    </row>
    <row r="1078" spans="2:2" x14ac:dyDescent="0.2">
      <c r="B1078" s="1">
        <v>60751</v>
      </c>
    </row>
    <row r="1079" spans="2:2" x14ac:dyDescent="0.2">
      <c r="B1079" s="1">
        <v>60755</v>
      </c>
    </row>
    <row r="1080" spans="2:2" x14ac:dyDescent="0.2">
      <c r="B1080" s="1">
        <v>60756</v>
      </c>
    </row>
    <row r="1081" spans="2:2" x14ac:dyDescent="0.2">
      <c r="B1081" s="1">
        <v>60757</v>
      </c>
    </row>
    <row r="1082" spans="2:2" x14ac:dyDescent="0.2">
      <c r="B1082" s="1">
        <v>60832</v>
      </c>
    </row>
    <row r="1083" spans="2:2" x14ac:dyDescent="0.2">
      <c r="B1083" s="1">
        <v>60855</v>
      </c>
    </row>
    <row r="1084" spans="2:2" x14ac:dyDescent="0.2">
      <c r="B1084" s="1">
        <v>60895</v>
      </c>
    </row>
    <row r="1085" spans="2:2" x14ac:dyDescent="0.2">
      <c r="B1085" s="1">
        <v>60898</v>
      </c>
    </row>
    <row r="1086" spans="2:2" x14ac:dyDescent="0.2">
      <c r="B1086" s="1">
        <v>60916</v>
      </c>
    </row>
    <row r="1087" spans="2:2" x14ac:dyDescent="0.2">
      <c r="B1087" s="1">
        <v>60939</v>
      </c>
    </row>
    <row r="1088" spans="2:2" x14ac:dyDescent="0.2">
      <c r="B1088" s="1">
        <v>60959</v>
      </c>
    </row>
    <row r="1089" spans="2:2" x14ac:dyDescent="0.2">
      <c r="B1089" s="1">
        <v>60997</v>
      </c>
    </row>
    <row r="1090" spans="2:2" x14ac:dyDescent="0.2">
      <c r="B1090" s="1">
        <v>61000</v>
      </c>
    </row>
    <row r="1091" spans="2:2" x14ac:dyDescent="0.2">
      <c r="B1091" s="1">
        <v>61007</v>
      </c>
    </row>
    <row r="1092" spans="2:2" x14ac:dyDescent="0.2">
      <c r="B1092" s="1">
        <v>61039</v>
      </c>
    </row>
    <row r="1093" spans="2:2" x14ac:dyDescent="0.2">
      <c r="B1093" s="1">
        <v>61051</v>
      </c>
    </row>
    <row r="1094" spans="2:2" x14ac:dyDescent="0.2">
      <c r="B1094" s="1">
        <v>61077</v>
      </c>
    </row>
    <row r="1095" spans="2:2" x14ac:dyDescent="0.2">
      <c r="B1095" s="1">
        <v>61116</v>
      </c>
    </row>
    <row r="1096" spans="2:2" x14ac:dyDescent="0.2">
      <c r="B1096" s="1">
        <v>61120</v>
      </c>
    </row>
    <row r="1097" spans="2:2" x14ac:dyDescent="0.2">
      <c r="B1097" s="1">
        <v>61121</v>
      </c>
    </row>
    <row r="1098" spans="2:2" x14ac:dyDescent="0.2">
      <c r="B1098" s="1">
        <v>61122</v>
      </c>
    </row>
    <row r="1099" spans="2:2" x14ac:dyDescent="0.2">
      <c r="B1099" s="1">
        <v>61196</v>
      </c>
    </row>
    <row r="1100" spans="2:2" x14ac:dyDescent="0.2">
      <c r="B1100" s="1">
        <v>61220</v>
      </c>
    </row>
    <row r="1101" spans="2:2" x14ac:dyDescent="0.2">
      <c r="B1101" s="1">
        <v>61259</v>
      </c>
    </row>
    <row r="1102" spans="2:2" x14ac:dyDescent="0.2">
      <c r="B1102" s="1">
        <v>61263</v>
      </c>
    </row>
    <row r="1103" spans="2:2" x14ac:dyDescent="0.2">
      <c r="B1103" s="1">
        <v>61280</v>
      </c>
    </row>
    <row r="1104" spans="2:2" x14ac:dyDescent="0.2">
      <c r="B1104" s="1">
        <v>61304</v>
      </c>
    </row>
    <row r="1105" spans="2:2" x14ac:dyDescent="0.2">
      <c r="B1105" s="1">
        <v>61324</v>
      </c>
    </row>
    <row r="1106" spans="2:2" x14ac:dyDescent="0.2">
      <c r="B1106" s="1">
        <v>61364</v>
      </c>
    </row>
    <row r="1107" spans="2:2" x14ac:dyDescent="0.2">
      <c r="B1107" s="1">
        <v>61365</v>
      </c>
    </row>
    <row r="1108" spans="2:2" x14ac:dyDescent="0.2">
      <c r="B1108" s="1">
        <v>61371</v>
      </c>
    </row>
    <row r="1109" spans="2:2" x14ac:dyDescent="0.2">
      <c r="B1109" s="1">
        <v>61416</v>
      </c>
    </row>
    <row r="1110" spans="2:2" x14ac:dyDescent="0.2">
      <c r="B1110" s="1">
        <v>61442</v>
      </c>
    </row>
    <row r="1111" spans="2:2" x14ac:dyDescent="0.2">
      <c r="B1111" s="1">
        <v>61483</v>
      </c>
    </row>
    <row r="1112" spans="2:2" x14ac:dyDescent="0.2">
      <c r="B1112" s="1">
        <v>61486</v>
      </c>
    </row>
    <row r="1113" spans="2:2" x14ac:dyDescent="0.2">
      <c r="B1113" s="1">
        <v>61487</v>
      </c>
    </row>
    <row r="1114" spans="2:2" x14ac:dyDescent="0.2">
      <c r="B1114" s="1">
        <v>61560</v>
      </c>
    </row>
    <row r="1115" spans="2:2" x14ac:dyDescent="0.2">
      <c r="B1115" s="1">
        <v>61623</v>
      </c>
    </row>
    <row r="1116" spans="2:2" x14ac:dyDescent="0.2">
      <c r="B1116" s="1">
        <v>61644</v>
      </c>
    </row>
    <row r="1117" spans="2:2" x14ac:dyDescent="0.2">
      <c r="B1117" s="1">
        <v>61690</v>
      </c>
    </row>
    <row r="1118" spans="2:2" x14ac:dyDescent="0.2">
      <c r="B1118" s="1">
        <v>61728</v>
      </c>
    </row>
    <row r="1119" spans="2:2" x14ac:dyDescent="0.2">
      <c r="B1119" s="1">
        <v>61729</v>
      </c>
    </row>
    <row r="1120" spans="2:2" x14ac:dyDescent="0.2">
      <c r="B1120" s="1">
        <v>61730</v>
      </c>
    </row>
    <row r="1121" spans="2:2" x14ac:dyDescent="0.2">
      <c r="B1121" s="1">
        <v>61731</v>
      </c>
    </row>
    <row r="1122" spans="2:2" x14ac:dyDescent="0.2">
      <c r="B1122" s="1">
        <v>61742</v>
      </c>
    </row>
    <row r="1123" spans="2:2" x14ac:dyDescent="0.2">
      <c r="B1123" s="1">
        <v>61770</v>
      </c>
    </row>
    <row r="1124" spans="2:2" x14ac:dyDescent="0.2">
      <c r="B1124" s="1">
        <v>61807</v>
      </c>
    </row>
    <row r="1125" spans="2:2" x14ac:dyDescent="0.2">
      <c r="B1125" s="1">
        <v>61847</v>
      </c>
    </row>
    <row r="1126" spans="2:2" x14ac:dyDescent="0.2">
      <c r="B1126" s="1">
        <v>61851</v>
      </c>
    </row>
    <row r="1127" spans="2:2" x14ac:dyDescent="0.2">
      <c r="B1127" s="1">
        <v>61854</v>
      </c>
    </row>
    <row r="1128" spans="2:2" x14ac:dyDescent="0.2">
      <c r="B1128" s="1">
        <v>61924</v>
      </c>
    </row>
    <row r="1129" spans="2:2" x14ac:dyDescent="0.2">
      <c r="B1129" s="1">
        <v>61952</v>
      </c>
    </row>
    <row r="1130" spans="2:2" x14ac:dyDescent="0.2">
      <c r="B1130" s="1">
        <v>61987</v>
      </c>
    </row>
    <row r="1131" spans="2:2" x14ac:dyDescent="0.2">
      <c r="B1131" s="1">
        <v>61994</v>
      </c>
    </row>
    <row r="1132" spans="2:2" x14ac:dyDescent="0.2">
      <c r="B1132" s="1">
        <v>62015</v>
      </c>
    </row>
    <row r="1133" spans="2:2" x14ac:dyDescent="0.2">
      <c r="B1133" s="1">
        <v>62036</v>
      </c>
    </row>
    <row r="1134" spans="2:2" x14ac:dyDescent="0.2">
      <c r="B1134" s="1">
        <v>62093</v>
      </c>
    </row>
    <row r="1135" spans="2:2" x14ac:dyDescent="0.2">
      <c r="B1135" s="1">
        <v>62094</v>
      </c>
    </row>
    <row r="1136" spans="2:2" x14ac:dyDescent="0.2">
      <c r="B1136" s="1">
        <v>62095</v>
      </c>
    </row>
    <row r="1137" spans="2:2" x14ac:dyDescent="0.2">
      <c r="B1137" s="1">
        <v>62096</v>
      </c>
    </row>
    <row r="1138" spans="2:2" x14ac:dyDescent="0.2">
      <c r="B1138" s="1">
        <v>62106</v>
      </c>
    </row>
    <row r="1139" spans="2:2" x14ac:dyDescent="0.2">
      <c r="B1139" s="1">
        <v>62135</v>
      </c>
    </row>
    <row r="1140" spans="2:2" x14ac:dyDescent="0.2">
      <c r="B1140" s="1">
        <v>62148</v>
      </c>
    </row>
    <row r="1141" spans="2:2" x14ac:dyDescent="0.2">
      <c r="B1141" s="1">
        <v>62172</v>
      </c>
    </row>
    <row r="1142" spans="2:2" x14ac:dyDescent="0.2">
      <c r="B1142" s="1">
        <v>62212</v>
      </c>
    </row>
    <row r="1143" spans="2:2" x14ac:dyDescent="0.2">
      <c r="B1143" s="1">
        <v>62218</v>
      </c>
    </row>
    <row r="1144" spans="2:2" x14ac:dyDescent="0.2">
      <c r="B1144" s="1">
        <v>62219</v>
      </c>
    </row>
    <row r="1145" spans="2:2" x14ac:dyDescent="0.2">
      <c r="B1145" s="1">
        <v>62295</v>
      </c>
    </row>
    <row r="1146" spans="2:2" x14ac:dyDescent="0.2">
      <c r="B1146" s="1">
        <v>62316</v>
      </c>
    </row>
    <row r="1147" spans="2:2" x14ac:dyDescent="0.2">
      <c r="B1147" s="1">
        <v>62351</v>
      </c>
    </row>
    <row r="1148" spans="2:2" x14ac:dyDescent="0.2">
      <c r="B1148" s="1">
        <v>62359</v>
      </c>
    </row>
    <row r="1149" spans="2:2" x14ac:dyDescent="0.2">
      <c r="B1149" s="1">
        <v>62379</v>
      </c>
    </row>
    <row r="1150" spans="2:2" x14ac:dyDescent="0.2">
      <c r="B1150" s="1">
        <v>62400</v>
      </c>
    </row>
    <row r="1151" spans="2:2" x14ac:dyDescent="0.2">
      <c r="B1151" s="1">
        <v>62421</v>
      </c>
    </row>
    <row r="1152" spans="2:2" x14ac:dyDescent="0.2">
      <c r="B1152" s="1">
        <v>62458</v>
      </c>
    </row>
    <row r="1153" spans="2:2" x14ac:dyDescent="0.2">
      <c r="B1153" s="1">
        <v>62459</v>
      </c>
    </row>
    <row r="1154" spans="2:2" x14ac:dyDescent="0.2">
      <c r="B1154" s="1">
        <v>62460</v>
      </c>
    </row>
    <row r="1155" spans="2:2" x14ac:dyDescent="0.2">
      <c r="B1155" s="1">
        <v>62470</v>
      </c>
    </row>
    <row r="1156" spans="2:2" x14ac:dyDescent="0.2">
      <c r="B1156" s="1">
        <v>62500</v>
      </c>
    </row>
    <row r="1157" spans="2:2" x14ac:dyDescent="0.2">
      <c r="B1157" s="1">
        <v>62512</v>
      </c>
    </row>
    <row r="1158" spans="2:2" x14ac:dyDescent="0.2">
      <c r="B1158" s="1">
        <v>62537</v>
      </c>
    </row>
    <row r="1159" spans="2:2" x14ac:dyDescent="0.2">
      <c r="B1159" s="1">
        <v>62577</v>
      </c>
    </row>
    <row r="1160" spans="2:2" x14ac:dyDescent="0.2">
      <c r="B1160" s="1">
        <v>62582</v>
      </c>
    </row>
    <row r="1161" spans="2:2" x14ac:dyDescent="0.2">
      <c r="B1161" s="1">
        <v>62583</v>
      </c>
    </row>
    <row r="1162" spans="2:2" x14ac:dyDescent="0.2">
      <c r="B1162" s="1">
        <v>62584</v>
      </c>
    </row>
    <row r="1163" spans="2:2" x14ac:dyDescent="0.2">
      <c r="B1163" s="1">
        <v>62659</v>
      </c>
    </row>
    <row r="1164" spans="2:2" x14ac:dyDescent="0.2">
      <c r="B1164" s="1">
        <v>62681</v>
      </c>
    </row>
    <row r="1165" spans="2:2" x14ac:dyDescent="0.2">
      <c r="B1165" s="1">
        <v>62722</v>
      </c>
    </row>
    <row r="1166" spans="2:2" x14ac:dyDescent="0.2">
      <c r="B1166" s="1">
        <v>62723</v>
      </c>
    </row>
    <row r="1167" spans="2:2" x14ac:dyDescent="0.2">
      <c r="B1167" s="1">
        <v>62724</v>
      </c>
    </row>
    <row r="1168" spans="2:2" x14ac:dyDescent="0.2">
      <c r="B1168" s="1">
        <v>62743</v>
      </c>
    </row>
    <row r="1169" spans="2:2" x14ac:dyDescent="0.2">
      <c r="B1169" s="1">
        <v>62765</v>
      </c>
    </row>
    <row r="1170" spans="2:2" x14ac:dyDescent="0.2">
      <c r="B1170" s="1">
        <v>62785</v>
      </c>
    </row>
    <row r="1171" spans="2:2" x14ac:dyDescent="0.2">
      <c r="B1171" s="1">
        <v>62823</v>
      </c>
    </row>
    <row r="1172" spans="2:2" x14ac:dyDescent="0.2">
      <c r="B1172" s="1">
        <v>62824</v>
      </c>
    </row>
    <row r="1173" spans="2:2" x14ac:dyDescent="0.2">
      <c r="B1173" s="1">
        <v>62834</v>
      </c>
    </row>
    <row r="1174" spans="2:2" x14ac:dyDescent="0.2">
      <c r="B1174" s="1">
        <v>62865</v>
      </c>
    </row>
    <row r="1175" spans="2:2" x14ac:dyDescent="0.2">
      <c r="B1175" s="1">
        <v>62877</v>
      </c>
    </row>
    <row r="1176" spans="2:2" x14ac:dyDescent="0.2">
      <c r="B1176" s="1">
        <v>62904</v>
      </c>
    </row>
    <row r="1177" spans="2:2" x14ac:dyDescent="0.2">
      <c r="B1177" s="1">
        <v>62943</v>
      </c>
    </row>
    <row r="1178" spans="2:2" x14ac:dyDescent="0.2">
      <c r="B1178" s="1">
        <v>62947</v>
      </c>
    </row>
    <row r="1179" spans="2:2" x14ac:dyDescent="0.2">
      <c r="B1179" s="1">
        <v>62948</v>
      </c>
    </row>
    <row r="1180" spans="2:2" x14ac:dyDescent="0.2">
      <c r="B1180" s="1">
        <v>62949</v>
      </c>
    </row>
    <row r="1181" spans="2:2" x14ac:dyDescent="0.2">
      <c r="B1181" s="1">
        <v>63023</v>
      </c>
    </row>
    <row r="1182" spans="2:2" x14ac:dyDescent="0.2">
      <c r="B1182" s="1">
        <v>63047</v>
      </c>
    </row>
    <row r="1183" spans="2:2" x14ac:dyDescent="0.2">
      <c r="B1183" s="1">
        <v>63086</v>
      </c>
    </row>
    <row r="1184" spans="2:2" x14ac:dyDescent="0.2">
      <c r="B1184" s="1">
        <v>63089</v>
      </c>
    </row>
    <row r="1185" spans="2:2" x14ac:dyDescent="0.2">
      <c r="B1185" s="1">
        <v>63107</v>
      </c>
    </row>
    <row r="1186" spans="2:2" x14ac:dyDescent="0.2">
      <c r="B1186" s="1">
        <v>63131</v>
      </c>
    </row>
    <row r="1187" spans="2:2" x14ac:dyDescent="0.2">
      <c r="B1187" s="1">
        <v>63151</v>
      </c>
    </row>
    <row r="1188" spans="2:2" x14ac:dyDescent="0.2">
      <c r="B1188" s="1">
        <v>63191</v>
      </c>
    </row>
    <row r="1189" spans="2:2" x14ac:dyDescent="0.2">
      <c r="B1189" s="1">
        <v>63192</v>
      </c>
    </row>
    <row r="1190" spans="2:2" x14ac:dyDescent="0.2">
      <c r="B1190" s="1">
        <v>63198</v>
      </c>
    </row>
    <row r="1191" spans="2:2" x14ac:dyDescent="0.2">
      <c r="B1191" s="1">
        <v>63243</v>
      </c>
    </row>
    <row r="1192" spans="2:2" x14ac:dyDescent="0.2">
      <c r="B1192" s="1">
        <v>63268</v>
      </c>
    </row>
    <row r="1193" spans="2:2" x14ac:dyDescent="0.2">
      <c r="B1193" s="1">
        <v>63312</v>
      </c>
    </row>
    <row r="1194" spans="2:2" x14ac:dyDescent="0.2">
      <c r="B1194" s="1">
        <v>63313</v>
      </c>
    </row>
    <row r="1195" spans="2:2" x14ac:dyDescent="0.2">
      <c r="B1195" s="1">
        <v>63314</v>
      </c>
    </row>
    <row r="1196" spans="2:2" x14ac:dyDescent="0.2">
      <c r="B1196" s="1">
        <v>63387</v>
      </c>
    </row>
    <row r="1197" spans="2:2" x14ac:dyDescent="0.2">
      <c r="B1197" s="1">
        <v>63412</v>
      </c>
    </row>
    <row r="1198" spans="2:2" x14ac:dyDescent="0.2">
      <c r="B1198" s="1">
        <v>63450</v>
      </c>
    </row>
    <row r="1199" spans="2:2" x14ac:dyDescent="0.2">
      <c r="B1199" s="1">
        <v>63454</v>
      </c>
    </row>
    <row r="1200" spans="2:2" x14ac:dyDescent="0.2">
      <c r="B1200" s="1">
        <v>63471</v>
      </c>
    </row>
    <row r="1201" spans="2:2" x14ac:dyDescent="0.2">
      <c r="B1201" s="1">
        <v>63496</v>
      </c>
    </row>
    <row r="1202" spans="2:2" x14ac:dyDescent="0.2">
      <c r="B1202" s="1">
        <v>63516</v>
      </c>
    </row>
    <row r="1203" spans="2:2" x14ac:dyDescent="0.2">
      <c r="B1203" s="1">
        <v>63555</v>
      </c>
    </row>
    <row r="1204" spans="2:2" x14ac:dyDescent="0.2">
      <c r="B1204" s="1">
        <v>63556</v>
      </c>
    </row>
    <row r="1205" spans="2:2" x14ac:dyDescent="0.2">
      <c r="B1205" s="1">
        <v>63557</v>
      </c>
    </row>
    <row r="1206" spans="2:2" x14ac:dyDescent="0.2">
      <c r="B1206" s="1">
        <v>63562</v>
      </c>
    </row>
    <row r="1207" spans="2:2" x14ac:dyDescent="0.2">
      <c r="B1207" s="1">
        <v>63597</v>
      </c>
    </row>
    <row r="1208" spans="2:2" x14ac:dyDescent="0.2">
      <c r="B1208" s="1">
        <v>63608</v>
      </c>
    </row>
    <row r="1209" spans="2:2" x14ac:dyDescent="0.2">
      <c r="B1209" s="1">
        <v>63633</v>
      </c>
    </row>
    <row r="1210" spans="2:2" x14ac:dyDescent="0.2">
      <c r="B1210" s="1">
        <v>63674</v>
      </c>
    </row>
    <row r="1211" spans="2:2" x14ac:dyDescent="0.2">
      <c r="B1211" s="1">
        <v>63677</v>
      </c>
    </row>
    <row r="1212" spans="2:2" x14ac:dyDescent="0.2">
      <c r="B1212" s="1">
        <v>63678</v>
      </c>
    </row>
    <row r="1213" spans="2:2" x14ac:dyDescent="0.2">
      <c r="B1213" s="1">
        <v>63751</v>
      </c>
    </row>
    <row r="1214" spans="2:2" x14ac:dyDescent="0.2">
      <c r="B1214" s="1">
        <v>63814</v>
      </c>
    </row>
    <row r="1215" spans="2:2" x14ac:dyDescent="0.2">
      <c r="B1215" s="1">
        <v>63821</v>
      </c>
    </row>
    <row r="1216" spans="2:2" x14ac:dyDescent="0.2">
      <c r="B1216" s="1">
        <v>63835</v>
      </c>
    </row>
    <row r="1217" spans="2:2" x14ac:dyDescent="0.2">
      <c r="B1217" s="1">
        <v>63881</v>
      </c>
    </row>
    <row r="1218" spans="2:2" x14ac:dyDescent="0.2">
      <c r="B1218" s="1">
        <v>63919</v>
      </c>
    </row>
    <row r="1219" spans="2:2" x14ac:dyDescent="0.2">
      <c r="B1219" s="1">
        <v>63920</v>
      </c>
    </row>
    <row r="1220" spans="2:2" x14ac:dyDescent="0.2">
      <c r="B1220" s="1">
        <v>63921</v>
      </c>
    </row>
    <row r="1221" spans="2:2" x14ac:dyDescent="0.2">
      <c r="B1221" s="1">
        <v>63922</v>
      </c>
    </row>
    <row r="1222" spans="2:2" x14ac:dyDescent="0.2">
      <c r="B1222" s="1">
        <v>63933</v>
      </c>
    </row>
    <row r="1223" spans="2:2" x14ac:dyDescent="0.2">
      <c r="B1223" s="1">
        <v>63961</v>
      </c>
    </row>
    <row r="1224" spans="2:2" x14ac:dyDescent="0.2">
      <c r="B1224" s="1">
        <v>63998</v>
      </c>
    </row>
    <row r="1225" spans="2:2" x14ac:dyDescent="0.2">
      <c r="B1225" s="1">
        <v>64038</v>
      </c>
    </row>
    <row r="1226" spans="2:2" x14ac:dyDescent="0.2">
      <c r="B1226" s="1">
        <v>64042</v>
      </c>
    </row>
    <row r="1227" spans="2:2" x14ac:dyDescent="0.2">
      <c r="B1227" s="1">
        <v>64045</v>
      </c>
    </row>
    <row r="1228" spans="2:2" x14ac:dyDescent="0.2">
      <c r="B1228" s="1">
        <v>64115</v>
      </c>
    </row>
    <row r="1229" spans="2:2" x14ac:dyDescent="0.2">
      <c r="B1229" s="1">
        <v>64143</v>
      </c>
    </row>
    <row r="1230" spans="2:2" x14ac:dyDescent="0.2">
      <c r="B1230" s="1">
        <v>64178</v>
      </c>
    </row>
    <row r="1231" spans="2:2" x14ac:dyDescent="0.2">
      <c r="B1231" s="1">
        <v>64185</v>
      </c>
    </row>
    <row r="1232" spans="2:2" x14ac:dyDescent="0.2">
      <c r="B1232" s="1">
        <v>64206</v>
      </c>
    </row>
    <row r="1233" spans="2:2" x14ac:dyDescent="0.2">
      <c r="B1233" s="1">
        <v>64227</v>
      </c>
    </row>
    <row r="1234" spans="2:2" x14ac:dyDescent="0.2">
      <c r="B1234" s="1">
        <v>64284</v>
      </c>
    </row>
    <row r="1235" spans="2:2" x14ac:dyDescent="0.2">
      <c r="B1235" s="1">
        <v>64285</v>
      </c>
    </row>
    <row r="1236" spans="2:2" x14ac:dyDescent="0.2">
      <c r="B1236" s="1">
        <v>64286</v>
      </c>
    </row>
    <row r="1237" spans="2:2" x14ac:dyDescent="0.2">
      <c r="B1237" s="1">
        <v>64287</v>
      </c>
    </row>
    <row r="1238" spans="2:2" x14ac:dyDescent="0.2">
      <c r="B1238" s="1">
        <v>64297</v>
      </c>
    </row>
    <row r="1239" spans="2:2" x14ac:dyDescent="0.2">
      <c r="B1239" s="1">
        <v>64326</v>
      </c>
    </row>
    <row r="1240" spans="2:2" x14ac:dyDescent="0.2">
      <c r="B1240" s="1">
        <v>64339</v>
      </c>
    </row>
    <row r="1241" spans="2:2" x14ac:dyDescent="0.2">
      <c r="B1241" s="1">
        <v>64364</v>
      </c>
    </row>
    <row r="1242" spans="2:2" x14ac:dyDescent="0.2">
      <c r="B1242" s="1">
        <v>64404</v>
      </c>
    </row>
    <row r="1243" spans="2:2" x14ac:dyDescent="0.2">
      <c r="B1243" s="1">
        <v>64409</v>
      </c>
    </row>
    <row r="1244" spans="2:2" x14ac:dyDescent="0.2">
      <c r="B1244" s="1">
        <v>64410</v>
      </c>
    </row>
    <row r="1245" spans="2:2" x14ac:dyDescent="0.2">
      <c r="B1245" s="1">
        <v>64411</v>
      </c>
    </row>
    <row r="1246" spans="2:2" x14ac:dyDescent="0.2">
      <c r="B1246" s="1">
        <v>64486</v>
      </c>
    </row>
    <row r="1247" spans="2:2" x14ac:dyDescent="0.2">
      <c r="B1247" s="1">
        <v>64508</v>
      </c>
    </row>
    <row r="1248" spans="2:2" x14ac:dyDescent="0.2">
      <c r="B1248" s="1">
        <v>64549</v>
      </c>
    </row>
    <row r="1249" spans="2:2" x14ac:dyDescent="0.2">
      <c r="B1249" s="1">
        <v>64550</v>
      </c>
    </row>
    <row r="1250" spans="2:2" x14ac:dyDescent="0.2">
      <c r="B1250" s="1">
        <v>64570</v>
      </c>
    </row>
    <row r="1251" spans="2:2" x14ac:dyDescent="0.2">
      <c r="B1251" s="1">
        <v>64592</v>
      </c>
    </row>
    <row r="1252" spans="2:2" x14ac:dyDescent="0.2">
      <c r="B1252" s="1">
        <v>64612</v>
      </c>
    </row>
    <row r="1253" spans="2:2" x14ac:dyDescent="0.2">
      <c r="B1253" s="1">
        <v>64650</v>
      </c>
    </row>
    <row r="1254" spans="2:2" x14ac:dyDescent="0.2">
      <c r="B1254" s="1">
        <v>64651</v>
      </c>
    </row>
    <row r="1255" spans="2:2" x14ac:dyDescent="0.2">
      <c r="B1255" s="1">
        <v>64661</v>
      </c>
    </row>
    <row r="1256" spans="2:2" x14ac:dyDescent="0.2">
      <c r="B1256" s="1">
        <v>64692</v>
      </c>
    </row>
    <row r="1257" spans="2:2" x14ac:dyDescent="0.2">
      <c r="B1257" s="1">
        <v>64704</v>
      </c>
    </row>
    <row r="1258" spans="2:2" x14ac:dyDescent="0.2">
      <c r="B1258" s="1">
        <v>64769</v>
      </c>
    </row>
    <row r="1259" spans="2:2" x14ac:dyDescent="0.2">
      <c r="B1259" s="1">
        <v>64773</v>
      </c>
    </row>
    <row r="1260" spans="2:2" x14ac:dyDescent="0.2">
      <c r="B1260" s="1">
        <v>64774</v>
      </c>
    </row>
    <row r="1261" spans="2:2" x14ac:dyDescent="0.2">
      <c r="B1261" s="1">
        <v>64775</v>
      </c>
    </row>
    <row r="1262" spans="2:2" x14ac:dyDescent="0.2">
      <c r="B1262" s="1">
        <v>64850</v>
      </c>
    </row>
    <row r="1263" spans="2:2" x14ac:dyDescent="0.2">
      <c r="B1263" s="1">
        <v>64873</v>
      </c>
    </row>
    <row r="1264" spans="2:2" x14ac:dyDescent="0.2">
      <c r="B1264" s="1">
        <v>64913</v>
      </c>
    </row>
    <row r="1265" spans="2:2" x14ac:dyDescent="0.2">
      <c r="B1265" s="1">
        <v>64914</v>
      </c>
    </row>
    <row r="1266" spans="2:2" x14ac:dyDescent="0.2">
      <c r="B1266" s="1">
        <v>64915</v>
      </c>
    </row>
    <row r="1267" spans="2:2" x14ac:dyDescent="0.2">
      <c r="B1267" s="1">
        <v>64934</v>
      </c>
    </row>
    <row r="1268" spans="2:2" x14ac:dyDescent="0.2">
      <c r="B1268" s="1">
        <v>64957</v>
      </c>
    </row>
    <row r="1269" spans="2:2" x14ac:dyDescent="0.2">
      <c r="B1269" s="1">
        <v>64977</v>
      </c>
    </row>
    <row r="1270" spans="2:2" x14ac:dyDescent="0.2">
      <c r="B1270" s="1">
        <v>65015</v>
      </c>
    </row>
    <row r="1271" spans="2:2" x14ac:dyDescent="0.2">
      <c r="B1271" s="1">
        <v>65018</v>
      </c>
    </row>
    <row r="1272" spans="2:2" x14ac:dyDescent="0.2">
      <c r="B1272" s="1">
        <v>65025</v>
      </c>
    </row>
    <row r="1273" spans="2:2" x14ac:dyDescent="0.2">
      <c r="B1273" s="1">
        <v>65057</v>
      </c>
    </row>
    <row r="1274" spans="2:2" x14ac:dyDescent="0.2">
      <c r="B1274" s="1">
        <v>65069</v>
      </c>
    </row>
    <row r="1275" spans="2:2" x14ac:dyDescent="0.2">
      <c r="B1275" s="1">
        <v>65095</v>
      </c>
    </row>
    <row r="1276" spans="2:2" x14ac:dyDescent="0.2">
      <c r="B1276" s="1">
        <v>65134</v>
      </c>
    </row>
    <row r="1277" spans="2:2" x14ac:dyDescent="0.2">
      <c r="B1277" s="1">
        <v>65138</v>
      </c>
    </row>
    <row r="1278" spans="2:2" x14ac:dyDescent="0.2">
      <c r="B1278" s="1">
        <v>65139</v>
      </c>
    </row>
    <row r="1279" spans="2:2" x14ac:dyDescent="0.2">
      <c r="B1279" s="1">
        <v>65140</v>
      </c>
    </row>
    <row r="1280" spans="2:2" x14ac:dyDescent="0.2">
      <c r="B1280" s="1">
        <v>65214</v>
      </c>
    </row>
    <row r="1281" spans="2:2" x14ac:dyDescent="0.2">
      <c r="B1281" s="1">
        <v>65238</v>
      </c>
    </row>
    <row r="1282" spans="2:2" x14ac:dyDescent="0.2">
      <c r="B1282" s="1">
        <v>65277</v>
      </c>
    </row>
    <row r="1283" spans="2:2" x14ac:dyDescent="0.2">
      <c r="B1283" s="1">
        <v>65280</v>
      </c>
    </row>
    <row r="1284" spans="2:2" x14ac:dyDescent="0.2">
      <c r="B1284" s="1">
        <v>65298</v>
      </c>
    </row>
    <row r="1285" spans="2:2" x14ac:dyDescent="0.2">
      <c r="B1285" s="1">
        <v>65322</v>
      </c>
    </row>
    <row r="1286" spans="2:2" x14ac:dyDescent="0.2">
      <c r="B1286" s="1">
        <v>65342</v>
      </c>
    </row>
    <row r="1287" spans="2:2" x14ac:dyDescent="0.2">
      <c r="B1287" s="1">
        <v>65382</v>
      </c>
    </row>
    <row r="1288" spans="2:2" x14ac:dyDescent="0.2">
      <c r="B1288" s="1">
        <v>65383</v>
      </c>
    </row>
    <row r="1289" spans="2:2" x14ac:dyDescent="0.2">
      <c r="B1289" s="1">
        <v>65389</v>
      </c>
    </row>
    <row r="1290" spans="2:2" x14ac:dyDescent="0.2">
      <c r="B1290" s="1">
        <v>65434</v>
      </c>
    </row>
    <row r="1291" spans="2:2" x14ac:dyDescent="0.2">
      <c r="B1291" s="1">
        <v>65459</v>
      </c>
    </row>
    <row r="1292" spans="2:2" x14ac:dyDescent="0.2">
      <c r="B1292" s="1">
        <v>65503</v>
      </c>
    </row>
    <row r="1293" spans="2:2" x14ac:dyDescent="0.2">
      <c r="B1293" s="1">
        <v>65504</v>
      </c>
    </row>
    <row r="1294" spans="2:2" x14ac:dyDescent="0.2">
      <c r="B1294" s="1">
        <v>65505</v>
      </c>
    </row>
    <row r="1295" spans="2:2" x14ac:dyDescent="0.2">
      <c r="B1295" s="1">
        <v>65578</v>
      </c>
    </row>
    <row r="1296" spans="2:2" x14ac:dyDescent="0.2">
      <c r="B1296" s="1">
        <v>65603</v>
      </c>
    </row>
    <row r="1297" spans="2:2" x14ac:dyDescent="0.2">
      <c r="B1297" s="1">
        <v>65641</v>
      </c>
    </row>
    <row r="1298" spans="2:2" x14ac:dyDescent="0.2">
      <c r="B1298" s="1">
        <v>65662</v>
      </c>
    </row>
    <row r="1299" spans="2:2" x14ac:dyDescent="0.2">
      <c r="B1299" s="1">
        <v>65687</v>
      </c>
    </row>
    <row r="1300" spans="2:2" x14ac:dyDescent="0.2">
      <c r="B1300" s="1">
        <v>65707</v>
      </c>
    </row>
    <row r="1301" spans="2:2" x14ac:dyDescent="0.2">
      <c r="B1301" s="1">
        <v>65746</v>
      </c>
    </row>
    <row r="1302" spans="2:2" x14ac:dyDescent="0.2">
      <c r="B1302" s="1">
        <v>65747</v>
      </c>
    </row>
    <row r="1303" spans="2:2" x14ac:dyDescent="0.2">
      <c r="B1303" s="1">
        <v>65748</v>
      </c>
    </row>
    <row r="1304" spans="2:2" x14ac:dyDescent="0.2">
      <c r="B1304" s="1">
        <v>65753</v>
      </c>
    </row>
    <row r="1305" spans="2:2" x14ac:dyDescent="0.2">
      <c r="B1305" s="1">
        <v>65788</v>
      </c>
    </row>
    <row r="1306" spans="2:2" x14ac:dyDescent="0.2">
      <c r="B1306" s="1">
        <v>65799</v>
      </c>
    </row>
    <row r="1307" spans="2:2" x14ac:dyDescent="0.2">
      <c r="B1307" s="1">
        <v>65825</v>
      </c>
    </row>
    <row r="1308" spans="2:2" x14ac:dyDescent="0.2">
      <c r="B1308" s="1">
        <v>65865</v>
      </c>
    </row>
    <row r="1309" spans="2:2" x14ac:dyDescent="0.2">
      <c r="B1309" s="1">
        <v>65869</v>
      </c>
    </row>
    <row r="1310" spans="2:2" x14ac:dyDescent="0.2">
      <c r="B1310" s="1">
        <v>65872</v>
      </c>
    </row>
    <row r="1311" spans="2:2" x14ac:dyDescent="0.2">
      <c r="B1311" s="1">
        <v>65942</v>
      </c>
    </row>
    <row r="1312" spans="2:2" x14ac:dyDescent="0.2">
      <c r="B1312" s="1">
        <v>65970</v>
      </c>
    </row>
    <row r="1313" spans="2:2" x14ac:dyDescent="0.2">
      <c r="B1313" s="1">
        <v>66005</v>
      </c>
    </row>
    <row r="1314" spans="2:2" x14ac:dyDescent="0.2">
      <c r="B1314" s="1">
        <v>66012</v>
      </c>
    </row>
    <row r="1315" spans="2:2" x14ac:dyDescent="0.2">
      <c r="B1315" s="1">
        <v>66033</v>
      </c>
    </row>
    <row r="1316" spans="2:2" x14ac:dyDescent="0.2">
      <c r="B1316" s="1">
        <v>66054</v>
      </c>
    </row>
    <row r="1317" spans="2:2" x14ac:dyDescent="0.2">
      <c r="B1317" s="1">
        <v>66111</v>
      </c>
    </row>
    <row r="1318" spans="2:2" x14ac:dyDescent="0.2">
      <c r="B1318" s="1">
        <v>66112</v>
      </c>
    </row>
    <row r="1319" spans="2:2" x14ac:dyDescent="0.2">
      <c r="B1319" s="1">
        <v>66113</v>
      </c>
    </row>
    <row r="1320" spans="2:2" x14ac:dyDescent="0.2">
      <c r="B1320" s="1">
        <v>66114</v>
      </c>
    </row>
    <row r="1321" spans="2:2" x14ac:dyDescent="0.2">
      <c r="B1321" s="1">
        <v>66124</v>
      </c>
    </row>
    <row r="1322" spans="2:2" x14ac:dyDescent="0.2">
      <c r="B1322" s="1">
        <v>66153</v>
      </c>
    </row>
    <row r="1323" spans="2:2" x14ac:dyDescent="0.2">
      <c r="B1323" s="1">
        <v>66166</v>
      </c>
    </row>
    <row r="1324" spans="2:2" x14ac:dyDescent="0.2">
      <c r="B1324" s="1">
        <v>66190</v>
      </c>
    </row>
    <row r="1325" spans="2:2" x14ac:dyDescent="0.2">
      <c r="B1325" s="1">
        <v>66230</v>
      </c>
    </row>
    <row r="1326" spans="2:2" x14ac:dyDescent="0.2">
      <c r="B1326" s="1">
        <v>66236</v>
      </c>
    </row>
    <row r="1327" spans="2:2" x14ac:dyDescent="0.2">
      <c r="B1327" s="1">
        <v>66237</v>
      </c>
    </row>
    <row r="1328" spans="2:2" x14ac:dyDescent="0.2">
      <c r="B1328" s="1">
        <v>66313</v>
      </c>
    </row>
    <row r="1329" spans="2:2" x14ac:dyDescent="0.2">
      <c r="B1329" s="1">
        <v>66334</v>
      </c>
    </row>
    <row r="1330" spans="2:2" x14ac:dyDescent="0.2">
      <c r="B1330" s="1">
        <v>66369</v>
      </c>
    </row>
    <row r="1331" spans="2:2" x14ac:dyDescent="0.2">
      <c r="B1331" s="1">
        <v>66376</v>
      </c>
    </row>
    <row r="1332" spans="2:2" x14ac:dyDescent="0.2">
      <c r="B1332" s="1">
        <v>66397</v>
      </c>
    </row>
    <row r="1333" spans="2:2" x14ac:dyDescent="0.2">
      <c r="B1333" s="1">
        <v>66418</v>
      </c>
    </row>
    <row r="1334" spans="2:2" x14ac:dyDescent="0.2">
      <c r="B1334" s="1">
        <v>66439</v>
      </c>
    </row>
    <row r="1335" spans="2:2" x14ac:dyDescent="0.2">
      <c r="B1335" s="1">
        <v>66476</v>
      </c>
    </row>
    <row r="1336" spans="2:2" x14ac:dyDescent="0.2">
      <c r="B1336" s="1">
        <v>66477</v>
      </c>
    </row>
    <row r="1337" spans="2:2" x14ac:dyDescent="0.2">
      <c r="B1337" s="1">
        <v>66478</v>
      </c>
    </row>
    <row r="1338" spans="2:2" x14ac:dyDescent="0.2">
      <c r="B1338" s="1">
        <v>66488</v>
      </c>
    </row>
    <row r="1339" spans="2:2" x14ac:dyDescent="0.2">
      <c r="B1339" s="1">
        <v>66518</v>
      </c>
    </row>
    <row r="1340" spans="2:2" x14ac:dyDescent="0.2">
      <c r="B1340" s="1">
        <v>66530</v>
      </c>
    </row>
    <row r="1341" spans="2:2" x14ac:dyDescent="0.2">
      <c r="B1341" s="1">
        <v>66555</v>
      </c>
    </row>
    <row r="1342" spans="2:2" x14ac:dyDescent="0.2">
      <c r="B1342" s="1">
        <v>66595</v>
      </c>
    </row>
    <row r="1343" spans="2:2" x14ac:dyDescent="0.2">
      <c r="B1343" s="1">
        <v>66600</v>
      </c>
    </row>
    <row r="1344" spans="2:2" x14ac:dyDescent="0.2">
      <c r="B1344" s="1">
        <v>66601</v>
      </c>
    </row>
    <row r="1345" spans="2:2" x14ac:dyDescent="0.2">
      <c r="B1345" s="1">
        <v>66602</v>
      </c>
    </row>
    <row r="1346" spans="2:2" x14ac:dyDescent="0.2">
      <c r="B1346" s="1">
        <v>66677</v>
      </c>
    </row>
    <row r="1347" spans="2:2" x14ac:dyDescent="0.2">
      <c r="B1347" s="1">
        <v>66699</v>
      </c>
    </row>
    <row r="1348" spans="2:2" x14ac:dyDescent="0.2">
      <c r="B1348" s="1">
        <v>66740</v>
      </c>
    </row>
    <row r="1349" spans="2:2" x14ac:dyDescent="0.2">
      <c r="B1349" s="1">
        <v>66741</v>
      </c>
    </row>
    <row r="1350" spans="2:2" x14ac:dyDescent="0.2">
      <c r="B1350" s="1">
        <v>66761</v>
      </c>
    </row>
    <row r="1351" spans="2:2" x14ac:dyDescent="0.2">
      <c r="B1351" s="1">
        <v>66783</v>
      </c>
    </row>
    <row r="1352" spans="2:2" x14ac:dyDescent="0.2">
      <c r="B1352" s="1">
        <v>66803</v>
      </c>
    </row>
    <row r="1353" spans="2:2" x14ac:dyDescent="0.2">
      <c r="B1353" s="1">
        <v>66841</v>
      </c>
    </row>
    <row r="1354" spans="2:2" x14ac:dyDescent="0.2">
      <c r="B1354" s="1">
        <v>66842</v>
      </c>
    </row>
    <row r="1355" spans="2:2" x14ac:dyDescent="0.2">
      <c r="B1355" s="1">
        <v>66852</v>
      </c>
    </row>
    <row r="1356" spans="2:2" x14ac:dyDescent="0.2">
      <c r="B1356" s="1">
        <v>66883</v>
      </c>
    </row>
    <row r="1357" spans="2:2" x14ac:dyDescent="0.2">
      <c r="B1357" s="1">
        <v>66895</v>
      </c>
    </row>
    <row r="1358" spans="2:2" x14ac:dyDescent="0.2">
      <c r="B1358" s="1">
        <v>66960</v>
      </c>
    </row>
    <row r="1359" spans="2:2" x14ac:dyDescent="0.2">
      <c r="B1359" s="1">
        <v>66964</v>
      </c>
    </row>
    <row r="1360" spans="2:2" x14ac:dyDescent="0.2">
      <c r="B1360" s="1">
        <v>66965</v>
      </c>
    </row>
    <row r="1361" spans="2:2" x14ac:dyDescent="0.2">
      <c r="B1361" s="1">
        <v>66966</v>
      </c>
    </row>
    <row r="1362" spans="2:2" x14ac:dyDescent="0.2">
      <c r="B1362" s="1">
        <v>67041</v>
      </c>
    </row>
    <row r="1363" spans="2:2" x14ac:dyDescent="0.2">
      <c r="B1363" s="1">
        <v>67064</v>
      </c>
    </row>
    <row r="1364" spans="2:2" x14ac:dyDescent="0.2">
      <c r="B1364" s="1">
        <v>67104</v>
      </c>
    </row>
    <row r="1365" spans="2:2" x14ac:dyDescent="0.2">
      <c r="B1365" s="1">
        <v>67107</v>
      </c>
    </row>
    <row r="1366" spans="2:2" x14ac:dyDescent="0.2">
      <c r="B1366" s="1">
        <v>67125</v>
      </c>
    </row>
    <row r="1367" spans="2:2" x14ac:dyDescent="0.2">
      <c r="B1367" s="1">
        <v>67148</v>
      </c>
    </row>
    <row r="1368" spans="2:2" x14ac:dyDescent="0.2">
      <c r="B1368" s="1">
        <v>67168</v>
      </c>
    </row>
    <row r="1369" spans="2:2" x14ac:dyDescent="0.2">
      <c r="B1369" s="1">
        <v>67206</v>
      </c>
    </row>
    <row r="1370" spans="2:2" x14ac:dyDescent="0.2">
      <c r="B1370" s="1">
        <v>67209</v>
      </c>
    </row>
    <row r="1371" spans="2:2" x14ac:dyDescent="0.2">
      <c r="B1371" s="1">
        <v>67216</v>
      </c>
    </row>
    <row r="1372" spans="2:2" x14ac:dyDescent="0.2">
      <c r="B1372" s="1">
        <v>67248</v>
      </c>
    </row>
    <row r="1373" spans="2:2" x14ac:dyDescent="0.2">
      <c r="B1373" s="1">
        <v>67260</v>
      </c>
    </row>
    <row r="1374" spans="2:2" x14ac:dyDescent="0.2">
      <c r="B1374" s="1">
        <v>67286</v>
      </c>
    </row>
    <row r="1375" spans="2:2" x14ac:dyDescent="0.2">
      <c r="B1375" s="1">
        <v>67330</v>
      </c>
    </row>
    <row r="1376" spans="2:2" x14ac:dyDescent="0.2">
      <c r="B1376" s="1">
        <v>67331</v>
      </c>
    </row>
    <row r="1377" spans="2:2" x14ac:dyDescent="0.2">
      <c r="B1377" s="1">
        <v>67332</v>
      </c>
    </row>
    <row r="1378" spans="2:2" x14ac:dyDescent="0.2">
      <c r="B1378" s="1">
        <v>67405</v>
      </c>
    </row>
    <row r="1379" spans="2:2" x14ac:dyDescent="0.2">
      <c r="B1379" s="1">
        <v>67430</v>
      </c>
    </row>
    <row r="1380" spans="2:2" x14ac:dyDescent="0.2">
      <c r="B1380" s="1">
        <v>67468</v>
      </c>
    </row>
    <row r="1381" spans="2:2" x14ac:dyDescent="0.2">
      <c r="B1381" s="1">
        <v>67472</v>
      </c>
    </row>
    <row r="1382" spans="2:2" x14ac:dyDescent="0.2">
      <c r="B1382" s="1">
        <v>67489</v>
      </c>
    </row>
    <row r="1383" spans="2:2" x14ac:dyDescent="0.2">
      <c r="B1383" s="1">
        <v>67514</v>
      </c>
    </row>
    <row r="1384" spans="2:2" x14ac:dyDescent="0.2">
      <c r="B1384" s="1">
        <v>67534</v>
      </c>
    </row>
    <row r="1385" spans="2:2" x14ac:dyDescent="0.2">
      <c r="B1385" s="1">
        <v>67573</v>
      </c>
    </row>
    <row r="1386" spans="2:2" x14ac:dyDescent="0.2">
      <c r="B1386" s="1">
        <v>67574</v>
      </c>
    </row>
    <row r="1387" spans="2:2" x14ac:dyDescent="0.2">
      <c r="B1387" s="1">
        <v>67575</v>
      </c>
    </row>
    <row r="1388" spans="2:2" x14ac:dyDescent="0.2">
      <c r="B1388" s="1">
        <v>67580</v>
      </c>
    </row>
    <row r="1389" spans="2:2" x14ac:dyDescent="0.2">
      <c r="B1389" s="1">
        <v>67615</v>
      </c>
    </row>
    <row r="1390" spans="2:2" x14ac:dyDescent="0.2">
      <c r="B1390" s="1">
        <v>67626</v>
      </c>
    </row>
    <row r="1391" spans="2:2" x14ac:dyDescent="0.2">
      <c r="B1391" s="1">
        <v>67651</v>
      </c>
    </row>
    <row r="1392" spans="2:2" x14ac:dyDescent="0.2">
      <c r="B1392" s="1">
        <v>67692</v>
      </c>
    </row>
    <row r="1393" spans="2:2" x14ac:dyDescent="0.2">
      <c r="B1393" s="1">
        <v>67695</v>
      </c>
    </row>
    <row r="1394" spans="2:2" x14ac:dyDescent="0.2">
      <c r="B1394" s="1">
        <v>67696</v>
      </c>
    </row>
    <row r="1395" spans="2:2" x14ac:dyDescent="0.2">
      <c r="B1395" s="1">
        <v>67769</v>
      </c>
    </row>
    <row r="1396" spans="2:2" x14ac:dyDescent="0.2">
      <c r="B1396" s="1">
        <v>67832</v>
      </c>
    </row>
    <row r="1397" spans="2:2" x14ac:dyDescent="0.2">
      <c r="B1397" s="1">
        <v>67853</v>
      </c>
    </row>
    <row r="1398" spans="2:2" x14ac:dyDescent="0.2">
      <c r="B1398" s="1">
        <v>67899</v>
      </c>
    </row>
    <row r="1399" spans="2:2" x14ac:dyDescent="0.2">
      <c r="B1399" s="1">
        <v>67937</v>
      </c>
    </row>
    <row r="1400" spans="2:2" x14ac:dyDescent="0.2">
      <c r="B1400" s="1">
        <v>67938</v>
      </c>
    </row>
    <row r="1401" spans="2:2" x14ac:dyDescent="0.2">
      <c r="B1401" s="1">
        <v>67939</v>
      </c>
    </row>
    <row r="1402" spans="2:2" x14ac:dyDescent="0.2">
      <c r="B1402" s="1">
        <v>67940</v>
      </c>
    </row>
    <row r="1403" spans="2:2" x14ac:dyDescent="0.2">
      <c r="B1403" s="1">
        <v>67951</v>
      </c>
    </row>
    <row r="1404" spans="2:2" x14ac:dyDescent="0.2">
      <c r="B1404" s="1">
        <v>67979</v>
      </c>
    </row>
    <row r="1405" spans="2:2" x14ac:dyDescent="0.2">
      <c r="B1405" s="1">
        <v>68016</v>
      </c>
    </row>
    <row r="1406" spans="2:2" x14ac:dyDescent="0.2">
      <c r="B1406" s="1">
        <v>68056</v>
      </c>
    </row>
    <row r="1407" spans="2:2" x14ac:dyDescent="0.2">
      <c r="B1407" s="1">
        <v>68060</v>
      </c>
    </row>
    <row r="1408" spans="2:2" x14ac:dyDescent="0.2">
      <c r="B1408" s="1">
        <v>68063</v>
      </c>
    </row>
    <row r="1409" spans="2:2" x14ac:dyDescent="0.2">
      <c r="B1409" s="1">
        <v>68133</v>
      </c>
    </row>
    <row r="1410" spans="2:2" x14ac:dyDescent="0.2">
      <c r="B1410" s="1">
        <v>68161</v>
      </c>
    </row>
    <row r="1411" spans="2:2" x14ac:dyDescent="0.2">
      <c r="B1411" s="1">
        <v>68196</v>
      </c>
    </row>
    <row r="1412" spans="2:2" x14ac:dyDescent="0.2">
      <c r="B1412" s="1">
        <v>68203</v>
      </c>
    </row>
    <row r="1413" spans="2:2" x14ac:dyDescent="0.2">
      <c r="B1413" s="1">
        <v>68224</v>
      </c>
    </row>
    <row r="1414" spans="2:2" x14ac:dyDescent="0.2">
      <c r="B1414" s="1">
        <v>68245</v>
      </c>
    </row>
    <row r="1415" spans="2:2" x14ac:dyDescent="0.2">
      <c r="B1415" s="1">
        <v>68302</v>
      </c>
    </row>
    <row r="1416" spans="2:2" x14ac:dyDescent="0.2">
      <c r="B1416" s="1">
        <v>68303</v>
      </c>
    </row>
    <row r="1417" spans="2:2" x14ac:dyDescent="0.2">
      <c r="B1417" s="1">
        <v>68304</v>
      </c>
    </row>
    <row r="1418" spans="2:2" x14ac:dyDescent="0.2">
      <c r="B1418" s="1">
        <v>68305</v>
      </c>
    </row>
    <row r="1419" spans="2:2" x14ac:dyDescent="0.2">
      <c r="B1419" s="1">
        <v>68315</v>
      </c>
    </row>
    <row r="1420" spans="2:2" x14ac:dyDescent="0.2">
      <c r="B1420" s="1">
        <v>68344</v>
      </c>
    </row>
    <row r="1421" spans="2:2" x14ac:dyDescent="0.2">
      <c r="B1421" s="1">
        <v>68357</v>
      </c>
    </row>
    <row r="1422" spans="2:2" x14ac:dyDescent="0.2">
      <c r="B1422" s="1">
        <v>68381</v>
      </c>
    </row>
    <row r="1423" spans="2:2" x14ac:dyDescent="0.2">
      <c r="B1423" s="1">
        <v>68421</v>
      </c>
    </row>
    <row r="1424" spans="2:2" x14ac:dyDescent="0.2">
      <c r="B1424" s="1">
        <v>68427</v>
      </c>
    </row>
    <row r="1425" spans="2:2" x14ac:dyDescent="0.2">
      <c r="B1425" s="1">
        <v>68428</v>
      </c>
    </row>
    <row r="1426" spans="2:2" x14ac:dyDescent="0.2">
      <c r="B1426" s="1">
        <v>68504</v>
      </c>
    </row>
    <row r="1427" spans="2:2" x14ac:dyDescent="0.2">
      <c r="B1427" s="1">
        <v>68525</v>
      </c>
    </row>
    <row r="1428" spans="2:2" x14ac:dyDescent="0.2">
      <c r="B1428" s="1">
        <v>68560</v>
      </c>
    </row>
    <row r="1429" spans="2:2" x14ac:dyDescent="0.2">
      <c r="B1429" s="1">
        <v>68568</v>
      </c>
    </row>
    <row r="1430" spans="2:2" x14ac:dyDescent="0.2">
      <c r="B1430" s="1">
        <v>68588</v>
      </c>
    </row>
    <row r="1431" spans="2:2" x14ac:dyDescent="0.2">
      <c r="B1431" s="1">
        <v>68609</v>
      </c>
    </row>
    <row r="1432" spans="2:2" x14ac:dyDescent="0.2">
      <c r="B1432" s="1">
        <v>68630</v>
      </c>
    </row>
    <row r="1433" spans="2:2" x14ac:dyDescent="0.2">
      <c r="B1433" s="1">
        <v>68667</v>
      </c>
    </row>
    <row r="1434" spans="2:2" x14ac:dyDescent="0.2">
      <c r="B1434" s="1">
        <v>68668</v>
      </c>
    </row>
    <row r="1435" spans="2:2" x14ac:dyDescent="0.2">
      <c r="B1435" s="1">
        <v>68669</v>
      </c>
    </row>
    <row r="1436" spans="2:2" x14ac:dyDescent="0.2">
      <c r="B1436" s="1">
        <v>68679</v>
      </c>
    </row>
    <row r="1437" spans="2:2" x14ac:dyDescent="0.2">
      <c r="B1437" s="1">
        <v>68709</v>
      </c>
    </row>
    <row r="1438" spans="2:2" x14ac:dyDescent="0.2">
      <c r="B1438" s="1">
        <v>68721</v>
      </c>
    </row>
    <row r="1439" spans="2:2" x14ac:dyDescent="0.2">
      <c r="B1439" s="1">
        <v>68787</v>
      </c>
    </row>
    <row r="1440" spans="2:2" x14ac:dyDescent="0.2">
      <c r="B1440" s="1">
        <v>68791</v>
      </c>
    </row>
    <row r="1441" spans="2:2" x14ac:dyDescent="0.2">
      <c r="B1441" s="1">
        <v>68792</v>
      </c>
    </row>
    <row r="1442" spans="2:2" x14ac:dyDescent="0.2">
      <c r="B1442" s="1">
        <v>68793</v>
      </c>
    </row>
    <row r="1443" spans="2:2" x14ac:dyDescent="0.2">
      <c r="B1443" s="1">
        <v>68868</v>
      </c>
    </row>
    <row r="1444" spans="2:2" x14ac:dyDescent="0.2">
      <c r="B1444" s="1">
        <v>68891</v>
      </c>
    </row>
    <row r="1445" spans="2:2" x14ac:dyDescent="0.2">
      <c r="B1445" s="1">
        <v>68931</v>
      </c>
    </row>
    <row r="1446" spans="2:2" x14ac:dyDescent="0.2">
      <c r="B1446" s="1">
        <v>68932</v>
      </c>
    </row>
    <row r="1447" spans="2:2" x14ac:dyDescent="0.2">
      <c r="B1447" s="1">
        <v>68933</v>
      </c>
    </row>
    <row r="1448" spans="2:2" x14ac:dyDescent="0.2">
      <c r="B1448" s="1">
        <v>68952</v>
      </c>
    </row>
    <row r="1449" spans="2:2" x14ac:dyDescent="0.2">
      <c r="B1449" s="1">
        <v>68975</v>
      </c>
    </row>
    <row r="1450" spans="2:2" x14ac:dyDescent="0.2">
      <c r="B1450" s="1">
        <v>68995</v>
      </c>
    </row>
    <row r="1451" spans="2:2" x14ac:dyDescent="0.2">
      <c r="B1451" s="1">
        <v>69033</v>
      </c>
    </row>
    <row r="1452" spans="2:2" x14ac:dyDescent="0.2">
      <c r="B1452" s="1">
        <v>69036</v>
      </c>
    </row>
    <row r="1453" spans="2:2" x14ac:dyDescent="0.2">
      <c r="B1453" s="1">
        <v>69043</v>
      </c>
    </row>
    <row r="1454" spans="2:2" x14ac:dyDescent="0.2">
      <c r="B1454" s="1">
        <v>69075</v>
      </c>
    </row>
    <row r="1455" spans="2:2" x14ac:dyDescent="0.2">
      <c r="B1455" s="1">
        <v>69087</v>
      </c>
    </row>
    <row r="1456" spans="2:2" x14ac:dyDescent="0.2">
      <c r="B1456" s="1">
        <v>69113</v>
      </c>
    </row>
    <row r="1457" spans="2:2" x14ac:dyDescent="0.2">
      <c r="B1457" s="1">
        <v>69152</v>
      </c>
    </row>
    <row r="1458" spans="2:2" x14ac:dyDescent="0.2">
      <c r="B1458" s="1">
        <v>69156</v>
      </c>
    </row>
    <row r="1459" spans="2:2" x14ac:dyDescent="0.2">
      <c r="B1459" s="1">
        <v>69157</v>
      </c>
    </row>
    <row r="1460" spans="2:2" x14ac:dyDescent="0.2">
      <c r="B1460" s="1">
        <v>69158</v>
      </c>
    </row>
    <row r="1461" spans="2:2" x14ac:dyDescent="0.2">
      <c r="B1461" s="1">
        <v>69232</v>
      </c>
    </row>
    <row r="1462" spans="2:2" x14ac:dyDescent="0.2">
      <c r="B1462" s="1">
        <v>69256</v>
      </c>
    </row>
    <row r="1463" spans="2:2" x14ac:dyDescent="0.2">
      <c r="B1463" s="1">
        <v>69295</v>
      </c>
    </row>
    <row r="1464" spans="2:2" x14ac:dyDescent="0.2">
      <c r="B1464" s="1">
        <v>69298</v>
      </c>
    </row>
    <row r="1465" spans="2:2" x14ac:dyDescent="0.2">
      <c r="B1465" s="1">
        <v>69316</v>
      </c>
    </row>
    <row r="1466" spans="2:2" x14ac:dyDescent="0.2">
      <c r="B1466" s="1">
        <v>69340</v>
      </c>
    </row>
    <row r="1467" spans="2:2" x14ac:dyDescent="0.2">
      <c r="B1467" s="1">
        <v>69360</v>
      </c>
    </row>
    <row r="1468" spans="2:2" x14ac:dyDescent="0.2">
      <c r="B1468" s="1">
        <v>69400</v>
      </c>
    </row>
    <row r="1469" spans="2:2" x14ac:dyDescent="0.2">
      <c r="B1469" s="1">
        <v>69401</v>
      </c>
    </row>
    <row r="1470" spans="2:2" x14ac:dyDescent="0.2">
      <c r="B1470" s="1">
        <v>69407</v>
      </c>
    </row>
    <row r="1471" spans="2:2" x14ac:dyDescent="0.2">
      <c r="B1471" s="1">
        <v>69452</v>
      </c>
    </row>
    <row r="1472" spans="2:2" x14ac:dyDescent="0.2">
      <c r="B1472" s="1">
        <v>69477</v>
      </c>
    </row>
    <row r="1473" spans="2:2" x14ac:dyDescent="0.2">
      <c r="B1473" s="1">
        <v>69521</v>
      </c>
    </row>
    <row r="1474" spans="2:2" x14ac:dyDescent="0.2">
      <c r="B1474" s="1">
        <v>69522</v>
      </c>
    </row>
    <row r="1475" spans="2:2" x14ac:dyDescent="0.2">
      <c r="B1475" s="1">
        <v>69523</v>
      </c>
    </row>
    <row r="1476" spans="2:2" x14ac:dyDescent="0.2">
      <c r="B1476" s="1">
        <v>69596</v>
      </c>
    </row>
    <row r="1477" spans="2:2" x14ac:dyDescent="0.2">
      <c r="B1477" s="1">
        <v>69621</v>
      </c>
    </row>
    <row r="1478" spans="2:2" x14ac:dyDescent="0.2">
      <c r="B1478" s="1">
        <v>69659</v>
      </c>
    </row>
    <row r="1479" spans="2:2" x14ac:dyDescent="0.2">
      <c r="B1479" s="1">
        <v>69663</v>
      </c>
    </row>
    <row r="1480" spans="2:2" x14ac:dyDescent="0.2">
      <c r="B1480" s="1">
        <v>69680</v>
      </c>
    </row>
    <row r="1481" spans="2:2" x14ac:dyDescent="0.2">
      <c r="B1481" s="1">
        <v>69705</v>
      </c>
    </row>
    <row r="1482" spans="2:2" x14ac:dyDescent="0.2">
      <c r="B1482" s="1">
        <v>69725</v>
      </c>
    </row>
    <row r="1483" spans="2:2" x14ac:dyDescent="0.2">
      <c r="B1483" s="1">
        <v>69764</v>
      </c>
    </row>
    <row r="1484" spans="2:2" x14ac:dyDescent="0.2">
      <c r="B1484" s="1">
        <v>69765</v>
      </c>
    </row>
    <row r="1485" spans="2:2" x14ac:dyDescent="0.2">
      <c r="B1485" s="1">
        <v>69766</v>
      </c>
    </row>
    <row r="1486" spans="2:2" x14ac:dyDescent="0.2">
      <c r="B1486" s="1">
        <v>69771</v>
      </c>
    </row>
    <row r="1487" spans="2:2" x14ac:dyDescent="0.2">
      <c r="B1487" s="1">
        <v>69806</v>
      </c>
    </row>
    <row r="1488" spans="2:2" x14ac:dyDescent="0.2">
      <c r="B1488" s="1">
        <v>69817</v>
      </c>
    </row>
    <row r="1489" spans="2:2" x14ac:dyDescent="0.2">
      <c r="B1489" s="1">
        <v>69842</v>
      </c>
    </row>
    <row r="1490" spans="2:2" x14ac:dyDescent="0.2">
      <c r="B1490" s="1">
        <v>69883</v>
      </c>
    </row>
    <row r="1491" spans="2:2" x14ac:dyDescent="0.2">
      <c r="B1491" s="1">
        <v>69886</v>
      </c>
    </row>
    <row r="1492" spans="2:2" x14ac:dyDescent="0.2">
      <c r="B1492" s="1">
        <v>69887</v>
      </c>
    </row>
    <row r="1493" spans="2:2" x14ac:dyDescent="0.2">
      <c r="B1493" s="1">
        <v>69960</v>
      </c>
    </row>
    <row r="1494" spans="2:2" x14ac:dyDescent="0.2">
      <c r="B1494" s="1">
        <v>70023</v>
      </c>
    </row>
    <row r="1495" spans="2:2" x14ac:dyDescent="0.2">
      <c r="B1495" s="1">
        <v>70030</v>
      </c>
    </row>
    <row r="1496" spans="2:2" x14ac:dyDescent="0.2">
      <c r="B1496" s="1">
        <v>70044</v>
      </c>
    </row>
    <row r="1497" spans="2:2" x14ac:dyDescent="0.2">
      <c r="B1497" s="1">
        <v>70090</v>
      </c>
    </row>
    <row r="1498" spans="2:2" x14ac:dyDescent="0.2">
      <c r="B1498" s="1">
        <v>70128</v>
      </c>
    </row>
    <row r="1499" spans="2:2" x14ac:dyDescent="0.2">
      <c r="B1499" s="1">
        <v>70129</v>
      </c>
    </row>
    <row r="1500" spans="2:2" x14ac:dyDescent="0.2">
      <c r="B1500" s="1">
        <v>70130</v>
      </c>
    </row>
    <row r="1501" spans="2:2" x14ac:dyDescent="0.2">
      <c r="B1501" s="1">
        <v>70131</v>
      </c>
    </row>
    <row r="1502" spans="2:2" x14ac:dyDescent="0.2">
      <c r="B1502" s="1">
        <v>70142</v>
      </c>
    </row>
    <row r="1503" spans="2:2" x14ac:dyDescent="0.2">
      <c r="B1503" s="1">
        <v>70170</v>
      </c>
    </row>
    <row r="1504" spans="2:2" x14ac:dyDescent="0.2">
      <c r="B1504" s="1">
        <v>70207</v>
      </c>
    </row>
    <row r="1505" spans="2:2" x14ac:dyDescent="0.2">
      <c r="B1505" s="1">
        <v>70248</v>
      </c>
    </row>
    <row r="1506" spans="2:2" x14ac:dyDescent="0.2">
      <c r="B1506" s="1">
        <v>70254</v>
      </c>
    </row>
    <row r="1507" spans="2:2" x14ac:dyDescent="0.2">
      <c r="B1507" s="1">
        <v>70255</v>
      </c>
    </row>
    <row r="1508" spans="2:2" x14ac:dyDescent="0.2">
      <c r="B1508" s="1">
        <v>70331</v>
      </c>
    </row>
    <row r="1509" spans="2:2" x14ac:dyDescent="0.2">
      <c r="B1509" s="1">
        <v>70352</v>
      </c>
    </row>
    <row r="1510" spans="2:2" x14ac:dyDescent="0.2">
      <c r="B1510" s="1">
        <v>70387</v>
      </c>
    </row>
    <row r="1511" spans="2:2" x14ac:dyDescent="0.2">
      <c r="B1511" s="1">
        <v>70394</v>
      </c>
    </row>
    <row r="1512" spans="2:2" x14ac:dyDescent="0.2">
      <c r="B1512" s="1">
        <v>70415</v>
      </c>
    </row>
    <row r="1513" spans="2:2" x14ac:dyDescent="0.2">
      <c r="B1513" s="1">
        <v>70436</v>
      </c>
    </row>
    <row r="1514" spans="2:2" x14ac:dyDescent="0.2">
      <c r="B1514" s="1">
        <v>70457</v>
      </c>
    </row>
    <row r="1515" spans="2:2" x14ac:dyDescent="0.2">
      <c r="B1515" s="1">
        <v>70494</v>
      </c>
    </row>
    <row r="1516" spans="2:2" x14ac:dyDescent="0.2">
      <c r="B1516" s="1">
        <v>70495</v>
      </c>
    </row>
    <row r="1517" spans="2:2" x14ac:dyDescent="0.2">
      <c r="B1517" s="1">
        <v>70496</v>
      </c>
    </row>
    <row r="1518" spans="2:2" x14ac:dyDescent="0.2">
      <c r="B1518" s="1">
        <v>70506</v>
      </c>
    </row>
    <row r="1519" spans="2:2" x14ac:dyDescent="0.2">
      <c r="B1519" s="1">
        <v>70536</v>
      </c>
    </row>
    <row r="1520" spans="2:2" x14ac:dyDescent="0.2">
      <c r="B1520" s="1">
        <v>70548</v>
      </c>
    </row>
    <row r="1521" spans="2:2" x14ac:dyDescent="0.2">
      <c r="B1521" s="1">
        <v>70573</v>
      </c>
    </row>
    <row r="1522" spans="2:2" x14ac:dyDescent="0.2">
      <c r="B1522" s="1">
        <v>70613</v>
      </c>
    </row>
    <row r="1523" spans="2:2" x14ac:dyDescent="0.2">
      <c r="B1523" s="1">
        <v>70618</v>
      </c>
    </row>
    <row r="1524" spans="2:2" x14ac:dyDescent="0.2">
      <c r="B1524" s="1">
        <v>70619</v>
      </c>
    </row>
    <row r="1525" spans="2:2" x14ac:dyDescent="0.2">
      <c r="B1525" s="1">
        <v>70620</v>
      </c>
    </row>
    <row r="1526" spans="2:2" x14ac:dyDescent="0.2">
      <c r="B1526" s="1">
        <v>70695</v>
      </c>
    </row>
    <row r="1527" spans="2:2" x14ac:dyDescent="0.2">
      <c r="B1527" s="1">
        <v>70717</v>
      </c>
    </row>
    <row r="1528" spans="2:2" x14ac:dyDescent="0.2">
      <c r="B1528" s="1">
        <v>70758</v>
      </c>
    </row>
    <row r="1529" spans="2:2" x14ac:dyDescent="0.2">
      <c r="B1529" s="1">
        <v>70759</v>
      </c>
    </row>
    <row r="1530" spans="2:2" x14ac:dyDescent="0.2">
      <c r="B1530" s="1">
        <v>70779</v>
      </c>
    </row>
    <row r="1531" spans="2:2" x14ac:dyDescent="0.2">
      <c r="B1531" s="1">
        <v>70801</v>
      </c>
    </row>
    <row r="1532" spans="2:2" x14ac:dyDescent="0.2">
      <c r="B1532" s="1">
        <v>70821</v>
      </c>
    </row>
    <row r="1533" spans="2:2" x14ac:dyDescent="0.2">
      <c r="B1533" s="1">
        <v>70859</v>
      </c>
    </row>
    <row r="1534" spans="2:2" x14ac:dyDescent="0.2">
      <c r="B1534" s="1">
        <v>70860</v>
      </c>
    </row>
    <row r="1535" spans="2:2" x14ac:dyDescent="0.2">
      <c r="B1535" s="1">
        <v>70870</v>
      </c>
    </row>
    <row r="1536" spans="2:2" x14ac:dyDescent="0.2">
      <c r="B1536" s="1">
        <v>70901</v>
      </c>
    </row>
    <row r="1537" spans="2:2" x14ac:dyDescent="0.2">
      <c r="B1537" s="1">
        <v>70913</v>
      </c>
    </row>
    <row r="1538" spans="2:2" x14ac:dyDescent="0.2">
      <c r="B1538" s="1">
        <v>70978</v>
      </c>
    </row>
    <row r="1539" spans="2:2" x14ac:dyDescent="0.2">
      <c r="B1539" s="1">
        <v>70982</v>
      </c>
    </row>
    <row r="1540" spans="2:2" x14ac:dyDescent="0.2">
      <c r="B1540" s="1">
        <v>70983</v>
      </c>
    </row>
    <row r="1541" spans="2:2" x14ac:dyDescent="0.2">
      <c r="B1541" s="1">
        <v>70984</v>
      </c>
    </row>
    <row r="1542" spans="2:2" x14ac:dyDescent="0.2">
      <c r="B1542" s="1">
        <v>71059</v>
      </c>
    </row>
    <row r="1543" spans="2:2" x14ac:dyDescent="0.2">
      <c r="B1543" s="1">
        <v>71082</v>
      </c>
    </row>
    <row r="1544" spans="2:2" x14ac:dyDescent="0.2">
      <c r="B1544" s="1">
        <v>71122</v>
      </c>
    </row>
    <row r="1545" spans="2:2" x14ac:dyDescent="0.2">
      <c r="B1545" s="1">
        <v>71123</v>
      </c>
    </row>
    <row r="1546" spans="2:2" x14ac:dyDescent="0.2">
      <c r="B1546" s="1">
        <v>71124</v>
      </c>
    </row>
    <row r="1547" spans="2:2" x14ac:dyDescent="0.2">
      <c r="B1547" s="1">
        <v>71143</v>
      </c>
    </row>
    <row r="1548" spans="2:2" x14ac:dyDescent="0.2">
      <c r="B1548" s="1">
        <v>71166</v>
      </c>
    </row>
    <row r="1549" spans="2:2" x14ac:dyDescent="0.2">
      <c r="B1549" s="1">
        <v>71186</v>
      </c>
    </row>
    <row r="1550" spans="2:2" x14ac:dyDescent="0.2">
      <c r="B1550" s="1">
        <v>71224</v>
      </c>
    </row>
    <row r="1551" spans="2:2" x14ac:dyDescent="0.2">
      <c r="B1551" s="1">
        <v>71227</v>
      </c>
    </row>
    <row r="1552" spans="2:2" x14ac:dyDescent="0.2">
      <c r="B1552" s="1">
        <v>71234</v>
      </c>
    </row>
    <row r="1553" spans="2:2" x14ac:dyDescent="0.2">
      <c r="B1553" s="1">
        <v>71266</v>
      </c>
    </row>
    <row r="1554" spans="2:2" x14ac:dyDescent="0.2">
      <c r="B1554" s="1">
        <v>71278</v>
      </c>
    </row>
    <row r="1555" spans="2:2" x14ac:dyDescent="0.2">
      <c r="B1555" s="1">
        <v>71304</v>
      </c>
    </row>
    <row r="1556" spans="2:2" x14ac:dyDescent="0.2">
      <c r="B1556" s="1">
        <v>71343</v>
      </c>
    </row>
    <row r="1557" spans="2:2" x14ac:dyDescent="0.2">
      <c r="B1557" s="1">
        <v>71347</v>
      </c>
    </row>
    <row r="1558" spans="2:2" x14ac:dyDescent="0.2">
      <c r="B1558" s="1">
        <v>71348</v>
      </c>
    </row>
    <row r="1559" spans="2:2" x14ac:dyDescent="0.2">
      <c r="B1559" s="1">
        <v>71349</v>
      </c>
    </row>
    <row r="1560" spans="2:2" x14ac:dyDescent="0.2">
      <c r="B1560" s="1">
        <v>71423</v>
      </c>
    </row>
    <row r="1561" spans="2:2" x14ac:dyDescent="0.2">
      <c r="B1561" s="1">
        <v>71447</v>
      </c>
    </row>
    <row r="1562" spans="2:2" x14ac:dyDescent="0.2">
      <c r="B1562" s="1">
        <v>71486</v>
      </c>
    </row>
    <row r="1563" spans="2:2" x14ac:dyDescent="0.2">
      <c r="B1563" s="1">
        <v>71490</v>
      </c>
    </row>
    <row r="1564" spans="2:2" x14ac:dyDescent="0.2">
      <c r="B1564" s="1">
        <v>71507</v>
      </c>
    </row>
    <row r="1565" spans="2:2" x14ac:dyDescent="0.2">
      <c r="B1565" s="1">
        <v>71531</v>
      </c>
    </row>
    <row r="1566" spans="2:2" x14ac:dyDescent="0.2">
      <c r="B1566" s="1">
        <v>71551</v>
      </c>
    </row>
    <row r="1567" spans="2:2" x14ac:dyDescent="0.2">
      <c r="B1567" s="1">
        <v>71591</v>
      </c>
    </row>
    <row r="1568" spans="2:2" x14ac:dyDescent="0.2">
      <c r="B1568" s="1">
        <v>71592</v>
      </c>
    </row>
    <row r="1569" spans="2:2" x14ac:dyDescent="0.2">
      <c r="B1569" s="1">
        <v>71598</v>
      </c>
    </row>
    <row r="1570" spans="2:2" x14ac:dyDescent="0.2">
      <c r="B1570" s="1">
        <v>71643</v>
      </c>
    </row>
    <row r="1571" spans="2:2" x14ac:dyDescent="0.2">
      <c r="B1571" s="1">
        <v>71668</v>
      </c>
    </row>
    <row r="1572" spans="2:2" x14ac:dyDescent="0.2">
      <c r="B1572" s="1">
        <v>71710</v>
      </c>
    </row>
    <row r="1573" spans="2:2" x14ac:dyDescent="0.2">
      <c r="B1573" s="1">
        <v>71713</v>
      </c>
    </row>
    <row r="1574" spans="2:2" x14ac:dyDescent="0.2">
      <c r="B1574" s="1">
        <v>71714</v>
      </c>
    </row>
    <row r="1575" spans="2:2" x14ac:dyDescent="0.2">
      <c r="B1575" s="1">
        <v>71787</v>
      </c>
    </row>
    <row r="1576" spans="2:2" x14ac:dyDescent="0.2">
      <c r="B1576" s="1">
        <v>71850</v>
      </c>
    </row>
    <row r="1577" spans="2:2" x14ac:dyDescent="0.2">
      <c r="B1577" s="1">
        <v>71871</v>
      </c>
    </row>
    <row r="1578" spans="2:2" x14ac:dyDescent="0.2">
      <c r="B1578" s="1">
        <v>71917</v>
      </c>
    </row>
    <row r="1579" spans="2:2" x14ac:dyDescent="0.2">
      <c r="B1579" s="1">
        <v>71955</v>
      </c>
    </row>
    <row r="1580" spans="2:2" x14ac:dyDescent="0.2">
      <c r="B1580" s="1">
        <v>71956</v>
      </c>
    </row>
    <row r="1581" spans="2:2" x14ac:dyDescent="0.2">
      <c r="B1581" s="1">
        <v>71957</v>
      </c>
    </row>
    <row r="1582" spans="2:2" x14ac:dyDescent="0.2">
      <c r="B1582" s="1">
        <v>71958</v>
      </c>
    </row>
    <row r="1583" spans="2:2" x14ac:dyDescent="0.2">
      <c r="B1583" s="1">
        <v>71969</v>
      </c>
    </row>
    <row r="1584" spans="2:2" x14ac:dyDescent="0.2">
      <c r="B1584" s="1">
        <v>71997</v>
      </c>
    </row>
    <row r="1585" spans="2:2" x14ac:dyDescent="0.2">
      <c r="B1585" s="1">
        <v>72034</v>
      </c>
    </row>
    <row r="1586" spans="2:2" x14ac:dyDescent="0.2">
      <c r="B1586" s="1">
        <v>72074</v>
      </c>
    </row>
    <row r="1587" spans="2:2" x14ac:dyDescent="0.2">
      <c r="B1587" s="1">
        <v>72078</v>
      </c>
    </row>
    <row r="1588" spans="2:2" x14ac:dyDescent="0.2">
      <c r="B1588" s="1">
        <v>72081</v>
      </c>
    </row>
    <row r="1589" spans="2:2" x14ac:dyDescent="0.2">
      <c r="B1589" s="1">
        <v>72151</v>
      </c>
    </row>
    <row r="1590" spans="2:2" x14ac:dyDescent="0.2">
      <c r="B1590" s="1">
        <v>72179</v>
      </c>
    </row>
    <row r="1591" spans="2:2" x14ac:dyDescent="0.2">
      <c r="B1591" s="1">
        <v>72214</v>
      </c>
    </row>
    <row r="1592" spans="2:2" x14ac:dyDescent="0.2">
      <c r="B1592" s="1">
        <v>72221</v>
      </c>
    </row>
    <row r="1593" spans="2:2" x14ac:dyDescent="0.2">
      <c r="B1593" s="1">
        <v>72242</v>
      </c>
    </row>
    <row r="1594" spans="2:2" x14ac:dyDescent="0.2">
      <c r="B1594" s="1">
        <v>72263</v>
      </c>
    </row>
    <row r="1595" spans="2:2" x14ac:dyDescent="0.2">
      <c r="B1595" s="1">
        <v>72320</v>
      </c>
    </row>
    <row r="1596" spans="2:2" x14ac:dyDescent="0.2">
      <c r="B1596" s="1">
        <v>72321</v>
      </c>
    </row>
    <row r="1597" spans="2:2" x14ac:dyDescent="0.2">
      <c r="B1597" s="1">
        <v>72322</v>
      </c>
    </row>
    <row r="1598" spans="2:2" x14ac:dyDescent="0.2">
      <c r="B1598" s="1">
        <v>72323</v>
      </c>
    </row>
    <row r="1599" spans="2:2" x14ac:dyDescent="0.2">
      <c r="B1599" s="1">
        <v>72333</v>
      </c>
    </row>
    <row r="1600" spans="2:2" x14ac:dyDescent="0.2">
      <c r="B1600" s="1">
        <v>72362</v>
      </c>
    </row>
    <row r="1601" spans="2:2" x14ac:dyDescent="0.2">
      <c r="B1601" s="1">
        <v>72375</v>
      </c>
    </row>
    <row r="1602" spans="2:2" x14ac:dyDescent="0.2">
      <c r="B1602" s="1">
        <v>72399</v>
      </c>
    </row>
    <row r="1603" spans="2:2" x14ac:dyDescent="0.2">
      <c r="B1603" s="1">
        <v>72439</v>
      </c>
    </row>
    <row r="1604" spans="2:2" x14ac:dyDescent="0.2">
      <c r="B1604" s="1">
        <v>72445</v>
      </c>
    </row>
    <row r="1605" spans="2:2" x14ac:dyDescent="0.2">
      <c r="B1605" s="1">
        <v>72446</v>
      </c>
    </row>
    <row r="1606" spans="2:2" x14ac:dyDescent="0.2">
      <c r="B1606" s="1">
        <v>72522</v>
      </c>
    </row>
    <row r="1607" spans="2:2" x14ac:dyDescent="0.2">
      <c r="B1607" s="1">
        <v>72543</v>
      </c>
    </row>
    <row r="1608" spans="2:2" x14ac:dyDescent="0.2">
      <c r="B1608" s="1">
        <v>72578</v>
      </c>
    </row>
    <row r="1609" spans="2:2" x14ac:dyDescent="0.2">
      <c r="B1609" s="1">
        <v>72585</v>
      </c>
    </row>
    <row r="1610" spans="2:2" x14ac:dyDescent="0.2">
      <c r="B1610" s="1">
        <v>72606</v>
      </c>
    </row>
    <row r="1611" spans="2:2" x14ac:dyDescent="0.2">
      <c r="B1611" s="1">
        <v>72627</v>
      </c>
    </row>
    <row r="1612" spans="2:2" x14ac:dyDescent="0.2">
      <c r="B1612" s="1">
        <v>72648</v>
      </c>
    </row>
    <row r="1613" spans="2:2" x14ac:dyDescent="0.2">
      <c r="B1613" s="1">
        <v>72685</v>
      </c>
    </row>
    <row r="1614" spans="2:2" x14ac:dyDescent="0.2">
      <c r="B1614" s="1">
        <v>72686</v>
      </c>
    </row>
    <row r="1615" spans="2:2" x14ac:dyDescent="0.2">
      <c r="B1615" s="1">
        <v>72687</v>
      </c>
    </row>
    <row r="1616" spans="2:2" x14ac:dyDescent="0.2">
      <c r="B1616" s="1">
        <v>72697</v>
      </c>
    </row>
    <row r="1617" spans="2:2" x14ac:dyDescent="0.2">
      <c r="B1617" s="1">
        <v>72727</v>
      </c>
    </row>
    <row r="1618" spans="2:2" x14ac:dyDescent="0.2">
      <c r="B1618" s="1">
        <v>72739</v>
      </c>
    </row>
    <row r="1619" spans="2:2" x14ac:dyDescent="0.2">
      <c r="B1619" s="1">
        <v>72764</v>
      </c>
    </row>
    <row r="1620" spans="2:2" x14ac:dyDescent="0.2">
      <c r="B1620" s="1">
        <v>72804</v>
      </c>
    </row>
    <row r="1621" spans="2:2" x14ac:dyDescent="0.2">
      <c r="B1621" s="1">
        <v>72809</v>
      </c>
    </row>
    <row r="1622" spans="2:2" x14ac:dyDescent="0.2">
      <c r="B1622" s="1">
        <v>72810</v>
      </c>
    </row>
    <row r="1623" spans="2:2" x14ac:dyDescent="0.2">
      <c r="B1623" s="1">
        <v>72811</v>
      </c>
    </row>
    <row r="1624" spans="2:2" x14ac:dyDescent="0.2">
      <c r="B1624" s="1">
        <v>72886</v>
      </c>
    </row>
    <row r="1625" spans="2:2" x14ac:dyDescent="0.2">
      <c r="B1625" s="1">
        <v>72908</v>
      </c>
    </row>
    <row r="1626" spans="2:2" x14ac:dyDescent="0.2">
      <c r="B1626" s="1">
        <v>72949</v>
      </c>
    </row>
    <row r="1627" spans="2:2" x14ac:dyDescent="0.2">
      <c r="B1627" s="1">
        <v>72951</v>
      </c>
    </row>
    <row r="1628" spans="2:2" x14ac:dyDescent="0.2">
      <c r="B1628" s="1">
        <v>72970</v>
      </c>
    </row>
    <row r="1629" spans="2:2" x14ac:dyDescent="0.2">
      <c r="B1629" s="1">
        <v>72992</v>
      </c>
    </row>
    <row r="1630" spans="2:2" x14ac:dyDescent="0.2">
      <c r="B1630" s="1">
        <v>73012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UserInput</vt:lpstr>
      <vt:lpstr>Results</vt:lpstr>
      <vt:lpstr>Calculations</vt:lpstr>
      <vt:lpstr>Background</vt:lpstr>
      <vt:lpstr>c.DataValidation</vt:lpstr>
      <vt:lpstr>i.Holidays</vt:lpstr>
      <vt:lpstr>Accrued_Interest</vt:lpstr>
      <vt:lpstr>BusinessDayConvention</vt:lpstr>
      <vt:lpstr>CCY</vt:lpstr>
      <vt:lpstr>Coupon</vt:lpstr>
      <vt:lpstr>Calculations!Current_Tenor</vt:lpstr>
      <vt:lpstr>CurveDate</vt:lpstr>
      <vt:lpstr>DataFieldToUseForSolve</vt:lpstr>
      <vt:lpstr>Calculations!Day_Count_Basis_Index</vt:lpstr>
      <vt:lpstr>Calculations!FirstCouponEndDate</vt:lpstr>
      <vt:lpstr>Calculations!FlatHazardRateDifference</vt:lpstr>
      <vt:lpstr>Holidays_EUR</vt:lpstr>
      <vt:lpstr>Holidays_JPY</vt:lpstr>
      <vt:lpstr>Holidays_USD</vt:lpstr>
      <vt:lpstr>Calculations!Index</vt:lpstr>
      <vt:lpstr>Calculations!LastCouponStartDate</vt:lpstr>
      <vt:lpstr>LossGivenDefault</vt:lpstr>
      <vt:lpstr>Calculations!Notional</vt:lpstr>
      <vt:lpstr>Number_Of_Tenors</vt:lpstr>
      <vt:lpstr>Calculations!ParSpreadLegPVDifference</vt:lpstr>
      <vt:lpstr>Calculations!Payment_Delay</vt:lpstr>
      <vt:lpstr>PaymentFrequency</vt:lpstr>
      <vt:lpstr>Calculations!PiecewiseHazardRateDifference</vt:lpstr>
      <vt:lpstr>Calculations!QuotedSpreadInput</vt:lpstr>
      <vt:lpstr>Calculations!QuotedSpreadLegPVDifference</vt:lpstr>
      <vt:lpstr>RecoveryRate</vt:lpstr>
      <vt:lpstr>RollDay</vt:lpstr>
      <vt:lpstr>Calculations!RollUserSpecifiedDates</vt:lpstr>
      <vt:lpstr>Calculations!StubType</vt:lpstr>
      <vt:lpstr>Calculations!Upfront_Fee_Applied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Shasa Foster</cp:lastModifiedBy>
  <dcterms:created xsi:type="dcterms:W3CDTF">2024-05-25T00:33:18Z</dcterms:created>
  <dcterms:modified xsi:type="dcterms:W3CDTF">2024-08-26T12:35:26Z</dcterms:modified>
</cp:coreProperties>
</file>