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sa\Documents\FRM_PUBLIC\excel_models\"/>
    </mc:Choice>
  </mc:AlternateContent>
  <xr:revisionPtr revIDLastSave="0" documentId="13_ncr:1_{5C3AC5B9-5F46-48D6-9BCF-723E368631BC}" xr6:coauthVersionLast="47" xr6:coauthVersionMax="47" xr10:uidLastSave="{00000000-0000-0000-0000-000000000000}"/>
  <bookViews>
    <workbookView xWindow="-120" yWindow="-120" windowWidth="29040" windowHeight="15720" xr2:uid="{F7B801BB-B756-4A6A-8463-0A5FB6AC6C0A}"/>
  </bookViews>
  <sheets>
    <sheet name="Array Formulae" sheetId="14" r:id="rId1"/>
    <sheet name="DataValidation" sheetId="15" state="hidden" r:id="rId2"/>
  </sheets>
  <functionGroups builtInGroupCount="19"/>
  <definedNames>
    <definedName name="_xlpm.c" hidden="1" xlm="1">#NAME?</definedName>
    <definedName name="_xlpm.co" hidden="1" xlm="1">#NAME?</definedName>
    <definedName name="_xlpm.col" hidden="1" xlm="1">#NAME?</definedName>
    <definedName name="_xlpm.cols" hidden="1" xlm="1">#NAME?</definedName>
    <definedName name="_xlpm.colu" hidden="1" xlm="1">#NAME?</definedName>
    <definedName name="_xlpm.colum" hidden="1" xlm="1">#NAME?</definedName>
    <definedName name="_xlpm.column" hidden="1" xlm="1">#NAME?</definedName>
    <definedName name="_xlpm.colun" hidden="1" xlm="1">#NAME?</definedName>
    <definedName name="_xlpm.matrix" hidden="1" xlm="1">#NAME?</definedName>
    <definedName name="_xlpm.row" hidden="1" xlm="1">#NAME?</definedName>
    <definedName name="Freq">'Array Formulae'!$C$7</definedName>
    <definedName name="MaxTenor">'Array Formulae'!$C$10</definedName>
    <definedName name="NbPeriods">'Array Formulae'!$C$13</definedName>
    <definedName name="Par">'Array Formulae'!$C$6</definedName>
    <definedName name="PeriodLength">'Array Formulae'!$C$12</definedName>
    <definedName name="PeriodsPerYear">'Array Formulae'!$C$11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4" l="1"/>
  <c r="G11" i="14" s="1"/>
  <c r="C10" i="14"/>
  <c r="C11" i="14" a="1"/>
  <c r="C11" i="14" s="1"/>
  <c r="C12" i="14" s="1"/>
  <c r="C13" i="14" s="1"/>
  <c r="M10" i="14" a="1"/>
  <c r="I12" i="14" a="1"/>
  <c r="I12" i="14" l="1"/>
  <c r="M10" i="14"/>
  <c r="J12" i="14" a="1"/>
  <c r="J12" i="14" s="1"/>
  <c r="M9" i="14" a="1"/>
  <c r="M9" i="14" s="1"/>
  <c r="M8" i="14" a="1"/>
  <c r="M8" i="14" l="1"/>
  <c r="M2" i="14" a="1"/>
  <c r="M2" i="14" s="1"/>
  <c r="E12" i="14" a="1"/>
  <c r="E12" i="14" s="1"/>
  <c r="C8" i="14" l="1"/>
  <c r="M3" i="14" l="1" a="1"/>
  <c r="M3" i="14"/>
  <c r="C4" i="14"/>
  <c r="M4" i="14" a="1"/>
  <c r="M4" i="14"/>
  <c r="M5" i="14" a="1"/>
  <c r="M5" i="14"/>
  <c r="M6" i="14" a="1"/>
  <c r="M6" i="14"/>
  <c r="M11" i="14" a="1"/>
  <c r="M11" i="14"/>
  <c r="F12" i="14" a="1"/>
  <c r="F12" i="14"/>
  <c r="G12" i="14" a="1"/>
  <c r="G12" i="14"/>
  <c r="H12" i="14" a="1"/>
  <c r="H12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<sst xmlns="http://schemas.openxmlformats.org/spreadsheetml/2006/main" count="31" uniqueCount="26">
  <si>
    <t>Par Rate</t>
  </si>
  <si>
    <t>Tenor</t>
  </si>
  <si>
    <t># Periods</t>
  </si>
  <si>
    <t>Period Length</t>
  </si>
  <si>
    <t>Years</t>
  </si>
  <si>
    <t>Period #</t>
  </si>
  <si>
    <t>CCZR</t>
  </si>
  <si>
    <t>Discount Factor</t>
  </si>
  <si>
    <t># Periods per year</t>
  </si>
  <si>
    <t>#</t>
  </si>
  <si>
    <t>Max Tenor</t>
  </si>
  <si>
    <t>Valuation Date</t>
  </si>
  <si>
    <t>M</t>
  </si>
  <si>
    <t>Coupon Frequency</t>
  </si>
  <si>
    <t>Check</t>
  </si>
  <si>
    <t>Par Value</t>
  </si>
  <si>
    <t>Result check</t>
  </si>
  <si>
    <t>Coupons (discounted)</t>
  </si>
  <si>
    <t>Formula/calulation output</t>
  </si>
  <si>
    <t>Terminal (undiscounted)</t>
  </si>
  <si>
    <r>
      <t xml:space="preserve">This is a par bond bootstrapper. The bootstrapping is performed on a 30/360 bond basis where each coupon period has the exact same length. There is no consideration of weekends or holidays. 
</t>
    </r>
    <r>
      <rPr>
        <b/>
        <sz val="9"/>
        <color theme="1"/>
        <rFont val="Arial"/>
        <family val="2"/>
      </rPr>
      <t>Warning</t>
    </r>
    <r>
      <rPr>
        <sz val="9"/>
        <color theme="1"/>
        <rFont val="Arial"/>
        <family val="2"/>
      </rPr>
      <t xml:space="preserve"> - circular references are enabled to allow for an array formula implementation. See Excel Options &gt; Formulas &gt; Enable iterative calculation.</t>
    </r>
  </si>
  <si>
    <t>User input  / key input assumptions</t>
  </si>
  <si>
    <t>A</t>
  </si>
  <si>
    <t>S</t>
  </si>
  <si>
    <t>Q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</si>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</sst>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#,##0_-;\(#,##0\)_-;\-_-"/>
    <numFmt numFmtId="165" formatCode="_-* #,##0.0000_-;\-* #,##0.0000_-;_-* &quot;-&quot;??_-;_-@_-"/>
    <numFmt numFmtId="166" formatCode="_-* #,##0.000_-;\-* #,##0.000_-;_-* &quot;-&quot;??_-;_-@_-"/>
    <numFmt numFmtId="167" formatCode="0.0000%"/>
    <numFmt numFmtId="168" formatCode="0.000%"/>
    <numFmt numFmtId="169" formatCode="d\-mmm\-yyyy_-;;"/>
    <numFmt numFmtId="170" formatCode="_-* #,##0_-;\-* #,##0_-;_-* &quot;-&quot;??_-;_-@_-"/>
    <numFmt numFmtId="171" formatCode="_-* #,##0.00000_-;\-* #,##0.00000_-;_-* &quot;-&quot;??_-;_-@_-"/>
  </numFmts>
  <fonts count="7" x14ac:knownFonts="1"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0"/>
      <name val="Arial"/>
      <family val="2"/>
    </font>
    <font>
      <sz val="9"/>
      <color rgb="FF0070C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5">
    <xf numFmtId="0" fontId="0" fillId="0" borderId="0" xfId="0"/>
    <xf numFmtId="165" fontId="0" fillId="0" borderId="0" xfId="1" applyNumberFormat="1" applyFont="1"/>
    <xf numFmtId="166" fontId="0" fillId="0" borderId="0" xfId="1" applyNumberFormat="1" applyFont="1"/>
    <xf numFmtId="167" fontId="0" fillId="0" borderId="0" xfId="2" applyNumberFormat="1" applyFont="1"/>
    <xf numFmtId="168" fontId="4" fillId="3" borderId="0" xfId="2" applyNumberFormat="1" applyFont="1" applyFill="1"/>
    <xf numFmtId="0" fontId="4" fillId="3" borderId="0" xfId="0" applyFont="1" applyFill="1"/>
    <xf numFmtId="164" fontId="0" fillId="0" borderId="0" xfId="0" applyNumberFormat="1"/>
    <xf numFmtId="43" fontId="0" fillId="0" borderId="0" xfId="1" applyFont="1" applyAlignment="1">
      <alignment horizontal="left" indent="1"/>
    </xf>
    <xf numFmtId="166" fontId="0" fillId="0" borderId="1" xfId="1" applyNumberFormat="1" applyFont="1" applyBorder="1"/>
    <xf numFmtId="0" fontId="0" fillId="0" borderId="1" xfId="0" applyBorder="1"/>
    <xf numFmtId="167" fontId="0" fillId="0" borderId="1" xfId="2" applyNumberFormat="1" applyFont="1" applyBorder="1"/>
    <xf numFmtId="165" fontId="0" fillId="0" borderId="1" xfId="1" applyNumberFormat="1" applyFont="1" applyBorder="1"/>
    <xf numFmtId="164" fontId="0" fillId="0" borderId="1" xfId="0" applyNumberFormat="1" applyBorder="1"/>
    <xf numFmtId="43" fontId="0" fillId="0" borderId="0" xfId="1" applyFont="1"/>
    <xf numFmtId="169" fontId="4" fillId="3" borderId="0" xfId="0" applyNumberFormat="1" applyFont="1" applyFill="1"/>
    <xf numFmtId="168" fontId="0" fillId="0" borderId="0" xfId="2" applyNumberFormat="1" applyFont="1"/>
    <xf numFmtId="170" fontId="5" fillId="0" borderId="0" xfId="1" applyNumberFormat="1" applyFont="1" applyFill="1" applyBorder="1" applyAlignment="1">
      <alignment horizontal="center" vertical="center"/>
    </xf>
    <xf numFmtId="170" fontId="5" fillId="0" borderId="0" xfId="1" applyNumberFormat="1" applyFont="1" applyFill="1" applyBorder="1" applyAlignment="1">
      <alignment horizontal="left" vertical="center"/>
    </xf>
    <xf numFmtId="170" fontId="6" fillId="3" borderId="0" xfId="1" applyNumberFormat="1" applyFont="1" applyFill="1" applyBorder="1" applyAlignment="1">
      <alignment horizontal="center" vertical="center"/>
    </xf>
    <xf numFmtId="171" fontId="0" fillId="0" borderId="0" xfId="1" applyNumberFormat="1" applyFont="1"/>
    <xf numFmtId="0" fontId="0" fillId="0" borderId="0" xfId="0" applyAlignment="1">
      <alignment horizontal="left"/>
    </xf>
    <xf numFmtId="0" fontId="3" fillId="2" borderId="0" xfId="0" applyFont="1" applyFill="1"/>
    <xf numFmtId="167" fontId="0" fillId="0" borderId="0" xfId="2" applyNumberFormat="1" applyFont="1" applyAlignment="1">
      <alignment horizontal="left" vertical="top" wrapText="1"/>
    </xf>
    <xf numFmtId="169" fontId="4" fillId="3" borderId="0" xfId="0" applyNumberFormat="1" applyFont="1" applyFill="1" applyAlignment="1">
      <alignment horizontal="left"/>
    </xf>
    <xf numFmtId="0" fontId="0" fillId="0" borderId="0" xfId="0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16">
    <dxf>
      <font>
        <strike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numFmt numFmtId="168" formatCode="0.0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EEA8B9-5734-4B88-973C-136EF9B7A1D1}" name="RateInput" displayName="RateInput" ref="B15:C21" totalsRowShown="0" headerRowDxfId="3" dataDxfId="2">
  <autoFilter ref="B15:C21" xr:uid="{17154483-E08B-4375-B994-45F8281A5594}"/>
  <tableColumns count="2">
    <tableColumn id="1" xr3:uid="{4B57282F-815E-487B-9770-1519E262B5C9}" name="Tenor" dataDxfId="1"/>
    <tableColumn id="2" xr3:uid="{38B1F217-F20A-4678-AC08-1F3A35CCCD3B}" name="Par Rate" dataDxfId="0" dataCellStyle="Percent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4F9DC-71FE-4605-9C05-2FFF50153069}">
  <sheetPr codeName="Sheet1"/>
  <dimension ref="A1:BT71"/>
  <sheetViews>
    <sheetView tabSelected="1" workbookViewId="0">
      <selection activeCell="C21" sqref="C21"/>
    </sheetView>
  </sheetViews>
  <sheetFormatPr defaultRowHeight="12" x14ac:dyDescent="0.2"/>
  <cols>
    <col min="1" max="1" width="3.42578125" customWidth="1"/>
    <col min="2" max="2" width="16" bestFit="1" customWidth="1"/>
    <col min="3" max="3" width="11.7109375" bestFit="1" customWidth="1"/>
    <col min="4" max="4" width="9" bestFit="1" customWidth="1"/>
    <col min="5" max="5" width="8" style="3" bestFit="1" customWidth="1"/>
    <col min="6" max="6" width="14.5703125" style="1" bestFit="1" customWidth="1"/>
    <col min="7" max="7" width="8" style="3" bestFit="1" customWidth="1"/>
    <col min="8" max="8" width="8.85546875" style="3" customWidth="1"/>
    <col min="9" max="9" width="7.5703125" bestFit="1" customWidth="1"/>
    <col min="10" max="10" width="6.7109375" style="2" bestFit="1" customWidth="1"/>
    <col min="11" max="11" width="9.5703125" bestFit="1" customWidth="1"/>
    <col min="12" max="12" width="20.5703125" bestFit="1" customWidth="1"/>
    <col min="13" max="72" width="9.5703125" style="1" bestFit="1" customWidth="1"/>
    <col min="73" max="16384" width="9.140625" style="1"/>
  </cols>
  <sheetData>
    <row r="1" spans="1:72" customFormat="1" x14ac:dyDescent="0.2">
      <c r="E1" s="3"/>
      <c r="F1" s="1"/>
      <c r="G1" s="3"/>
      <c r="H1" s="3"/>
      <c r="J1" s="2"/>
    </row>
    <row r="2" spans="1:72" x14ac:dyDescent="0.2">
      <c r="B2" s="23" t="s">
        <v>21</v>
      </c>
      <c r="C2" s="23"/>
      <c r="E2" s="22" t="s">
        <v>20</v>
      </c>
      <c r="F2" s="22"/>
      <c r="G2" s="22"/>
      <c r="H2" s="22"/>
      <c r="I2" s="22"/>
      <c r="J2" s="22"/>
      <c r="L2" s="20" t="s">
        <v>19</v>
      </c>
      <c r="M2" s="1" cm="1">
        <f t="array" ref="M2:BT2">Par+Par*_xlfn.ANCHORARRAY($M8)*PeriodLength</f>
        <v>100.41666666666667</v>
      </c>
      <c r="N2" s="1">
        <v>100.41666666666667</v>
      </c>
      <c r="O2" s="1">
        <v>100.41666666666667</v>
      </c>
      <c r="P2" s="1">
        <v>100.41666666666667</v>
      </c>
      <c r="Q2" s="1">
        <v>100.41666666666667</v>
      </c>
      <c r="R2" s="1">
        <v>100.41666666666667</v>
      </c>
      <c r="S2" s="1">
        <v>100.41666666666667</v>
      </c>
      <c r="T2" s="1">
        <v>100.41666666666667</v>
      </c>
      <c r="U2" s="1">
        <v>100.41666666666667</v>
      </c>
      <c r="V2" s="1">
        <v>100.41666666666667</v>
      </c>
      <c r="W2" s="1">
        <v>100.41666666666667</v>
      </c>
      <c r="X2" s="1">
        <v>100.41666666666667</v>
      </c>
      <c r="Y2" s="1">
        <v>100.41666666666667</v>
      </c>
      <c r="Z2" s="1">
        <v>100.41666666666667</v>
      </c>
      <c r="AA2" s="1">
        <v>100.41666666666667</v>
      </c>
      <c r="AB2" s="1">
        <v>100.41666666666667</v>
      </c>
      <c r="AC2" s="1">
        <v>100.41666666666667</v>
      </c>
      <c r="AD2" s="1">
        <v>100.41666666666667</v>
      </c>
      <c r="AE2" s="1">
        <v>100.41666666666667</v>
      </c>
      <c r="AF2" s="1">
        <v>100.41666666666667</v>
      </c>
      <c r="AG2" s="1">
        <v>100.41666666666667</v>
      </c>
      <c r="AH2" s="1">
        <v>100.41666666666667</v>
      </c>
      <c r="AI2" s="1">
        <v>100.41666666666667</v>
      </c>
      <c r="AJ2" s="1">
        <v>100.41666666666667</v>
      </c>
      <c r="AK2" s="1">
        <v>100.41666666666667</v>
      </c>
      <c r="AL2" s="1">
        <v>100.41666666666667</v>
      </c>
      <c r="AM2" s="1">
        <v>100.41666666666667</v>
      </c>
      <c r="AN2" s="1">
        <v>100.41666666666667</v>
      </c>
      <c r="AO2" s="1">
        <v>100.41666666666667</v>
      </c>
      <c r="AP2" s="1">
        <v>100.41666666666667</v>
      </c>
      <c r="AQ2" s="1">
        <v>100.41666666666667</v>
      </c>
      <c r="AR2" s="1">
        <v>100.41666666666667</v>
      </c>
      <c r="AS2" s="1">
        <v>100.41666666666667</v>
      </c>
      <c r="AT2" s="1">
        <v>100.41666666666667</v>
      </c>
      <c r="AU2" s="1">
        <v>100.41666666666667</v>
      </c>
      <c r="AV2" s="1">
        <v>100.41666666666667</v>
      </c>
      <c r="AW2" s="1">
        <v>100.41666666666667</v>
      </c>
      <c r="AX2" s="1">
        <v>100.41666666666667</v>
      </c>
      <c r="AY2" s="1">
        <v>100.41666666666667</v>
      </c>
      <c r="AZ2" s="1">
        <v>100.41666666666667</v>
      </c>
      <c r="BA2" s="1">
        <v>100.41666666666667</v>
      </c>
      <c r="BB2" s="1">
        <v>100.41666666666667</v>
      </c>
      <c r="BC2" s="1">
        <v>100.41666666666667</v>
      </c>
      <c r="BD2" s="1">
        <v>100.41666666666667</v>
      </c>
      <c r="BE2" s="1">
        <v>100.41666666666667</v>
      </c>
      <c r="BF2" s="1">
        <v>100.41666666666667</v>
      </c>
      <c r="BG2" s="1">
        <v>100.41666666666667</v>
      </c>
      <c r="BH2" s="1">
        <v>100.41666666666667</v>
      </c>
      <c r="BI2" s="1">
        <v>100.41666666666667</v>
      </c>
      <c r="BJ2" s="1">
        <v>100.41666666666667</v>
      </c>
      <c r="BK2" s="1">
        <v>100.41666666666667</v>
      </c>
      <c r="BL2" s="1">
        <v>100.41666666666667</v>
      </c>
      <c r="BM2" s="1">
        <v>100.41666666666667</v>
      </c>
      <c r="BN2" s="1">
        <v>100.41666666666667</v>
      </c>
      <c r="BO2" s="1">
        <v>100.41666666666667</v>
      </c>
      <c r="BP2" s="1">
        <v>100.41666666666667</v>
      </c>
      <c r="BQ2" s="1">
        <v>100.41666666666667</v>
      </c>
      <c r="BR2" s="1">
        <v>100.41666666666667</v>
      </c>
      <c r="BS2" s="1">
        <v>100.41666666666667</v>
      </c>
      <c r="BT2" s="1">
        <v>100.41666666666667</v>
      </c>
    </row>
    <row r="3" spans="1:72" x14ac:dyDescent="0.2">
      <c r="B3" s="24" t="s">
        <v>18</v>
      </c>
      <c r="C3" s="24"/>
      <c r="E3" s="22"/>
      <c r="F3" s="22"/>
      <c r="G3" s="22"/>
      <c r="H3" s="22"/>
      <c r="I3" s="22"/>
      <c r="J3" s="22"/>
      <c r="L3" s="20" t="s">
        <v>17</v>
      </c>
      <c r="M3" s="1" cm="1">
        <f t="array" aca="1" ref="M3:BT3" ca="1">TRANSPOSE(_xlfn.LET(
    _xlpm.matrix,_xlfn.ANCHORARRAY( M11),
    _xlfn.BYROW(TRANSPOSE(_xlpm.matrix), _xlfn.LAMBDA(_xlpm.column, SUM(_xlpm.column)))
))</f>
        <v>0</v>
      </c>
      <c r="N3" s="1">
        <f ca="1"/>
        <v>0.41493775933609955</v>
      </c>
      <c r="O3" s="1">
        <f ca="1"/>
        <v>0.82815378523097039</v>
      </c>
      <c r="P3" s="1">
        <f ca="1"/>
        <v>1.2396552218067753</v>
      </c>
      <c r="Q3" s="1">
        <f ca="1"/>
        <v>1.6494491835420169</v>
      </c>
      <c r="R3" s="1">
        <f ca="1"/>
        <v>2.0575427553945396</v>
      </c>
      <c r="S3" s="1">
        <f ca="1"/>
        <v>2.4639429929240229</v>
      </c>
      <c r="T3" s="1">
        <f ca="1"/>
        <v>2.8686569224139644</v>
      </c>
      <c r="U3" s="1">
        <f ca="1"/>
        <v>3.2716915409931593</v>
      </c>
      <c r="V3" s="1">
        <f ca="1"/>
        <v>3.6730538167566729</v>
      </c>
      <c r="W3" s="1">
        <f ca="1"/>
        <v>4.0727506888863134</v>
      </c>
      <c r="X3" s="1">
        <f ca="1"/>
        <v>4.4707890677706024</v>
      </c>
      <c r="Y3" s="1">
        <f ca="1"/>
        <v>4.8671758351242511</v>
      </c>
      <c r="Z3" s="1">
        <f ca="1"/>
        <v>5.2619178441071384</v>
      </c>
      <c r="AA3" s="1">
        <f ca="1"/>
        <v>5.6550219194427935</v>
      </c>
      <c r="AB3" s="1">
        <f ca="1"/>
        <v>6.0464948575363913</v>
      </c>
      <c r="AC3" s="1">
        <f ca="1"/>
        <v>6.4363434265922566</v>
      </c>
      <c r="AD3" s="1">
        <f ca="1"/>
        <v>6.8245743667308778</v>
      </c>
      <c r="AE3" s="1">
        <f ca="1"/>
        <v>7.2111943901054385</v>
      </c>
      <c r="AF3" s="1">
        <f ca="1"/>
        <v>7.5962101810178639</v>
      </c>
      <c r="AG3" s="1">
        <f ca="1"/>
        <v>7.9796283960343874</v>
      </c>
      <c r="AH3" s="1">
        <f ca="1"/>
        <v>8.3614556641006352</v>
      </c>
      <c r="AI3" s="1">
        <f ca="1"/>
        <v>8.7416985866562342</v>
      </c>
      <c r="AJ3" s="1">
        <f ca="1"/>
        <v>9.1203637377489475</v>
      </c>
      <c r="AK3" s="1">
        <f ca="1"/>
        <v>9.4974576641483299</v>
      </c>
      <c r="AL3" s="1">
        <f ca="1"/>
        <v>9.8729868854589178</v>
      </c>
      <c r="AM3" s="1">
        <f ca="1"/>
        <v>10.246957894232947</v>
      </c>
      <c r="AN3" s="1">
        <f ca="1"/>
        <v>10.619377156082603</v>
      </c>
      <c r="AO3" s="1">
        <f ca="1"/>
        <v>10.990251109791803</v>
      </c>
      <c r="AP3" s="1">
        <f ca="1"/>
        <v>11.359586167427521</v>
      </c>
      <c r="AQ3" s="1">
        <f ca="1"/>
        <v>11.727388714450644</v>
      </c>
      <c r="AR3" s="1">
        <f ca="1"/>
        <v>12.093665109826366</v>
      </c>
      <c r="AS3" s="1">
        <f ca="1"/>
        <v>12.458421686134141</v>
      </c>
      <c r="AT3" s="1">
        <f ca="1"/>
        <v>12.821664749677153</v>
      </c>
      <c r="AU3" s="1">
        <f ca="1"/>
        <v>13.183400580591355</v>
      </c>
      <c r="AV3" s="1">
        <f ca="1"/>
        <v>13.543635432954046</v>
      </c>
      <c r="AW3" s="1">
        <f ca="1"/>
        <v>13.902375534891997</v>
      </c>
      <c r="AX3" s="1">
        <f ca="1"/>
        <v>14.259627088689125</v>
      </c>
      <c r="AY3" s="1">
        <f ca="1"/>
        <v>14.615396270893735</v>
      </c>
      <c r="AZ3" s="1">
        <f ca="1"/>
        <v>14.969689232425296</v>
      </c>
      <c r="BA3" s="1">
        <f ca="1"/>
        <v>15.322512098680793</v>
      </c>
      <c r="BB3" s="1">
        <f ca="1"/>
        <v>15.673870969640623</v>
      </c>
      <c r="BC3" s="1">
        <f ca="1"/>
        <v>16.023771919974063</v>
      </c>
      <c r="BD3" s="1">
        <f ca="1"/>
        <v>16.372220999144297</v>
      </c>
      <c r="BE3" s="1">
        <f ca="1"/>
        <v>16.719224231512992</v>
      </c>
      <c r="BF3" s="1">
        <f ca="1"/>
        <v>17.064787616444473</v>
      </c>
      <c r="BG3" s="1">
        <f ca="1"/>
        <v>17.408917128409435</v>
      </c>
      <c r="BH3" s="1">
        <f ca="1"/>
        <v>17.751618717088235</v>
      </c>
      <c r="BI3" s="1">
        <f ca="1"/>
        <v>18.09289830747376</v>
      </c>
      <c r="BJ3" s="1">
        <f ca="1"/>
        <v>18.432761799973868</v>
      </c>
      <c r="BK3" s="1">
        <f ca="1"/>
        <v>18.771215070513396</v>
      </c>
      <c r="BL3" s="1">
        <f ca="1"/>
        <v>19.108263970635747</v>
      </c>
      <c r="BM3" s="1">
        <f ca="1"/>
        <v>19.443914327604062</v>
      </c>
      <c r="BN3" s="1">
        <f ca="1"/>
        <v>19.77817194450197</v>
      </c>
      <c r="BO3" s="1">
        <f ca="1"/>
        <v>20.111042600333914</v>
      </c>
      <c r="BP3" s="1">
        <f ca="1"/>
        <v>20.44253205012506</v>
      </c>
      <c r="BQ3" s="1">
        <f ca="1"/>
        <v>20.772646025020805</v>
      </c>
      <c r="BR3" s="1">
        <f ca="1"/>
        <v>21.101390232385864</v>
      </c>
      <c r="BS3" s="1">
        <f ca="1"/>
        <v>21.428770355902934</v>
      </c>
      <c r="BT3" s="1">
        <f ca="1"/>
        <v>21.754792055670972</v>
      </c>
    </row>
    <row r="4" spans="1:72" s="3" customFormat="1" ht="12.75" x14ac:dyDescent="0.2">
      <c r="A4"/>
      <c r="B4" s="3" t="s">
        <v>16</v>
      </c>
      <c r="C4" s="16" t="b">
        <f ca="1">AND(_xlfn.ANCHORARRAY(M6))</f>
        <v>1</v>
      </c>
      <c r="D4"/>
      <c r="E4" s="22"/>
      <c r="F4" s="22"/>
      <c r="G4" s="22"/>
      <c r="H4" s="22"/>
      <c r="I4" s="22"/>
      <c r="J4" s="22"/>
      <c r="K4"/>
      <c r="L4" s="20" t="str">
        <f>"NA"&amp;Freq&amp;"C"</f>
        <v>NAMC</v>
      </c>
      <c r="M4" s="3" cm="1">
        <f t="array" aca="1" ref="M4:BT4" ca="1">IF(_xlfn.ANCHORARRAY(M10)=1,_xlfn.ANCHORARRAY(M8),((_xlfn.ANCHORARRAY(M2)/(Par-_xlfn.ANCHORARRAY(M3)))^(1/_xlfn.ANCHORARRAY(M10))-1)*PeriodsPerYear)</f>
        <v>0.05</v>
      </c>
      <c r="N4" s="3">
        <f ca="1"/>
        <v>4.9999999999999822E-2</v>
      </c>
      <c r="O4" s="3">
        <f ca="1"/>
        <v>4.9999999999999822E-2</v>
      </c>
      <c r="P4" s="3">
        <f ca="1"/>
        <v>4.9999999999999822E-2</v>
      </c>
      <c r="Q4" s="3">
        <f ca="1"/>
        <v>4.9999999999999822E-2</v>
      </c>
      <c r="R4" s="3">
        <f ca="1"/>
        <v>4.9999999999999822E-2</v>
      </c>
      <c r="S4" s="3">
        <f ca="1"/>
        <v>4.9999999999999822E-2</v>
      </c>
      <c r="T4" s="3">
        <f ca="1"/>
        <v>4.9999999999999822E-2</v>
      </c>
      <c r="U4" s="3">
        <f ca="1"/>
        <v>4.9999999999999822E-2</v>
      </c>
      <c r="V4" s="3">
        <f ca="1"/>
        <v>4.9999999999999822E-2</v>
      </c>
      <c r="W4" s="3">
        <f ca="1"/>
        <v>4.9999999999999822E-2</v>
      </c>
      <c r="X4" s="3">
        <f ca="1"/>
        <v>4.9999999999999822E-2</v>
      </c>
      <c r="Y4" s="3">
        <f ca="1"/>
        <v>4.9999999999999822E-2</v>
      </c>
      <c r="Z4" s="3">
        <f ca="1"/>
        <v>4.9999999999999822E-2</v>
      </c>
      <c r="AA4" s="3">
        <f ca="1"/>
        <v>4.9999999999999822E-2</v>
      </c>
      <c r="AB4" s="3">
        <f ca="1"/>
        <v>4.9999999999999822E-2</v>
      </c>
      <c r="AC4" s="3">
        <f ca="1"/>
        <v>4.9999999999999822E-2</v>
      </c>
      <c r="AD4" s="3">
        <f ca="1"/>
        <v>4.9999999999999822E-2</v>
      </c>
      <c r="AE4" s="3">
        <f ca="1"/>
        <v>4.9999999999999822E-2</v>
      </c>
      <c r="AF4" s="3">
        <f ca="1"/>
        <v>4.9999999999999822E-2</v>
      </c>
      <c r="AG4" s="3">
        <f ca="1"/>
        <v>4.9999999999999822E-2</v>
      </c>
      <c r="AH4" s="3">
        <f ca="1"/>
        <v>4.9999999999999822E-2</v>
      </c>
      <c r="AI4" s="3">
        <f ca="1"/>
        <v>4.9999999999999822E-2</v>
      </c>
      <c r="AJ4" s="3">
        <f ca="1"/>
        <v>4.9999999999999822E-2</v>
      </c>
      <c r="AK4" s="3">
        <f ca="1"/>
        <v>4.9999999999999822E-2</v>
      </c>
      <c r="AL4" s="3">
        <f ca="1"/>
        <v>4.9999999999999822E-2</v>
      </c>
      <c r="AM4" s="3">
        <f ca="1"/>
        <v>4.9999999999999822E-2</v>
      </c>
      <c r="AN4" s="3">
        <f ca="1"/>
        <v>4.9999999999999822E-2</v>
      </c>
      <c r="AO4" s="3">
        <f ca="1"/>
        <v>4.9999999999999822E-2</v>
      </c>
      <c r="AP4" s="3">
        <f ca="1"/>
        <v>4.9999999999999822E-2</v>
      </c>
      <c r="AQ4" s="3">
        <f ca="1"/>
        <v>4.9999999999999822E-2</v>
      </c>
      <c r="AR4" s="3">
        <f ca="1"/>
        <v>4.9999999999999822E-2</v>
      </c>
      <c r="AS4" s="3">
        <f ca="1"/>
        <v>4.9999999999999822E-2</v>
      </c>
      <c r="AT4" s="3">
        <f ca="1"/>
        <v>4.9999999999999822E-2</v>
      </c>
      <c r="AU4" s="3">
        <f ca="1"/>
        <v>4.9999999999999822E-2</v>
      </c>
      <c r="AV4" s="3">
        <f ca="1"/>
        <v>4.9999999999999822E-2</v>
      </c>
      <c r="AW4" s="3">
        <f ca="1"/>
        <v>4.9999999999999822E-2</v>
      </c>
      <c r="AX4" s="3">
        <f ca="1"/>
        <v>4.9999999999999822E-2</v>
      </c>
      <c r="AY4" s="3">
        <f ca="1"/>
        <v>4.9999999999999822E-2</v>
      </c>
      <c r="AZ4" s="3">
        <f ca="1"/>
        <v>4.9999999999999822E-2</v>
      </c>
      <c r="BA4" s="3">
        <f ca="1"/>
        <v>4.9999999999999822E-2</v>
      </c>
      <c r="BB4" s="3">
        <f ca="1"/>
        <v>4.9999999999999822E-2</v>
      </c>
      <c r="BC4" s="3">
        <f ca="1"/>
        <v>4.9999999999999822E-2</v>
      </c>
      <c r="BD4" s="3">
        <f ca="1"/>
        <v>4.9999999999999822E-2</v>
      </c>
      <c r="BE4" s="3">
        <f ca="1"/>
        <v>4.9999999999999822E-2</v>
      </c>
      <c r="BF4" s="3">
        <f ca="1"/>
        <v>4.9999999999999822E-2</v>
      </c>
      <c r="BG4" s="3">
        <f ca="1"/>
        <v>4.9999999999999822E-2</v>
      </c>
      <c r="BH4" s="3">
        <f ca="1"/>
        <v>4.9999999999999822E-2</v>
      </c>
      <c r="BI4" s="3">
        <f ca="1"/>
        <v>4.9999999999999822E-2</v>
      </c>
      <c r="BJ4" s="3">
        <f ca="1"/>
        <v>4.9999999999999822E-2</v>
      </c>
      <c r="BK4" s="3">
        <f ca="1"/>
        <v>4.9999999999999822E-2</v>
      </c>
      <c r="BL4" s="3">
        <f ca="1"/>
        <v>4.9999999999999822E-2</v>
      </c>
      <c r="BM4" s="3">
        <f ca="1"/>
        <v>4.9999999999999822E-2</v>
      </c>
      <c r="BN4" s="3">
        <f ca="1"/>
        <v>4.9999999999999822E-2</v>
      </c>
      <c r="BO4" s="3">
        <f ca="1"/>
        <v>4.9999999999999822E-2</v>
      </c>
      <c r="BP4" s="3">
        <f ca="1"/>
        <v>4.9999999999999822E-2</v>
      </c>
      <c r="BQ4" s="3">
        <f ca="1"/>
        <v>4.9999999999999822E-2</v>
      </c>
      <c r="BR4" s="3">
        <f ca="1"/>
        <v>4.9999999999999822E-2</v>
      </c>
      <c r="BS4" s="3">
        <f ca="1"/>
        <v>4.9999999999999822E-2</v>
      </c>
      <c r="BT4" s="3">
        <f ca="1"/>
        <v>4.9999999999999822E-2</v>
      </c>
    </row>
    <row r="5" spans="1:72" s="19" customFormat="1" x14ac:dyDescent="0.2">
      <c r="A5"/>
      <c r="D5"/>
      <c r="E5" s="22"/>
      <c r="F5" s="22"/>
      <c r="G5" s="22"/>
      <c r="H5" s="22"/>
      <c r="I5" s="22"/>
      <c r="J5" s="22"/>
      <c r="K5"/>
      <c r="L5" s="20" t="s">
        <v>7</v>
      </c>
      <c r="M5" s="19" cm="1">
        <f t="array" aca="1" ref="M5:BT5" ca="1">(1+_xlfn.ANCHORARRAY(M4)/PeriodsPerYear)^(-_xlfn.ANCHORARRAY(M10))</f>
        <v>0.99585062240663902</v>
      </c>
      <c r="N5" s="19">
        <f ca="1"/>
        <v>0.99171846214769022</v>
      </c>
      <c r="O5" s="19">
        <f ca="1"/>
        <v>0.9876034477819321</v>
      </c>
      <c r="P5" s="19">
        <f ca="1"/>
        <v>0.98350550816457971</v>
      </c>
      <c r="Q5" s="19">
        <f ca="1"/>
        <v>0.97942457244605463</v>
      </c>
      <c r="R5" s="19">
        <f ca="1"/>
        <v>0.97536057007075971</v>
      </c>
      <c r="S5" s="19">
        <f ca="1"/>
        <v>0.97131343077586008</v>
      </c>
      <c r="T5" s="19">
        <f ca="1"/>
        <v>0.96728308459006829</v>
      </c>
      <c r="U5" s="19">
        <f ca="1"/>
        <v>0.96326946183243312</v>
      </c>
      <c r="V5" s="19">
        <f ca="1"/>
        <v>0.9592724931111366</v>
      </c>
      <c r="W5" s="19">
        <f ca="1"/>
        <v>0.9552921093222938</v>
      </c>
      <c r="X5" s="19">
        <f ca="1"/>
        <v>0.95132824164875729</v>
      </c>
      <c r="Y5" s="19">
        <f ca="1"/>
        <v>0.94738082155892855</v>
      </c>
      <c r="Z5" s="19">
        <f ca="1"/>
        <v>0.94344978080557196</v>
      </c>
      <c r="AA5" s="19">
        <f ca="1"/>
        <v>0.93953505142463567</v>
      </c>
      <c r="AB5" s="19">
        <f ca="1"/>
        <v>0.93563656573407716</v>
      </c>
      <c r="AC5" s="19">
        <f ca="1"/>
        <v>0.93175425633269093</v>
      </c>
      <c r="AD5" s="19">
        <f ca="1"/>
        <v>0.92788805609894542</v>
      </c>
      <c r="AE5" s="19">
        <f ca="1"/>
        <v>0.92403789818982107</v>
      </c>
      <c r="AF5" s="19">
        <f ca="1"/>
        <v>0.92020371603965578</v>
      </c>
      <c r="AG5" s="19">
        <f ca="1"/>
        <v>0.9163854433589933</v>
      </c>
      <c r="AH5" s="19">
        <f ca="1"/>
        <v>0.91258301413343745</v>
      </c>
      <c r="AI5" s="19">
        <f ca="1"/>
        <v>0.90879636262250996</v>
      </c>
      <c r="AJ5" s="19">
        <f ca="1"/>
        <v>0.90502542335851632</v>
      </c>
      <c r="AK5" s="19">
        <f ca="1"/>
        <v>0.90127013114541055</v>
      </c>
      <c r="AL5" s="19">
        <f ca="1"/>
        <v>0.89753042105767</v>
      </c>
      <c r="AM5" s="19">
        <f ca="1"/>
        <v>0.89380622843917368</v>
      </c>
      <c r="AN5" s="19">
        <f ca="1"/>
        <v>0.89009748890208162</v>
      </c>
      <c r="AO5" s="19">
        <f ca="1"/>
        <v>0.88640413832572451</v>
      </c>
      <c r="AP5" s="19">
        <f ca="1"/>
        <v>0.88272611285549329</v>
      </c>
      <c r="AQ5" s="19">
        <f ca="1"/>
        <v>0.87906334890173565</v>
      </c>
      <c r="AR5" s="19">
        <f ca="1"/>
        <v>0.87541578313865809</v>
      </c>
      <c r="AS5" s="19">
        <f ca="1"/>
        <v>0.87178335250322792</v>
      </c>
      <c r="AT5" s="19">
        <f ca="1"/>
        <v>0.86816599419408602</v>
      </c>
      <c r="AU5" s="19">
        <f ca="1"/>
        <v>0.86456364567045896</v>
      </c>
      <c r="AV5" s="19">
        <f ca="1"/>
        <v>0.86097624465107958</v>
      </c>
      <c r="AW5" s="19">
        <f ca="1"/>
        <v>0.85740372911310836</v>
      </c>
      <c r="AX5" s="19">
        <f ca="1"/>
        <v>0.85384603729106212</v>
      </c>
      <c r="AY5" s="19">
        <f ca="1"/>
        <v>0.85030310767574646</v>
      </c>
      <c r="AZ5" s="19">
        <f ca="1"/>
        <v>0.84677487901319159</v>
      </c>
      <c r="BA5" s="19">
        <f ca="1"/>
        <v>0.84326129030359331</v>
      </c>
      <c r="BB5" s="19">
        <f ca="1"/>
        <v>0.83976228080025861</v>
      </c>
      <c r="BC5" s="19">
        <f ca="1"/>
        <v>0.83627779000855651</v>
      </c>
      <c r="BD5" s="19">
        <f ca="1"/>
        <v>0.83280775768486948</v>
      </c>
      <c r="BE5" s="19">
        <f ca="1"/>
        <v>0.82935212383555479</v>
      </c>
      <c r="BF5" s="19">
        <f ca="1"/>
        <v>0.82591082871590515</v>
      </c>
      <c r="BG5" s="19">
        <f ca="1"/>
        <v>0.82248381282911687</v>
      </c>
      <c r="BH5" s="19">
        <f ca="1"/>
        <v>0.81907101692526174</v>
      </c>
      <c r="BI5" s="19">
        <f ca="1"/>
        <v>0.81567238200026071</v>
      </c>
      <c r="BJ5" s="19">
        <f ca="1"/>
        <v>0.81228784929486553</v>
      </c>
      <c r="BK5" s="19">
        <f ca="1"/>
        <v>0.80891736029364192</v>
      </c>
      <c r="BL5" s="19">
        <f ca="1"/>
        <v>0.80556085672395861</v>
      </c>
      <c r="BM5" s="19">
        <f ca="1"/>
        <v>0.80221828055497957</v>
      </c>
      <c r="BN5" s="19">
        <f ca="1"/>
        <v>0.79888957399666016</v>
      </c>
      <c r="BO5" s="19">
        <f ca="1"/>
        <v>0.79557467949874849</v>
      </c>
      <c r="BP5" s="19">
        <f ca="1"/>
        <v>0.7922735397497912</v>
      </c>
      <c r="BQ5" s="19">
        <f ca="1"/>
        <v>0.78898609767614081</v>
      </c>
      <c r="BR5" s="19">
        <f ca="1"/>
        <v>0.78571229644096985</v>
      </c>
      <c r="BS5" s="19">
        <f ca="1"/>
        <v>0.78245207944328965</v>
      </c>
      <c r="BT5" s="19">
        <f ca="1"/>
        <v>0.77920539031696889</v>
      </c>
    </row>
    <row r="6" spans="1:72" s="16" customFormat="1" ht="12.75" x14ac:dyDescent="0.2">
      <c r="B6" s="17" t="s">
        <v>15</v>
      </c>
      <c r="C6" s="18">
        <v>100</v>
      </c>
      <c r="E6" s="22"/>
      <c r="F6" s="22"/>
      <c r="G6" s="22"/>
      <c r="H6" s="22"/>
      <c r="I6" s="22"/>
      <c r="J6" s="22"/>
      <c r="L6" s="17" t="s">
        <v>14</v>
      </c>
      <c r="M6" s="16" t="b" cm="1">
        <f t="array" aca="1" ref="M6:BT6" ca="1">(ABS((_xlfn.ANCHORARRAY(M2)*_xlfn.ANCHORARRAY(M5)+_xlfn.ANCHORARRAY(M3))-Par)/Par)&lt;0.001%</f>
        <v>1</v>
      </c>
      <c r="N6" s="16" t="b">
        <f ca="1"/>
        <v>1</v>
      </c>
      <c r="O6" s="16" t="b">
        <f ca="1"/>
        <v>1</v>
      </c>
      <c r="P6" s="16" t="b">
        <f ca="1"/>
        <v>1</v>
      </c>
      <c r="Q6" s="16" t="b">
        <f ca="1"/>
        <v>1</v>
      </c>
      <c r="R6" s="16" t="b">
        <f ca="1"/>
        <v>1</v>
      </c>
      <c r="S6" s="16" t="b">
        <f ca="1"/>
        <v>1</v>
      </c>
      <c r="T6" s="16" t="b">
        <f ca="1"/>
        <v>1</v>
      </c>
      <c r="U6" s="16" t="b">
        <f ca="1"/>
        <v>1</v>
      </c>
      <c r="V6" s="16" t="b">
        <f ca="1"/>
        <v>1</v>
      </c>
      <c r="W6" s="16" t="b">
        <f ca="1"/>
        <v>1</v>
      </c>
      <c r="X6" s="16" t="b">
        <f ca="1"/>
        <v>1</v>
      </c>
      <c r="Y6" s="16" t="b">
        <f ca="1"/>
        <v>1</v>
      </c>
      <c r="Z6" s="16" t="b">
        <f ca="1"/>
        <v>1</v>
      </c>
      <c r="AA6" s="16" t="b">
        <f ca="1"/>
        <v>1</v>
      </c>
      <c r="AB6" s="16" t="b">
        <f ca="1"/>
        <v>1</v>
      </c>
      <c r="AC6" s="16" t="b">
        <f ca="1"/>
        <v>1</v>
      </c>
      <c r="AD6" s="16" t="b">
        <f ca="1"/>
        <v>1</v>
      </c>
      <c r="AE6" s="16" t="b">
        <f ca="1"/>
        <v>1</v>
      </c>
      <c r="AF6" s="16" t="b">
        <f ca="1"/>
        <v>1</v>
      </c>
      <c r="AG6" s="16" t="b">
        <f ca="1"/>
        <v>1</v>
      </c>
      <c r="AH6" s="16" t="b">
        <f ca="1"/>
        <v>1</v>
      </c>
      <c r="AI6" s="16" t="b">
        <f ca="1"/>
        <v>1</v>
      </c>
      <c r="AJ6" s="16" t="b">
        <f ca="1"/>
        <v>1</v>
      </c>
      <c r="AK6" s="16" t="b">
        <f ca="1"/>
        <v>1</v>
      </c>
      <c r="AL6" s="16" t="b">
        <f ca="1"/>
        <v>1</v>
      </c>
      <c r="AM6" s="16" t="b">
        <f ca="1"/>
        <v>1</v>
      </c>
      <c r="AN6" s="16" t="b">
        <f ca="1"/>
        <v>1</v>
      </c>
      <c r="AO6" s="16" t="b">
        <f ca="1"/>
        <v>1</v>
      </c>
      <c r="AP6" s="16" t="b">
        <f ca="1"/>
        <v>1</v>
      </c>
      <c r="AQ6" s="16" t="b">
        <f ca="1"/>
        <v>1</v>
      </c>
      <c r="AR6" s="16" t="b">
        <f ca="1"/>
        <v>1</v>
      </c>
      <c r="AS6" s="16" t="b">
        <f ca="1"/>
        <v>1</v>
      </c>
      <c r="AT6" s="16" t="b">
        <f ca="1"/>
        <v>1</v>
      </c>
      <c r="AU6" s="16" t="b">
        <f ca="1"/>
        <v>1</v>
      </c>
      <c r="AV6" s="16" t="b">
        <f ca="1"/>
        <v>1</v>
      </c>
      <c r="AW6" s="16" t="b">
        <f ca="1"/>
        <v>1</v>
      </c>
      <c r="AX6" s="16" t="b">
        <f ca="1"/>
        <v>1</v>
      </c>
      <c r="AY6" s="16" t="b">
        <f ca="1"/>
        <v>1</v>
      </c>
      <c r="AZ6" s="16" t="b">
        <f ca="1"/>
        <v>1</v>
      </c>
      <c r="BA6" s="16" t="b">
        <f ca="1"/>
        <v>1</v>
      </c>
      <c r="BB6" s="16" t="b">
        <f ca="1"/>
        <v>1</v>
      </c>
      <c r="BC6" s="16" t="b">
        <f ca="1"/>
        <v>1</v>
      </c>
      <c r="BD6" s="16" t="b">
        <f ca="1"/>
        <v>1</v>
      </c>
      <c r="BE6" s="16" t="b">
        <f ca="1"/>
        <v>1</v>
      </c>
      <c r="BF6" s="16" t="b">
        <f ca="1"/>
        <v>1</v>
      </c>
      <c r="BG6" s="16" t="b">
        <f ca="1"/>
        <v>1</v>
      </c>
      <c r="BH6" s="16" t="b">
        <f ca="1"/>
        <v>1</v>
      </c>
      <c r="BI6" s="16" t="b">
        <f ca="1"/>
        <v>1</v>
      </c>
      <c r="BJ6" s="16" t="b">
        <f ca="1"/>
        <v>1</v>
      </c>
      <c r="BK6" s="16" t="b">
        <f ca="1"/>
        <v>1</v>
      </c>
      <c r="BL6" s="16" t="b">
        <f ca="1"/>
        <v>1</v>
      </c>
      <c r="BM6" s="16" t="b">
        <f ca="1"/>
        <v>1</v>
      </c>
      <c r="BN6" s="16" t="b">
        <f ca="1"/>
        <v>1</v>
      </c>
      <c r="BO6" s="16" t="b">
        <f ca="1"/>
        <v>1</v>
      </c>
      <c r="BP6" s="16" t="b">
        <f ca="1"/>
        <v>1</v>
      </c>
      <c r="BQ6" s="16" t="b">
        <f ca="1"/>
        <v>1</v>
      </c>
      <c r="BR6" s="16" t="b">
        <f ca="1"/>
        <v>1</v>
      </c>
      <c r="BS6" s="16" t="b">
        <f ca="1"/>
        <v>1</v>
      </c>
      <c r="BT6" s="16" t="b">
        <f ca="1"/>
        <v>1</v>
      </c>
    </row>
    <row r="7" spans="1:72" customFormat="1" x14ac:dyDescent="0.2">
      <c r="B7" t="s">
        <v>13</v>
      </c>
      <c r="C7" s="5" t="s">
        <v>12</v>
      </c>
      <c r="E7" s="22"/>
      <c r="F7" s="22"/>
      <c r="G7" s="22"/>
      <c r="H7" s="22"/>
      <c r="I7" s="22"/>
      <c r="J7" s="22"/>
      <c r="K7" s="2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</row>
    <row r="8" spans="1:72" s="3" customFormat="1" x14ac:dyDescent="0.2">
      <c r="A8"/>
      <c r="B8" t="s">
        <v>11</v>
      </c>
      <c r="C8" s="14">
        <f ca="1">TODAY()</f>
        <v>45716</v>
      </c>
      <c r="D8"/>
      <c r="E8" s="22"/>
      <c r="F8" s="22"/>
      <c r="G8" s="22"/>
      <c r="H8" s="22"/>
      <c r="I8" s="22"/>
      <c r="J8" s="22"/>
      <c r="K8" s="1"/>
      <c r="L8" t="s">
        <v>0</v>
      </c>
      <c r="M8" s="3" cm="1">
        <f t="array" ref="M8:BT8">Linterp(RateInput[Tenor],RateInput[Par Rate],_xlfn.ANCHORARRAY(M9),0)</f>
        <v>0.05</v>
      </c>
      <c r="N8" s="3">
        <v>0.05</v>
      </c>
      <c r="O8" s="3">
        <v>0.05</v>
      </c>
      <c r="P8" s="3">
        <v>0.05</v>
      </c>
      <c r="Q8" s="3">
        <v>0.05</v>
      </c>
      <c r="R8" s="3">
        <v>0.05</v>
      </c>
      <c r="S8" s="3">
        <v>0.05</v>
      </c>
      <c r="T8" s="3">
        <v>0.05</v>
      </c>
      <c r="U8" s="3">
        <v>0.05</v>
      </c>
      <c r="V8" s="3">
        <v>0.05</v>
      </c>
      <c r="W8" s="3">
        <v>0.05</v>
      </c>
      <c r="X8" s="3">
        <v>0.05</v>
      </c>
      <c r="Y8" s="3">
        <v>0.05</v>
      </c>
      <c r="Z8" s="3">
        <v>0.05</v>
      </c>
      <c r="AA8" s="3">
        <v>0.05</v>
      </c>
      <c r="AB8" s="3">
        <v>0.05</v>
      </c>
      <c r="AC8" s="3">
        <v>0.05</v>
      </c>
      <c r="AD8" s="3">
        <v>0.05</v>
      </c>
      <c r="AE8" s="3">
        <v>0.05</v>
      </c>
      <c r="AF8" s="3">
        <v>0.05</v>
      </c>
      <c r="AG8" s="3">
        <v>0.05</v>
      </c>
      <c r="AH8" s="3">
        <v>0.05</v>
      </c>
      <c r="AI8" s="3">
        <v>0.05</v>
      </c>
      <c r="AJ8" s="3">
        <v>0.05</v>
      </c>
      <c r="AK8" s="3">
        <v>0.05</v>
      </c>
      <c r="AL8" s="3">
        <v>0.05</v>
      </c>
      <c r="AM8" s="3">
        <v>0.05</v>
      </c>
      <c r="AN8" s="3">
        <v>0.05</v>
      </c>
      <c r="AO8" s="3">
        <v>0.05</v>
      </c>
      <c r="AP8" s="3">
        <v>0.05</v>
      </c>
      <c r="AQ8" s="3">
        <v>0.05</v>
      </c>
      <c r="AR8" s="3">
        <v>0.05</v>
      </c>
      <c r="AS8" s="3">
        <v>0.05</v>
      </c>
      <c r="AT8" s="3">
        <v>0.05</v>
      </c>
      <c r="AU8" s="3">
        <v>0.05</v>
      </c>
      <c r="AV8" s="3">
        <v>0.05</v>
      </c>
      <c r="AW8" s="3">
        <v>0.05</v>
      </c>
      <c r="AX8" s="3">
        <v>0.05</v>
      </c>
      <c r="AY8" s="3">
        <v>0.05</v>
      </c>
      <c r="AZ8" s="3">
        <v>0.05</v>
      </c>
      <c r="BA8" s="3">
        <v>0.05</v>
      </c>
      <c r="BB8" s="3">
        <v>0.05</v>
      </c>
      <c r="BC8" s="3">
        <v>0.05</v>
      </c>
      <c r="BD8" s="3">
        <v>0.05</v>
      </c>
      <c r="BE8" s="3">
        <v>0.05</v>
      </c>
      <c r="BF8" s="3">
        <v>0.05</v>
      </c>
      <c r="BG8" s="3">
        <v>0.05</v>
      </c>
      <c r="BH8" s="3">
        <v>0.05</v>
      </c>
      <c r="BI8" s="3">
        <v>0.05</v>
      </c>
      <c r="BJ8" s="3">
        <v>0.05</v>
      </c>
      <c r="BK8" s="3">
        <v>0.05</v>
      </c>
      <c r="BL8" s="3">
        <v>0.05</v>
      </c>
      <c r="BM8" s="3">
        <v>0.05</v>
      </c>
      <c r="BN8" s="3">
        <v>0.05</v>
      </c>
      <c r="BO8" s="3">
        <v>0.05</v>
      </c>
      <c r="BP8" s="3">
        <v>0.05</v>
      </c>
      <c r="BQ8" s="3">
        <v>0.05</v>
      </c>
      <c r="BR8" s="3">
        <v>0.05</v>
      </c>
      <c r="BS8" s="3">
        <v>0.05</v>
      </c>
      <c r="BT8" s="3">
        <v>0.05</v>
      </c>
    </row>
    <row r="9" spans="1:72" s="13" customFormat="1" x14ac:dyDescent="0.2">
      <c r="A9"/>
      <c r="B9" s="3"/>
      <c r="C9" s="3"/>
      <c r="D9"/>
      <c r="E9" s="3"/>
      <c r="F9" s="1"/>
      <c r="G9" s="3"/>
      <c r="H9" s="3"/>
      <c r="I9"/>
      <c r="J9" s="2"/>
      <c r="K9" s="1"/>
      <c r="L9" t="s">
        <v>1</v>
      </c>
      <c r="M9" s="13" cm="1">
        <f t="array" ref="M9:BT9">_xlfn.ANCHORARRAY(M10)/PeriodsPerYear</f>
        <v>8.3333333333333329E-2</v>
      </c>
      <c r="N9" s="13">
        <v>0.16666666666666666</v>
      </c>
      <c r="O9" s="13">
        <v>0.25</v>
      </c>
      <c r="P9" s="13">
        <v>0.33333333333333331</v>
      </c>
      <c r="Q9" s="13">
        <v>0.41666666666666669</v>
      </c>
      <c r="R9" s="13">
        <v>0.5</v>
      </c>
      <c r="S9" s="13">
        <v>0.58333333333333337</v>
      </c>
      <c r="T9" s="13">
        <v>0.66666666666666663</v>
      </c>
      <c r="U9" s="13">
        <v>0.75</v>
      </c>
      <c r="V9" s="13">
        <v>0.83333333333333337</v>
      </c>
      <c r="W9" s="13">
        <v>0.91666666666666663</v>
      </c>
      <c r="X9" s="13">
        <v>1</v>
      </c>
      <c r="Y9" s="13">
        <v>1.0833333333333333</v>
      </c>
      <c r="Z9" s="13">
        <v>1.1666666666666667</v>
      </c>
      <c r="AA9" s="13">
        <v>1.25</v>
      </c>
      <c r="AB9" s="13">
        <v>1.3333333333333333</v>
      </c>
      <c r="AC9" s="13">
        <v>1.4166666666666667</v>
      </c>
      <c r="AD9" s="13">
        <v>1.5</v>
      </c>
      <c r="AE9" s="13">
        <v>1.5833333333333333</v>
      </c>
      <c r="AF9" s="13">
        <v>1.6666666666666667</v>
      </c>
      <c r="AG9" s="13">
        <v>1.75</v>
      </c>
      <c r="AH9" s="13">
        <v>1.8333333333333333</v>
      </c>
      <c r="AI9" s="13">
        <v>1.9166666666666667</v>
      </c>
      <c r="AJ9" s="13">
        <v>2</v>
      </c>
      <c r="AK9" s="13">
        <v>2.0833333333333335</v>
      </c>
      <c r="AL9" s="13">
        <v>2.1666666666666665</v>
      </c>
      <c r="AM9" s="13">
        <v>2.25</v>
      </c>
      <c r="AN9" s="13">
        <v>2.3333333333333335</v>
      </c>
      <c r="AO9" s="13">
        <v>2.4166666666666665</v>
      </c>
      <c r="AP9" s="13">
        <v>2.5</v>
      </c>
      <c r="AQ9" s="13">
        <v>2.5833333333333335</v>
      </c>
      <c r="AR9" s="13">
        <v>2.6666666666666665</v>
      </c>
      <c r="AS9" s="13">
        <v>2.75</v>
      </c>
      <c r="AT9" s="13">
        <v>2.8333333333333335</v>
      </c>
      <c r="AU9" s="13">
        <v>2.9166666666666665</v>
      </c>
      <c r="AV9" s="13">
        <v>3</v>
      </c>
      <c r="AW9" s="13">
        <v>3.0833333333333335</v>
      </c>
      <c r="AX9" s="13">
        <v>3.1666666666666665</v>
      </c>
      <c r="AY9" s="13">
        <v>3.25</v>
      </c>
      <c r="AZ9" s="13">
        <v>3.3333333333333335</v>
      </c>
      <c r="BA9" s="13">
        <v>3.4166666666666665</v>
      </c>
      <c r="BB9" s="13">
        <v>3.5</v>
      </c>
      <c r="BC9" s="13">
        <v>3.5833333333333335</v>
      </c>
      <c r="BD9" s="13">
        <v>3.6666666666666665</v>
      </c>
      <c r="BE9" s="13">
        <v>3.75</v>
      </c>
      <c r="BF9" s="13">
        <v>3.8333333333333335</v>
      </c>
      <c r="BG9" s="13">
        <v>3.9166666666666665</v>
      </c>
      <c r="BH9" s="13">
        <v>4</v>
      </c>
      <c r="BI9" s="13">
        <v>4.083333333333333</v>
      </c>
      <c r="BJ9" s="13">
        <v>4.166666666666667</v>
      </c>
      <c r="BK9" s="13">
        <v>4.25</v>
      </c>
      <c r="BL9" s="13">
        <v>4.333333333333333</v>
      </c>
      <c r="BM9" s="13">
        <v>4.416666666666667</v>
      </c>
      <c r="BN9" s="13">
        <v>4.5</v>
      </c>
      <c r="BO9" s="13">
        <v>4.583333333333333</v>
      </c>
      <c r="BP9" s="13">
        <v>4.666666666666667</v>
      </c>
      <c r="BQ9" s="13">
        <v>4.75</v>
      </c>
      <c r="BR9" s="13">
        <v>4.833333333333333</v>
      </c>
      <c r="BS9" s="13">
        <v>4.916666666666667</v>
      </c>
      <c r="BT9" s="13">
        <v>5</v>
      </c>
    </row>
    <row r="10" spans="1:72" s="12" customFormat="1" x14ac:dyDescent="0.2">
      <c r="A10"/>
      <c r="B10" t="s">
        <v>10</v>
      </c>
      <c r="C10">
        <f>MAX(RateInput[Tenor])</f>
        <v>5</v>
      </c>
      <c r="D10"/>
      <c r="K10" s="1"/>
      <c r="L10" s="9" t="s">
        <v>9</v>
      </c>
      <c r="M10" s="12" cm="1">
        <f t="array" ref="M10:BT10">CreateArray(NbPeriods)</f>
        <v>1</v>
      </c>
      <c r="N10" s="12">
        <v>2</v>
      </c>
      <c r="O10" s="12">
        <v>3</v>
      </c>
      <c r="P10" s="12">
        <v>4</v>
      </c>
      <c r="Q10" s="12">
        <v>5</v>
      </c>
      <c r="R10" s="12">
        <v>6</v>
      </c>
      <c r="S10" s="12">
        <v>7</v>
      </c>
      <c r="T10" s="12">
        <v>8</v>
      </c>
      <c r="U10" s="12">
        <v>9</v>
      </c>
      <c r="V10" s="12">
        <v>10</v>
      </c>
      <c r="W10" s="12">
        <v>11</v>
      </c>
      <c r="X10" s="12">
        <v>12</v>
      </c>
      <c r="Y10" s="12">
        <v>13</v>
      </c>
      <c r="Z10" s="12">
        <v>14</v>
      </c>
      <c r="AA10" s="12">
        <v>15</v>
      </c>
      <c r="AB10" s="12">
        <v>16</v>
      </c>
      <c r="AC10" s="12">
        <v>17</v>
      </c>
      <c r="AD10" s="12">
        <v>18</v>
      </c>
      <c r="AE10" s="12">
        <v>19</v>
      </c>
      <c r="AF10" s="12">
        <v>20</v>
      </c>
      <c r="AG10" s="12">
        <v>21</v>
      </c>
      <c r="AH10" s="12">
        <v>22</v>
      </c>
      <c r="AI10" s="12">
        <v>23</v>
      </c>
      <c r="AJ10" s="12">
        <v>24</v>
      </c>
      <c r="AK10" s="12">
        <v>25</v>
      </c>
      <c r="AL10" s="12">
        <v>26</v>
      </c>
      <c r="AM10" s="12">
        <v>27</v>
      </c>
      <c r="AN10" s="12">
        <v>28</v>
      </c>
      <c r="AO10" s="12">
        <v>29</v>
      </c>
      <c r="AP10" s="12">
        <v>30</v>
      </c>
      <c r="AQ10" s="12">
        <v>31</v>
      </c>
      <c r="AR10" s="12">
        <v>32</v>
      </c>
      <c r="AS10" s="12">
        <v>33</v>
      </c>
      <c r="AT10" s="12">
        <v>34</v>
      </c>
      <c r="AU10" s="12">
        <v>35</v>
      </c>
      <c r="AV10" s="12">
        <v>36</v>
      </c>
      <c r="AW10" s="12">
        <v>37</v>
      </c>
      <c r="AX10" s="12">
        <v>38</v>
      </c>
      <c r="AY10" s="12">
        <v>39</v>
      </c>
      <c r="AZ10" s="12">
        <v>40</v>
      </c>
      <c r="BA10" s="12">
        <v>41</v>
      </c>
      <c r="BB10" s="12">
        <v>42</v>
      </c>
      <c r="BC10" s="12">
        <v>43</v>
      </c>
      <c r="BD10" s="12">
        <v>44</v>
      </c>
      <c r="BE10" s="12">
        <v>45</v>
      </c>
      <c r="BF10" s="12">
        <v>46</v>
      </c>
      <c r="BG10" s="12">
        <v>47</v>
      </c>
      <c r="BH10" s="12">
        <v>48</v>
      </c>
      <c r="BI10" s="12">
        <v>49</v>
      </c>
      <c r="BJ10" s="12">
        <v>50</v>
      </c>
      <c r="BK10" s="12">
        <v>51</v>
      </c>
      <c r="BL10" s="12">
        <v>52</v>
      </c>
      <c r="BM10" s="12">
        <v>53</v>
      </c>
      <c r="BN10" s="12">
        <v>54</v>
      </c>
      <c r="BO10" s="12">
        <v>55</v>
      </c>
      <c r="BP10" s="12">
        <v>56</v>
      </c>
      <c r="BQ10" s="12">
        <v>57</v>
      </c>
      <c r="BR10" s="12">
        <v>58</v>
      </c>
      <c r="BS10" s="12">
        <v>59</v>
      </c>
      <c r="BT10" s="12">
        <v>60</v>
      </c>
    </row>
    <row r="11" spans="1:72" x14ac:dyDescent="0.2">
      <c r="B11" t="s">
        <v>8</v>
      </c>
      <c r="C11" cm="1">
        <f t="array" ref="C11">_xlfn.IFS(Freq="M",12,Freq="Q",4,Freq="S",2,Freq="A",1)</f>
        <v>12</v>
      </c>
      <c r="E11" s="10" t="s">
        <v>0</v>
      </c>
      <c r="F11" s="11" t="s">
        <v>7</v>
      </c>
      <c r="G11" s="10" t="str">
        <f>L4</f>
        <v>NAMC</v>
      </c>
      <c r="H11" s="10" t="s">
        <v>6</v>
      </c>
      <c r="I11" s="9" t="s">
        <v>5</v>
      </c>
      <c r="J11" s="8" t="s">
        <v>4</v>
      </c>
      <c r="K11" s="1"/>
      <c r="M11" s="1" cm="1">
        <f t="array" aca="1" ref="M11:BT70" ca="1">IF(_xlfn.ANCHORARRAY($J12)&gt;_xlfn.ANCHORARRAY(M$9),0,IF(_xlfn.ANCHORARRAY(M$9)=_xlfn.ANCHORARRAY($J12),0,Par*_xlfn.ANCHORARRAY($M8)*PeriodLength*_xlfn.ANCHORARRAY(F12)))</f>
        <v>0</v>
      </c>
      <c r="N11" s="1">
        <f ca="1"/>
        <v>0.41493775933609955</v>
      </c>
      <c r="O11" s="1">
        <f ca="1"/>
        <v>0.41493775933609955</v>
      </c>
      <c r="P11" s="1">
        <f ca="1"/>
        <v>0.41493775933609955</v>
      </c>
      <c r="Q11" s="1">
        <f ca="1"/>
        <v>0.41493775933609955</v>
      </c>
      <c r="R11" s="1">
        <f ca="1"/>
        <v>0.41493775933609955</v>
      </c>
      <c r="S11" s="1">
        <f ca="1"/>
        <v>0.41493775933609955</v>
      </c>
      <c r="T11" s="1">
        <f ca="1"/>
        <v>0.41493775933609955</v>
      </c>
      <c r="U11" s="1">
        <f ca="1"/>
        <v>0.41493775933609955</v>
      </c>
      <c r="V11" s="1">
        <f ca="1"/>
        <v>0.41493775933609955</v>
      </c>
      <c r="W11" s="1">
        <f ca="1"/>
        <v>0.41493775933609955</v>
      </c>
      <c r="X11" s="1">
        <f ca="1"/>
        <v>0.41493775933609955</v>
      </c>
      <c r="Y11" s="1">
        <f ca="1"/>
        <v>0.41493775933609955</v>
      </c>
      <c r="Z11" s="1">
        <f ca="1"/>
        <v>0.41493775933609955</v>
      </c>
      <c r="AA11" s="1">
        <f ca="1"/>
        <v>0.41493775933609955</v>
      </c>
      <c r="AB11" s="1">
        <f ca="1"/>
        <v>0.41493775933609955</v>
      </c>
      <c r="AC11" s="1">
        <f ca="1"/>
        <v>0.41493775933609955</v>
      </c>
      <c r="AD11" s="1">
        <f ca="1"/>
        <v>0.41493775933609955</v>
      </c>
      <c r="AE11" s="1">
        <f ca="1"/>
        <v>0.41493775933609955</v>
      </c>
      <c r="AF11" s="1">
        <f ca="1"/>
        <v>0.41493775933609955</v>
      </c>
      <c r="AG11" s="1">
        <f ca="1"/>
        <v>0.41493775933609955</v>
      </c>
      <c r="AH11" s="1">
        <f ca="1"/>
        <v>0.41493775933609955</v>
      </c>
      <c r="AI11" s="1">
        <f ca="1"/>
        <v>0.41493775933609955</v>
      </c>
      <c r="AJ11" s="1">
        <f ca="1"/>
        <v>0.41493775933609955</v>
      </c>
      <c r="AK11" s="1">
        <f ca="1"/>
        <v>0.41493775933609955</v>
      </c>
      <c r="AL11" s="1">
        <f ca="1"/>
        <v>0.41493775933609955</v>
      </c>
      <c r="AM11" s="1">
        <f ca="1"/>
        <v>0.41493775933609955</v>
      </c>
      <c r="AN11" s="1">
        <f ca="1"/>
        <v>0.41493775933609955</v>
      </c>
      <c r="AO11" s="1">
        <f ca="1"/>
        <v>0.41493775933609955</v>
      </c>
      <c r="AP11" s="1">
        <f ca="1"/>
        <v>0.41493775933609955</v>
      </c>
      <c r="AQ11" s="1">
        <f ca="1"/>
        <v>0.41493775933609955</v>
      </c>
      <c r="AR11" s="1">
        <f ca="1"/>
        <v>0.41493775933609955</v>
      </c>
      <c r="AS11" s="1">
        <f ca="1"/>
        <v>0.41493775933609955</v>
      </c>
      <c r="AT11" s="1">
        <f ca="1"/>
        <v>0.41493775933609955</v>
      </c>
      <c r="AU11" s="1">
        <f ca="1"/>
        <v>0.41493775933609955</v>
      </c>
      <c r="AV11" s="1">
        <f ca="1"/>
        <v>0.41493775933609955</v>
      </c>
      <c r="AW11" s="1">
        <f ca="1"/>
        <v>0.41493775933609955</v>
      </c>
      <c r="AX11" s="1">
        <f ca="1"/>
        <v>0.41493775933609955</v>
      </c>
      <c r="AY11" s="1">
        <f ca="1"/>
        <v>0.41493775933609955</v>
      </c>
      <c r="AZ11" s="1">
        <f ca="1"/>
        <v>0.41493775933609955</v>
      </c>
      <c r="BA11" s="1">
        <f ca="1"/>
        <v>0.41493775933609955</v>
      </c>
      <c r="BB11" s="1">
        <f ca="1"/>
        <v>0.41493775933609955</v>
      </c>
      <c r="BC11" s="1">
        <f ca="1"/>
        <v>0.41493775933609955</v>
      </c>
      <c r="BD11" s="1">
        <f ca="1"/>
        <v>0.41493775933609955</v>
      </c>
      <c r="BE11" s="1">
        <f ca="1"/>
        <v>0.41493775933609955</v>
      </c>
      <c r="BF11" s="1">
        <f ca="1"/>
        <v>0.41493775933609955</v>
      </c>
      <c r="BG11" s="1">
        <f ca="1"/>
        <v>0.41493775933609955</v>
      </c>
      <c r="BH11" s="1">
        <f ca="1"/>
        <v>0.41493775933609955</v>
      </c>
      <c r="BI11" s="1">
        <f ca="1"/>
        <v>0.41493775933609955</v>
      </c>
      <c r="BJ11" s="1">
        <f ca="1"/>
        <v>0.41493775933609955</v>
      </c>
      <c r="BK11" s="1">
        <f ca="1"/>
        <v>0.41493775933609955</v>
      </c>
      <c r="BL11" s="1">
        <f ca="1"/>
        <v>0.41493775933609955</v>
      </c>
      <c r="BM11" s="1">
        <f ca="1"/>
        <v>0.41493775933609955</v>
      </c>
      <c r="BN11" s="1">
        <f ca="1"/>
        <v>0.41493775933609955</v>
      </c>
      <c r="BO11" s="1">
        <f ca="1"/>
        <v>0.41493775933609955</v>
      </c>
      <c r="BP11" s="1">
        <f ca="1"/>
        <v>0.41493775933609955</v>
      </c>
      <c r="BQ11" s="1">
        <f ca="1"/>
        <v>0.41493775933609955</v>
      </c>
      <c r="BR11" s="1">
        <f ca="1"/>
        <v>0.41493775933609955</v>
      </c>
      <c r="BS11" s="1">
        <f ca="1"/>
        <v>0.41493775933609955</v>
      </c>
      <c r="BT11" s="1">
        <f ca="1"/>
        <v>0.41493775933609955</v>
      </c>
    </row>
    <row r="12" spans="1:72" x14ac:dyDescent="0.2">
      <c r="B12" t="s">
        <v>3</v>
      </c>
      <c r="C12" s="7">
        <f>1/C11</f>
        <v>8.3333333333333329E-2</v>
      </c>
      <c r="E12" s="3" cm="1">
        <f t="array" ref="E12:E71">TRANSPOSE(_xlfn.ANCHORARRAY(M8))</f>
        <v>0.05</v>
      </c>
      <c r="F12" s="1" cm="1">
        <f t="array" aca="1" ref="F12:F71" ca="1">TRANSPOSE(_xlfn.ANCHORARRAY(M5))</f>
        <v>0.99585062240663902</v>
      </c>
      <c r="G12" s="3" cm="1">
        <f t="array" aca="1" ref="G12:G71" ca="1">TRANSPOSE(_xlfn.ANCHORARRAY(M4))</f>
        <v>0.05</v>
      </c>
      <c r="H12" s="3" cm="1">
        <f t="array" aca="1" ref="H12:H71" ca="1">LN(_xlfn.ANCHORARRAY(F12))/-_xlfn.ANCHORARRAY(J12)</f>
        <v>4.9896121783964124E-2</v>
      </c>
      <c r="I12" cm="1">
        <f t="array" ref="I12:I71">TRANSPOSE(CreateArray(NbPeriods))</f>
        <v>1</v>
      </c>
      <c r="J12" s="2" cm="1">
        <f t="array" ref="J12:J71">_xlfn.ANCHORARRAY(I12)/PeriodsPerYear</f>
        <v>8.3333333333333329E-2</v>
      </c>
      <c r="K12" s="1"/>
      <c r="M12" s="1">
        <f ca="1"/>
        <v>0</v>
      </c>
      <c r="N12" s="1">
        <f ca="1"/>
        <v>0</v>
      </c>
      <c r="O12" s="1">
        <f ca="1"/>
        <v>0.41321602589487089</v>
      </c>
      <c r="P12" s="1">
        <f ca="1"/>
        <v>0.41321602589487089</v>
      </c>
      <c r="Q12" s="1">
        <f ca="1"/>
        <v>0.41321602589487089</v>
      </c>
      <c r="R12" s="1">
        <f ca="1"/>
        <v>0.41321602589487089</v>
      </c>
      <c r="S12" s="1">
        <f ca="1"/>
        <v>0.41321602589487089</v>
      </c>
      <c r="T12" s="1">
        <f ca="1"/>
        <v>0.41321602589487089</v>
      </c>
      <c r="U12" s="1">
        <f ca="1"/>
        <v>0.41321602589487089</v>
      </c>
      <c r="V12" s="1">
        <f ca="1"/>
        <v>0.41321602589487089</v>
      </c>
      <c r="W12" s="1">
        <f ca="1"/>
        <v>0.41321602589487089</v>
      </c>
      <c r="X12" s="1">
        <f ca="1"/>
        <v>0.41321602589487089</v>
      </c>
      <c r="Y12" s="1">
        <f ca="1"/>
        <v>0.41321602589487089</v>
      </c>
      <c r="Z12" s="1">
        <f ca="1"/>
        <v>0.41321602589487089</v>
      </c>
      <c r="AA12" s="1">
        <f ca="1"/>
        <v>0.41321602589487089</v>
      </c>
      <c r="AB12" s="1">
        <f ca="1"/>
        <v>0.41321602589487089</v>
      </c>
      <c r="AC12" s="1">
        <f ca="1"/>
        <v>0.41321602589487089</v>
      </c>
      <c r="AD12" s="1">
        <f ca="1"/>
        <v>0.41321602589487089</v>
      </c>
      <c r="AE12" s="1">
        <f ca="1"/>
        <v>0.41321602589487089</v>
      </c>
      <c r="AF12" s="1">
        <f ca="1"/>
        <v>0.41321602589487089</v>
      </c>
      <c r="AG12" s="1">
        <f ca="1"/>
        <v>0.41321602589487089</v>
      </c>
      <c r="AH12" s="1">
        <f ca="1"/>
        <v>0.41321602589487089</v>
      </c>
      <c r="AI12" s="1">
        <f ca="1"/>
        <v>0.41321602589487089</v>
      </c>
      <c r="AJ12" s="1">
        <f ca="1"/>
        <v>0.41321602589487089</v>
      </c>
      <c r="AK12" s="1">
        <f ca="1"/>
        <v>0.41321602589487089</v>
      </c>
      <c r="AL12" s="1">
        <f ca="1"/>
        <v>0.41321602589487089</v>
      </c>
      <c r="AM12" s="1">
        <f ca="1"/>
        <v>0.41321602589487089</v>
      </c>
      <c r="AN12" s="1">
        <f ca="1"/>
        <v>0.41321602589487089</v>
      </c>
      <c r="AO12" s="1">
        <f ca="1"/>
        <v>0.41321602589487089</v>
      </c>
      <c r="AP12" s="1">
        <f ca="1"/>
        <v>0.41321602589487089</v>
      </c>
      <c r="AQ12" s="1">
        <f ca="1"/>
        <v>0.41321602589487089</v>
      </c>
      <c r="AR12" s="1">
        <f ca="1"/>
        <v>0.41321602589487089</v>
      </c>
      <c r="AS12" s="1">
        <f ca="1"/>
        <v>0.41321602589487089</v>
      </c>
      <c r="AT12" s="1">
        <f ca="1"/>
        <v>0.41321602589487089</v>
      </c>
      <c r="AU12" s="1">
        <f ca="1"/>
        <v>0.41321602589487089</v>
      </c>
      <c r="AV12" s="1">
        <f ca="1"/>
        <v>0.41321602589487089</v>
      </c>
      <c r="AW12" s="1">
        <f ca="1"/>
        <v>0.41321602589487089</v>
      </c>
      <c r="AX12" s="1">
        <f ca="1"/>
        <v>0.41321602589487089</v>
      </c>
      <c r="AY12" s="1">
        <f ca="1"/>
        <v>0.41321602589487089</v>
      </c>
      <c r="AZ12" s="1">
        <f ca="1"/>
        <v>0.41321602589487089</v>
      </c>
      <c r="BA12" s="1">
        <f ca="1"/>
        <v>0.41321602589487089</v>
      </c>
      <c r="BB12" s="1">
        <f ca="1"/>
        <v>0.41321602589487089</v>
      </c>
      <c r="BC12" s="1">
        <f ca="1"/>
        <v>0.41321602589487089</v>
      </c>
      <c r="BD12" s="1">
        <f ca="1"/>
        <v>0.41321602589487089</v>
      </c>
      <c r="BE12" s="1">
        <f ca="1"/>
        <v>0.41321602589487089</v>
      </c>
      <c r="BF12" s="1">
        <f ca="1"/>
        <v>0.41321602589487089</v>
      </c>
      <c r="BG12" s="1">
        <f ca="1"/>
        <v>0.41321602589487089</v>
      </c>
      <c r="BH12" s="1">
        <f ca="1"/>
        <v>0.41321602589487089</v>
      </c>
      <c r="BI12" s="1">
        <f ca="1"/>
        <v>0.41321602589487089</v>
      </c>
      <c r="BJ12" s="1">
        <f ca="1"/>
        <v>0.41321602589487089</v>
      </c>
      <c r="BK12" s="1">
        <f ca="1"/>
        <v>0.41321602589487089</v>
      </c>
      <c r="BL12" s="1">
        <f ca="1"/>
        <v>0.41321602589487089</v>
      </c>
      <c r="BM12" s="1">
        <f ca="1"/>
        <v>0.41321602589487089</v>
      </c>
      <c r="BN12" s="1">
        <f ca="1"/>
        <v>0.41321602589487089</v>
      </c>
      <c r="BO12" s="1">
        <f ca="1"/>
        <v>0.41321602589487089</v>
      </c>
      <c r="BP12" s="1">
        <f ca="1"/>
        <v>0.41321602589487089</v>
      </c>
      <c r="BQ12" s="1">
        <f ca="1"/>
        <v>0.41321602589487089</v>
      </c>
      <c r="BR12" s="1">
        <f ca="1"/>
        <v>0.41321602589487089</v>
      </c>
      <c r="BS12" s="1">
        <f ca="1"/>
        <v>0.41321602589487089</v>
      </c>
      <c r="BT12" s="1">
        <f ca="1"/>
        <v>0.41321602589487089</v>
      </c>
    </row>
    <row r="13" spans="1:72" x14ac:dyDescent="0.2">
      <c r="B13" t="s">
        <v>2</v>
      </c>
      <c r="C13">
        <f>MaxTenor/PeriodLength</f>
        <v>60</v>
      </c>
      <c r="E13" s="3">
        <v>0.05</v>
      </c>
      <c r="F13" s="1">
        <f ca="1"/>
        <v>0.99171846214769022</v>
      </c>
      <c r="G13" s="3">
        <f ca="1"/>
        <v>4.9999999999999822E-2</v>
      </c>
      <c r="H13" s="3">
        <f ca="1"/>
        <v>4.9896121783964784E-2</v>
      </c>
      <c r="I13">
        <v>2</v>
      </c>
      <c r="J13" s="2">
        <v>0.16666666666666666</v>
      </c>
      <c r="K13" s="1"/>
      <c r="M13" s="1">
        <f ca="1"/>
        <v>0</v>
      </c>
      <c r="N13" s="1">
        <f ca="1"/>
        <v>0</v>
      </c>
      <c r="O13" s="1">
        <f ca="1"/>
        <v>0</v>
      </c>
      <c r="P13" s="1">
        <f ca="1"/>
        <v>0.41150143657580501</v>
      </c>
      <c r="Q13" s="1">
        <f ca="1"/>
        <v>0.41150143657580501</v>
      </c>
      <c r="R13" s="1">
        <f ca="1"/>
        <v>0.41150143657580501</v>
      </c>
      <c r="S13" s="1">
        <f ca="1"/>
        <v>0.41150143657580501</v>
      </c>
      <c r="T13" s="1">
        <f ca="1"/>
        <v>0.41150143657580501</v>
      </c>
      <c r="U13" s="1">
        <f ca="1"/>
        <v>0.41150143657580501</v>
      </c>
      <c r="V13" s="1">
        <f ca="1"/>
        <v>0.41150143657580501</v>
      </c>
      <c r="W13" s="1">
        <f ca="1"/>
        <v>0.41150143657580501</v>
      </c>
      <c r="X13" s="1">
        <f ca="1"/>
        <v>0.41150143657580501</v>
      </c>
      <c r="Y13" s="1">
        <f ca="1"/>
        <v>0.41150143657580501</v>
      </c>
      <c r="Z13" s="1">
        <f ca="1"/>
        <v>0.41150143657580501</v>
      </c>
      <c r="AA13" s="1">
        <f ca="1"/>
        <v>0.41150143657580501</v>
      </c>
      <c r="AB13" s="1">
        <f ca="1"/>
        <v>0.41150143657580501</v>
      </c>
      <c r="AC13" s="1">
        <f ca="1"/>
        <v>0.41150143657580501</v>
      </c>
      <c r="AD13" s="1">
        <f ca="1"/>
        <v>0.41150143657580501</v>
      </c>
      <c r="AE13" s="1">
        <f ca="1"/>
        <v>0.41150143657580501</v>
      </c>
      <c r="AF13" s="1">
        <f ca="1"/>
        <v>0.41150143657580501</v>
      </c>
      <c r="AG13" s="1">
        <f ca="1"/>
        <v>0.41150143657580501</v>
      </c>
      <c r="AH13" s="1">
        <f ca="1"/>
        <v>0.41150143657580501</v>
      </c>
      <c r="AI13" s="1">
        <f ca="1"/>
        <v>0.41150143657580501</v>
      </c>
      <c r="AJ13" s="1">
        <f ca="1"/>
        <v>0.41150143657580501</v>
      </c>
      <c r="AK13" s="1">
        <f ca="1"/>
        <v>0.41150143657580501</v>
      </c>
      <c r="AL13" s="1">
        <f ca="1"/>
        <v>0.41150143657580501</v>
      </c>
      <c r="AM13" s="1">
        <f ca="1"/>
        <v>0.41150143657580501</v>
      </c>
      <c r="AN13" s="1">
        <f ca="1"/>
        <v>0.41150143657580501</v>
      </c>
      <c r="AO13" s="1">
        <f ca="1"/>
        <v>0.41150143657580501</v>
      </c>
      <c r="AP13" s="1">
        <f ca="1"/>
        <v>0.41150143657580501</v>
      </c>
      <c r="AQ13" s="1">
        <f ca="1"/>
        <v>0.41150143657580501</v>
      </c>
      <c r="AR13" s="1">
        <f ca="1"/>
        <v>0.41150143657580501</v>
      </c>
      <c r="AS13" s="1">
        <f ca="1"/>
        <v>0.41150143657580501</v>
      </c>
      <c r="AT13" s="1">
        <f ca="1"/>
        <v>0.41150143657580501</v>
      </c>
      <c r="AU13" s="1">
        <f ca="1"/>
        <v>0.41150143657580501</v>
      </c>
      <c r="AV13" s="1">
        <f ca="1"/>
        <v>0.41150143657580501</v>
      </c>
      <c r="AW13" s="1">
        <f ca="1"/>
        <v>0.41150143657580501</v>
      </c>
      <c r="AX13" s="1">
        <f ca="1"/>
        <v>0.41150143657580501</v>
      </c>
      <c r="AY13" s="1">
        <f ca="1"/>
        <v>0.41150143657580501</v>
      </c>
      <c r="AZ13" s="1">
        <f ca="1"/>
        <v>0.41150143657580501</v>
      </c>
      <c r="BA13" s="1">
        <f ca="1"/>
        <v>0.41150143657580501</v>
      </c>
      <c r="BB13" s="1">
        <f ca="1"/>
        <v>0.41150143657580501</v>
      </c>
      <c r="BC13" s="1">
        <f ca="1"/>
        <v>0.41150143657580501</v>
      </c>
      <c r="BD13" s="1">
        <f ca="1"/>
        <v>0.41150143657580501</v>
      </c>
      <c r="BE13" s="1">
        <f ca="1"/>
        <v>0.41150143657580501</v>
      </c>
      <c r="BF13" s="1">
        <f ca="1"/>
        <v>0.41150143657580501</v>
      </c>
      <c r="BG13" s="1">
        <f ca="1"/>
        <v>0.41150143657580501</v>
      </c>
      <c r="BH13" s="1">
        <f ca="1"/>
        <v>0.41150143657580501</v>
      </c>
      <c r="BI13" s="1">
        <f ca="1"/>
        <v>0.41150143657580501</v>
      </c>
      <c r="BJ13" s="1">
        <f ca="1"/>
        <v>0.41150143657580501</v>
      </c>
      <c r="BK13" s="1">
        <f ca="1"/>
        <v>0.41150143657580501</v>
      </c>
      <c r="BL13" s="1">
        <f ca="1"/>
        <v>0.41150143657580501</v>
      </c>
      <c r="BM13" s="1">
        <f ca="1"/>
        <v>0.41150143657580501</v>
      </c>
      <c r="BN13" s="1">
        <f ca="1"/>
        <v>0.41150143657580501</v>
      </c>
      <c r="BO13" s="1">
        <f ca="1"/>
        <v>0.41150143657580501</v>
      </c>
      <c r="BP13" s="1">
        <f ca="1"/>
        <v>0.41150143657580501</v>
      </c>
      <c r="BQ13" s="1">
        <f ca="1"/>
        <v>0.41150143657580501</v>
      </c>
      <c r="BR13" s="1">
        <f ca="1"/>
        <v>0.41150143657580501</v>
      </c>
      <c r="BS13" s="1">
        <f ca="1"/>
        <v>0.41150143657580501</v>
      </c>
      <c r="BT13" s="1">
        <f ca="1"/>
        <v>0.41150143657580501</v>
      </c>
    </row>
    <row r="14" spans="1:72" x14ac:dyDescent="0.2">
      <c r="E14" s="3">
        <v>0.05</v>
      </c>
      <c r="F14" s="1">
        <f ca="1"/>
        <v>0.9876034477819321</v>
      </c>
      <c r="G14" s="3">
        <f ca="1"/>
        <v>4.9999999999999822E-2</v>
      </c>
      <c r="H14" s="3">
        <f ca="1"/>
        <v>4.9896121783964895E-2</v>
      </c>
      <c r="I14">
        <v>3</v>
      </c>
      <c r="J14" s="2">
        <v>0.25</v>
      </c>
      <c r="K14" s="1"/>
      <c r="M14" s="1">
        <f ca="1"/>
        <v>0</v>
      </c>
      <c r="N14" s="1">
        <f ca="1"/>
        <v>0</v>
      </c>
      <c r="O14" s="1">
        <f ca="1"/>
        <v>0</v>
      </c>
      <c r="P14" s="1">
        <f ca="1"/>
        <v>0</v>
      </c>
      <c r="Q14" s="1">
        <f ca="1"/>
        <v>0.40979396173524152</v>
      </c>
      <c r="R14" s="1">
        <f ca="1"/>
        <v>0.40979396173524152</v>
      </c>
      <c r="S14" s="1">
        <f ca="1"/>
        <v>0.40979396173524152</v>
      </c>
      <c r="T14" s="1">
        <f ca="1"/>
        <v>0.40979396173524152</v>
      </c>
      <c r="U14" s="1">
        <f ca="1"/>
        <v>0.40979396173524152</v>
      </c>
      <c r="V14" s="1">
        <f ca="1"/>
        <v>0.40979396173524152</v>
      </c>
      <c r="W14" s="1">
        <f ca="1"/>
        <v>0.40979396173524152</v>
      </c>
      <c r="X14" s="1">
        <f ca="1"/>
        <v>0.40979396173524152</v>
      </c>
      <c r="Y14" s="1">
        <f ca="1"/>
        <v>0.40979396173524152</v>
      </c>
      <c r="Z14" s="1">
        <f ca="1"/>
        <v>0.40979396173524152</v>
      </c>
      <c r="AA14" s="1">
        <f ca="1"/>
        <v>0.40979396173524152</v>
      </c>
      <c r="AB14" s="1">
        <f ca="1"/>
        <v>0.40979396173524152</v>
      </c>
      <c r="AC14" s="1">
        <f ca="1"/>
        <v>0.40979396173524152</v>
      </c>
      <c r="AD14" s="1">
        <f ca="1"/>
        <v>0.40979396173524152</v>
      </c>
      <c r="AE14" s="1">
        <f ca="1"/>
        <v>0.40979396173524152</v>
      </c>
      <c r="AF14" s="1">
        <f ca="1"/>
        <v>0.40979396173524152</v>
      </c>
      <c r="AG14" s="1">
        <f ca="1"/>
        <v>0.40979396173524152</v>
      </c>
      <c r="AH14" s="1">
        <f ca="1"/>
        <v>0.40979396173524152</v>
      </c>
      <c r="AI14" s="1">
        <f ca="1"/>
        <v>0.40979396173524152</v>
      </c>
      <c r="AJ14" s="1">
        <f ca="1"/>
        <v>0.40979396173524152</v>
      </c>
      <c r="AK14" s="1">
        <f ca="1"/>
        <v>0.40979396173524152</v>
      </c>
      <c r="AL14" s="1">
        <f ca="1"/>
        <v>0.40979396173524152</v>
      </c>
      <c r="AM14" s="1">
        <f ca="1"/>
        <v>0.40979396173524152</v>
      </c>
      <c r="AN14" s="1">
        <f ca="1"/>
        <v>0.40979396173524152</v>
      </c>
      <c r="AO14" s="1">
        <f ca="1"/>
        <v>0.40979396173524152</v>
      </c>
      <c r="AP14" s="1">
        <f ca="1"/>
        <v>0.40979396173524152</v>
      </c>
      <c r="AQ14" s="1">
        <f ca="1"/>
        <v>0.40979396173524152</v>
      </c>
      <c r="AR14" s="1">
        <f ca="1"/>
        <v>0.40979396173524152</v>
      </c>
      <c r="AS14" s="1">
        <f ca="1"/>
        <v>0.40979396173524152</v>
      </c>
      <c r="AT14" s="1">
        <f ca="1"/>
        <v>0.40979396173524152</v>
      </c>
      <c r="AU14" s="1">
        <f ca="1"/>
        <v>0.40979396173524152</v>
      </c>
      <c r="AV14" s="1">
        <f ca="1"/>
        <v>0.40979396173524152</v>
      </c>
      <c r="AW14" s="1">
        <f ca="1"/>
        <v>0.40979396173524152</v>
      </c>
      <c r="AX14" s="1">
        <f ca="1"/>
        <v>0.40979396173524152</v>
      </c>
      <c r="AY14" s="1">
        <f ca="1"/>
        <v>0.40979396173524152</v>
      </c>
      <c r="AZ14" s="1">
        <f ca="1"/>
        <v>0.40979396173524152</v>
      </c>
      <c r="BA14" s="1">
        <f ca="1"/>
        <v>0.40979396173524152</v>
      </c>
      <c r="BB14" s="1">
        <f ca="1"/>
        <v>0.40979396173524152</v>
      </c>
      <c r="BC14" s="1">
        <f ca="1"/>
        <v>0.40979396173524152</v>
      </c>
      <c r="BD14" s="1">
        <f ca="1"/>
        <v>0.40979396173524152</v>
      </c>
      <c r="BE14" s="1">
        <f ca="1"/>
        <v>0.40979396173524152</v>
      </c>
      <c r="BF14" s="1">
        <f ca="1"/>
        <v>0.40979396173524152</v>
      </c>
      <c r="BG14" s="1">
        <f ca="1"/>
        <v>0.40979396173524152</v>
      </c>
      <c r="BH14" s="1">
        <f ca="1"/>
        <v>0.40979396173524152</v>
      </c>
      <c r="BI14" s="1">
        <f ca="1"/>
        <v>0.40979396173524152</v>
      </c>
      <c r="BJ14" s="1">
        <f ca="1"/>
        <v>0.40979396173524152</v>
      </c>
      <c r="BK14" s="1">
        <f ca="1"/>
        <v>0.40979396173524152</v>
      </c>
      <c r="BL14" s="1">
        <f ca="1"/>
        <v>0.40979396173524152</v>
      </c>
      <c r="BM14" s="1">
        <f ca="1"/>
        <v>0.40979396173524152</v>
      </c>
      <c r="BN14" s="1">
        <f ca="1"/>
        <v>0.40979396173524152</v>
      </c>
      <c r="BO14" s="1">
        <f ca="1"/>
        <v>0.40979396173524152</v>
      </c>
      <c r="BP14" s="1">
        <f ca="1"/>
        <v>0.40979396173524152</v>
      </c>
      <c r="BQ14" s="1">
        <f ca="1"/>
        <v>0.40979396173524152</v>
      </c>
      <c r="BR14" s="1">
        <f ca="1"/>
        <v>0.40979396173524152</v>
      </c>
      <c r="BS14" s="1">
        <f ca="1"/>
        <v>0.40979396173524152</v>
      </c>
      <c r="BT14" s="1">
        <f ca="1"/>
        <v>0.40979396173524152</v>
      </c>
    </row>
    <row r="15" spans="1:72" x14ac:dyDescent="0.2">
      <c r="B15" t="s">
        <v>1</v>
      </c>
      <c r="C15" t="s">
        <v>0</v>
      </c>
      <c r="E15" s="3">
        <v>0.05</v>
      </c>
      <c r="F15" s="1">
        <f ca="1"/>
        <v>0.98350550816457971</v>
      </c>
      <c r="G15" s="3">
        <f ca="1"/>
        <v>4.9999999999999822E-2</v>
      </c>
      <c r="H15" s="3">
        <f ca="1"/>
        <v>4.9896121783964659E-2</v>
      </c>
      <c r="I15">
        <v>4</v>
      </c>
      <c r="J15" s="2">
        <v>0.33333333333333331</v>
      </c>
      <c r="K15" s="1"/>
      <c r="M15" s="1">
        <f ca="1"/>
        <v>0</v>
      </c>
      <c r="N15" s="1">
        <f ca="1"/>
        <v>0</v>
      </c>
      <c r="O15" s="1">
        <f ca="1"/>
        <v>0</v>
      </c>
      <c r="P15" s="1">
        <f ca="1"/>
        <v>0</v>
      </c>
      <c r="Q15" s="1">
        <f ca="1"/>
        <v>0</v>
      </c>
      <c r="R15" s="1">
        <f ca="1"/>
        <v>0.40809357185252271</v>
      </c>
      <c r="S15" s="1">
        <f ca="1"/>
        <v>0.40809357185252271</v>
      </c>
      <c r="T15" s="1">
        <f ca="1"/>
        <v>0.40809357185252271</v>
      </c>
      <c r="U15" s="1">
        <f ca="1"/>
        <v>0.40809357185252271</v>
      </c>
      <c r="V15" s="1">
        <f ca="1"/>
        <v>0.40809357185252271</v>
      </c>
      <c r="W15" s="1">
        <f ca="1"/>
        <v>0.40809357185252271</v>
      </c>
      <c r="X15" s="1">
        <f ca="1"/>
        <v>0.40809357185252271</v>
      </c>
      <c r="Y15" s="1">
        <f ca="1"/>
        <v>0.40809357185252271</v>
      </c>
      <c r="Z15" s="1">
        <f ca="1"/>
        <v>0.40809357185252271</v>
      </c>
      <c r="AA15" s="1">
        <f ca="1"/>
        <v>0.40809357185252271</v>
      </c>
      <c r="AB15" s="1">
        <f ca="1"/>
        <v>0.40809357185252271</v>
      </c>
      <c r="AC15" s="1">
        <f ca="1"/>
        <v>0.40809357185252271</v>
      </c>
      <c r="AD15" s="1">
        <f ca="1"/>
        <v>0.40809357185252271</v>
      </c>
      <c r="AE15" s="1">
        <f ca="1"/>
        <v>0.40809357185252271</v>
      </c>
      <c r="AF15" s="1">
        <f ca="1"/>
        <v>0.40809357185252271</v>
      </c>
      <c r="AG15" s="1">
        <f ca="1"/>
        <v>0.40809357185252271</v>
      </c>
      <c r="AH15" s="1">
        <f ca="1"/>
        <v>0.40809357185252271</v>
      </c>
      <c r="AI15" s="1">
        <f ca="1"/>
        <v>0.40809357185252271</v>
      </c>
      <c r="AJ15" s="1">
        <f ca="1"/>
        <v>0.40809357185252271</v>
      </c>
      <c r="AK15" s="1">
        <f ca="1"/>
        <v>0.40809357185252271</v>
      </c>
      <c r="AL15" s="1">
        <f ca="1"/>
        <v>0.40809357185252271</v>
      </c>
      <c r="AM15" s="1">
        <f ca="1"/>
        <v>0.40809357185252271</v>
      </c>
      <c r="AN15" s="1">
        <f ca="1"/>
        <v>0.40809357185252271</v>
      </c>
      <c r="AO15" s="1">
        <f ca="1"/>
        <v>0.40809357185252271</v>
      </c>
      <c r="AP15" s="1">
        <f ca="1"/>
        <v>0.40809357185252271</v>
      </c>
      <c r="AQ15" s="1">
        <f ca="1"/>
        <v>0.40809357185252271</v>
      </c>
      <c r="AR15" s="1">
        <f ca="1"/>
        <v>0.40809357185252271</v>
      </c>
      <c r="AS15" s="1">
        <f ca="1"/>
        <v>0.40809357185252271</v>
      </c>
      <c r="AT15" s="1">
        <f ca="1"/>
        <v>0.40809357185252271</v>
      </c>
      <c r="AU15" s="1">
        <f ca="1"/>
        <v>0.40809357185252271</v>
      </c>
      <c r="AV15" s="1">
        <f ca="1"/>
        <v>0.40809357185252271</v>
      </c>
      <c r="AW15" s="1">
        <f ca="1"/>
        <v>0.40809357185252271</v>
      </c>
      <c r="AX15" s="1">
        <f ca="1"/>
        <v>0.40809357185252271</v>
      </c>
      <c r="AY15" s="1">
        <f ca="1"/>
        <v>0.40809357185252271</v>
      </c>
      <c r="AZ15" s="1">
        <f ca="1"/>
        <v>0.40809357185252271</v>
      </c>
      <c r="BA15" s="1">
        <f ca="1"/>
        <v>0.40809357185252271</v>
      </c>
      <c r="BB15" s="1">
        <f ca="1"/>
        <v>0.40809357185252271</v>
      </c>
      <c r="BC15" s="1">
        <f ca="1"/>
        <v>0.40809357185252271</v>
      </c>
      <c r="BD15" s="1">
        <f ca="1"/>
        <v>0.40809357185252271</v>
      </c>
      <c r="BE15" s="1">
        <f ca="1"/>
        <v>0.40809357185252271</v>
      </c>
      <c r="BF15" s="1">
        <f ca="1"/>
        <v>0.40809357185252271</v>
      </c>
      <c r="BG15" s="1">
        <f ca="1"/>
        <v>0.40809357185252271</v>
      </c>
      <c r="BH15" s="1">
        <f ca="1"/>
        <v>0.40809357185252271</v>
      </c>
      <c r="BI15" s="1">
        <f ca="1"/>
        <v>0.40809357185252271</v>
      </c>
      <c r="BJ15" s="1">
        <f ca="1"/>
        <v>0.40809357185252271</v>
      </c>
      <c r="BK15" s="1">
        <f ca="1"/>
        <v>0.40809357185252271</v>
      </c>
      <c r="BL15" s="1">
        <f ca="1"/>
        <v>0.40809357185252271</v>
      </c>
      <c r="BM15" s="1">
        <f ca="1"/>
        <v>0.40809357185252271</v>
      </c>
      <c r="BN15" s="1">
        <f ca="1"/>
        <v>0.40809357185252271</v>
      </c>
      <c r="BO15" s="1">
        <f ca="1"/>
        <v>0.40809357185252271</v>
      </c>
      <c r="BP15" s="1">
        <f ca="1"/>
        <v>0.40809357185252271</v>
      </c>
      <c r="BQ15" s="1">
        <f ca="1"/>
        <v>0.40809357185252271</v>
      </c>
      <c r="BR15" s="1">
        <f ca="1"/>
        <v>0.40809357185252271</v>
      </c>
      <c r="BS15" s="1">
        <f ca="1"/>
        <v>0.40809357185252271</v>
      </c>
      <c r="BT15" s="1">
        <f ca="1"/>
        <v>0.40809357185252271</v>
      </c>
    </row>
    <row r="16" spans="1:72" x14ac:dyDescent="0.2">
      <c r="B16" s="5">
        <v>0.5</v>
      </c>
      <c r="C16" s="4">
        <v>0.05</v>
      </c>
      <c r="E16" s="3">
        <v>0.05</v>
      </c>
      <c r="F16" s="1">
        <f ca="1"/>
        <v>0.97942457244605463</v>
      </c>
      <c r="G16" s="3">
        <f ca="1"/>
        <v>4.9999999999999822E-2</v>
      </c>
      <c r="H16" s="3">
        <f ca="1"/>
        <v>4.9896121783964228E-2</v>
      </c>
      <c r="I16">
        <v>5</v>
      </c>
      <c r="J16" s="2">
        <v>0.41666666666666669</v>
      </c>
      <c r="K16" s="1"/>
      <c r="M16" s="1">
        <f ca="1"/>
        <v>0</v>
      </c>
      <c r="N16" s="1">
        <f ca="1"/>
        <v>0</v>
      </c>
      <c r="O16" s="1">
        <f ca="1"/>
        <v>0</v>
      </c>
      <c r="P16" s="1">
        <f ca="1"/>
        <v>0</v>
      </c>
      <c r="Q16" s="1">
        <f ca="1"/>
        <v>0</v>
      </c>
      <c r="R16" s="1">
        <f ca="1"/>
        <v>0</v>
      </c>
      <c r="S16" s="1">
        <f ca="1"/>
        <v>0.40640023752948318</v>
      </c>
      <c r="T16" s="1">
        <f ca="1"/>
        <v>0.40640023752948318</v>
      </c>
      <c r="U16" s="1">
        <f ca="1"/>
        <v>0.40640023752948318</v>
      </c>
      <c r="V16" s="1">
        <f ca="1"/>
        <v>0.40640023752948318</v>
      </c>
      <c r="W16" s="1">
        <f ca="1"/>
        <v>0.40640023752948318</v>
      </c>
      <c r="X16" s="1">
        <f ca="1"/>
        <v>0.40640023752948318</v>
      </c>
      <c r="Y16" s="1">
        <f ca="1"/>
        <v>0.40640023752948318</v>
      </c>
      <c r="Z16" s="1">
        <f ca="1"/>
        <v>0.40640023752948318</v>
      </c>
      <c r="AA16" s="1">
        <f ca="1"/>
        <v>0.40640023752948318</v>
      </c>
      <c r="AB16" s="1">
        <f ca="1"/>
        <v>0.40640023752948318</v>
      </c>
      <c r="AC16" s="1">
        <f ca="1"/>
        <v>0.40640023752948318</v>
      </c>
      <c r="AD16" s="1">
        <f ca="1"/>
        <v>0.40640023752948318</v>
      </c>
      <c r="AE16" s="1">
        <f ca="1"/>
        <v>0.40640023752948318</v>
      </c>
      <c r="AF16" s="1">
        <f ca="1"/>
        <v>0.40640023752948318</v>
      </c>
      <c r="AG16" s="1">
        <f ca="1"/>
        <v>0.40640023752948318</v>
      </c>
      <c r="AH16" s="1">
        <f ca="1"/>
        <v>0.40640023752948318</v>
      </c>
      <c r="AI16" s="1">
        <f ca="1"/>
        <v>0.40640023752948318</v>
      </c>
      <c r="AJ16" s="1">
        <f ca="1"/>
        <v>0.40640023752948318</v>
      </c>
      <c r="AK16" s="1">
        <f ca="1"/>
        <v>0.40640023752948318</v>
      </c>
      <c r="AL16" s="1">
        <f ca="1"/>
        <v>0.40640023752948318</v>
      </c>
      <c r="AM16" s="1">
        <f ca="1"/>
        <v>0.40640023752948318</v>
      </c>
      <c r="AN16" s="1">
        <f ca="1"/>
        <v>0.40640023752948318</v>
      </c>
      <c r="AO16" s="1">
        <f ca="1"/>
        <v>0.40640023752948318</v>
      </c>
      <c r="AP16" s="1">
        <f ca="1"/>
        <v>0.40640023752948318</v>
      </c>
      <c r="AQ16" s="1">
        <f ca="1"/>
        <v>0.40640023752948318</v>
      </c>
      <c r="AR16" s="1">
        <f ca="1"/>
        <v>0.40640023752948318</v>
      </c>
      <c r="AS16" s="1">
        <f ca="1"/>
        <v>0.40640023752948318</v>
      </c>
      <c r="AT16" s="1">
        <f ca="1"/>
        <v>0.40640023752948318</v>
      </c>
      <c r="AU16" s="1">
        <f ca="1"/>
        <v>0.40640023752948318</v>
      </c>
      <c r="AV16" s="1">
        <f ca="1"/>
        <v>0.40640023752948318</v>
      </c>
      <c r="AW16" s="1">
        <f ca="1"/>
        <v>0.40640023752948318</v>
      </c>
      <c r="AX16" s="1">
        <f ca="1"/>
        <v>0.40640023752948318</v>
      </c>
      <c r="AY16" s="1">
        <f ca="1"/>
        <v>0.40640023752948318</v>
      </c>
      <c r="AZ16" s="1">
        <f ca="1"/>
        <v>0.40640023752948318</v>
      </c>
      <c r="BA16" s="1">
        <f ca="1"/>
        <v>0.40640023752948318</v>
      </c>
      <c r="BB16" s="1">
        <f ca="1"/>
        <v>0.40640023752948318</v>
      </c>
      <c r="BC16" s="1">
        <f ca="1"/>
        <v>0.40640023752948318</v>
      </c>
      <c r="BD16" s="1">
        <f ca="1"/>
        <v>0.40640023752948318</v>
      </c>
      <c r="BE16" s="1">
        <f ca="1"/>
        <v>0.40640023752948318</v>
      </c>
      <c r="BF16" s="1">
        <f ca="1"/>
        <v>0.40640023752948318</v>
      </c>
      <c r="BG16" s="1">
        <f ca="1"/>
        <v>0.40640023752948318</v>
      </c>
      <c r="BH16" s="1">
        <f ca="1"/>
        <v>0.40640023752948318</v>
      </c>
      <c r="BI16" s="1">
        <f ca="1"/>
        <v>0.40640023752948318</v>
      </c>
      <c r="BJ16" s="1">
        <f ca="1"/>
        <v>0.40640023752948318</v>
      </c>
      <c r="BK16" s="1">
        <f ca="1"/>
        <v>0.40640023752948318</v>
      </c>
      <c r="BL16" s="1">
        <f ca="1"/>
        <v>0.40640023752948318</v>
      </c>
      <c r="BM16" s="1">
        <f ca="1"/>
        <v>0.40640023752948318</v>
      </c>
      <c r="BN16" s="1">
        <f ca="1"/>
        <v>0.40640023752948318</v>
      </c>
      <c r="BO16" s="1">
        <f ca="1"/>
        <v>0.40640023752948318</v>
      </c>
      <c r="BP16" s="1">
        <f ca="1"/>
        <v>0.40640023752948318</v>
      </c>
      <c r="BQ16" s="1">
        <f ca="1"/>
        <v>0.40640023752948318</v>
      </c>
      <c r="BR16" s="1">
        <f ca="1"/>
        <v>0.40640023752948318</v>
      </c>
      <c r="BS16" s="1">
        <f ca="1"/>
        <v>0.40640023752948318</v>
      </c>
      <c r="BT16" s="1">
        <f ca="1"/>
        <v>0.40640023752948318</v>
      </c>
    </row>
    <row r="17" spans="2:72" x14ac:dyDescent="0.2">
      <c r="B17" s="5">
        <v>1</v>
      </c>
      <c r="C17" s="4">
        <v>0.05</v>
      </c>
      <c r="E17" s="3">
        <v>0.05</v>
      </c>
      <c r="F17" s="1">
        <f ca="1"/>
        <v>0.97536057007075971</v>
      </c>
      <c r="G17" s="3">
        <f ca="1"/>
        <v>4.9999999999999822E-2</v>
      </c>
      <c r="H17" s="3">
        <f ca="1"/>
        <v>4.9896121783964416E-2</v>
      </c>
      <c r="I17">
        <v>6</v>
      </c>
      <c r="J17" s="2">
        <v>0.5</v>
      </c>
      <c r="K17" s="1"/>
      <c r="M17" s="1">
        <f ca="1"/>
        <v>0</v>
      </c>
      <c r="N17" s="1">
        <f ca="1"/>
        <v>0</v>
      </c>
      <c r="O17" s="1">
        <f ca="1"/>
        <v>0</v>
      </c>
      <c r="P17" s="1">
        <f ca="1"/>
        <v>0</v>
      </c>
      <c r="Q17" s="1">
        <f ca="1"/>
        <v>0</v>
      </c>
      <c r="R17" s="1">
        <f ca="1"/>
        <v>0</v>
      </c>
      <c r="S17" s="1">
        <f ca="1"/>
        <v>0</v>
      </c>
      <c r="T17" s="1">
        <f ca="1"/>
        <v>0.40471392948994167</v>
      </c>
      <c r="U17" s="1">
        <f ca="1"/>
        <v>0.40471392948994167</v>
      </c>
      <c r="V17" s="1">
        <f ca="1"/>
        <v>0.40471392948994167</v>
      </c>
      <c r="W17" s="1">
        <f ca="1"/>
        <v>0.40471392948994167</v>
      </c>
      <c r="X17" s="1">
        <f ca="1"/>
        <v>0.40471392948994167</v>
      </c>
      <c r="Y17" s="1">
        <f ca="1"/>
        <v>0.40471392948994167</v>
      </c>
      <c r="Z17" s="1">
        <f ca="1"/>
        <v>0.40471392948994167</v>
      </c>
      <c r="AA17" s="1">
        <f ca="1"/>
        <v>0.40471392948994167</v>
      </c>
      <c r="AB17" s="1">
        <f ca="1"/>
        <v>0.40471392948994167</v>
      </c>
      <c r="AC17" s="1">
        <f ca="1"/>
        <v>0.40471392948994167</v>
      </c>
      <c r="AD17" s="1">
        <f ca="1"/>
        <v>0.40471392948994167</v>
      </c>
      <c r="AE17" s="1">
        <f ca="1"/>
        <v>0.40471392948994167</v>
      </c>
      <c r="AF17" s="1">
        <f ca="1"/>
        <v>0.40471392948994167</v>
      </c>
      <c r="AG17" s="1">
        <f ca="1"/>
        <v>0.40471392948994167</v>
      </c>
      <c r="AH17" s="1">
        <f ca="1"/>
        <v>0.40471392948994167</v>
      </c>
      <c r="AI17" s="1">
        <f ca="1"/>
        <v>0.40471392948994167</v>
      </c>
      <c r="AJ17" s="1">
        <f ca="1"/>
        <v>0.40471392948994167</v>
      </c>
      <c r="AK17" s="1">
        <f ca="1"/>
        <v>0.40471392948994167</v>
      </c>
      <c r="AL17" s="1">
        <f ca="1"/>
        <v>0.40471392948994167</v>
      </c>
      <c r="AM17" s="1">
        <f ca="1"/>
        <v>0.40471392948994167</v>
      </c>
      <c r="AN17" s="1">
        <f ca="1"/>
        <v>0.40471392948994167</v>
      </c>
      <c r="AO17" s="1">
        <f ca="1"/>
        <v>0.40471392948994167</v>
      </c>
      <c r="AP17" s="1">
        <f ca="1"/>
        <v>0.40471392948994167</v>
      </c>
      <c r="AQ17" s="1">
        <f ca="1"/>
        <v>0.40471392948994167</v>
      </c>
      <c r="AR17" s="1">
        <f ca="1"/>
        <v>0.40471392948994167</v>
      </c>
      <c r="AS17" s="1">
        <f ca="1"/>
        <v>0.40471392948994167</v>
      </c>
      <c r="AT17" s="1">
        <f ca="1"/>
        <v>0.40471392948994167</v>
      </c>
      <c r="AU17" s="1">
        <f ca="1"/>
        <v>0.40471392948994167</v>
      </c>
      <c r="AV17" s="1">
        <f ca="1"/>
        <v>0.40471392948994167</v>
      </c>
      <c r="AW17" s="1">
        <f ca="1"/>
        <v>0.40471392948994167</v>
      </c>
      <c r="AX17" s="1">
        <f ca="1"/>
        <v>0.40471392948994167</v>
      </c>
      <c r="AY17" s="1">
        <f ca="1"/>
        <v>0.40471392948994167</v>
      </c>
      <c r="AZ17" s="1">
        <f ca="1"/>
        <v>0.40471392948994167</v>
      </c>
      <c r="BA17" s="1">
        <f ca="1"/>
        <v>0.40471392948994167</v>
      </c>
      <c r="BB17" s="1">
        <f ca="1"/>
        <v>0.40471392948994167</v>
      </c>
      <c r="BC17" s="1">
        <f ca="1"/>
        <v>0.40471392948994167</v>
      </c>
      <c r="BD17" s="1">
        <f ca="1"/>
        <v>0.40471392948994167</v>
      </c>
      <c r="BE17" s="1">
        <f ca="1"/>
        <v>0.40471392948994167</v>
      </c>
      <c r="BF17" s="1">
        <f ca="1"/>
        <v>0.40471392948994167</v>
      </c>
      <c r="BG17" s="1">
        <f ca="1"/>
        <v>0.40471392948994167</v>
      </c>
      <c r="BH17" s="1">
        <f ca="1"/>
        <v>0.40471392948994167</v>
      </c>
      <c r="BI17" s="1">
        <f ca="1"/>
        <v>0.40471392948994167</v>
      </c>
      <c r="BJ17" s="1">
        <f ca="1"/>
        <v>0.40471392948994167</v>
      </c>
      <c r="BK17" s="1">
        <f ca="1"/>
        <v>0.40471392948994167</v>
      </c>
      <c r="BL17" s="1">
        <f ca="1"/>
        <v>0.40471392948994167</v>
      </c>
      <c r="BM17" s="1">
        <f ca="1"/>
        <v>0.40471392948994167</v>
      </c>
      <c r="BN17" s="1">
        <f ca="1"/>
        <v>0.40471392948994167</v>
      </c>
      <c r="BO17" s="1">
        <f ca="1"/>
        <v>0.40471392948994167</v>
      </c>
      <c r="BP17" s="1">
        <f ca="1"/>
        <v>0.40471392948994167</v>
      </c>
      <c r="BQ17" s="1">
        <f ca="1"/>
        <v>0.40471392948994167</v>
      </c>
      <c r="BR17" s="1">
        <f ca="1"/>
        <v>0.40471392948994167</v>
      </c>
      <c r="BS17" s="1">
        <f ca="1"/>
        <v>0.40471392948994167</v>
      </c>
      <c r="BT17" s="1">
        <f ca="1"/>
        <v>0.40471392948994167</v>
      </c>
    </row>
    <row r="18" spans="2:72" x14ac:dyDescent="0.2">
      <c r="B18" s="5">
        <v>2</v>
      </c>
      <c r="C18" s="4">
        <v>0.05</v>
      </c>
      <c r="E18" s="3">
        <v>0.05</v>
      </c>
      <c r="F18" s="1">
        <f ca="1"/>
        <v>0.97131343077586008</v>
      </c>
      <c r="G18" s="3">
        <f ca="1"/>
        <v>4.9999999999999822E-2</v>
      </c>
      <c r="H18" s="3">
        <f ca="1"/>
        <v>4.9896121783964777E-2</v>
      </c>
      <c r="I18">
        <v>7</v>
      </c>
      <c r="J18" s="2">
        <v>0.58333333333333337</v>
      </c>
      <c r="M18" s="1">
        <f ca="1"/>
        <v>0</v>
      </c>
      <c r="N18" s="1">
        <f ca="1"/>
        <v>0</v>
      </c>
      <c r="O18" s="1">
        <f ca="1"/>
        <v>0</v>
      </c>
      <c r="P18" s="1">
        <f ca="1"/>
        <v>0</v>
      </c>
      <c r="Q18" s="1">
        <f ca="1"/>
        <v>0</v>
      </c>
      <c r="R18" s="1">
        <f ca="1"/>
        <v>0</v>
      </c>
      <c r="S18" s="1">
        <f ca="1"/>
        <v>0</v>
      </c>
      <c r="T18" s="1">
        <f ca="1"/>
        <v>0</v>
      </c>
      <c r="U18" s="1">
        <f ca="1"/>
        <v>0.40303461857919509</v>
      </c>
      <c r="V18" s="1">
        <f ca="1"/>
        <v>0.40303461857919509</v>
      </c>
      <c r="W18" s="1">
        <f ca="1"/>
        <v>0.40303461857919509</v>
      </c>
      <c r="X18" s="1">
        <f ca="1"/>
        <v>0.40303461857919509</v>
      </c>
      <c r="Y18" s="1">
        <f ca="1"/>
        <v>0.40303461857919509</v>
      </c>
      <c r="Z18" s="1">
        <f ca="1"/>
        <v>0.40303461857919509</v>
      </c>
      <c r="AA18" s="1">
        <f ca="1"/>
        <v>0.40303461857919509</v>
      </c>
      <c r="AB18" s="1">
        <f ca="1"/>
        <v>0.40303461857919509</v>
      </c>
      <c r="AC18" s="1">
        <f ca="1"/>
        <v>0.40303461857919509</v>
      </c>
      <c r="AD18" s="1">
        <f ca="1"/>
        <v>0.40303461857919509</v>
      </c>
      <c r="AE18" s="1">
        <f ca="1"/>
        <v>0.40303461857919509</v>
      </c>
      <c r="AF18" s="1">
        <f ca="1"/>
        <v>0.40303461857919509</v>
      </c>
      <c r="AG18" s="1">
        <f ca="1"/>
        <v>0.40303461857919509</v>
      </c>
      <c r="AH18" s="1">
        <f ca="1"/>
        <v>0.40303461857919509</v>
      </c>
      <c r="AI18" s="1">
        <f ca="1"/>
        <v>0.40303461857919509</v>
      </c>
      <c r="AJ18" s="1">
        <f ca="1"/>
        <v>0.40303461857919509</v>
      </c>
      <c r="AK18" s="1">
        <f ca="1"/>
        <v>0.40303461857919509</v>
      </c>
      <c r="AL18" s="1">
        <f ca="1"/>
        <v>0.40303461857919509</v>
      </c>
      <c r="AM18" s="1">
        <f ca="1"/>
        <v>0.40303461857919509</v>
      </c>
      <c r="AN18" s="1">
        <f ca="1"/>
        <v>0.40303461857919509</v>
      </c>
      <c r="AO18" s="1">
        <f ca="1"/>
        <v>0.40303461857919509</v>
      </c>
      <c r="AP18" s="1">
        <f ca="1"/>
        <v>0.40303461857919509</v>
      </c>
      <c r="AQ18" s="1">
        <f ca="1"/>
        <v>0.40303461857919509</v>
      </c>
      <c r="AR18" s="1">
        <f ca="1"/>
        <v>0.40303461857919509</v>
      </c>
      <c r="AS18" s="1">
        <f ca="1"/>
        <v>0.40303461857919509</v>
      </c>
      <c r="AT18" s="1">
        <f ca="1"/>
        <v>0.40303461857919509</v>
      </c>
      <c r="AU18" s="1">
        <f ca="1"/>
        <v>0.40303461857919509</v>
      </c>
      <c r="AV18" s="1">
        <f ca="1"/>
        <v>0.40303461857919509</v>
      </c>
      <c r="AW18" s="1">
        <f ca="1"/>
        <v>0.40303461857919509</v>
      </c>
      <c r="AX18" s="1">
        <f ca="1"/>
        <v>0.40303461857919509</v>
      </c>
      <c r="AY18" s="1">
        <f ca="1"/>
        <v>0.40303461857919509</v>
      </c>
      <c r="AZ18" s="1">
        <f ca="1"/>
        <v>0.40303461857919509</v>
      </c>
      <c r="BA18" s="1">
        <f ca="1"/>
        <v>0.40303461857919509</v>
      </c>
      <c r="BB18" s="1">
        <f ca="1"/>
        <v>0.40303461857919509</v>
      </c>
      <c r="BC18" s="1">
        <f ca="1"/>
        <v>0.40303461857919509</v>
      </c>
      <c r="BD18" s="1">
        <f ca="1"/>
        <v>0.40303461857919509</v>
      </c>
      <c r="BE18" s="1">
        <f ca="1"/>
        <v>0.40303461857919509</v>
      </c>
      <c r="BF18" s="1">
        <f ca="1"/>
        <v>0.40303461857919509</v>
      </c>
      <c r="BG18" s="1">
        <f ca="1"/>
        <v>0.40303461857919509</v>
      </c>
      <c r="BH18" s="1">
        <f ca="1"/>
        <v>0.40303461857919509</v>
      </c>
      <c r="BI18" s="1">
        <f ca="1"/>
        <v>0.40303461857919509</v>
      </c>
      <c r="BJ18" s="1">
        <f ca="1"/>
        <v>0.40303461857919509</v>
      </c>
      <c r="BK18" s="1">
        <f ca="1"/>
        <v>0.40303461857919509</v>
      </c>
      <c r="BL18" s="1">
        <f ca="1"/>
        <v>0.40303461857919509</v>
      </c>
      <c r="BM18" s="1">
        <f ca="1"/>
        <v>0.40303461857919509</v>
      </c>
      <c r="BN18" s="1">
        <f ca="1"/>
        <v>0.40303461857919509</v>
      </c>
      <c r="BO18" s="1">
        <f ca="1"/>
        <v>0.40303461857919509</v>
      </c>
      <c r="BP18" s="1">
        <f ca="1"/>
        <v>0.40303461857919509</v>
      </c>
      <c r="BQ18" s="1">
        <f ca="1"/>
        <v>0.40303461857919509</v>
      </c>
      <c r="BR18" s="1">
        <f ca="1"/>
        <v>0.40303461857919509</v>
      </c>
      <c r="BS18" s="1">
        <f ca="1"/>
        <v>0.40303461857919509</v>
      </c>
      <c r="BT18" s="1">
        <f ca="1"/>
        <v>0.40303461857919509</v>
      </c>
    </row>
    <row r="19" spans="2:72" x14ac:dyDescent="0.2">
      <c r="B19" s="5">
        <v>3</v>
      </c>
      <c r="C19" s="4">
        <v>0.05</v>
      </c>
      <c r="E19" s="3">
        <v>0.05</v>
      </c>
      <c r="F19" s="1">
        <f ca="1"/>
        <v>0.96728308459006829</v>
      </c>
      <c r="G19" s="3">
        <f ca="1"/>
        <v>4.9999999999999822E-2</v>
      </c>
      <c r="H19" s="3">
        <f ca="1"/>
        <v>4.9896121783964478E-2</v>
      </c>
      <c r="I19">
        <v>8</v>
      </c>
      <c r="J19" s="2">
        <v>0.66666666666666663</v>
      </c>
      <c r="K19" s="6"/>
      <c r="M19" s="1">
        <f ca="1"/>
        <v>0</v>
      </c>
      <c r="N19" s="1">
        <f ca="1"/>
        <v>0</v>
      </c>
      <c r="O19" s="1">
        <f ca="1"/>
        <v>0</v>
      </c>
      <c r="P19" s="1">
        <f ca="1"/>
        <v>0</v>
      </c>
      <c r="Q19" s="1">
        <f ca="1"/>
        <v>0</v>
      </c>
      <c r="R19" s="1">
        <f ca="1"/>
        <v>0</v>
      </c>
      <c r="S19" s="1">
        <f ca="1"/>
        <v>0</v>
      </c>
      <c r="T19" s="1">
        <f ca="1"/>
        <v>0</v>
      </c>
      <c r="U19" s="1">
        <f ca="1"/>
        <v>0</v>
      </c>
      <c r="V19" s="1">
        <f ca="1"/>
        <v>0.40136227576351374</v>
      </c>
      <c r="W19" s="1">
        <f ca="1"/>
        <v>0.40136227576351374</v>
      </c>
      <c r="X19" s="1">
        <f ca="1"/>
        <v>0.40136227576351374</v>
      </c>
      <c r="Y19" s="1">
        <f ca="1"/>
        <v>0.40136227576351374</v>
      </c>
      <c r="Z19" s="1">
        <f ca="1"/>
        <v>0.40136227576351374</v>
      </c>
      <c r="AA19" s="1">
        <f ca="1"/>
        <v>0.40136227576351374</v>
      </c>
      <c r="AB19" s="1">
        <f ca="1"/>
        <v>0.40136227576351374</v>
      </c>
      <c r="AC19" s="1">
        <f ca="1"/>
        <v>0.40136227576351374</v>
      </c>
      <c r="AD19" s="1">
        <f ca="1"/>
        <v>0.40136227576351374</v>
      </c>
      <c r="AE19" s="1">
        <f ca="1"/>
        <v>0.40136227576351374</v>
      </c>
      <c r="AF19" s="1">
        <f ca="1"/>
        <v>0.40136227576351374</v>
      </c>
      <c r="AG19" s="1">
        <f ca="1"/>
        <v>0.40136227576351374</v>
      </c>
      <c r="AH19" s="1">
        <f ca="1"/>
        <v>0.40136227576351374</v>
      </c>
      <c r="AI19" s="1">
        <f ca="1"/>
        <v>0.40136227576351374</v>
      </c>
      <c r="AJ19" s="1">
        <f ca="1"/>
        <v>0.40136227576351374</v>
      </c>
      <c r="AK19" s="1">
        <f ca="1"/>
        <v>0.40136227576351374</v>
      </c>
      <c r="AL19" s="1">
        <f ca="1"/>
        <v>0.40136227576351374</v>
      </c>
      <c r="AM19" s="1">
        <f ca="1"/>
        <v>0.40136227576351374</v>
      </c>
      <c r="AN19" s="1">
        <f ca="1"/>
        <v>0.40136227576351374</v>
      </c>
      <c r="AO19" s="1">
        <f ca="1"/>
        <v>0.40136227576351374</v>
      </c>
      <c r="AP19" s="1">
        <f ca="1"/>
        <v>0.40136227576351374</v>
      </c>
      <c r="AQ19" s="1">
        <f ca="1"/>
        <v>0.40136227576351374</v>
      </c>
      <c r="AR19" s="1">
        <f ca="1"/>
        <v>0.40136227576351374</v>
      </c>
      <c r="AS19" s="1">
        <f ca="1"/>
        <v>0.40136227576351374</v>
      </c>
      <c r="AT19" s="1">
        <f ca="1"/>
        <v>0.40136227576351374</v>
      </c>
      <c r="AU19" s="1">
        <f ca="1"/>
        <v>0.40136227576351374</v>
      </c>
      <c r="AV19" s="1">
        <f ca="1"/>
        <v>0.40136227576351374</v>
      </c>
      <c r="AW19" s="1">
        <f ca="1"/>
        <v>0.40136227576351374</v>
      </c>
      <c r="AX19" s="1">
        <f ca="1"/>
        <v>0.40136227576351374</v>
      </c>
      <c r="AY19" s="1">
        <f ca="1"/>
        <v>0.40136227576351374</v>
      </c>
      <c r="AZ19" s="1">
        <f ca="1"/>
        <v>0.40136227576351374</v>
      </c>
      <c r="BA19" s="1">
        <f ca="1"/>
        <v>0.40136227576351374</v>
      </c>
      <c r="BB19" s="1">
        <f ca="1"/>
        <v>0.40136227576351374</v>
      </c>
      <c r="BC19" s="1">
        <f ca="1"/>
        <v>0.40136227576351374</v>
      </c>
      <c r="BD19" s="1">
        <f ca="1"/>
        <v>0.40136227576351374</v>
      </c>
      <c r="BE19" s="1">
        <f ca="1"/>
        <v>0.40136227576351374</v>
      </c>
      <c r="BF19" s="1">
        <f ca="1"/>
        <v>0.40136227576351374</v>
      </c>
      <c r="BG19" s="1">
        <f ca="1"/>
        <v>0.40136227576351374</v>
      </c>
      <c r="BH19" s="1">
        <f ca="1"/>
        <v>0.40136227576351374</v>
      </c>
      <c r="BI19" s="1">
        <f ca="1"/>
        <v>0.40136227576351374</v>
      </c>
      <c r="BJ19" s="1">
        <f ca="1"/>
        <v>0.40136227576351374</v>
      </c>
      <c r="BK19" s="1">
        <f ca="1"/>
        <v>0.40136227576351374</v>
      </c>
      <c r="BL19" s="1">
        <f ca="1"/>
        <v>0.40136227576351374</v>
      </c>
      <c r="BM19" s="1">
        <f ca="1"/>
        <v>0.40136227576351374</v>
      </c>
      <c r="BN19" s="1">
        <f ca="1"/>
        <v>0.40136227576351374</v>
      </c>
      <c r="BO19" s="1">
        <f ca="1"/>
        <v>0.40136227576351374</v>
      </c>
      <c r="BP19" s="1">
        <f ca="1"/>
        <v>0.40136227576351374</v>
      </c>
      <c r="BQ19" s="1">
        <f ca="1"/>
        <v>0.40136227576351374</v>
      </c>
      <c r="BR19" s="1">
        <f ca="1"/>
        <v>0.40136227576351374</v>
      </c>
      <c r="BS19" s="1">
        <f ca="1"/>
        <v>0.40136227576351374</v>
      </c>
      <c r="BT19" s="1">
        <f ca="1"/>
        <v>0.40136227576351374</v>
      </c>
    </row>
    <row r="20" spans="2:72" x14ac:dyDescent="0.2">
      <c r="B20" s="5">
        <v>4</v>
      </c>
      <c r="C20" s="4">
        <v>0.05</v>
      </c>
      <c r="E20" s="3">
        <v>0.05</v>
      </c>
      <c r="F20" s="1">
        <f ca="1"/>
        <v>0.96326946183243312</v>
      </c>
      <c r="G20" s="3">
        <f ca="1"/>
        <v>4.9999999999999822E-2</v>
      </c>
      <c r="H20" s="3">
        <f ca="1"/>
        <v>4.9896121783964499E-2</v>
      </c>
      <c r="I20">
        <v>9</v>
      </c>
      <c r="J20" s="2">
        <v>0.75</v>
      </c>
      <c r="M20" s="1">
        <f ca="1"/>
        <v>0</v>
      </c>
      <c r="N20" s="1">
        <f ca="1"/>
        <v>0</v>
      </c>
      <c r="O20" s="1">
        <f ca="1"/>
        <v>0</v>
      </c>
      <c r="P20" s="1">
        <f ca="1"/>
        <v>0</v>
      </c>
      <c r="Q20" s="1">
        <f ca="1"/>
        <v>0</v>
      </c>
      <c r="R20" s="1">
        <f ca="1"/>
        <v>0</v>
      </c>
      <c r="S20" s="1">
        <f ca="1"/>
        <v>0</v>
      </c>
      <c r="T20" s="1">
        <f ca="1"/>
        <v>0</v>
      </c>
      <c r="U20" s="1">
        <f ca="1"/>
        <v>0</v>
      </c>
      <c r="V20" s="1">
        <f ca="1"/>
        <v>0</v>
      </c>
      <c r="W20" s="1">
        <f ca="1"/>
        <v>0.39969687212964022</v>
      </c>
      <c r="X20" s="1">
        <f ca="1"/>
        <v>0.39969687212964022</v>
      </c>
      <c r="Y20" s="1">
        <f ca="1"/>
        <v>0.39969687212964022</v>
      </c>
      <c r="Z20" s="1">
        <f ca="1"/>
        <v>0.39969687212964022</v>
      </c>
      <c r="AA20" s="1">
        <f ca="1"/>
        <v>0.39969687212964022</v>
      </c>
      <c r="AB20" s="1">
        <f ca="1"/>
        <v>0.39969687212964022</v>
      </c>
      <c r="AC20" s="1">
        <f ca="1"/>
        <v>0.39969687212964022</v>
      </c>
      <c r="AD20" s="1">
        <f ca="1"/>
        <v>0.39969687212964022</v>
      </c>
      <c r="AE20" s="1">
        <f ca="1"/>
        <v>0.39969687212964022</v>
      </c>
      <c r="AF20" s="1">
        <f ca="1"/>
        <v>0.39969687212964022</v>
      </c>
      <c r="AG20" s="1">
        <f ca="1"/>
        <v>0.39969687212964022</v>
      </c>
      <c r="AH20" s="1">
        <f ca="1"/>
        <v>0.39969687212964022</v>
      </c>
      <c r="AI20" s="1">
        <f ca="1"/>
        <v>0.39969687212964022</v>
      </c>
      <c r="AJ20" s="1">
        <f ca="1"/>
        <v>0.39969687212964022</v>
      </c>
      <c r="AK20" s="1">
        <f ca="1"/>
        <v>0.39969687212964022</v>
      </c>
      <c r="AL20" s="1">
        <f ca="1"/>
        <v>0.39969687212964022</v>
      </c>
      <c r="AM20" s="1">
        <f ca="1"/>
        <v>0.39969687212964022</v>
      </c>
      <c r="AN20" s="1">
        <f ca="1"/>
        <v>0.39969687212964022</v>
      </c>
      <c r="AO20" s="1">
        <f ca="1"/>
        <v>0.39969687212964022</v>
      </c>
      <c r="AP20" s="1">
        <f ca="1"/>
        <v>0.39969687212964022</v>
      </c>
      <c r="AQ20" s="1">
        <f ca="1"/>
        <v>0.39969687212964022</v>
      </c>
      <c r="AR20" s="1">
        <f ca="1"/>
        <v>0.39969687212964022</v>
      </c>
      <c r="AS20" s="1">
        <f ca="1"/>
        <v>0.39969687212964022</v>
      </c>
      <c r="AT20" s="1">
        <f ca="1"/>
        <v>0.39969687212964022</v>
      </c>
      <c r="AU20" s="1">
        <f ca="1"/>
        <v>0.39969687212964022</v>
      </c>
      <c r="AV20" s="1">
        <f ca="1"/>
        <v>0.39969687212964022</v>
      </c>
      <c r="AW20" s="1">
        <f ca="1"/>
        <v>0.39969687212964022</v>
      </c>
      <c r="AX20" s="1">
        <f ca="1"/>
        <v>0.39969687212964022</v>
      </c>
      <c r="AY20" s="1">
        <f ca="1"/>
        <v>0.39969687212964022</v>
      </c>
      <c r="AZ20" s="1">
        <f ca="1"/>
        <v>0.39969687212964022</v>
      </c>
      <c r="BA20" s="1">
        <f ca="1"/>
        <v>0.39969687212964022</v>
      </c>
      <c r="BB20" s="1">
        <f ca="1"/>
        <v>0.39969687212964022</v>
      </c>
      <c r="BC20" s="1">
        <f ca="1"/>
        <v>0.39969687212964022</v>
      </c>
      <c r="BD20" s="1">
        <f ca="1"/>
        <v>0.39969687212964022</v>
      </c>
      <c r="BE20" s="1">
        <f ca="1"/>
        <v>0.39969687212964022</v>
      </c>
      <c r="BF20" s="1">
        <f ca="1"/>
        <v>0.39969687212964022</v>
      </c>
      <c r="BG20" s="1">
        <f ca="1"/>
        <v>0.39969687212964022</v>
      </c>
      <c r="BH20" s="1">
        <f ca="1"/>
        <v>0.39969687212964022</v>
      </c>
      <c r="BI20" s="1">
        <f ca="1"/>
        <v>0.39969687212964022</v>
      </c>
      <c r="BJ20" s="1">
        <f ca="1"/>
        <v>0.39969687212964022</v>
      </c>
      <c r="BK20" s="1">
        <f ca="1"/>
        <v>0.39969687212964022</v>
      </c>
      <c r="BL20" s="1">
        <f ca="1"/>
        <v>0.39969687212964022</v>
      </c>
      <c r="BM20" s="1">
        <f ca="1"/>
        <v>0.39969687212964022</v>
      </c>
      <c r="BN20" s="1">
        <f ca="1"/>
        <v>0.39969687212964022</v>
      </c>
      <c r="BO20" s="1">
        <f ca="1"/>
        <v>0.39969687212964022</v>
      </c>
      <c r="BP20" s="1">
        <f ca="1"/>
        <v>0.39969687212964022</v>
      </c>
      <c r="BQ20" s="1">
        <f ca="1"/>
        <v>0.39969687212964022</v>
      </c>
      <c r="BR20" s="1">
        <f ca="1"/>
        <v>0.39969687212964022</v>
      </c>
      <c r="BS20" s="1">
        <f ca="1"/>
        <v>0.39969687212964022</v>
      </c>
      <c r="BT20" s="1">
        <f ca="1"/>
        <v>0.39969687212964022</v>
      </c>
    </row>
    <row r="21" spans="2:72" x14ac:dyDescent="0.2">
      <c r="B21" s="5">
        <v>5</v>
      </c>
      <c r="C21" s="4">
        <v>0.05</v>
      </c>
      <c r="E21" s="3">
        <v>0.05</v>
      </c>
      <c r="F21" s="1">
        <f ca="1"/>
        <v>0.9592724931111366</v>
      </c>
      <c r="G21" s="3">
        <f ca="1"/>
        <v>4.9999999999999822E-2</v>
      </c>
      <c r="H21" s="3">
        <f ca="1"/>
        <v>4.9896121783964617E-2</v>
      </c>
      <c r="I21">
        <v>10</v>
      </c>
      <c r="J21" s="2">
        <v>0.83333333333333337</v>
      </c>
      <c r="M21" s="1">
        <f ca="1"/>
        <v>0</v>
      </c>
      <c r="N21" s="1">
        <f ca="1"/>
        <v>0</v>
      </c>
      <c r="O21" s="1">
        <f ca="1"/>
        <v>0</v>
      </c>
      <c r="P21" s="1">
        <f ca="1"/>
        <v>0</v>
      </c>
      <c r="Q21" s="1">
        <f ca="1"/>
        <v>0</v>
      </c>
      <c r="R21" s="1">
        <f ca="1"/>
        <v>0</v>
      </c>
      <c r="S21" s="1">
        <f ca="1"/>
        <v>0</v>
      </c>
      <c r="T21" s="1">
        <f ca="1"/>
        <v>0</v>
      </c>
      <c r="U21" s="1">
        <f ca="1"/>
        <v>0</v>
      </c>
      <c r="V21" s="1">
        <f ca="1"/>
        <v>0</v>
      </c>
      <c r="W21" s="1">
        <f ca="1"/>
        <v>0</v>
      </c>
      <c r="X21" s="1">
        <f ca="1"/>
        <v>0.39803837888428906</v>
      </c>
      <c r="Y21" s="1">
        <f ca="1"/>
        <v>0.39803837888428906</v>
      </c>
      <c r="Z21" s="1">
        <f ca="1"/>
        <v>0.39803837888428906</v>
      </c>
      <c r="AA21" s="1">
        <f ca="1"/>
        <v>0.39803837888428906</v>
      </c>
      <c r="AB21" s="1">
        <f ca="1"/>
        <v>0.39803837888428906</v>
      </c>
      <c r="AC21" s="1">
        <f ca="1"/>
        <v>0.39803837888428906</v>
      </c>
      <c r="AD21" s="1">
        <f ca="1"/>
        <v>0.39803837888428906</v>
      </c>
      <c r="AE21" s="1">
        <f ca="1"/>
        <v>0.39803837888428906</v>
      </c>
      <c r="AF21" s="1">
        <f ca="1"/>
        <v>0.39803837888428906</v>
      </c>
      <c r="AG21" s="1">
        <f ca="1"/>
        <v>0.39803837888428906</v>
      </c>
      <c r="AH21" s="1">
        <f ca="1"/>
        <v>0.39803837888428906</v>
      </c>
      <c r="AI21" s="1">
        <f ca="1"/>
        <v>0.39803837888428906</v>
      </c>
      <c r="AJ21" s="1">
        <f ca="1"/>
        <v>0.39803837888428906</v>
      </c>
      <c r="AK21" s="1">
        <f ca="1"/>
        <v>0.39803837888428906</v>
      </c>
      <c r="AL21" s="1">
        <f ca="1"/>
        <v>0.39803837888428906</v>
      </c>
      <c r="AM21" s="1">
        <f ca="1"/>
        <v>0.39803837888428906</v>
      </c>
      <c r="AN21" s="1">
        <f ca="1"/>
        <v>0.39803837888428906</v>
      </c>
      <c r="AO21" s="1">
        <f ca="1"/>
        <v>0.39803837888428906</v>
      </c>
      <c r="AP21" s="1">
        <f ca="1"/>
        <v>0.39803837888428906</v>
      </c>
      <c r="AQ21" s="1">
        <f ca="1"/>
        <v>0.39803837888428906</v>
      </c>
      <c r="AR21" s="1">
        <f ca="1"/>
        <v>0.39803837888428906</v>
      </c>
      <c r="AS21" s="1">
        <f ca="1"/>
        <v>0.39803837888428906</v>
      </c>
      <c r="AT21" s="1">
        <f ca="1"/>
        <v>0.39803837888428906</v>
      </c>
      <c r="AU21" s="1">
        <f ca="1"/>
        <v>0.39803837888428906</v>
      </c>
      <c r="AV21" s="1">
        <f ca="1"/>
        <v>0.39803837888428906</v>
      </c>
      <c r="AW21" s="1">
        <f ca="1"/>
        <v>0.39803837888428906</v>
      </c>
      <c r="AX21" s="1">
        <f ca="1"/>
        <v>0.39803837888428906</v>
      </c>
      <c r="AY21" s="1">
        <f ca="1"/>
        <v>0.39803837888428906</v>
      </c>
      <c r="AZ21" s="1">
        <f ca="1"/>
        <v>0.39803837888428906</v>
      </c>
      <c r="BA21" s="1">
        <f ca="1"/>
        <v>0.39803837888428906</v>
      </c>
      <c r="BB21" s="1">
        <f ca="1"/>
        <v>0.39803837888428906</v>
      </c>
      <c r="BC21" s="1">
        <f ca="1"/>
        <v>0.39803837888428906</v>
      </c>
      <c r="BD21" s="1">
        <f ca="1"/>
        <v>0.39803837888428906</v>
      </c>
      <c r="BE21" s="1">
        <f ca="1"/>
        <v>0.39803837888428906</v>
      </c>
      <c r="BF21" s="1">
        <f ca="1"/>
        <v>0.39803837888428906</v>
      </c>
      <c r="BG21" s="1">
        <f ca="1"/>
        <v>0.39803837888428906</v>
      </c>
      <c r="BH21" s="1">
        <f ca="1"/>
        <v>0.39803837888428906</v>
      </c>
      <c r="BI21" s="1">
        <f ca="1"/>
        <v>0.39803837888428906</v>
      </c>
      <c r="BJ21" s="1">
        <f ca="1"/>
        <v>0.39803837888428906</v>
      </c>
      <c r="BK21" s="1">
        <f ca="1"/>
        <v>0.39803837888428906</v>
      </c>
      <c r="BL21" s="1">
        <f ca="1"/>
        <v>0.39803837888428906</v>
      </c>
      <c r="BM21" s="1">
        <f ca="1"/>
        <v>0.39803837888428906</v>
      </c>
      <c r="BN21" s="1">
        <f ca="1"/>
        <v>0.39803837888428906</v>
      </c>
      <c r="BO21" s="1">
        <f ca="1"/>
        <v>0.39803837888428906</v>
      </c>
      <c r="BP21" s="1">
        <f ca="1"/>
        <v>0.39803837888428906</v>
      </c>
      <c r="BQ21" s="1">
        <f ca="1"/>
        <v>0.39803837888428906</v>
      </c>
      <c r="BR21" s="1">
        <f ca="1"/>
        <v>0.39803837888428906</v>
      </c>
      <c r="BS21" s="1">
        <f ca="1"/>
        <v>0.39803837888428906</v>
      </c>
      <c r="BT21" s="1">
        <f ca="1"/>
        <v>0.39803837888428906</v>
      </c>
    </row>
    <row r="22" spans="2:72" x14ac:dyDescent="0.2">
      <c r="E22" s="3">
        <v>0.05</v>
      </c>
      <c r="F22" s="1">
        <f ca="1"/>
        <v>0.9552921093222938</v>
      </c>
      <c r="G22" s="3">
        <f ca="1"/>
        <v>4.9999999999999822E-2</v>
      </c>
      <c r="H22" s="3">
        <f ca="1"/>
        <v>4.9896121783964485E-2</v>
      </c>
      <c r="I22">
        <v>11</v>
      </c>
      <c r="J22" s="2">
        <v>0.91666666666666663</v>
      </c>
      <c r="M22" s="1">
        <f ca="1"/>
        <v>0</v>
      </c>
      <c r="N22" s="1">
        <f ca="1"/>
        <v>0</v>
      </c>
      <c r="O22" s="1">
        <f ca="1"/>
        <v>0</v>
      </c>
      <c r="P22" s="1">
        <f ca="1"/>
        <v>0</v>
      </c>
      <c r="Q22" s="1">
        <f ca="1"/>
        <v>0</v>
      </c>
      <c r="R22" s="1">
        <f ca="1"/>
        <v>0</v>
      </c>
      <c r="S22" s="1">
        <f ca="1"/>
        <v>0</v>
      </c>
      <c r="T22" s="1">
        <f ca="1"/>
        <v>0</v>
      </c>
      <c r="U22" s="1">
        <f ca="1"/>
        <v>0</v>
      </c>
      <c r="V22" s="1">
        <f ca="1"/>
        <v>0</v>
      </c>
      <c r="W22" s="1">
        <f ca="1"/>
        <v>0</v>
      </c>
      <c r="X22" s="1">
        <f ca="1"/>
        <v>0</v>
      </c>
      <c r="Y22" s="1">
        <f ca="1"/>
        <v>0.39638676735364886</v>
      </c>
      <c r="Z22" s="1">
        <f ca="1"/>
        <v>0.39638676735364886</v>
      </c>
      <c r="AA22" s="1">
        <f ca="1"/>
        <v>0.39638676735364886</v>
      </c>
      <c r="AB22" s="1">
        <f ca="1"/>
        <v>0.39638676735364886</v>
      </c>
      <c r="AC22" s="1">
        <f ca="1"/>
        <v>0.39638676735364886</v>
      </c>
      <c r="AD22" s="1">
        <f ca="1"/>
        <v>0.39638676735364886</v>
      </c>
      <c r="AE22" s="1">
        <f ca="1"/>
        <v>0.39638676735364886</v>
      </c>
      <c r="AF22" s="1">
        <f ca="1"/>
        <v>0.39638676735364886</v>
      </c>
      <c r="AG22" s="1">
        <f ca="1"/>
        <v>0.39638676735364886</v>
      </c>
      <c r="AH22" s="1">
        <f ca="1"/>
        <v>0.39638676735364886</v>
      </c>
      <c r="AI22" s="1">
        <f ca="1"/>
        <v>0.39638676735364886</v>
      </c>
      <c r="AJ22" s="1">
        <f ca="1"/>
        <v>0.39638676735364886</v>
      </c>
      <c r="AK22" s="1">
        <f ca="1"/>
        <v>0.39638676735364886</v>
      </c>
      <c r="AL22" s="1">
        <f ca="1"/>
        <v>0.39638676735364886</v>
      </c>
      <c r="AM22" s="1">
        <f ca="1"/>
        <v>0.39638676735364886</v>
      </c>
      <c r="AN22" s="1">
        <f ca="1"/>
        <v>0.39638676735364886</v>
      </c>
      <c r="AO22" s="1">
        <f ca="1"/>
        <v>0.39638676735364886</v>
      </c>
      <c r="AP22" s="1">
        <f ca="1"/>
        <v>0.39638676735364886</v>
      </c>
      <c r="AQ22" s="1">
        <f ca="1"/>
        <v>0.39638676735364886</v>
      </c>
      <c r="AR22" s="1">
        <f ca="1"/>
        <v>0.39638676735364886</v>
      </c>
      <c r="AS22" s="1">
        <f ca="1"/>
        <v>0.39638676735364886</v>
      </c>
      <c r="AT22" s="1">
        <f ca="1"/>
        <v>0.39638676735364886</v>
      </c>
      <c r="AU22" s="1">
        <f ca="1"/>
        <v>0.39638676735364886</v>
      </c>
      <c r="AV22" s="1">
        <f ca="1"/>
        <v>0.39638676735364886</v>
      </c>
      <c r="AW22" s="1">
        <f ca="1"/>
        <v>0.39638676735364886</v>
      </c>
      <c r="AX22" s="1">
        <f ca="1"/>
        <v>0.39638676735364886</v>
      </c>
      <c r="AY22" s="1">
        <f ca="1"/>
        <v>0.39638676735364886</v>
      </c>
      <c r="AZ22" s="1">
        <f ca="1"/>
        <v>0.39638676735364886</v>
      </c>
      <c r="BA22" s="1">
        <f ca="1"/>
        <v>0.39638676735364886</v>
      </c>
      <c r="BB22" s="1">
        <f ca="1"/>
        <v>0.39638676735364886</v>
      </c>
      <c r="BC22" s="1">
        <f ca="1"/>
        <v>0.39638676735364886</v>
      </c>
      <c r="BD22" s="1">
        <f ca="1"/>
        <v>0.39638676735364886</v>
      </c>
      <c r="BE22" s="1">
        <f ca="1"/>
        <v>0.39638676735364886</v>
      </c>
      <c r="BF22" s="1">
        <f ca="1"/>
        <v>0.39638676735364886</v>
      </c>
      <c r="BG22" s="1">
        <f ca="1"/>
        <v>0.39638676735364886</v>
      </c>
      <c r="BH22" s="1">
        <f ca="1"/>
        <v>0.39638676735364886</v>
      </c>
      <c r="BI22" s="1">
        <f ca="1"/>
        <v>0.39638676735364886</v>
      </c>
      <c r="BJ22" s="1">
        <f ca="1"/>
        <v>0.39638676735364886</v>
      </c>
      <c r="BK22" s="1">
        <f ca="1"/>
        <v>0.39638676735364886</v>
      </c>
      <c r="BL22" s="1">
        <f ca="1"/>
        <v>0.39638676735364886</v>
      </c>
      <c r="BM22" s="1">
        <f ca="1"/>
        <v>0.39638676735364886</v>
      </c>
      <c r="BN22" s="1">
        <f ca="1"/>
        <v>0.39638676735364886</v>
      </c>
      <c r="BO22" s="1">
        <f ca="1"/>
        <v>0.39638676735364886</v>
      </c>
      <c r="BP22" s="1">
        <f ca="1"/>
        <v>0.39638676735364886</v>
      </c>
      <c r="BQ22" s="1">
        <f ca="1"/>
        <v>0.39638676735364886</v>
      </c>
      <c r="BR22" s="1">
        <f ca="1"/>
        <v>0.39638676735364886</v>
      </c>
      <c r="BS22" s="1">
        <f ca="1"/>
        <v>0.39638676735364886</v>
      </c>
      <c r="BT22" s="1">
        <f ca="1"/>
        <v>0.39638676735364886</v>
      </c>
    </row>
    <row r="23" spans="2:72" x14ac:dyDescent="0.2">
      <c r="E23" s="3">
        <v>0.05</v>
      </c>
      <c r="F23" s="1">
        <f ca="1"/>
        <v>0.95132824164875729</v>
      </c>
      <c r="G23" s="3">
        <f ca="1"/>
        <v>4.9999999999999822E-2</v>
      </c>
      <c r="H23" s="3">
        <f ca="1"/>
        <v>4.9896121783964499E-2</v>
      </c>
      <c r="I23">
        <v>12</v>
      </c>
      <c r="J23" s="2">
        <v>1</v>
      </c>
      <c r="M23" s="1">
        <f ca="1"/>
        <v>0</v>
      </c>
      <c r="N23" s="1">
        <f ca="1"/>
        <v>0</v>
      </c>
      <c r="O23" s="1">
        <f ca="1"/>
        <v>0</v>
      </c>
      <c r="P23" s="1">
        <f ca="1"/>
        <v>0</v>
      </c>
      <c r="Q23" s="1">
        <f ca="1"/>
        <v>0</v>
      </c>
      <c r="R23" s="1">
        <f ca="1"/>
        <v>0</v>
      </c>
      <c r="S23" s="1">
        <f ca="1"/>
        <v>0</v>
      </c>
      <c r="T23" s="1">
        <f ca="1"/>
        <v>0</v>
      </c>
      <c r="U23" s="1">
        <f ca="1"/>
        <v>0</v>
      </c>
      <c r="V23" s="1">
        <f ca="1"/>
        <v>0</v>
      </c>
      <c r="W23" s="1">
        <f ca="1"/>
        <v>0</v>
      </c>
      <c r="X23" s="1">
        <f ca="1"/>
        <v>0</v>
      </c>
      <c r="Y23" s="1">
        <f ca="1"/>
        <v>0</v>
      </c>
      <c r="Z23" s="1">
        <f ca="1"/>
        <v>0.39474200898288686</v>
      </c>
      <c r="AA23" s="1">
        <f ca="1"/>
        <v>0.39474200898288686</v>
      </c>
      <c r="AB23" s="1">
        <f ca="1"/>
        <v>0.39474200898288686</v>
      </c>
      <c r="AC23" s="1">
        <f ca="1"/>
        <v>0.39474200898288686</v>
      </c>
      <c r="AD23" s="1">
        <f ca="1"/>
        <v>0.39474200898288686</v>
      </c>
      <c r="AE23" s="1">
        <f ca="1"/>
        <v>0.39474200898288686</v>
      </c>
      <c r="AF23" s="1">
        <f ca="1"/>
        <v>0.39474200898288686</v>
      </c>
      <c r="AG23" s="1">
        <f ca="1"/>
        <v>0.39474200898288686</v>
      </c>
      <c r="AH23" s="1">
        <f ca="1"/>
        <v>0.39474200898288686</v>
      </c>
      <c r="AI23" s="1">
        <f ca="1"/>
        <v>0.39474200898288686</v>
      </c>
      <c r="AJ23" s="1">
        <f ca="1"/>
        <v>0.39474200898288686</v>
      </c>
      <c r="AK23" s="1">
        <f ca="1"/>
        <v>0.39474200898288686</v>
      </c>
      <c r="AL23" s="1">
        <f ca="1"/>
        <v>0.39474200898288686</v>
      </c>
      <c r="AM23" s="1">
        <f ca="1"/>
        <v>0.39474200898288686</v>
      </c>
      <c r="AN23" s="1">
        <f ca="1"/>
        <v>0.39474200898288686</v>
      </c>
      <c r="AO23" s="1">
        <f ca="1"/>
        <v>0.39474200898288686</v>
      </c>
      <c r="AP23" s="1">
        <f ca="1"/>
        <v>0.39474200898288686</v>
      </c>
      <c r="AQ23" s="1">
        <f ca="1"/>
        <v>0.39474200898288686</v>
      </c>
      <c r="AR23" s="1">
        <f ca="1"/>
        <v>0.39474200898288686</v>
      </c>
      <c r="AS23" s="1">
        <f ca="1"/>
        <v>0.39474200898288686</v>
      </c>
      <c r="AT23" s="1">
        <f ca="1"/>
        <v>0.39474200898288686</v>
      </c>
      <c r="AU23" s="1">
        <f ca="1"/>
        <v>0.39474200898288686</v>
      </c>
      <c r="AV23" s="1">
        <f ca="1"/>
        <v>0.39474200898288686</v>
      </c>
      <c r="AW23" s="1">
        <f ca="1"/>
        <v>0.39474200898288686</v>
      </c>
      <c r="AX23" s="1">
        <f ca="1"/>
        <v>0.39474200898288686</v>
      </c>
      <c r="AY23" s="1">
        <f ca="1"/>
        <v>0.39474200898288686</v>
      </c>
      <c r="AZ23" s="1">
        <f ca="1"/>
        <v>0.39474200898288686</v>
      </c>
      <c r="BA23" s="1">
        <f ca="1"/>
        <v>0.39474200898288686</v>
      </c>
      <c r="BB23" s="1">
        <f ca="1"/>
        <v>0.39474200898288686</v>
      </c>
      <c r="BC23" s="1">
        <f ca="1"/>
        <v>0.39474200898288686</v>
      </c>
      <c r="BD23" s="1">
        <f ca="1"/>
        <v>0.39474200898288686</v>
      </c>
      <c r="BE23" s="1">
        <f ca="1"/>
        <v>0.39474200898288686</v>
      </c>
      <c r="BF23" s="1">
        <f ca="1"/>
        <v>0.39474200898288686</v>
      </c>
      <c r="BG23" s="1">
        <f ca="1"/>
        <v>0.39474200898288686</v>
      </c>
      <c r="BH23" s="1">
        <f ca="1"/>
        <v>0.39474200898288686</v>
      </c>
      <c r="BI23" s="1">
        <f ca="1"/>
        <v>0.39474200898288686</v>
      </c>
      <c r="BJ23" s="1">
        <f ca="1"/>
        <v>0.39474200898288686</v>
      </c>
      <c r="BK23" s="1">
        <f ca="1"/>
        <v>0.39474200898288686</v>
      </c>
      <c r="BL23" s="1">
        <f ca="1"/>
        <v>0.39474200898288686</v>
      </c>
      <c r="BM23" s="1">
        <f ca="1"/>
        <v>0.39474200898288686</v>
      </c>
      <c r="BN23" s="1">
        <f ca="1"/>
        <v>0.39474200898288686</v>
      </c>
      <c r="BO23" s="1">
        <f ca="1"/>
        <v>0.39474200898288686</v>
      </c>
      <c r="BP23" s="1">
        <f ca="1"/>
        <v>0.39474200898288686</v>
      </c>
      <c r="BQ23" s="1">
        <f ca="1"/>
        <v>0.39474200898288686</v>
      </c>
      <c r="BR23" s="1">
        <f ca="1"/>
        <v>0.39474200898288686</v>
      </c>
      <c r="BS23" s="1">
        <f ca="1"/>
        <v>0.39474200898288686</v>
      </c>
      <c r="BT23" s="1">
        <f ca="1"/>
        <v>0.39474200898288686</v>
      </c>
    </row>
    <row r="24" spans="2:72" x14ac:dyDescent="0.2">
      <c r="E24" s="3">
        <v>0.05</v>
      </c>
      <c r="F24" s="1">
        <f ca="1"/>
        <v>0.94738082155892855</v>
      </c>
      <c r="G24" s="3">
        <f ca="1"/>
        <v>4.9999999999999822E-2</v>
      </c>
      <c r="H24" s="3">
        <f ca="1"/>
        <v>4.9896121783964353E-2</v>
      </c>
      <c r="I24">
        <v>13</v>
      </c>
      <c r="J24" s="2">
        <v>1.0833333333333333</v>
      </c>
      <c r="M24" s="1">
        <f ca="1"/>
        <v>0</v>
      </c>
      <c r="N24" s="1">
        <f ca="1"/>
        <v>0</v>
      </c>
      <c r="O24" s="1">
        <f ca="1"/>
        <v>0</v>
      </c>
      <c r="P24" s="1">
        <f ca="1"/>
        <v>0</v>
      </c>
      <c r="Q24" s="1">
        <f ca="1"/>
        <v>0</v>
      </c>
      <c r="R24" s="1">
        <f ca="1"/>
        <v>0</v>
      </c>
      <c r="S24" s="1">
        <f ca="1"/>
        <v>0</v>
      </c>
      <c r="T24" s="1">
        <f ca="1"/>
        <v>0</v>
      </c>
      <c r="U24" s="1">
        <f ca="1"/>
        <v>0</v>
      </c>
      <c r="V24" s="1">
        <f ca="1"/>
        <v>0</v>
      </c>
      <c r="W24" s="1">
        <f ca="1"/>
        <v>0</v>
      </c>
      <c r="X24" s="1">
        <f ca="1"/>
        <v>0</v>
      </c>
      <c r="Y24" s="1">
        <f ca="1"/>
        <v>0</v>
      </c>
      <c r="Z24" s="1">
        <f ca="1"/>
        <v>0</v>
      </c>
      <c r="AA24" s="1">
        <f ca="1"/>
        <v>0.39310407533565495</v>
      </c>
      <c r="AB24" s="1">
        <f ca="1"/>
        <v>0.39310407533565495</v>
      </c>
      <c r="AC24" s="1">
        <f ca="1"/>
        <v>0.39310407533565495</v>
      </c>
      <c r="AD24" s="1">
        <f ca="1"/>
        <v>0.39310407533565495</v>
      </c>
      <c r="AE24" s="1">
        <f ca="1"/>
        <v>0.39310407533565495</v>
      </c>
      <c r="AF24" s="1">
        <f ca="1"/>
        <v>0.39310407533565495</v>
      </c>
      <c r="AG24" s="1">
        <f ca="1"/>
        <v>0.39310407533565495</v>
      </c>
      <c r="AH24" s="1">
        <f ca="1"/>
        <v>0.39310407533565495</v>
      </c>
      <c r="AI24" s="1">
        <f ca="1"/>
        <v>0.39310407533565495</v>
      </c>
      <c r="AJ24" s="1">
        <f ca="1"/>
        <v>0.39310407533565495</v>
      </c>
      <c r="AK24" s="1">
        <f ca="1"/>
        <v>0.39310407533565495</v>
      </c>
      <c r="AL24" s="1">
        <f ca="1"/>
        <v>0.39310407533565495</v>
      </c>
      <c r="AM24" s="1">
        <f ca="1"/>
        <v>0.39310407533565495</v>
      </c>
      <c r="AN24" s="1">
        <f ca="1"/>
        <v>0.39310407533565495</v>
      </c>
      <c r="AO24" s="1">
        <f ca="1"/>
        <v>0.39310407533565495</v>
      </c>
      <c r="AP24" s="1">
        <f ca="1"/>
        <v>0.39310407533565495</v>
      </c>
      <c r="AQ24" s="1">
        <f ca="1"/>
        <v>0.39310407533565495</v>
      </c>
      <c r="AR24" s="1">
        <f ca="1"/>
        <v>0.39310407533565495</v>
      </c>
      <c r="AS24" s="1">
        <f ca="1"/>
        <v>0.39310407533565495</v>
      </c>
      <c r="AT24" s="1">
        <f ca="1"/>
        <v>0.39310407533565495</v>
      </c>
      <c r="AU24" s="1">
        <f ca="1"/>
        <v>0.39310407533565495</v>
      </c>
      <c r="AV24" s="1">
        <f ca="1"/>
        <v>0.39310407533565495</v>
      </c>
      <c r="AW24" s="1">
        <f ca="1"/>
        <v>0.39310407533565495</v>
      </c>
      <c r="AX24" s="1">
        <f ca="1"/>
        <v>0.39310407533565495</v>
      </c>
      <c r="AY24" s="1">
        <f ca="1"/>
        <v>0.39310407533565495</v>
      </c>
      <c r="AZ24" s="1">
        <f ca="1"/>
        <v>0.39310407533565495</v>
      </c>
      <c r="BA24" s="1">
        <f ca="1"/>
        <v>0.39310407533565495</v>
      </c>
      <c r="BB24" s="1">
        <f ca="1"/>
        <v>0.39310407533565495</v>
      </c>
      <c r="BC24" s="1">
        <f ca="1"/>
        <v>0.39310407533565495</v>
      </c>
      <c r="BD24" s="1">
        <f ca="1"/>
        <v>0.39310407533565495</v>
      </c>
      <c r="BE24" s="1">
        <f ca="1"/>
        <v>0.39310407533565495</v>
      </c>
      <c r="BF24" s="1">
        <f ca="1"/>
        <v>0.39310407533565495</v>
      </c>
      <c r="BG24" s="1">
        <f ca="1"/>
        <v>0.39310407533565495</v>
      </c>
      <c r="BH24" s="1">
        <f ca="1"/>
        <v>0.39310407533565495</v>
      </c>
      <c r="BI24" s="1">
        <f ca="1"/>
        <v>0.39310407533565495</v>
      </c>
      <c r="BJ24" s="1">
        <f ca="1"/>
        <v>0.39310407533565495</v>
      </c>
      <c r="BK24" s="1">
        <f ca="1"/>
        <v>0.39310407533565495</v>
      </c>
      <c r="BL24" s="1">
        <f ca="1"/>
        <v>0.39310407533565495</v>
      </c>
      <c r="BM24" s="1">
        <f ca="1"/>
        <v>0.39310407533565495</v>
      </c>
      <c r="BN24" s="1">
        <f ca="1"/>
        <v>0.39310407533565495</v>
      </c>
      <c r="BO24" s="1">
        <f ca="1"/>
        <v>0.39310407533565495</v>
      </c>
      <c r="BP24" s="1">
        <f ca="1"/>
        <v>0.39310407533565495</v>
      </c>
      <c r="BQ24" s="1">
        <f ca="1"/>
        <v>0.39310407533565495</v>
      </c>
      <c r="BR24" s="1">
        <f ca="1"/>
        <v>0.39310407533565495</v>
      </c>
      <c r="BS24" s="1">
        <f ca="1"/>
        <v>0.39310407533565495</v>
      </c>
      <c r="BT24" s="1">
        <f ca="1"/>
        <v>0.39310407533565495</v>
      </c>
    </row>
    <row r="25" spans="2:72" x14ac:dyDescent="0.2">
      <c r="E25" s="3">
        <v>0.05</v>
      </c>
      <c r="F25" s="1">
        <f ca="1"/>
        <v>0.94344978080557196</v>
      </c>
      <c r="G25" s="3">
        <f ca="1"/>
        <v>4.9999999999999822E-2</v>
      </c>
      <c r="H25" s="3">
        <f ca="1"/>
        <v>4.9896121783964388E-2</v>
      </c>
      <c r="I25">
        <v>14</v>
      </c>
      <c r="J25" s="2">
        <v>1.1666666666666667</v>
      </c>
      <c r="M25" s="1">
        <f ca="1"/>
        <v>0</v>
      </c>
      <c r="N25" s="1">
        <f ca="1"/>
        <v>0</v>
      </c>
      <c r="O25" s="1">
        <f ca="1"/>
        <v>0</v>
      </c>
      <c r="P25" s="1">
        <f ca="1"/>
        <v>0</v>
      </c>
      <c r="Q25" s="1">
        <f ca="1"/>
        <v>0</v>
      </c>
      <c r="R25" s="1">
        <f ca="1"/>
        <v>0</v>
      </c>
      <c r="S25" s="1">
        <f ca="1"/>
        <v>0</v>
      </c>
      <c r="T25" s="1">
        <f ca="1"/>
        <v>0</v>
      </c>
      <c r="U25" s="1">
        <f ca="1"/>
        <v>0</v>
      </c>
      <c r="V25" s="1">
        <f ca="1"/>
        <v>0</v>
      </c>
      <c r="W25" s="1">
        <f ca="1"/>
        <v>0</v>
      </c>
      <c r="X25" s="1">
        <f ca="1"/>
        <v>0</v>
      </c>
      <c r="Y25" s="1">
        <f ca="1"/>
        <v>0</v>
      </c>
      <c r="Z25" s="1">
        <f ca="1"/>
        <v>0</v>
      </c>
      <c r="AA25" s="1">
        <f ca="1"/>
        <v>0</v>
      </c>
      <c r="AB25" s="1">
        <f ca="1"/>
        <v>0.39147293809359818</v>
      </c>
      <c r="AC25" s="1">
        <f ca="1"/>
        <v>0.39147293809359818</v>
      </c>
      <c r="AD25" s="1">
        <f ca="1"/>
        <v>0.39147293809359818</v>
      </c>
      <c r="AE25" s="1">
        <f ca="1"/>
        <v>0.39147293809359818</v>
      </c>
      <c r="AF25" s="1">
        <f ca="1"/>
        <v>0.39147293809359818</v>
      </c>
      <c r="AG25" s="1">
        <f ca="1"/>
        <v>0.39147293809359818</v>
      </c>
      <c r="AH25" s="1">
        <f ca="1"/>
        <v>0.39147293809359818</v>
      </c>
      <c r="AI25" s="1">
        <f ca="1"/>
        <v>0.39147293809359818</v>
      </c>
      <c r="AJ25" s="1">
        <f ca="1"/>
        <v>0.39147293809359818</v>
      </c>
      <c r="AK25" s="1">
        <f ca="1"/>
        <v>0.39147293809359818</v>
      </c>
      <c r="AL25" s="1">
        <f ca="1"/>
        <v>0.39147293809359818</v>
      </c>
      <c r="AM25" s="1">
        <f ca="1"/>
        <v>0.39147293809359818</v>
      </c>
      <c r="AN25" s="1">
        <f ca="1"/>
        <v>0.39147293809359818</v>
      </c>
      <c r="AO25" s="1">
        <f ca="1"/>
        <v>0.39147293809359818</v>
      </c>
      <c r="AP25" s="1">
        <f ca="1"/>
        <v>0.39147293809359818</v>
      </c>
      <c r="AQ25" s="1">
        <f ca="1"/>
        <v>0.39147293809359818</v>
      </c>
      <c r="AR25" s="1">
        <f ca="1"/>
        <v>0.39147293809359818</v>
      </c>
      <c r="AS25" s="1">
        <f ca="1"/>
        <v>0.39147293809359818</v>
      </c>
      <c r="AT25" s="1">
        <f ca="1"/>
        <v>0.39147293809359818</v>
      </c>
      <c r="AU25" s="1">
        <f ca="1"/>
        <v>0.39147293809359818</v>
      </c>
      <c r="AV25" s="1">
        <f ca="1"/>
        <v>0.39147293809359818</v>
      </c>
      <c r="AW25" s="1">
        <f ca="1"/>
        <v>0.39147293809359818</v>
      </c>
      <c r="AX25" s="1">
        <f ca="1"/>
        <v>0.39147293809359818</v>
      </c>
      <c r="AY25" s="1">
        <f ca="1"/>
        <v>0.39147293809359818</v>
      </c>
      <c r="AZ25" s="1">
        <f ca="1"/>
        <v>0.39147293809359818</v>
      </c>
      <c r="BA25" s="1">
        <f ca="1"/>
        <v>0.39147293809359818</v>
      </c>
      <c r="BB25" s="1">
        <f ca="1"/>
        <v>0.39147293809359818</v>
      </c>
      <c r="BC25" s="1">
        <f ca="1"/>
        <v>0.39147293809359818</v>
      </c>
      <c r="BD25" s="1">
        <f ca="1"/>
        <v>0.39147293809359818</v>
      </c>
      <c r="BE25" s="1">
        <f ca="1"/>
        <v>0.39147293809359818</v>
      </c>
      <c r="BF25" s="1">
        <f ca="1"/>
        <v>0.39147293809359818</v>
      </c>
      <c r="BG25" s="1">
        <f ca="1"/>
        <v>0.39147293809359818</v>
      </c>
      <c r="BH25" s="1">
        <f ca="1"/>
        <v>0.39147293809359818</v>
      </c>
      <c r="BI25" s="1">
        <f ca="1"/>
        <v>0.39147293809359818</v>
      </c>
      <c r="BJ25" s="1">
        <f ca="1"/>
        <v>0.39147293809359818</v>
      </c>
      <c r="BK25" s="1">
        <f ca="1"/>
        <v>0.39147293809359818</v>
      </c>
      <c r="BL25" s="1">
        <f ca="1"/>
        <v>0.39147293809359818</v>
      </c>
      <c r="BM25" s="1">
        <f ca="1"/>
        <v>0.39147293809359818</v>
      </c>
      <c r="BN25" s="1">
        <f ca="1"/>
        <v>0.39147293809359818</v>
      </c>
      <c r="BO25" s="1">
        <f ca="1"/>
        <v>0.39147293809359818</v>
      </c>
      <c r="BP25" s="1">
        <f ca="1"/>
        <v>0.39147293809359818</v>
      </c>
      <c r="BQ25" s="1">
        <f ca="1"/>
        <v>0.39147293809359818</v>
      </c>
      <c r="BR25" s="1">
        <f ca="1"/>
        <v>0.39147293809359818</v>
      </c>
      <c r="BS25" s="1">
        <f ca="1"/>
        <v>0.39147293809359818</v>
      </c>
      <c r="BT25" s="1">
        <f ca="1"/>
        <v>0.39147293809359818</v>
      </c>
    </row>
    <row r="26" spans="2:72" x14ac:dyDescent="0.2">
      <c r="E26" s="3">
        <v>0.05</v>
      </c>
      <c r="F26" s="1">
        <f ca="1"/>
        <v>0.93953505142463567</v>
      </c>
      <c r="G26" s="3">
        <f ca="1"/>
        <v>4.9999999999999822E-2</v>
      </c>
      <c r="H26" s="3">
        <f ca="1"/>
        <v>4.9896121783964645E-2</v>
      </c>
      <c r="I26">
        <v>15</v>
      </c>
      <c r="J26" s="2">
        <v>1.25</v>
      </c>
      <c r="M26" s="1">
        <f ca="1"/>
        <v>0</v>
      </c>
      <c r="N26" s="1">
        <f ca="1"/>
        <v>0</v>
      </c>
      <c r="O26" s="1">
        <f ca="1"/>
        <v>0</v>
      </c>
      <c r="P26" s="1">
        <f ca="1"/>
        <v>0</v>
      </c>
      <c r="Q26" s="1">
        <f ca="1"/>
        <v>0</v>
      </c>
      <c r="R26" s="1">
        <f ca="1"/>
        <v>0</v>
      </c>
      <c r="S26" s="1">
        <f ca="1"/>
        <v>0</v>
      </c>
      <c r="T26" s="1">
        <f ca="1"/>
        <v>0</v>
      </c>
      <c r="U26" s="1">
        <f ca="1"/>
        <v>0</v>
      </c>
      <c r="V26" s="1">
        <f ca="1"/>
        <v>0</v>
      </c>
      <c r="W26" s="1">
        <f ca="1"/>
        <v>0</v>
      </c>
      <c r="X26" s="1">
        <f ca="1"/>
        <v>0</v>
      </c>
      <c r="Y26" s="1">
        <f ca="1"/>
        <v>0</v>
      </c>
      <c r="Z26" s="1">
        <f ca="1"/>
        <v>0</v>
      </c>
      <c r="AA26" s="1">
        <f ca="1"/>
        <v>0</v>
      </c>
      <c r="AB26" s="1">
        <f ca="1"/>
        <v>0</v>
      </c>
      <c r="AC26" s="1">
        <f ca="1"/>
        <v>0.38984856905586546</v>
      </c>
      <c r="AD26" s="1">
        <f ca="1"/>
        <v>0.38984856905586546</v>
      </c>
      <c r="AE26" s="1">
        <f ca="1"/>
        <v>0.38984856905586546</v>
      </c>
      <c r="AF26" s="1">
        <f ca="1"/>
        <v>0.38984856905586546</v>
      </c>
      <c r="AG26" s="1">
        <f ca="1"/>
        <v>0.38984856905586546</v>
      </c>
      <c r="AH26" s="1">
        <f ca="1"/>
        <v>0.38984856905586546</v>
      </c>
      <c r="AI26" s="1">
        <f ca="1"/>
        <v>0.38984856905586546</v>
      </c>
      <c r="AJ26" s="1">
        <f ca="1"/>
        <v>0.38984856905586546</v>
      </c>
      <c r="AK26" s="1">
        <f ca="1"/>
        <v>0.38984856905586546</v>
      </c>
      <c r="AL26" s="1">
        <f ca="1"/>
        <v>0.38984856905586546</v>
      </c>
      <c r="AM26" s="1">
        <f ca="1"/>
        <v>0.38984856905586546</v>
      </c>
      <c r="AN26" s="1">
        <f ca="1"/>
        <v>0.38984856905586546</v>
      </c>
      <c r="AO26" s="1">
        <f ca="1"/>
        <v>0.38984856905586546</v>
      </c>
      <c r="AP26" s="1">
        <f ca="1"/>
        <v>0.38984856905586546</v>
      </c>
      <c r="AQ26" s="1">
        <f ca="1"/>
        <v>0.38984856905586546</v>
      </c>
      <c r="AR26" s="1">
        <f ca="1"/>
        <v>0.38984856905586546</v>
      </c>
      <c r="AS26" s="1">
        <f ca="1"/>
        <v>0.38984856905586546</v>
      </c>
      <c r="AT26" s="1">
        <f ca="1"/>
        <v>0.38984856905586546</v>
      </c>
      <c r="AU26" s="1">
        <f ca="1"/>
        <v>0.38984856905586546</v>
      </c>
      <c r="AV26" s="1">
        <f ca="1"/>
        <v>0.38984856905586546</v>
      </c>
      <c r="AW26" s="1">
        <f ca="1"/>
        <v>0.38984856905586546</v>
      </c>
      <c r="AX26" s="1">
        <f ca="1"/>
        <v>0.38984856905586546</v>
      </c>
      <c r="AY26" s="1">
        <f ca="1"/>
        <v>0.38984856905586546</v>
      </c>
      <c r="AZ26" s="1">
        <f ca="1"/>
        <v>0.38984856905586546</v>
      </c>
      <c r="BA26" s="1">
        <f ca="1"/>
        <v>0.38984856905586546</v>
      </c>
      <c r="BB26" s="1">
        <f ca="1"/>
        <v>0.38984856905586546</v>
      </c>
      <c r="BC26" s="1">
        <f ca="1"/>
        <v>0.38984856905586546</v>
      </c>
      <c r="BD26" s="1">
        <f ca="1"/>
        <v>0.38984856905586546</v>
      </c>
      <c r="BE26" s="1">
        <f ca="1"/>
        <v>0.38984856905586546</v>
      </c>
      <c r="BF26" s="1">
        <f ca="1"/>
        <v>0.38984856905586546</v>
      </c>
      <c r="BG26" s="1">
        <f ca="1"/>
        <v>0.38984856905586546</v>
      </c>
      <c r="BH26" s="1">
        <f ca="1"/>
        <v>0.38984856905586546</v>
      </c>
      <c r="BI26" s="1">
        <f ca="1"/>
        <v>0.38984856905586546</v>
      </c>
      <c r="BJ26" s="1">
        <f ca="1"/>
        <v>0.38984856905586546</v>
      </c>
      <c r="BK26" s="1">
        <f ca="1"/>
        <v>0.38984856905586546</v>
      </c>
      <c r="BL26" s="1">
        <f ca="1"/>
        <v>0.38984856905586546</v>
      </c>
      <c r="BM26" s="1">
        <f ca="1"/>
        <v>0.38984856905586546</v>
      </c>
      <c r="BN26" s="1">
        <f ca="1"/>
        <v>0.38984856905586546</v>
      </c>
      <c r="BO26" s="1">
        <f ca="1"/>
        <v>0.38984856905586546</v>
      </c>
      <c r="BP26" s="1">
        <f ca="1"/>
        <v>0.38984856905586546</v>
      </c>
      <c r="BQ26" s="1">
        <f ca="1"/>
        <v>0.38984856905586546</v>
      </c>
      <c r="BR26" s="1">
        <f ca="1"/>
        <v>0.38984856905586546</v>
      </c>
      <c r="BS26" s="1">
        <f ca="1"/>
        <v>0.38984856905586546</v>
      </c>
      <c r="BT26" s="1">
        <f ca="1"/>
        <v>0.38984856905586546</v>
      </c>
    </row>
    <row r="27" spans="2:72" x14ac:dyDescent="0.2">
      <c r="E27" s="3">
        <v>0.05</v>
      </c>
      <c r="F27" s="1">
        <f ca="1"/>
        <v>0.93563656573407716</v>
      </c>
      <c r="G27" s="3">
        <f ca="1"/>
        <v>4.9999999999999822E-2</v>
      </c>
      <c r="H27" s="3">
        <f ca="1"/>
        <v>4.9896121783964499E-2</v>
      </c>
      <c r="I27">
        <v>16</v>
      </c>
      <c r="J27" s="2">
        <v>1.3333333333333333</v>
      </c>
      <c r="M27" s="1">
        <f ca="1"/>
        <v>0</v>
      </c>
      <c r="N27" s="1">
        <f ca="1"/>
        <v>0</v>
      </c>
      <c r="O27" s="1">
        <f ca="1"/>
        <v>0</v>
      </c>
      <c r="P27" s="1">
        <f ca="1"/>
        <v>0</v>
      </c>
      <c r="Q27" s="1">
        <f ca="1"/>
        <v>0</v>
      </c>
      <c r="R27" s="1">
        <f ca="1"/>
        <v>0</v>
      </c>
      <c r="S27" s="1">
        <f ca="1"/>
        <v>0</v>
      </c>
      <c r="T27" s="1">
        <f ca="1"/>
        <v>0</v>
      </c>
      <c r="U27" s="1">
        <f ca="1"/>
        <v>0</v>
      </c>
      <c r="V27" s="1">
        <f ca="1"/>
        <v>0</v>
      </c>
      <c r="W27" s="1">
        <f ca="1"/>
        <v>0</v>
      </c>
      <c r="X27" s="1">
        <f ca="1"/>
        <v>0</v>
      </c>
      <c r="Y27" s="1">
        <f ca="1"/>
        <v>0</v>
      </c>
      <c r="Z27" s="1">
        <f ca="1"/>
        <v>0</v>
      </c>
      <c r="AA27" s="1">
        <f ca="1"/>
        <v>0</v>
      </c>
      <c r="AB27" s="1">
        <f ca="1"/>
        <v>0</v>
      </c>
      <c r="AC27" s="1">
        <f ca="1"/>
        <v>0</v>
      </c>
      <c r="AD27" s="1">
        <f ca="1"/>
        <v>0.38823094013862119</v>
      </c>
      <c r="AE27" s="1">
        <f ca="1"/>
        <v>0.38823094013862119</v>
      </c>
      <c r="AF27" s="1">
        <f ca="1"/>
        <v>0.38823094013862119</v>
      </c>
      <c r="AG27" s="1">
        <f ca="1"/>
        <v>0.38823094013862119</v>
      </c>
      <c r="AH27" s="1">
        <f ca="1"/>
        <v>0.38823094013862119</v>
      </c>
      <c r="AI27" s="1">
        <f ca="1"/>
        <v>0.38823094013862119</v>
      </c>
      <c r="AJ27" s="1">
        <f ca="1"/>
        <v>0.38823094013862119</v>
      </c>
      <c r="AK27" s="1">
        <f ca="1"/>
        <v>0.38823094013862119</v>
      </c>
      <c r="AL27" s="1">
        <f ca="1"/>
        <v>0.38823094013862119</v>
      </c>
      <c r="AM27" s="1">
        <f ca="1"/>
        <v>0.38823094013862119</v>
      </c>
      <c r="AN27" s="1">
        <f ca="1"/>
        <v>0.38823094013862119</v>
      </c>
      <c r="AO27" s="1">
        <f ca="1"/>
        <v>0.38823094013862119</v>
      </c>
      <c r="AP27" s="1">
        <f ca="1"/>
        <v>0.38823094013862119</v>
      </c>
      <c r="AQ27" s="1">
        <f ca="1"/>
        <v>0.38823094013862119</v>
      </c>
      <c r="AR27" s="1">
        <f ca="1"/>
        <v>0.38823094013862119</v>
      </c>
      <c r="AS27" s="1">
        <f ca="1"/>
        <v>0.38823094013862119</v>
      </c>
      <c r="AT27" s="1">
        <f ca="1"/>
        <v>0.38823094013862119</v>
      </c>
      <c r="AU27" s="1">
        <f ca="1"/>
        <v>0.38823094013862119</v>
      </c>
      <c r="AV27" s="1">
        <f ca="1"/>
        <v>0.38823094013862119</v>
      </c>
      <c r="AW27" s="1">
        <f ca="1"/>
        <v>0.38823094013862119</v>
      </c>
      <c r="AX27" s="1">
        <f ca="1"/>
        <v>0.38823094013862119</v>
      </c>
      <c r="AY27" s="1">
        <f ca="1"/>
        <v>0.38823094013862119</v>
      </c>
      <c r="AZ27" s="1">
        <f ca="1"/>
        <v>0.38823094013862119</v>
      </c>
      <c r="BA27" s="1">
        <f ca="1"/>
        <v>0.38823094013862119</v>
      </c>
      <c r="BB27" s="1">
        <f ca="1"/>
        <v>0.38823094013862119</v>
      </c>
      <c r="BC27" s="1">
        <f ca="1"/>
        <v>0.38823094013862119</v>
      </c>
      <c r="BD27" s="1">
        <f ca="1"/>
        <v>0.38823094013862119</v>
      </c>
      <c r="BE27" s="1">
        <f ca="1"/>
        <v>0.38823094013862119</v>
      </c>
      <c r="BF27" s="1">
        <f ca="1"/>
        <v>0.38823094013862119</v>
      </c>
      <c r="BG27" s="1">
        <f ca="1"/>
        <v>0.38823094013862119</v>
      </c>
      <c r="BH27" s="1">
        <f ca="1"/>
        <v>0.38823094013862119</v>
      </c>
      <c r="BI27" s="1">
        <f ca="1"/>
        <v>0.38823094013862119</v>
      </c>
      <c r="BJ27" s="1">
        <f ca="1"/>
        <v>0.38823094013862119</v>
      </c>
      <c r="BK27" s="1">
        <f ca="1"/>
        <v>0.38823094013862119</v>
      </c>
      <c r="BL27" s="1">
        <f ca="1"/>
        <v>0.38823094013862119</v>
      </c>
      <c r="BM27" s="1">
        <f ca="1"/>
        <v>0.38823094013862119</v>
      </c>
      <c r="BN27" s="1">
        <f ca="1"/>
        <v>0.38823094013862119</v>
      </c>
      <c r="BO27" s="1">
        <f ca="1"/>
        <v>0.38823094013862119</v>
      </c>
      <c r="BP27" s="1">
        <f ca="1"/>
        <v>0.38823094013862119</v>
      </c>
      <c r="BQ27" s="1">
        <f ca="1"/>
        <v>0.38823094013862119</v>
      </c>
      <c r="BR27" s="1">
        <f ca="1"/>
        <v>0.38823094013862119</v>
      </c>
      <c r="BS27" s="1">
        <f ca="1"/>
        <v>0.38823094013862119</v>
      </c>
      <c r="BT27" s="1">
        <f ca="1"/>
        <v>0.38823094013862119</v>
      </c>
    </row>
    <row r="28" spans="2:72" x14ac:dyDescent="0.2">
      <c r="E28" s="3">
        <v>0.05</v>
      </c>
      <c r="F28" s="1">
        <f ca="1"/>
        <v>0.93175425633269093</v>
      </c>
      <c r="G28" s="3">
        <f ca="1"/>
        <v>4.9999999999999822E-2</v>
      </c>
      <c r="H28" s="3">
        <f ca="1"/>
        <v>4.9896121783964506E-2</v>
      </c>
      <c r="I28">
        <v>17</v>
      </c>
      <c r="J28" s="2">
        <v>1.4166666666666667</v>
      </c>
      <c r="M28" s="1">
        <f ca="1"/>
        <v>0</v>
      </c>
      <c r="N28" s="1">
        <f ca="1"/>
        <v>0</v>
      </c>
      <c r="O28" s="1">
        <f ca="1"/>
        <v>0</v>
      </c>
      <c r="P28" s="1">
        <f ca="1"/>
        <v>0</v>
      </c>
      <c r="Q28" s="1">
        <f ca="1"/>
        <v>0</v>
      </c>
      <c r="R28" s="1">
        <f ca="1"/>
        <v>0</v>
      </c>
      <c r="S28" s="1">
        <f ca="1"/>
        <v>0</v>
      </c>
      <c r="T28" s="1">
        <f ca="1"/>
        <v>0</v>
      </c>
      <c r="U28" s="1">
        <f ca="1"/>
        <v>0</v>
      </c>
      <c r="V28" s="1">
        <f ca="1"/>
        <v>0</v>
      </c>
      <c r="W28" s="1">
        <f ca="1"/>
        <v>0</v>
      </c>
      <c r="X28" s="1">
        <f ca="1"/>
        <v>0</v>
      </c>
      <c r="Y28" s="1">
        <f ca="1"/>
        <v>0</v>
      </c>
      <c r="Z28" s="1">
        <f ca="1"/>
        <v>0</v>
      </c>
      <c r="AA28" s="1">
        <f ca="1"/>
        <v>0</v>
      </c>
      <c r="AB28" s="1">
        <f ca="1"/>
        <v>0</v>
      </c>
      <c r="AC28" s="1">
        <f ca="1"/>
        <v>0</v>
      </c>
      <c r="AD28" s="1">
        <f ca="1"/>
        <v>0</v>
      </c>
      <c r="AE28" s="1">
        <f ca="1"/>
        <v>0.38662002337456058</v>
      </c>
      <c r="AF28" s="1">
        <f ca="1"/>
        <v>0.38662002337456058</v>
      </c>
      <c r="AG28" s="1">
        <f ca="1"/>
        <v>0.38662002337456058</v>
      </c>
      <c r="AH28" s="1">
        <f ca="1"/>
        <v>0.38662002337456058</v>
      </c>
      <c r="AI28" s="1">
        <f ca="1"/>
        <v>0.38662002337456058</v>
      </c>
      <c r="AJ28" s="1">
        <f ca="1"/>
        <v>0.38662002337456058</v>
      </c>
      <c r="AK28" s="1">
        <f ca="1"/>
        <v>0.38662002337456058</v>
      </c>
      <c r="AL28" s="1">
        <f ca="1"/>
        <v>0.38662002337456058</v>
      </c>
      <c r="AM28" s="1">
        <f ca="1"/>
        <v>0.38662002337456058</v>
      </c>
      <c r="AN28" s="1">
        <f ca="1"/>
        <v>0.38662002337456058</v>
      </c>
      <c r="AO28" s="1">
        <f ca="1"/>
        <v>0.38662002337456058</v>
      </c>
      <c r="AP28" s="1">
        <f ca="1"/>
        <v>0.38662002337456058</v>
      </c>
      <c r="AQ28" s="1">
        <f ca="1"/>
        <v>0.38662002337456058</v>
      </c>
      <c r="AR28" s="1">
        <f ca="1"/>
        <v>0.38662002337456058</v>
      </c>
      <c r="AS28" s="1">
        <f ca="1"/>
        <v>0.38662002337456058</v>
      </c>
      <c r="AT28" s="1">
        <f ca="1"/>
        <v>0.38662002337456058</v>
      </c>
      <c r="AU28" s="1">
        <f ca="1"/>
        <v>0.38662002337456058</v>
      </c>
      <c r="AV28" s="1">
        <f ca="1"/>
        <v>0.38662002337456058</v>
      </c>
      <c r="AW28" s="1">
        <f ca="1"/>
        <v>0.38662002337456058</v>
      </c>
      <c r="AX28" s="1">
        <f ca="1"/>
        <v>0.38662002337456058</v>
      </c>
      <c r="AY28" s="1">
        <f ca="1"/>
        <v>0.38662002337456058</v>
      </c>
      <c r="AZ28" s="1">
        <f ca="1"/>
        <v>0.38662002337456058</v>
      </c>
      <c r="BA28" s="1">
        <f ca="1"/>
        <v>0.38662002337456058</v>
      </c>
      <c r="BB28" s="1">
        <f ca="1"/>
        <v>0.38662002337456058</v>
      </c>
      <c r="BC28" s="1">
        <f ca="1"/>
        <v>0.38662002337456058</v>
      </c>
      <c r="BD28" s="1">
        <f ca="1"/>
        <v>0.38662002337456058</v>
      </c>
      <c r="BE28" s="1">
        <f ca="1"/>
        <v>0.38662002337456058</v>
      </c>
      <c r="BF28" s="1">
        <f ca="1"/>
        <v>0.38662002337456058</v>
      </c>
      <c r="BG28" s="1">
        <f ca="1"/>
        <v>0.38662002337456058</v>
      </c>
      <c r="BH28" s="1">
        <f ca="1"/>
        <v>0.38662002337456058</v>
      </c>
      <c r="BI28" s="1">
        <f ca="1"/>
        <v>0.38662002337456058</v>
      </c>
      <c r="BJ28" s="1">
        <f ca="1"/>
        <v>0.38662002337456058</v>
      </c>
      <c r="BK28" s="1">
        <f ca="1"/>
        <v>0.38662002337456058</v>
      </c>
      <c r="BL28" s="1">
        <f ca="1"/>
        <v>0.38662002337456058</v>
      </c>
      <c r="BM28" s="1">
        <f ca="1"/>
        <v>0.38662002337456058</v>
      </c>
      <c r="BN28" s="1">
        <f ca="1"/>
        <v>0.38662002337456058</v>
      </c>
      <c r="BO28" s="1">
        <f ca="1"/>
        <v>0.38662002337456058</v>
      </c>
      <c r="BP28" s="1">
        <f ca="1"/>
        <v>0.38662002337456058</v>
      </c>
      <c r="BQ28" s="1">
        <f ca="1"/>
        <v>0.38662002337456058</v>
      </c>
      <c r="BR28" s="1">
        <f ca="1"/>
        <v>0.38662002337456058</v>
      </c>
      <c r="BS28" s="1">
        <f ca="1"/>
        <v>0.38662002337456058</v>
      </c>
      <c r="BT28" s="1">
        <f ca="1"/>
        <v>0.38662002337456058</v>
      </c>
    </row>
    <row r="29" spans="2:72" x14ac:dyDescent="0.2">
      <c r="E29" s="3">
        <v>0.05</v>
      </c>
      <c r="F29" s="1">
        <f ca="1"/>
        <v>0.92788805609894542</v>
      </c>
      <c r="G29" s="3">
        <f ca="1"/>
        <v>4.9999999999999822E-2</v>
      </c>
      <c r="H29" s="3">
        <f ca="1"/>
        <v>4.989612178396443E-2</v>
      </c>
      <c r="I29">
        <v>18</v>
      </c>
      <c r="J29" s="2">
        <v>1.5</v>
      </c>
      <c r="M29" s="1">
        <f ca="1"/>
        <v>0</v>
      </c>
      <c r="N29" s="1">
        <f ca="1"/>
        <v>0</v>
      </c>
      <c r="O29" s="1">
        <f ca="1"/>
        <v>0</v>
      </c>
      <c r="P29" s="1">
        <f ca="1"/>
        <v>0</v>
      </c>
      <c r="Q29" s="1">
        <f ca="1"/>
        <v>0</v>
      </c>
      <c r="R29" s="1">
        <f ca="1"/>
        <v>0</v>
      </c>
      <c r="S29" s="1">
        <f ca="1"/>
        <v>0</v>
      </c>
      <c r="T29" s="1">
        <f ca="1"/>
        <v>0</v>
      </c>
      <c r="U29" s="1">
        <f ca="1"/>
        <v>0</v>
      </c>
      <c r="V29" s="1">
        <f ca="1"/>
        <v>0</v>
      </c>
      <c r="W29" s="1">
        <f ca="1"/>
        <v>0</v>
      </c>
      <c r="X29" s="1">
        <f ca="1"/>
        <v>0</v>
      </c>
      <c r="Y29" s="1">
        <f ca="1"/>
        <v>0</v>
      </c>
      <c r="Z29" s="1">
        <f ca="1"/>
        <v>0</v>
      </c>
      <c r="AA29" s="1">
        <f ca="1"/>
        <v>0</v>
      </c>
      <c r="AB29" s="1">
        <f ca="1"/>
        <v>0</v>
      </c>
      <c r="AC29" s="1">
        <f ca="1"/>
        <v>0</v>
      </c>
      <c r="AD29" s="1">
        <f ca="1"/>
        <v>0</v>
      </c>
      <c r="AE29" s="1">
        <f ca="1"/>
        <v>0</v>
      </c>
      <c r="AF29" s="1">
        <f ca="1"/>
        <v>0.38501579091242544</v>
      </c>
      <c r="AG29" s="1">
        <f ca="1"/>
        <v>0.38501579091242544</v>
      </c>
      <c r="AH29" s="1">
        <f ca="1"/>
        <v>0.38501579091242544</v>
      </c>
      <c r="AI29" s="1">
        <f ca="1"/>
        <v>0.38501579091242544</v>
      </c>
      <c r="AJ29" s="1">
        <f ca="1"/>
        <v>0.38501579091242544</v>
      </c>
      <c r="AK29" s="1">
        <f ca="1"/>
        <v>0.38501579091242544</v>
      </c>
      <c r="AL29" s="1">
        <f ca="1"/>
        <v>0.38501579091242544</v>
      </c>
      <c r="AM29" s="1">
        <f ca="1"/>
        <v>0.38501579091242544</v>
      </c>
      <c r="AN29" s="1">
        <f ca="1"/>
        <v>0.38501579091242544</v>
      </c>
      <c r="AO29" s="1">
        <f ca="1"/>
        <v>0.38501579091242544</v>
      </c>
      <c r="AP29" s="1">
        <f ca="1"/>
        <v>0.38501579091242544</v>
      </c>
      <c r="AQ29" s="1">
        <f ca="1"/>
        <v>0.38501579091242544</v>
      </c>
      <c r="AR29" s="1">
        <f ca="1"/>
        <v>0.38501579091242544</v>
      </c>
      <c r="AS29" s="1">
        <f ca="1"/>
        <v>0.38501579091242544</v>
      </c>
      <c r="AT29" s="1">
        <f ca="1"/>
        <v>0.38501579091242544</v>
      </c>
      <c r="AU29" s="1">
        <f ca="1"/>
        <v>0.38501579091242544</v>
      </c>
      <c r="AV29" s="1">
        <f ca="1"/>
        <v>0.38501579091242544</v>
      </c>
      <c r="AW29" s="1">
        <f ca="1"/>
        <v>0.38501579091242544</v>
      </c>
      <c r="AX29" s="1">
        <f ca="1"/>
        <v>0.38501579091242544</v>
      </c>
      <c r="AY29" s="1">
        <f ca="1"/>
        <v>0.38501579091242544</v>
      </c>
      <c r="AZ29" s="1">
        <f ca="1"/>
        <v>0.38501579091242544</v>
      </c>
      <c r="BA29" s="1">
        <f ca="1"/>
        <v>0.38501579091242544</v>
      </c>
      <c r="BB29" s="1">
        <f ca="1"/>
        <v>0.38501579091242544</v>
      </c>
      <c r="BC29" s="1">
        <f ca="1"/>
        <v>0.38501579091242544</v>
      </c>
      <c r="BD29" s="1">
        <f ca="1"/>
        <v>0.38501579091242544</v>
      </c>
      <c r="BE29" s="1">
        <f ca="1"/>
        <v>0.38501579091242544</v>
      </c>
      <c r="BF29" s="1">
        <f ca="1"/>
        <v>0.38501579091242544</v>
      </c>
      <c r="BG29" s="1">
        <f ca="1"/>
        <v>0.38501579091242544</v>
      </c>
      <c r="BH29" s="1">
        <f ca="1"/>
        <v>0.38501579091242544</v>
      </c>
      <c r="BI29" s="1">
        <f ca="1"/>
        <v>0.38501579091242544</v>
      </c>
      <c r="BJ29" s="1">
        <f ca="1"/>
        <v>0.38501579091242544</v>
      </c>
      <c r="BK29" s="1">
        <f ca="1"/>
        <v>0.38501579091242544</v>
      </c>
      <c r="BL29" s="1">
        <f ca="1"/>
        <v>0.38501579091242544</v>
      </c>
      <c r="BM29" s="1">
        <f ca="1"/>
        <v>0.38501579091242544</v>
      </c>
      <c r="BN29" s="1">
        <f ca="1"/>
        <v>0.38501579091242544</v>
      </c>
      <c r="BO29" s="1">
        <f ca="1"/>
        <v>0.38501579091242544</v>
      </c>
      <c r="BP29" s="1">
        <f ca="1"/>
        <v>0.38501579091242544</v>
      </c>
      <c r="BQ29" s="1">
        <f ca="1"/>
        <v>0.38501579091242544</v>
      </c>
      <c r="BR29" s="1">
        <f ca="1"/>
        <v>0.38501579091242544</v>
      </c>
      <c r="BS29" s="1">
        <f ca="1"/>
        <v>0.38501579091242544</v>
      </c>
      <c r="BT29" s="1">
        <f ca="1"/>
        <v>0.38501579091242544</v>
      </c>
    </row>
    <row r="30" spans="2:72" x14ac:dyDescent="0.2">
      <c r="E30" s="3">
        <v>0.05</v>
      </c>
      <c r="F30" s="1">
        <f ca="1"/>
        <v>0.92403789818982107</v>
      </c>
      <c r="G30" s="3">
        <f ca="1"/>
        <v>4.9999999999999822E-2</v>
      </c>
      <c r="H30" s="3">
        <f ca="1"/>
        <v>4.9896121783964485E-2</v>
      </c>
      <c r="I30">
        <v>19</v>
      </c>
      <c r="J30" s="2">
        <v>1.5833333333333333</v>
      </c>
      <c r="M30" s="1">
        <f ca="1"/>
        <v>0</v>
      </c>
      <c r="N30" s="1">
        <f ca="1"/>
        <v>0</v>
      </c>
      <c r="O30" s="1">
        <f ca="1"/>
        <v>0</v>
      </c>
      <c r="P30" s="1">
        <f ca="1"/>
        <v>0</v>
      </c>
      <c r="Q30" s="1">
        <f ca="1"/>
        <v>0</v>
      </c>
      <c r="R30" s="1">
        <f ca="1"/>
        <v>0</v>
      </c>
      <c r="S30" s="1">
        <f ca="1"/>
        <v>0</v>
      </c>
      <c r="T30" s="1">
        <f ca="1"/>
        <v>0</v>
      </c>
      <c r="U30" s="1">
        <f ca="1"/>
        <v>0</v>
      </c>
      <c r="V30" s="1">
        <f ca="1"/>
        <v>0</v>
      </c>
      <c r="W30" s="1">
        <f ca="1"/>
        <v>0</v>
      </c>
      <c r="X30" s="1">
        <f ca="1"/>
        <v>0</v>
      </c>
      <c r="Y30" s="1">
        <f ca="1"/>
        <v>0</v>
      </c>
      <c r="Z30" s="1">
        <f ca="1"/>
        <v>0</v>
      </c>
      <c r="AA30" s="1">
        <f ca="1"/>
        <v>0</v>
      </c>
      <c r="AB30" s="1">
        <f ca="1"/>
        <v>0</v>
      </c>
      <c r="AC30" s="1">
        <f ca="1"/>
        <v>0</v>
      </c>
      <c r="AD30" s="1">
        <f ca="1"/>
        <v>0</v>
      </c>
      <c r="AE30" s="1">
        <f ca="1"/>
        <v>0</v>
      </c>
      <c r="AF30" s="1">
        <f ca="1"/>
        <v>0</v>
      </c>
      <c r="AG30" s="1">
        <f ca="1"/>
        <v>0.38341821501652323</v>
      </c>
      <c r="AH30" s="1">
        <f ca="1"/>
        <v>0.38341821501652323</v>
      </c>
      <c r="AI30" s="1">
        <f ca="1"/>
        <v>0.38341821501652323</v>
      </c>
      <c r="AJ30" s="1">
        <f ca="1"/>
        <v>0.38341821501652323</v>
      </c>
      <c r="AK30" s="1">
        <f ca="1"/>
        <v>0.38341821501652323</v>
      </c>
      <c r="AL30" s="1">
        <f ca="1"/>
        <v>0.38341821501652323</v>
      </c>
      <c r="AM30" s="1">
        <f ca="1"/>
        <v>0.38341821501652323</v>
      </c>
      <c r="AN30" s="1">
        <f ca="1"/>
        <v>0.38341821501652323</v>
      </c>
      <c r="AO30" s="1">
        <f ca="1"/>
        <v>0.38341821501652323</v>
      </c>
      <c r="AP30" s="1">
        <f ca="1"/>
        <v>0.38341821501652323</v>
      </c>
      <c r="AQ30" s="1">
        <f ca="1"/>
        <v>0.38341821501652323</v>
      </c>
      <c r="AR30" s="1">
        <f ca="1"/>
        <v>0.38341821501652323</v>
      </c>
      <c r="AS30" s="1">
        <f ca="1"/>
        <v>0.38341821501652323</v>
      </c>
      <c r="AT30" s="1">
        <f ca="1"/>
        <v>0.38341821501652323</v>
      </c>
      <c r="AU30" s="1">
        <f ca="1"/>
        <v>0.38341821501652323</v>
      </c>
      <c r="AV30" s="1">
        <f ca="1"/>
        <v>0.38341821501652323</v>
      </c>
      <c r="AW30" s="1">
        <f ca="1"/>
        <v>0.38341821501652323</v>
      </c>
      <c r="AX30" s="1">
        <f ca="1"/>
        <v>0.38341821501652323</v>
      </c>
      <c r="AY30" s="1">
        <f ca="1"/>
        <v>0.38341821501652323</v>
      </c>
      <c r="AZ30" s="1">
        <f ca="1"/>
        <v>0.38341821501652323</v>
      </c>
      <c r="BA30" s="1">
        <f ca="1"/>
        <v>0.38341821501652323</v>
      </c>
      <c r="BB30" s="1">
        <f ca="1"/>
        <v>0.38341821501652323</v>
      </c>
      <c r="BC30" s="1">
        <f ca="1"/>
        <v>0.38341821501652323</v>
      </c>
      <c r="BD30" s="1">
        <f ca="1"/>
        <v>0.38341821501652323</v>
      </c>
      <c r="BE30" s="1">
        <f ca="1"/>
        <v>0.38341821501652323</v>
      </c>
      <c r="BF30" s="1">
        <f ca="1"/>
        <v>0.38341821501652323</v>
      </c>
      <c r="BG30" s="1">
        <f ca="1"/>
        <v>0.38341821501652323</v>
      </c>
      <c r="BH30" s="1">
        <f ca="1"/>
        <v>0.38341821501652323</v>
      </c>
      <c r="BI30" s="1">
        <f ca="1"/>
        <v>0.38341821501652323</v>
      </c>
      <c r="BJ30" s="1">
        <f ca="1"/>
        <v>0.38341821501652323</v>
      </c>
      <c r="BK30" s="1">
        <f ca="1"/>
        <v>0.38341821501652323</v>
      </c>
      <c r="BL30" s="1">
        <f ca="1"/>
        <v>0.38341821501652323</v>
      </c>
      <c r="BM30" s="1">
        <f ca="1"/>
        <v>0.38341821501652323</v>
      </c>
      <c r="BN30" s="1">
        <f ca="1"/>
        <v>0.38341821501652323</v>
      </c>
      <c r="BO30" s="1">
        <f ca="1"/>
        <v>0.38341821501652323</v>
      </c>
      <c r="BP30" s="1">
        <f ca="1"/>
        <v>0.38341821501652323</v>
      </c>
      <c r="BQ30" s="1">
        <f ca="1"/>
        <v>0.38341821501652323</v>
      </c>
      <c r="BR30" s="1">
        <f ca="1"/>
        <v>0.38341821501652323</v>
      </c>
      <c r="BS30" s="1">
        <f ca="1"/>
        <v>0.38341821501652323</v>
      </c>
      <c r="BT30" s="1">
        <f ca="1"/>
        <v>0.38341821501652323</v>
      </c>
    </row>
    <row r="31" spans="2:72" x14ac:dyDescent="0.2">
      <c r="E31" s="3">
        <v>0.05</v>
      </c>
      <c r="F31" s="1">
        <f ca="1"/>
        <v>0.92020371603965578</v>
      </c>
      <c r="G31" s="3">
        <f ca="1"/>
        <v>4.9999999999999822E-2</v>
      </c>
      <c r="H31" s="3">
        <f ca="1"/>
        <v>4.9896121783964506E-2</v>
      </c>
      <c r="I31">
        <v>20</v>
      </c>
      <c r="J31" s="2">
        <v>1.6666666666666667</v>
      </c>
      <c r="M31" s="1">
        <f ca="1"/>
        <v>0</v>
      </c>
      <c r="N31" s="1">
        <f ca="1"/>
        <v>0</v>
      </c>
      <c r="O31" s="1">
        <f ca="1"/>
        <v>0</v>
      </c>
      <c r="P31" s="1">
        <f ca="1"/>
        <v>0</v>
      </c>
      <c r="Q31" s="1">
        <f ca="1"/>
        <v>0</v>
      </c>
      <c r="R31" s="1">
        <f ca="1"/>
        <v>0</v>
      </c>
      <c r="S31" s="1">
        <f ca="1"/>
        <v>0</v>
      </c>
      <c r="T31" s="1">
        <f ca="1"/>
        <v>0</v>
      </c>
      <c r="U31" s="1">
        <f ca="1"/>
        <v>0</v>
      </c>
      <c r="V31" s="1">
        <f ca="1"/>
        <v>0</v>
      </c>
      <c r="W31" s="1">
        <f ca="1"/>
        <v>0</v>
      </c>
      <c r="X31" s="1">
        <f ca="1"/>
        <v>0</v>
      </c>
      <c r="Y31" s="1">
        <f ca="1"/>
        <v>0</v>
      </c>
      <c r="Z31" s="1">
        <f ca="1"/>
        <v>0</v>
      </c>
      <c r="AA31" s="1">
        <f ca="1"/>
        <v>0</v>
      </c>
      <c r="AB31" s="1">
        <f ca="1"/>
        <v>0</v>
      </c>
      <c r="AC31" s="1">
        <f ca="1"/>
        <v>0</v>
      </c>
      <c r="AD31" s="1">
        <f ca="1"/>
        <v>0</v>
      </c>
      <c r="AE31" s="1">
        <f ca="1"/>
        <v>0</v>
      </c>
      <c r="AF31" s="1">
        <f ca="1"/>
        <v>0</v>
      </c>
      <c r="AG31" s="1">
        <f ca="1"/>
        <v>0</v>
      </c>
      <c r="AH31" s="1">
        <f ca="1"/>
        <v>0.38182726806624717</v>
      </c>
      <c r="AI31" s="1">
        <f ca="1"/>
        <v>0.38182726806624717</v>
      </c>
      <c r="AJ31" s="1">
        <f ca="1"/>
        <v>0.38182726806624717</v>
      </c>
      <c r="AK31" s="1">
        <f ca="1"/>
        <v>0.38182726806624717</v>
      </c>
      <c r="AL31" s="1">
        <f ca="1"/>
        <v>0.38182726806624717</v>
      </c>
      <c r="AM31" s="1">
        <f ca="1"/>
        <v>0.38182726806624717</v>
      </c>
      <c r="AN31" s="1">
        <f ca="1"/>
        <v>0.38182726806624717</v>
      </c>
      <c r="AO31" s="1">
        <f ca="1"/>
        <v>0.38182726806624717</v>
      </c>
      <c r="AP31" s="1">
        <f ca="1"/>
        <v>0.38182726806624717</v>
      </c>
      <c r="AQ31" s="1">
        <f ca="1"/>
        <v>0.38182726806624717</v>
      </c>
      <c r="AR31" s="1">
        <f ca="1"/>
        <v>0.38182726806624717</v>
      </c>
      <c r="AS31" s="1">
        <f ca="1"/>
        <v>0.38182726806624717</v>
      </c>
      <c r="AT31" s="1">
        <f ca="1"/>
        <v>0.38182726806624717</v>
      </c>
      <c r="AU31" s="1">
        <f ca="1"/>
        <v>0.38182726806624717</v>
      </c>
      <c r="AV31" s="1">
        <f ca="1"/>
        <v>0.38182726806624717</v>
      </c>
      <c r="AW31" s="1">
        <f ca="1"/>
        <v>0.38182726806624717</v>
      </c>
      <c r="AX31" s="1">
        <f ca="1"/>
        <v>0.38182726806624717</v>
      </c>
      <c r="AY31" s="1">
        <f ca="1"/>
        <v>0.38182726806624717</v>
      </c>
      <c r="AZ31" s="1">
        <f ca="1"/>
        <v>0.38182726806624717</v>
      </c>
      <c r="BA31" s="1">
        <f ca="1"/>
        <v>0.38182726806624717</v>
      </c>
      <c r="BB31" s="1">
        <f ca="1"/>
        <v>0.38182726806624717</v>
      </c>
      <c r="BC31" s="1">
        <f ca="1"/>
        <v>0.38182726806624717</v>
      </c>
      <c r="BD31" s="1">
        <f ca="1"/>
        <v>0.38182726806624717</v>
      </c>
      <c r="BE31" s="1">
        <f ca="1"/>
        <v>0.38182726806624717</v>
      </c>
      <c r="BF31" s="1">
        <f ca="1"/>
        <v>0.38182726806624717</v>
      </c>
      <c r="BG31" s="1">
        <f ca="1"/>
        <v>0.38182726806624717</v>
      </c>
      <c r="BH31" s="1">
        <f ca="1"/>
        <v>0.38182726806624717</v>
      </c>
      <c r="BI31" s="1">
        <f ca="1"/>
        <v>0.38182726806624717</v>
      </c>
      <c r="BJ31" s="1">
        <f ca="1"/>
        <v>0.38182726806624717</v>
      </c>
      <c r="BK31" s="1">
        <f ca="1"/>
        <v>0.38182726806624717</v>
      </c>
      <c r="BL31" s="1">
        <f ca="1"/>
        <v>0.38182726806624717</v>
      </c>
      <c r="BM31" s="1">
        <f ca="1"/>
        <v>0.38182726806624717</v>
      </c>
      <c r="BN31" s="1">
        <f ca="1"/>
        <v>0.38182726806624717</v>
      </c>
      <c r="BO31" s="1">
        <f ca="1"/>
        <v>0.38182726806624717</v>
      </c>
      <c r="BP31" s="1">
        <f ca="1"/>
        <v>0.38182726806624717</v>
      </c>
      <c r="BQ31" s="1">
        <f ca="1"/>
        <v>0.38182726806624717</v>
      </c>
      <c r="BR31" s="1">
        <f ca="1"/>
        <v>0.38182726806624717</v>
      </c>
      <c r="BS31" s="1">
        <f ca="1"/>
        <v>0.38182726806624717</v>
      </c>
      <c r="BT31" s="1">
        <f ca="1"/>
        <v>0.38182726806624717</v>
      </c>
    </row>
    <row r="32" spans="2:72" x14ac:dyDescent="0.2">
      <c r="E32" s="3">
        <v>0.05</v>
      </c>
      <c r="F32" s="1">
        <f ca="1"/>
        <v>0.9163854433589933</v>
      </c>
      <c r="G32" s="3">
        <f ca="1"/>
        <v>4.9999999999999822E-2</v>
      </c>
      <c r="H32" s="3">
        <f ca="1"/>
        <v>4.9896121783964513E-2</v>
      </c>
      <c r="I32">
        <v>21</v>
      </c>
      <c r="J32" s="2">
        <v>1.75</v>
      </c>
      <c r="M32" s="1">
        <f ca="1"/>
        <v>0</v>
      </c>
      <c r="N32" s="1">
        <f ca="1"/>
        <v>0</v>
      </c>
      <c r="O32" s="1">
        <f ca="1"/>
        <v>0</v>
      </c>
      <c r="P32" s="1">
        <f ca="1"/>
        <v>0</v>
      </c>
      <c r="Q32" s="1">
        <f ca="1"/>
        <v>0</v>
      </c>
      <c r="R32" s="1">
        <f ca="1"/>
        <v>0</v>
      </c>
      <c r="S32" s="1">
        <f ca="1"/>
        <v>0</v>
      </c>
      <c r="T32" s="1">
        <f ca="1"/>
        <v>0</v>
      </c>
      <c r="U32" s="1">
        <f ca="1"/>
        <v>0</v>
      </c>
      <c r="V32" s="1">
        <f ca="1"/>
        <v>0</v>
      </c>
      <c r="W32" s="1">
        <f ca="1"/>
        <v>0</v>
      </c>
      <c r="X32" s="1">
        <f ca="1"/>
        <v>0</v>
      </c>
      <c r="Y32" s="1">
        <f ca="1"/>
        <v>0</v>
      </c>
      <c r="Z32" s="1">
        <f ca="1"/>
        <v>0</v>
      </c>
      <c r="AA32" s="1">
        <f ca="1"/>
        <v>0</v>
      </c>
      <c r="AB32" s="1">
        <f ca="1"/>
        <v>0</v>
      </c>
      <c r="AC32" s="1">
        <f ca="1"/>
        <v>0</v>
      </c>
      <c r="AD32" s="1">
        <f ca="1"/>
        <v>0</v>
      </c>
      <c r="AE32" s="1">
        <f ca="1"/>
        <v>0</v>
      </c>
      <c r="AF32" s="1">
        <f ca="1"/>
        <v>0</v>
      </c>
      <c r="AG32" s="1">
        <f ca="1"/>
        <v>0</v>
      </c>
      <c r="AH32" s="1">
        <f ca="1"/>
        <v>0</v>
      </c>
      <c r="AI32" s="1">
        <f ca="1"/>
        <v>0.38024292255559888</v>
      </c>
      <c r="AJ32" s="1">
        <f ca="1"/>
        <v>0.38024292255559888</v>
      </c>
      <c r="AK32" s="1">
        <f ca="1"/>
        <v>0.38024292255559888</v>
      </c>
      <c r="AL32" s="1">
        <f ca="1"/>
        <v>0.38024292255559888</v>
      </c>
      <c r="AM32" s="1">
        <f ca="1"/>
        <v>0.38024292255559888</v>
      </c>
      <c r="AN32" s="1">
        <f ca="1"/>
        <v>0.38024292255559888</v>
      </c>
      <c r="AO32" s="1">
        <f ca="1"/>
        <v>0.38024292255559888</v>
      </c>
      <c r="AP32" s="1">
        <f ca="1"/>
        <v>0.38024292255559888</v>
      </c>
      <c r="AQ32" s="1">
        <f ca="1"/>
        <v>0.38024292255559888</v>
      </c>
      <c r="AR32" s="1">
        <f ca="1"/>
        <v>0.38024292255559888</v>
      </c>
      <c r="AS32" s="1">
        <f ca="1"/>
        <v>0.38024292255559888</v>
      </c>
      <c r="AT32" s="1">
        <f ca="1"/>
        <v>0.38024292255559888</v>
      </c>
      <c r="AU32" s="1">
        <f ca="1"/>
        <v>0.38024292255559888</v>
      </c>
      <c r="AV32" s="1">
        <f ca="1"/>
        <v>0.38024292255559888</v>
      </c>
      <c r="AW32" s="1">
        <f ca="1"/>
        <v>0.38024292255559888</v>
      </c>
      <c r="AX32" s="1">
        <f ca="1"/>
        <v>0.38024292255559888</v>
      </c>
      <c r="AY32" s="1">
        <f ca="1"/>
        <v>0.38024292255559888</v>
      </c>
      <c r="AZ32" s="1">
        <f ca="1"/>
        <v>0.38024292255559888</v>
      </c>
      <c r="BA32" s="1">
        <f ca="1"/>
        <v>0.38024292255559888</v>
      </c>
      <c r="BB32" s="1">
        <f ca="1"/>
        <v>0.38024292255559888</v>
      </c>
      <c r="BC32" s="1">
        <f ca="1"/>
        <v>0.38024292255559888</v>
      </c>
      <c r="BD32" s="1">
        <f ca="1"/>
        <v>0.38024292255559888</v>
      </c>
      <c r="BE32" s="1">
        <f ca="1"/>
        <v>0.38024292255559888</v>
      </c>
      <c r="BF32" s="1">
        <f ca="1"/>
        <v>0.38024292255559888</v>
      </c>
      <c r="BG32" s="1">
        <f ca="1"/>
        <v>0.38024292255559888</v>
      </c>
      <c r="BH32" s="1">
        <f ca="1"/>
        <v>0.38024292255559888</v>
      </c>
      <c r="BI32" s="1">
        <f ca="1"/>
        <v>0.38024292255559888</v>
      </c>
      <c r="BJ32" s="1">
        <f ca="1"/>
        <v>0.38024292255559888</v>
      </c>
      <c r="BK32" s="1">
        <f ca="1"/>
        <v>0.38024292255559888</v>
      </c>
      <c r="BL32" s="1">
        <f ca="1"/>
        <v>0.38024292255559888</v>
      </c>
      <c r="BM32" s="1">
        <f ca="1"/>
        <v>0.38024292255559888</v>
      </c>
      <c r="BN32" s="1">
        <f ca="1"/>
        <v>0.38024292255559888</v>
      </c>
      <c r="BO32" s="1">
        <f ca="1"/>
        <v>0.38024292255559888</v>
      </c>
      <c r="BP32" s="1">
        <f ca="1"/>
        <v>0.38024292255559888</v>
      </c>
      <c r="BQ32" s="1">
        <f ca="1"/>
        <v>0.38024292255559888</v>
      </c>
      <c r="BR32" s="1">
        <f ca="1"/>
        <v>0.38024292255559888</v>
      </c>
      <c r="BS32" s="1">
        <f ca="1"/>
        <v>0.38024292255559888</v>
      </c>
      <c r="BT32" s="1">
        <f ca="1"/>
        <v>0.38024292255559888</v>
      </c>
    </row>
    <row r="33" spans="5:72" x14ac:dyDescent="0.2">
      <c r="E33" s="3">
        <v>0.05</v>
      </c>
      <c r="F33" s="1">
        <f ca="1"/>
        <v>0.91258301413343745</v>
      </c>
      <c r="G33" s="3">
        <f ca="1"/>
        <v>4.9999999999999822E-2</v>
      </c>
      <c r="H33" s="3">
        <f ca="1"/>
        <v>4.9896121783964416E-2</v>
      </c>
      <c r="I33">
        <v>22</v>
      </c>
      <c r="J33" s="2">
        <v>1.8333333333333333</v>
      </c>
      <c r="M33" s="1">
        <f ca="1"/>
        <v>0</v>
      </c>
      <c r="N33" s="1">
        <f ca="1"/>
        <v>0</v>
      </c>
      <c r="O33" s="1">
        <f ca="1"/>
        <v>0</v>
      </c>
      <c r="P33" s="1">
        <f ca="1"/>
        <v>0</v>
      </c>
      <c r="Q33" s="1">
        <f ca="1"/>
        <v>0</v>
      </c>
      <c r="R33" s="1">
        <f ca="1"/>
        <v>0</v>
      </c>
      <c r="S33" s="1">
        <f ca="1"/>
        <v>0</v>
      </c>
      <c r="T33" s="1">
        <f ca="1"/>
        <v>0</v>
      </c>
      <c r="U33" s="1">
        <f ca="1"/>
        <v>0</v>
      </c>
      <c r="V33" s="1">
        <f ca="1"/>
        <v>0</v>
      </c>
      <c r="W33" s="1">
        <f ca="1"/>
        <v>0</v>
      </c>
      <c r="X33" s="1">
        <f ca="1"/>
        <v>0</v>
      </c>
      <c r="Y33" s="1">
        <f ca="1"/>
        <v>0</v>
      </c>
      <c r="Z33" s="1">
        <f ca="1"/>
        <v>0</v>
      </c>
      <c r="AA33" s="1">
        <f ca="1"/>
        <v>0</v>
      </c>
      <c r="AB33" s="1">
        <f ca="1"/>
        <v>0</v>
      </c>
      <c r="AC33" s="1">
        <f ca="1"/>
        <v>0</v>
      </c>
      <c r="AD33" s="1">
        <f ca="1"/>
        <v>0</v>
      </c>
      <c r="AE33" s="1">
        <f ca="1"/>
        <v>0</v>
      </c>
      <c r="AF33" s="1">
        <f ca="1"/>
        <v>0</v>
      </c>
      <c r="AG33" s="1">
        <f ca="1"/>
        <v>0</v>
      </c>
      <c r="AH33" s="1">
        <f ca="1"/>
        <v>0</v>
      </c>
      <c r="AI33" s="1">
        <f ca="1"/>
        <v>0</v>
      </c>
      <c r="AJ33" s="1">
        <f ca="1"/>
        <v>0.37866515109271243</v>
      </c>
      <c r="AK33" s="1">
        <f ca="1"/>
        <v>0.37866515109271243</v>
      </c>
      <c r="AL33" s="1">
        <f ca="1"/>
        <v>0.37866515109271243</v>
      </c>
      <c r="AM33" s="1">
        <f ca="1"/>
        <v>0.37866515109271243</v>
      </c>
      <c r="AN33" s="1">
        <f ca="1"/>
        <v>0.37866515109271243</v>
      </c>
      <c r="AO33" s="1">
        <f ca="1"/>
        <v>0.37866515109271243</v>
      </c>
      <c r="AP33" s="1">
        <f ca="1"/>
        <v>0.37866515109271243</v>
      </c>
      <c r="AQ33" s="1">
        <f ca="1"/>
        <v>0.37866515109271243</v>
      </c>
      <c r="AR33" s="1">
        <f ca="1"/>
        <v>0.37866515109271243</v>
      </c>
      <c r="AS33" s="1">
        <f ca="1"/>
        <v>0.37866515109271243</v>
      </c>
      <c r="AT33" s="1">
        <f ca="1"/>
        <v>0.37866515109271243</v>
      </c>
      <c r="AU33" s="1">
        <f ca="1"/>
        <v>0.37866515109271243</v>
      </c>
      <c r="AV33" s="1">
        <f ca="1"/>
        <v>0.37866515109271243</v>
      </c>
      <c r="AW33" s="1">
        <f ca="1"/>
        <v>0.37866515109271243</v>
      </c>
      <c r="AX33" s="1">
        <f ca="1"/>
        <v>0.37866515109271243</v>
      </c>
      <c r="AY33" s="1">
        <f ca="1"/>
        <v>0.37866515109271243</v>
      </c>
      <c r="AZ33" s="1">
        <f ca="1"/>
        <v>0.37866515109271243</v>
      </c>
      <c r="BA33" s="1">
        <f ca="1"/>
        <v>0.37866515109271243</v>
      </c>
      <c r="BB33" s="1">
        <f ca="1"/>
        <v>0.37866515109271243</v>
      </c>
      <c r="BC33" s="1">
        <f ca="1"/>
        <v>0.37866515109271243</v>
      </c>
      <c r="BD33" s="1">
        <f ca="1"/>
        <v>0.37866515109271243</v>
      </c>
      <c r="BE33" s="1">
        <f ca="1"/>
        <v>0.37866515109271243</v>
      </c>
      <c r="BF33" s="1">
        <f ca="1"/>
        <v>0.37866515109271243</v>
      </c>
      <c r="BG33" s="1">
        <f ca="1"/>
        <v>0.37866515109271243</v>
      </c>
      <c r="BH33" s="1">
        <f ca="1"/>
        <v>0.37866515109271243</v>
      </c>
      <c r="BI33" s="1">
        <f ca="1"/>
        <v>0.37866515109271243</v>
      </c>
      <c r="BJ33" s="1">
        <f ca="1"/>
        <v>0.37866515109271243</v>
      </c>
      <c r="BK33" s="1">
        <f ca="1"/>
        <v>0.37866515109271243</v>
      </c>
      <c r="BL33" s="1">
        <f ca="1"/>
        <v>0.37866515109271243</v>
      </c>
      <c r="BM33" s="1">
        <f ca="1"/>
        <v>0.37866515109271243</v>
      </c>
      <c r="BN33" s="1">
        <f ca="1"/>
        <v>0.37866515109271243</v>
      </c>
      <c r="BO33" s="1">
        <f ca="1"/>
        <v>0.37866515109271243</v>
      </c>
      <c r="BP33" s="1">
        <f ca="1"/>
        <v>0.37866515109271243</v>
      </c>
      <c r="BQ33" s="1">
        <f ca="1"/>
        <v>0.37866515109271243</v>
      </c>
      <c r="BR33" s="1">
        <f ca="1"/>
        <v>0.37866515109271243</v>
      </c>
      <c r="BS33" s="1">
        <f ca="1"/>
        <v>0.37866515109271243</v>
      </c>
      <c r="BT33" s="1">
        <f ca="1"/>
        <v>0.37866515109271243</v>
      </c>
    </row>
    <row r="34" spans="5:72" x14ac:dyDescent="0.2">
      <c r="E34" s="3">
        <v>0.05</v>
      </c>
      <c r="F34" s="1">
        <f ca="1"/>
        <v>0.90879636262250996</v>
      </c>
      <c r="G34" s="3">
        <f ca="1"/>
        <v>4.9999999999999822E-2</v>
      </c>
      <c r="H34" s="3">
        <f ca="1"/>
        <v>4.9896121783964617E-2</v>
      </c>
      <c r="I34">
        <v>23</v>
      </c>
      <c r="J34" s="2">
        <v>1.9166666666666667</v>
      </c>
      <c r="M34" s="1">
        <f ca="1"/>
        <v>0</v>
      </c>
      <c r="N34" s="1">
        <f ca="1"/>
        <v>0</v>
      </c>
      <c r="O34" s="1">
        <f ca="1"/>
        <v>0</v>
      </c>
      <c r="P34" s="1">
        <f ca="1"/>
        <v>0</v>
      </c>
      <c r="Q34" s="1">
        <f ca="1"/>
        <v>0</v>
      </c>
      <c r="R34" s="1">
        <f ca="1"/>
        <v>0</v>
      </c>
      <c r="S34" s="1">
        <f ca="1"/>
        <v>0</v>
      </c>
      <c r="T34" s="1">
        <f ca="1"/>
        <v>0</v>
      </c>
      <c r="U34" s="1">
        <f ca="1"/>
        <v>0</v>
      </c>
      <c r="V34" s="1">
        <f ca="1"/>
        <v>0</v>
      </c>
      <c r="W34" s="1">
        <f ca="1"/>
        <v>0</v>
      </c>
      <c r="X34" s="1">
        <f ca="1"/>
        <v>0</v>
      </c>
      <c r="Y34" s="1">
        <f ca="1"/>
        <v>0</v>
      </c>
      <c r="Z34" s="1">
        <f ca="1"/>
        <v>0</v>
      </c>
      <c r="AA34" s="1">
        <f ca="1"/>
        <v>0</v>
      </c>
      <c r="AB34" s="1">
        <f ca="1"/>
        <v>0</v>
      </c>
      <c r="AC34" s="1">
        <f ca="1"/>
        <v>0</v>
      </c>
      <c r="AD34" s="1">
        <f ca="1"/>
        <v>0</v>
      </c>
      <c r="AE34" s="1">
        <f ca="1"/>
        <v>0</v>
      </c>
      <c r="AF34" s="1">
        <f ca="1"/>
        <v>0</v>
      </c>
      <c r="AG34" s="1">
        <f ca="1"/>
        <v>0</v>
      </c>
      <c r="AH34" s="1">
        <f ca="1"/>
        <v>0</v>
      </c>
      <c r="AI34" s="1">
        <f ca="1"/>
        <v>0</v>
      </c>
      <c r="AJ34" s="1">
        <f ca="1"/>
        <v>0</v>
      </c>
      <c r="AK34" s="1">
        <f ca="1"/>
        <v>0.37709392639938177</v>
      </c>
      <c r="AL34" s="1">
        <f ca="1"/>
        <v>0.37709392639938177</v>
      </c>
      <c r="AM34" s="1">
        <f ca="1"/>
        <v>0.37709392639938177</v>
      </c>
      <c r="AN34" s="1">
        <f ca="1"/>
        <v>0.37709392639938177</v>
      </c>
      <c r="AO34" s="1">
        <f ca="1"/>
        <v>0.37709392639938177</v>
      </c>
      <c r="AP34" s="1">
        <f ca="1"/>
        <v>0.37709392639938177</v>
      </c>
      <c r="AQ34" s="1">
        <f ca="1"/>
        <v>0.37709392639938177</v>
      </c>
      <c r="AR34" s="1">
        <f ca="1"/>
        <v>0.37709392639938177</v>
      </c>
      <c r="AS34" s="1">
        <f ca="1"/>
        <v>0.37709392639938177</v>
      </c>
      <c r="AT34" s="1">
        <f ca="1"/>
        <v>0.37709392639938177</v>
      </c>
      <c r="AU34" s="1">
        <f ca="1"/>
        <v>0.37709392639938177</v>
      </c>
      <c r="AV34" s="1">
        <f ca="1"/>
        <v>0.37709392639938177</v>
      </c>
      <c r="AW34" s="1">
        <f ca="1"/>
        <v>0.37709392639938177</v>
      </c>
      <c r="AX34" s="1">
        <f ca="1"/>
        <v>0.37709392639938177</v>
      </c>
      <c r="AY34" s="1">
        <f ca="1"/>
        <v>0.37709392639938177</v>
      </c>
      <c r="AZ34" s="1">
        <f ca="1"/>
        <v>0.37709392639938177</v>
      </c>
      <c r="BA34" s="1">
        <f ca="1"/>
        <v>0.37709392639938177</v>
      </c>
      <c r="BB34" s="1">
        <f ca="1"/>
        <v>0.37709392639938177</v>
      </c>
      <c r="BC34" s="1">
        <f ca="1"/>
        <v>0.37709392639938177</v>
      </c>
      <c r="BD34" s="1">
        <f ca="1"/>
        <v>0.37709392639938177</v>
      </c>
      <c r="BE34" s="1">
        <f ca="1"/>
        <v>0.37709392639938177</v>
      </c>
      <c r="BF34" s="1">
        <f ca="1"/>
        <v>0.37709392639938177</v>
      </c>
      <c r="BG34" s="1">
        <f ca="1"/>
        <v>0.37709392639938177</v>
      </c>
      <c r="BH34" s="1">
        <f ca="1"/>
        <v>0.37709392639938177</v>
      </c>
      <c r="BI34" s="1">
        <f ca="1"/>
        <v>0.37709392639938177</v>
      </c>
      <c r="BJ34" s="1">
        <f ca="1"/>
        <v>0.37709392639938177</v>
      </c>
      <c r="BK34" s="1">
        <f ca="1"/>
        <v>0.37709392639938177</v>
      </c>
      <c r="BL34" s="1">
        <f ca="1"/>
        <v>0.37709392639938177</v>
      </c>
      <c r="BM34" s="1">
        <f ca="1"/>
        <v>0.37709392639938177</v>
      </c>
      <c r="BN34" s="1">
        <f ca="1"/>
        <v>0.37709392639938177</v>
      </c>
      <c r="BO34" s="1">
        <f ca="1"/>
        <v>0.37709392639938177</v>
      </c>
      <c r="BP34" s="1">
        <f ca="1"/>
        <v>0.37709392639938177</v>
      </c>
      <c r="BQ34" s="1">
        <f ca="1"/>
        <v>0.37709392639938177</v>
      </c>
      <c r="BR34" s="1">
        <f ca="1"/>
        <v>0.37709392639938177</v>
      </c>
      <c r="BS34" s="1">
        <f ca="1"/>
        <v>0.37709392639938177</v>
      </c>
      <c r="BT34" s="1">
        <f ca="1"/>
        <v>0.37709392639938177</v>
      </c>
    </row>
    <row r="35" spans="5:72" x14ac:dyDescent="0.2">
      <c r="E35" s="3">
        <v>0.05</v>
      </c>
      <c r="F35" s="1">
        <f ca="1"/>
        <v>0.90502542335851632</v>
      </c>
      <c r="G35" s="3">
        <f ca="1"/>
        <v>4.9999999999999822E-2</v>
      </c>
      <c r="H35" s="3">
        <f ca="1"/>
        <v>4.9896121783964506E-2</v>
      </c>
      <c r="I35">
        <v>24</v>
      </c>
      <c r="J35" s="2">
        <v>2</v>
      </c>
      <c r="M35" s="1">
        <f ca="1"/>
        <v>0</v>
      </c>
      <c r="N35" s="1">
        <f ca="1"/>
        <v>0</v>
      </c>
      <c r="O35" s="1">
        <f ca="1"/>
        <v>0</v>
      </c>
      <c r="P35" s="1">
        <f ca="1"/>
        <v>0</v>
      </c>
      <c r="Q35" s="1">
        <f ca="1"/>
        <v>0</v>
      </c>
      <c r="R35" s="1">
        <f ca="1"/>
        <v>0</v>
      </c>
      <c r="S35" s="1">
        <f ca="1"/>
        <v>0</v>
      </c>
      <c r="T35" s="1">
        <f ca="1"/>
        <v>0</v>
      </c>
      <c r="U35" s="1">
        <f ca="1"/>
        <v>0</v>
      </c>
      <c r="V35" s="1">
        <f ca="1"/>
        <v>0</v>
      </c>
      <c r="W35" s="1">
        <f ca="1"/>
        <v>0</v>
      </c>
      <c r="X35" s="1">
        <f ca="1"/>
        <v>0</v>
      </c>
      <c r="Y35" s="1">
        <f ca="1"/>
        <v>0</v>
      </c>
      <c r="Z35" s="1">
        <f ca="1"/>
        <v>0</v>
      </c>
      <c r="AA35" s="1">
        <f ca="1"/>
        <v>0</v>
      </c>
      <c r="AB35" s="1">
        <f ca="1"/>
        <v>0</v>
      </c>
      <c r="AC35" s="1">
        <f ca="1"/>
        <v>0</v>
      </c>
      <c r="AD35" s="1">
        <f ca="1"/>
        <v>0</v>
      </c>
      <c r="AE35" s="1">
        <f ca="1"/>
        <v>0</v>
      </c>
      <c r="AF35" s="1">
        <f ca="1"/>
        <v>0</v>
      </c>
      <c r="AG35" s="1">
        <f ca="1"/>
        <v>0</v>
      </c>
      <c r="AH35" s="1">
        <f ca="1"/>
        <v>0</v>
      </c>
      <c r="AI35" s="1">
        <f ca="1"/>
        <v>0</v>
      </c>
      <c r="AJ35" s="1">
        <f ca="1"/>
        <v>0</v>
      </c>
      <c r="AK35" s="1">
        <f ca="1"/>
        <v>0</v>
      </c>
      <c r="AL35" s="1">
        <f ca="1"/>
        <v>0.37552922131058769</v>
      </c>
      <c r="AM35" s="1">
        <f ca="1"/>
        <v>0.37552922131058769</v>
      </c>
      <c r="AN35" s="1">
        <f ca="1"/>
        <v>0.37552922131058769</v>
      </c>
      <c r="AO35" s="1">
        <f ca="1"/>
        <v>0.37552922131058769</v>
      </c>
      <c r="AP35" s="1">
        <f ca="1"/>
        <v>0.37552922131058769</v>
      </c>
      <c r="AQ35" s="1">
        <f ca="1"/>
        <v>0.37552922131058769</v>
      </c>
      <c r="AR35" s="1">
        <f ca="1"/>
        <v>0.37552922131058769</v>
      </c>
      <c r="AS35" s="1">
        <f ca="1"/>
        <v>0.37552922131058769</v>
      </c>
      <c r="AT35" s="1">
        <f ca="1"/>
        <v>0.37552922131058769</v>
      </c>
      <c r="AU35" s="1">
        <f ca="1"/>
        <v>0.37552922131058769</v>
      </c>
      <c r="AV35" s="1">
        <f ca="1"/>
        <v>0.37552922131058769</v>
      </c>
      <c r="AW35" s="1">
        <f ca="1"/>
        <v>0.37552922131058769</v>
      </c>
      <c r="AX35" s="1">
        <f ca="1"/>
        <v>0.37552922131058769</v>
      </c>
      <c r="AY35" s="1">
        <f ca="1"/>
        <v>0.37552922131058769</v>
      </c>
      <c r="AZ35" s="1">
        <f ca="1"/>
        <v>0.37552922131058769</v>
      </c>
      <c r="BA35" s="1">
        <f ca="1"/>
        <v>0.37552922131058769</v>
      </c>
      <c r="BB35" s="1">
        <f ca="1"/>
        <v>0.37552922131058769</v>
      </c>
      <c r="BC35" s="1">
        <f ca="1"/>
        <v>0.37552922131058769</v>
      </c>
      <c r="BD35" s="1">
        <f ca="1"/>
        <v>0.37552922131058769</v>
      </c>
      <c r="BE35" s="1">
        <f ca="1"/>
        <v>0.37552922131058769</v>
      </c>
      <c r="BF35" s="1">
        <f ca="1"/>
        <v>0.37552922131058769</v>
      </c>
      <c r="BG35" s="1">
        <f ca="1"/>
        <v>0.37552922131058769</v>
      </c>
      <c r="BH35" s="1">
        <f ca="1"/>
        <v>0.37552922131058769</v>
      </c>
      <c r="BI35" s="1">
        <f ca="1"/>
        <v>0.37552922131058769</v>
      </c>
      <c r="BJ35" s="1">
        <f ca="1"/>
        <v>0.37552922131058769</v>
      </c>
      <c r="BK35" s="1">
        <f ca="1"/>
        <v>0.37552922131058769</v>
      </c>
      <c r="BL35" s="1">
        <f ca="1"/>
        <v>0.37552922131058769</v>
      </c>
      <c r="BM35" s="1">
        <f ca="1"/>
        <v>0.37552922131058769</v>
      </c>
      <c r="BN35" s="1">
        <f ca="1"/>
        <v>0.37552922131058769</v>
      </c>
      <c r="BO35" s="1">
        <f ca="1"/>
        <v>0.37552922131058769</v>
      </c>
      <c r="BP35" s="1">
        <f ca="1"/>
        <v>0.37552922131058769</v>
      </c>
      <c r="BQ35" s="1">
        <f ca="1"/>
        <v>0.37552922131058769</v>
      </c>
      <c r="BR35" s="1">
        <f ca="1"/>
        <v>0.37552922131058769</v>
      </c>
      <c r="BS35" s="1">
        <f ca="1"/>
        <v>0.37552922131058769</v>
      </c>
      <c r="BT35" s="1">
        <f ca="1"/>
        <v>0.37552922131058769</v>
      </c>
    </row>
    <row r="36" spans="5:72" x14ac:dyDescent="0.2">
      <c r="E36" s="3">
        <v>0.05</v>
      </c>
      <c r="F36" s="1">
        <f ca="1"/>
        <v>0.90127013114541055</v>
      </c>
      <c r="G36" s="3">
        <f ca="1"/>
        <v>4.9999999999999822E-2</v>
      </c>
      <c r="H36" s="3">
        <f ca="1"/>
        <v>4.9896121783964444E-2</v>
      </c>
      <c r="I36">
        <v>25</v>
      </c>
      <c r="J36" s="2">
        <v>2.0833333333333335</v>
      </c>
      <c r="M36" s="1">
        <f ca="1"/>
        <v>0</v>
      </c>
      <c r="N36" s="1">
        <f ca="1"/>
        <v>0</v>
      </c>
      <c r="O36" s="1">
        <f ca="1"/>
        <v>0</v>
      </c>
      <c r="P36" s="1">
        <f ca="1"/>
        <v>0</v>
      </c>
      <c r="Q36" s="1">
        <f ca="1"/>
        <v>0</v>
      </c>
      <c r="R36" s="1">
        <f ca="1"/>
        <v>0</v>
      </c>
      <c r="S36" s="1">
        <f ca="1"/>
        <v>0</v>
      </c>
      <c r="T36" s="1">
        <f ca="1"/>
        <v>0</v>
      </c>
      <c r="U36" s="1">
        <f ca="1"/>
        <v>0</v>
      </c>
      <c r="V36" s="1">
        <f ca="1"/>
        <v>0</v>
      </c>
      <c r="W36" s="1">
        <f ca="1"/>
        <v>0</v>
      </c>
      <c r="X36" s="1">
        <f ca="1"/>
        <v>0</v>
      </c>
      <c r="Y36" s="1">
        <f ca="1"/>
        <v>0</v>
      </c>
      <c r="Z36" s="1">
        <f ca="1"/>
        <v>0</v>
      </c>
      <c r="AA36" s="1">
        <f ca="1"/>
        <v>0</v>
      </c>
      <c r="AB36" s="1">
        <f ca="1"/>
        <v>0</v>
      </c>
      <c r="AC36" s="1">
        <f ca="1"/>
        <v>0</v>
      </c>
      <c r="AD36" s="1">
        <f ca="1"/>
        <v>0</v>
      </c>
      <c r="AE36" s="1">
        <f ca="1"/>
        <v>0</v>
      </c>
      <c r="AF36" s="1">
        <f ca="1"/>
        <v>0</v>
      </c>
      <c r="AG36" s="1">
        <f ca="1"/>
        <v>0</v>
      </c>
      <c r="AH36" s="1">
        <f ca="1"/>
        <v>0</v>
      </c>
      <c r="AI36" s="1">
        <f ca="1"/>
        <v>0</v>
      </c>
      <c r="AJ36" s="1">
        <f ca="1"/>
        <v>0</v>
      </c>
      <c r="AK36" s="1">
        <f ca="1"/>
        <v>0</v>
      </c>
      <c r="AL36" s="1">
        <f ca="1"/>
        <v>0</v>
      </c>
      <c r="AM36" s="1">
        <f ca="1"/>
        <v>0.37397100877402911</v>
      </c>
      <c r="AN36" s="1">
        <f ca="1"/>
        <v>0.37397100877402911</v>
      </c>
      <c r="AO36" s="1">
        <f ca="1"/>
        <v>0.37397100877402911</v>
      </c>
      <c r="AP36" s="1">
        <f ca="1"/>
        <v>0.37397100877402911</v>
      </c>
      <c r="AQ36" s="1">
        <f ca="1"/>
        <v>0.37397100877402911</v>
      </c>
      <c r="AR36" s="1">
        <f ca="1"/>
        <v>0.37397100877402911</v>
      </c>
      <c r="AS36" s="1">
        <f ca="1"/>
        <v>0.37397100877402911</v>
      </c>
      <c r="AT36" s="1">
        <f ca="1"/>
        <v>0.37397100877402911</v>
      </c>
      <c r="AU36" s="1">
        <f ca="1"/>
        <v>0.37397100877402911</v>
      </c>
      <c r="AV36" s="1">
        <f ca="1"/>
        <v>0.37397100877402911</v>
      </c>
      <c r="AW36" s="1">
        <f ca="1"/>
        <v>0.37397100877402911</v>
      </c>
      <c r="AX36" s="1">
        <f ca="1"/>
        <v>0.37397100877402911</v>
      </c>
      <c r="AY36" s="1">
        <f ca="1"/>
        <v>0.37397100877402911</v>
      </c>
      <c r="AZ36" s="1">
        <f ca="1"/>
        <v>0.37397100877402911</v>
      </c>
      <c r="BA36" s="1">
        <f ca="1"/>
        <v>0.37397100877402911</v>
      </c>
      <c r="BB36" s="1">
        <f ca="1"/>
        <v>0.37397100877402911</v>
      </c>
      <c r="BC36" s="1">
        <f ca="1"/>
        <v>0.37397100877402911</v>
      </c>
      <c r="BD36" s="1">
        <f ca="1"/>
        <v>0.37397100877402911</v>
      </c>
      <c r="BE36" s="1">
        <f ca="1"/>
        <v>0.37397100877402911</v>
      </c>
      <c r="BF36" s="1">
        <f ca="1"/>
        <v>0.37397100877402911</v>
      </c>
      <c r="BG36" s="1">
        <f ca="1"/>
        <v>0.37397100877402911</v>
      </c>
      <c r="BH36" s="1">
        <f ca="1"/>
        <v>0.37397100877402911</v>
      </c>
      <c r="BI36" s="1">
        <f ca="1"/>
        <v>0.37397100877402911</v>
      </c>
      <c r="BJ36" s="1">
        <f ca="1"/>
        <v>0.37397100877402911</v>
      </c>
      <c r="BK36" s="1">
        <f ca="1"/>
        <v>0.37397100877402911</v>
      </c>
      <c r="BL36" s="1">
        <f ca="1"/>
        <v>0.37397100877402911</v>
      </c>
      <c r="BM36" s="1">
        <f ca="1"/>
        <v>0.37397100877402911</v>
      </c>
      <c r="BN36" s="1">
        <f ca="1"/>
        <v>0.37397100877402911</v>
      </c>
      <c r="BO36" s="1">
        <f ca="1"/>
        <v>0.37397100877402911</v>
      </c>
      <c r="BP36" s="1">
        <f ca="1"/>
        <v>0.37397100877402911</v>
      </c>
      <c r="BQ36" s="1">
        <f ca="1"/>
        <v>0.37397100877402911</v>
      </c>
      <c r="BR36" s="1">
        <f ca="1"/>
        <v>0.37397100877402911</v>
      </c>
      <c r="BS36" s="1">
        <f ca="1"/>
        <v>0.37397100877402911</v>
      </c>
      <c r="BT36" s="1">
        <f ca="1"/>
        <v>0.37397100877402911</v>
      </c>
    </row>
    <row r="37" spans="5:72" x14ac:dyDescent="0.2">
      <c r="E37" s="3">
        <v>0.05</v>
      </c>
      <c r="F37" s="1">
        <f ca="1"/>
        <v>0.89753042105767</v>
      </c>
      <c r="G37" s="3">
        <f ca="1"/>
        <v>4.9999999999999822E-2</v>
      </c>
      <c r="H37" s="3">
        <f ca="1"/>
        <v>4.9896121783964575E-2</v>
      </c>
      <c r="I37">
        <v>26</v>
      </c>
      <c r="J37" s="2">
        <v>2.1666666666666665</v>
      </c>
      <c r="M37" s="1">
        <f ca="1"/>
        <v>0</v>
      </c>
      <c r="N37" s="1">
        <f ca="1"/>
        <v>0</v>
      </c>
      <c r="O37" s="1">
        <f ca="1"/>
        <v>0</v>
      </c>
      <c r="P37" s="1">
        <f ca="1"/>
        <v>0</v>
      </c>
      <c r="Q37" s="1">
        <f ca="1"/>
        <v>0</v>
      </c>
      <c r="R37" s="1">
        <f ca="1"/>
        <v>0</v>
      </c>
      <c r="S37" s="1">
        <f ca="1"/>
        <v>0</v>
      </c>
      <c r="T37" s="1">
        <f ca="1"/>
        <v>0</v>
      </c>
      <c r="U37" s="1">
        <f ca="1"/>
        <v>0</v>
      </c>
      <c r="V37" s="1">
        <f ca="1"/>
        <v>0</v>
      </c>
      <c r="W37" s="1">
        <f ca="1"/>
        <v>0</v>
      </c>
      <c r="X37" s="1">
        <f ca="1"/>
        <v>0</v>
      </c>
      <c r="Y37" s="1">
        <f ca="1"/>
        <v>0</v>
      </c>
      <c r="Z37" s="1">
        <f ca="1"/>
        <v>0</v>
      </c>
      <c r="AA37" s="1">
        <f ca="1"/>
        <v>0</v>
      </c>
      <c r="AB37" s="1">
        <f ca="1"/>
        <v>0</v>
      </c>
      <c r="AC37" s="1">
        <f ca="1"/>
        <v>0</v>
      </c>
      <c r="AD37" s="1">
        <f ca="1"/>
        <v>0</v>
      </c>
      <c r="AE37" s="1">
        <f ca="1"/>
        <v>0</v>
      </c>
      <c r="AF37" s="1">
        <f ca="1"/>
        <v>0</v>
      </c>
      <c r="AG37" s="1">
        <f ca="1"/>
        <v>0</v>
      </c>
      <c r="AH37" s="1">
        <f ca="1"/>
        <v>0</v>
      </c>
      <c r="AI37" s="1">
        <f ca="1"/>
        <v>0</v>
      </c>
      <c r="AJ37" s="1">
        <f ca="1"/>
        <v>0</v>
      </c>
      <c r="AK37" s="1">
        <f ca="1"/>
        <v>0</v>
      </c>
      <c r="AL37" s="1">
        <f ca="1"/>
        <v>0</v>
      </c>
      <c r="AM37" s="1">
        <f ca="1"/>
        <v>0</v>
      </c>
      <c r="AN37" s="1">
        <f ca="1"/>
        <v>0.37241926184965568</v>
      </c>
      <c r="AO37" s="1">
        <f ca="1"/>
        <v>0.37241926184965568</v>
      </c>
      <c r="AP37" s="1">
        <f ca="1"/>
        <v>0.37241926184965568</v>
      </c>
      <c r="AQ37" s="1">
        <f ca="1"/>
        <v>0.37241926184965568</v>
      </c>
      <c r="AR37" s="1">
        <f ca="1"/>
        <v>0.37241926184965568</v>
      </c>
      <c r="AS37" s="1">
        <f ca="1"/>
        <v>0.37241926184965568</v>
      </c>
      <c r="AT37" s="1">
        <f ca="1"/>
        <v>0.37241926184965568</v>
      </c>
      <c r="AU37" s="1">
        <f ca="1"/>
        <v>0.37241926184965568</v>
      </c>
      <c r="AV37" s="1">
        <f ca="1"/>
        <v>0.37241926184965568</v>
      </c>
      <c r="AW37" s="1">
        <f ca="1"/>
        <v>0.37241926184965568</v>
      </c>
      <c r="AX37" s="1">
        <f ca="1"/>
        <v>0.37241926184965568</v>
      </c>
      <c r="AY37" s="1">
        <f ca="1"/>
        <v>0.37241926184965568</v>
      </c>
      <c r="AZ37" s="1">
        <f ca="1"/>
        <v>0.37241926184965568</v>
      </c>
      <c r="BA37" s="1">
        <f ca="1"/>
        <v>0.37241926184965568</v>
      </c>
      <c r="BB37" s="1">
        <f ca="1"/>
        <v>0.37241926184965568</v>
      </c>
      <c r="BC37" s="1">
        <f ca="1"/>
        <v>0.37241926184965568</v>
      </c>
      <c r="BD37" s="1">
        <f ca="1"/>
        <v>0.37241926184965568</v>
      </c>
      <c r="BE37" s="1">
        <f ca="1"/>
        <v>0.37241926184965568</v>
      </c>
      <c r="BF37" s="1">
        <f ca="1"/>
        <v>0.37241926184965568</v>
      </c>
      <c r="BG37" s="1">
        <f ca="1"/>
        <v>0.37241926184965568</v>
      </c>
      <c r="BH37" s="1">
        <f ca="1"/>
        <v>0.37241926184965568</v>
      </c>
      <c r="BI37" s="1">
        <f ca="1"/>
        <v>0.37241926184965568</v>
      </c>
      <c r="BJ37" s="1">
        <f ca="1"/>
        <v>0.37241926184965568</v>
      </c>
      <c r="BK37" s="1">
        <f ca="1"/>
        <v>0.37241926184965568</v>
      </c>
      <c r="BL37" s="1">
        <f ca="1"/>
        <v>0.37241926184965568</v>
      </c>
      <c r="BM37" s="1">
        <f ca="1"/>
        <v>0.37241926184965568</v>
      </c>
      <c r="BN37" s="1">
        <f ca="1"/>
        <v>0.37241926184965568</v>
      </c>
      <c r="BO37" s="1">
        <f ca="1"/>
        <v>0.37241926184965568</v>
      </c>
      <c r="BP37" s="1">
        <f ca="1"/>
        <v>0.37241926184965568</v>
      </c>
      <c r="BQ37" s="1">
        <f ca="1"/>
        <v>0.37241926184965568</v>
      </c>
      <c r="BR37" s="1">
        <f ca="1"/>
        <v>0.37241926184965568</v>
      </c>
      <c r="BS37" s="1">
        <f ca="1"/>
        <v>0.37241926184965568</v>
      </c>
      <c r="BT37" s="1">
        <f ca="1"/>
        <v>0.37241926184965568</v>
      </c>
    </row>
    <row r="38" spans="5:72" x14ac:dyDescent="0.2">
      <c r="E38" s="3">
        <v>0.05</v>
      </c>
      <c r="F38" s="1">
        <f ca="1"/>
        <v>0.89380622843917368</v>
      </c>
      <c r="G38" s="3">
        <f ca="1"/>
        <v>4.9999999999999822E-2</v>
      </c>
      <c r="H38" s="3">
        <f ca="1"/>
        <v>4.9896121783964444E-2</v>
      </c>
      <c r="I38">
        <v>27</v>
      </c>
      <c r="J38" s="2">
        <v>2.25</v>
      </c>
      <c r="M38" s="1">
        <f ca="1"/>
        <v>0</v>
      </c>
      <c r="N38" s="1">
        <f ca="1"/>
        <v>0</v>
      </c>
      <c r="O38" s="1">
        <f ca="1"/>
        <v>0</v>
      </c>
      <c r="P38" s="1">
        <f ca="1"/>
        <v>0</v>
      </c>
      <c r="Q38" s="1">
        <f ca="1"/>
        <v>0</v>
      </c>
      <c r="R38" s="1">
        <f ca="1"/>
        <v>0</v>
      </c>
      <c r="S38" s="1">
        <f ca="1"/>
        <v>0</v>
      </c>
      <c r="T38" s="1">
        <f ca="1"/>
        <v>0</v>
      </c>
      <c r="U38" s="1">
        <f ca="1"/>
        <v>0</v>
      </c>
      <c r="V38" s="1">
        <f ca="1"/>
        <v>0</v>
      </c>
      <c r="W38" s="1">
        <f ca="1"/>
        <v>0</v>
      </c>
      <c r="X38" s="1">
        <f ca="1"/>
        <v>0</v>
      </c>
      <c r="Y38" s="1">
        <f ca="1"/>
        <v>0</v>
      </c>
      <c r="Z38" s="1">
        <f ca="1"/>
        <v>0</v>
      </c>
      <c r="AA38" s="1">
        <f ca="1"/>
        <v>0</v>
      </c>
      <c r="AB38" s="1">
        <f ca="1"/>
        <v>0</v>
      </c>
      <c r="AC38" s="1">
        <f ca="1"/>
        <v>0</v>
      </c>
      <c r="AD38" s="1">
        <f ca="1"/>
        <v>0</v>
      </c>
      <c r="AE38" s="1">
        <f ca="1"/>
        <v>0</v>
      </c>
      <c r="AF38" s="1">
        <f ca="1"/>
        <v>0</v>
      </c>
      <c r="AG38" s="1">
        <f ca="1"/>
        <v>0</v>
      </c>
      <c r="AH38" s="1">
        <f ca="1"/>
        <v>0</v>
      </c>
      <c r="AI38" s="1">
        <f ca="1"/>
        <v>0</v>
      </c>
      <c r="AJ38" s="1">
        <f ca="1"/>
        <v>0</v>
      </c>
      <c r="AK38" s="1">
        <f ca="1"/>
        <v>0</v>
      </c>
      <c r="AL38" s="1">
        <f ca="1"/>
        <v>0</v>
      </c>
      <c r="AM38" s="1">
        <f ca="1"/>
        <v>0</v>
      </c>
      <c r="AN38" s="1">
        <f ca="1"/>
        <v>0</v>
      </c>
      <c r="AO38" s="1">
        <f ca="1"/>
        <v>0.37087395370920062</v>
      </c>
      <c r="AP38" s="1">
        <f ca="1"/>
        <v>0.37087395370920062</v>
      </c>
      <c r="AQ38" s="1">
        <f ca="1"/>
        <v>0.37087395370920062</v>
      </c>
      <c r="AR38" s="1">
        <f ca="1"/>
        <v>0.37087395370920062</v>
      </c>
      <c r="AS38" s="1">
        <f ca="1"/>
        <v>0.37087395370920062</v>
      </c>
      <c r="AT38" s="1">
        <f ca="1"/>
        <v>0.37087395370920062</v>
      </c>
      <c r="AU38" s="1">
        <f ca="1"/>
        <v>0.37087395370920062</v>
      </c>
      <c r="AV38" s="1">
        <f ca="1"/>
        <v>0.37087395370920062</v>
      </c>
      <c r="AW38" s="1">
        <f ca="1"/>
        <v>0.37087395370920062</v>
      </c>
      <c r="AX38" s="1">
        <f ca="1"/>
        <v>0.37087395370920062</v>
      </c>
      <c r="AY38" s="1">
        <f ca="1"/>
        <v>0.37087395370920062</v>
      </c>
      <c r="AZ38" s="1">
        <f ca="1"/>
        <v>0.37087395370920062</v>
      </c>
      <c r="BA38" s="1">
        <f ca="1"/>
        <v>0.37087395370920062</v>
      </c>
      <c r="BB38" s="1">
        <f ca="1"/>
        <v>0.37087395370920062</v>
      </c>
      <c r="BC38" s="1">
        <f ca="1"/>
        <v>0.37087395370920062</v>
      </c>
      <c r="BD38" s="1">
        <f ca="1"/>
        <v>0.37087395370920062</v>
      </c>
      <c r="BE38" s="1">
        <f ca="1"/>
        <v>0.37087395370920062</v>
      </c>
      <c r="BF38" s="1">
        <f ca="1"/>
        <v>0.37087395370920062</v>
      </c>
      <c r="BG38" s="1">
        <f ca="1"/>
        <v>0.37087395370920062</v>
      </c>
      <c r="BH38" s="1">
        <f ca="1"/>
        <v>0.37087395370920062</v>
      </c>
      <c r="BI38" s="1">
        <f ca="1"/>
        <v>0.37087395370920062</v>
      </c>
      <c r="BJ38" s="1">
        <f ca="1"/>
        <v>0.37087395370920062</v>
      </c>
      <c r="BK38" s="1">
        <f ca="1"/>
        <v>0.37087395370920062</v>
      </c>
      <c r="BL38" s="1">
        <f ca="1"/>
        <v>0.37087395370920062</v>
      </c>
      <c r="BM38" s="1">
        <f ca="1"/>
        <v>0.37087395370920062</v>
      </c>
      <c r="BN38" s="1">
        <f ca="1"/>
        <v>0.37087395370920062</v>
      </c>
      <c r="BO38" s="1">
        <f ca="1"/>
        <v>0.37087395370920062</v>
      </c>
      <c r="BP38" s="1">
        <f ca="1"/>
        <v>0.37087395370920062</v>
      </c>
      <c r="BQ38" s="1">
        <f ca="1"/>
        <v>0.37087395370920062</v>
      </c>
      <c r="BR38" s="1">
        <f ca="1"/>
        <v>0.37087395370920062</v>
      </c>
      <c r="BS38" s="1">
        <f ca="1"/>
        <v>0.37087395370920062</v>
      </c>
      <c r="BT38" s="1">
        <f ca="1"/>
        <v>0.37087395370920062</v>
      </c>
    </row>
    <row r="39" spans="5:72" x14ac:dyDescent="0.2">
      <c r="E39" s="3">
        <v>0.05</v>
      </c>
      <c r="F39" s="1">
        <f ca="1"/>
        <v>0.89009748890208162</v>
      </c>
      <c r="G39" s="3">
        <f ca="1"/>
        <v>4.9999999999999822E-2</v>
      </c>
      <c r="H39" s="3">
        <f ca="1"/>
        <v>4.9896121783964457E-2</v>
      </c>
      <c r="I39">
        <v>28</v>
      </c>
      <c r="J39" s="2">
        <v>2.3333333333333335</v>
      </c>
      <c r="M39" s="1">
        <f ca="1"/>
        <v>0</v>
      </c>
      <c r="N39" s="1">
        <f ca="1"/>
        <v>0</v>
      </c>
      <c r="O39" s="1">
        <f ca="1"/>
        <v>0</v>
      </c>
      <c r="P39" s="1">
        <f ca="1"/>
        <v>0</v>
      </c>
      <c r="Q39" s="1">
        <f ca="1"/>
        <v>0</v>
      </c>
      <c r="R39" s="1">
        <f ca="1"/>
        <v>0</v>
      </c>
      <c r="S39" s="1">
        <f ca="1"/>
        <v>0</v>
      </c>
      <c r="T39" s="1">
        <f ca="1"/>
        <v>0</v>
      </c>
      <c r="U39" s="1">
        <f ca="1"/>
        <v>0</v>
      </c>
      <c r="V39" s="1">
        <f ca="1"/>
        <v>0</v>
      </c>
      <c r="W39" s="1">
        <f ca="1"/>
        <v>0</v>
      </c>
      <c r="X39" s="1">
        <f ca="1"/>
        <v>0</v>
      </c>
      <c r="Y39" s="1">
        <f ca="1"/>
        <v>0</v>
      </c>
      <c r="Z39" s="1">
        <f ca="1"/>
        <v>0</v>
      </c>
      <c r="AA39" s="1">
        <f ca="1"/>
        <v>0</v>
      </c>
      <c r="AB39" s="1">
        <f ca="1"/>
        <v>0</v>
      </c>
      <c r="AC39" s="1">
        <f ca="1"/>
        <v>0</v>
      </c>
      <c r="AD39" s="1">
        <f ca="1"/>
        <v>0</v>
      </c>
      <c r="AE39" s="1">
        <f ca="1"/>
        <v>0</v>
      </c>
      <c r="AF39" s="1">
        <f ca="1"/>
        <v>0</v>
      </c>
      <c r="AG39" s="1">
        <f ca="1"/>
        <v>0</v>
      </c>
      <c r="AH39" s="1">
        <f ca="1"/>
        <v>0</v>
      </c>
      <c r="AI39" s="1">
        <f ca="1"/>
        <v>0</v>
      </c>
      <c r="AJ39" s="1">
        <f ca="1"/>
        <v>0</v>
      </c>
      <c r="AK39" s="1">
        <f ca="1"/>
        <v>0</v>
      </c>
      <c r="AL39" s="1">
        <f ca="1"/>
        <v>0</v>
      </c>
      <c r="AM39" s="1">
        <f ca="1"/>
        <v>0</v>
      </c>
      <c r="AN39" s="1">
        <f ca="1"/>
        <v>0</v>
      </c>
      <c r="AO39" s="1">
        <f ca="1"/>
        <v>0</v>
      </c>
      <c r="AP39" s="1">
        <f ca="1"/>
        <v>0.3693350576357185</v>
      </c>
      <c r="AQ39" s="1">
        <f ca="1"/>
        <v>0.3693350576357185</v>
      </c>
      <c r="AR39" s="1">
        <f ca="1"/>
        <v>0.3693350576357185</v>
      </c>
      <c r="AS39" s="1">
        <f ca="1"/>
        <v>0.3693350576357185</v>
      </c>
      <c r="AT39" s="1">
        <f ca="1"/>
        <v>0.3693350576357185</v>
      </c>
      <c r="AU39" s="1">
        <f ca="1"/>
        <v>0.3693350576357185</v>
      </c>
      <c r="AV39" s="1">
        <f ca="1"/>
        <v>0.3693350576357185</v>
      </c>
      <c r="AW39" s="1">
        <f ca="1"/>
        <v>0.3693350576357185</v>
      </c>
      <c r="AX39" s="1">
        <f ca="1"/>
        <v>0.3693350576357185</v>
      </c>
      <c r="AY39" s="1">
        <f ca="1"/>
        <v>0.3693350576357185</v>
      </c>
      <c r="AZ39" s="1">
        <f ca="1"/>
        <v>0.3693350576357185</v>
      </c>
      <c r="BA39" s="1">
        <f ca="1"/>
        <v>0.3693350576357185</v>
      </c>
      <c r="BB39" s="1">
        <f ca="1"/>
        <v>0.3693350576357185</v>
      </c>
      <c r="BC39" s="1">
        <f ca="1"/>
        <v>0.3693350576357185</v>
      </c>
      <c r="BD39" s="1">
        <f ca="1"/>
        <v>0.3693350576357185</v>
      </c>
      <c r="BE39" s="1">
        <f ca="1"/>
        <v>0.3693350576357185</v>
      </c>
      <c r="BF39" s="1">
        <f ca="1"/>
        <v>0.3693350576357185</v>
      </c>
      <c r="BG39" s="1">
        <f ca="1"/>
        <v>0.3693350576357185</v>
      </c>
      <c r="BH39" s="1">
        <f ca="1"/>
        <v>0.3693350576357185</v>
      </c>
      <c r="BI39" s="1">
        <f ca="1"/>
        <v>0.3693350576357185</v>
      </c>
      <c r="BJ39" s="1">
        <f ca="1"/>
        <v>0.3693350576357185</v>
      </c>
      <c r="BK39" s="1">
        <f ca="1"/>
        <v>0.3693350576357185</v>
      </c>
      <c r="BL39" s="1">
        <f ca="1"/>
        <v>0.3693350576357185</v>
      </c>
      <c r="BM39" s="1">
        <f ca="1"/>
        <v>0.3693350576357185</v>
      </c>
      <c r="BN39" s="1">
        <f ca="1"/>
        <v>0.3693350576357185</v>
      </c>
      <c r="BO39" s="1">
        <f ca="1"/>
        <v>0.3693350576357185</v>
      </c>
      <c r="BP39" s="1">
        <f ca="1"/>
        <v>0.3693350576357185</v>
      </c>
      <c r="BQ39" s="1">
        <f ca="1"/>
        <v>0.3693350576357185</v>
      </c>
      <c r="BR39" s="1">
        <f ca="1"/>
        <v>0.3693350576357185</v>
      </c>
      <c r="BS39" s="1">
        <f ca="1"/>
        <v>0.3693350576357185</v>
      </c>
      <c r="BT39" s="1">
        <f ca="1"/>
        <v>0.3693350576357185</v>
      </c>
    </row>
    <row r="40" spans="5:72" x14ac:dyDescent="0.2">
      <c r="E40" s="3">
        <v>0.05</v>
      </c>
      <c r="F40" s="1">
        <f ca="1"/>
        <v>0.88640413832572451</v>
      </c>
      <c r="G40" s="3">
        <f ca="1"/>
        <v>4.9999999999999822E-2</v>
      </c>
      <c r="H40" s="3">
        <f ca="1"/>
        <v>4.9896121783964423E-2</v>
      </c>
      <c r="I40">
        <v>29</v>
      </c>
      <c r="J40" s="2">
        <v>2.4166666666666665</v>
      </c>
      <c r="M40" s="1">
        <f ca="1"/>
        <v>0</v>
      </c>
      <c r="N40" s="1">
        <f ca="1"/>
        <v>0</v>
      </c>
      <c r="O40" s="1">
        <f ca="1"/>
        <v>0</v>
      </c>
      <c r="P40" s="1">
        <f ca="1"/>
        <v>0</v>
      </c>
      <c r="Q40" s="1">
        <f ca="1"/>
        <v>0</v>
      </c>
      <c r="R40" s="1">
        <f ca="1"/>
        <v>0</v>
      </c>
      <c r="S40" s="1">
        <f ca="1"/>
        <v>0</v>
      </c>
      <c r="T40" s="1">
        <f ca="1"/>
        <v>0</v>
      </c>
      <c r="U40" s="1">
        <f ca="1"/>
        <v>0</v>
      </c>
      <c r="V40" s="1">
        <f ca="1"/>
        <v>0</v>
      </c>
      <c r="W40" s="1">
        <f ca="1"/>
        <v>0</v>
      </c>
      <c r="X40" s="1">
        <f ca="1"/>
        <v>0</v>
      </c>
      <c r="Y40" s="1">
        <f ca="1"/>
        <v>0</v>
      </c>
      <c r="Z40" s="1">
        <f ca="1"/>
        <v>0</v>
      </c>
      <c r="AA40" s="1">
        <f ca="1"/>
        <v>0</v>
      </c>
      <c r="AB40" s="1">
        <f ca="1"/>
        <v>0</v>
      </c>
      <c r="AC40" s="1">
        <f ca="1"/>
        <v>0</v>
      </c>
      <c r="AD40" s="1">
        <f ca="1"/>
        <v>0</v>
      </c>
      <c r="AE40" s="1">
        <f ca="1"/>
        <v>0</v>
      </c>
      <c r="AF40" s="1">
        <f ca="1"/>
        <v>0</v>
      </c>
      <c r="AG40" s="1">
        <f ca="1"/>
        <v>0</v>
      </c>
      <c r="AH40" s="1">
        <f ca="1"/>
        <v>0</v>
      </c>
      <c r="AI40" s="1">
        <f ca="1"/>
        <v>0</v>
      </c>
      <c r="AJ40" s="1">
        <f ca="1"/>
        <v>0</v>
      </c>
      <c r="AK40" s="1">
        <f ca="1"/>
        <v>0</v>
      </c>
      <c r="AL40" s="1">
        <f ca="1"/>
        <v>0</v>
      </c>
      <c r="AM40" s="1">
        <f ca="1"/>
        <v>0</v>
      </c>
      <c r="AN40" s="1">
        <f ca="1"/>
        <v>0</v>
      </c>
      <c r="AO40" s="1">
        <f ca="1"/>
        <v>0</v>
      </c>
      <c r="AP40" s="1">
        <f ca="1"/>
        <v>0</v>
      </c>
      <c r="AQ40" s="1">
        <f ca="1"/>
        <v>0.36780254702312215</v>
      </c>
      <c r="AR40" s="1">
        <f ca="1"/>
        <v>0.36780254702312215</v>
      </c>
      <c r="AS40" s="1">
        <f ca="1"/>
        <v>0.36780254702312215</v>
      </c>
      <c r="AT40" s="1">
        <f ca="1"/>
        <v>0.36780254702312215</v>
      </c>
      <c r="AU40" s="1">
        <f ca="1"/>
        <v>0.36780254702312215</v>
      </c>
      <c r="AV40" s="1">
        <f ca="1"/>
        <v>0.36780254702312215</v>
      </c>
      <c r="AW40" s="1">
        <f ca="1"/>
        <v>0.36780254702312215</v>
      </c>
      <c r="AX40" s="1">
        <f ca="1"/>
        <v>0.36780254702312215</v>
      </c>
      <c r="AY40" s="1">
        <f ca="1"/>
        <v>0.36780254702312215</v>
      </c>
      <c r="AZ40" s="1">
        <f ca="1"/>
        <v>0.36780254702312215</v>
      </c>
      <c r="BA40" s="1">
        <f ca="1"/>
        <v>0.36780254702312215</v>
      </c>
      <c r="BB40" s="1">
        <f ca="1"/>
        <v>0.36780254702312215</v>
      </c>
      <c r="BC40" s="1">
        <f ca="1"/>
        <v>0.36780254702312215</v>
      </c>
      <c r="BD40" s="1">
        <f ca="1"/>
        <v>0.36780254702312215</v>
      </c>
      <c r="BE40" s="1">
        <f ca="1"/>
        <v>0.36780254702312215</v>
      </c>
      <c r="BF40" s="1">
        <f ca="1"/>
        <v>0.36780254702312215</v>
      </c>
      <c r="BG40" s="1">
        <f ca="1"/>
        <v>0.36780254702312215</v>
      </c>
      <c r="BH40" s="1">
        <f ca="1"/>
        <v>0.36780254702312215</v>
      </c>
      <c r="BI40" s="1">
        <f ca="1"/>
        <v>0.36780254702312215</v>
      </c>
      <c r="BJ40" s="1">
        <f ca="1"/>
        <v>0.36780254702312215</v>
      </c>
      <c r="BK40" s="1">
        <f ca="1"/>
        <v>0.36780254702312215</v>
      </c>
      <c r="BL40" s="1">
        <f ca="1"/>
        <v>0.36780254702312215</v>
      </c>
      <c r="BM40" s="1">
        <f ca="1"/>
        <v>0.36780254702312215</v>
      </c>
      <c r="BN40" s="1">
        <f ca="1"/>
        <v>0.36780254702312215</v>
      </c>
      <c r="BO40" s="1">
        <f ca="1"/>
        <v>0.36780254702312215</v>
      </c>
      <c r="BP40" s="1">
        <f ca="1"/>
        <v>0.36780254702312215</v>
      </c>
      <c r="BQ40" s="1">
        <f ca="1"/>
        <v>0.36780254702312215</v>
      </c>
      <c r="BR40" s="1">
        <f ca="1"/>
        <v>0.36780254702312215</v>
      </c>
      <c r="BS40" s="1">
        <f ca="1"/>
        <v>0.36780254702312215</v>
      </c>
      <c r="BT40" s="1">
        <f ca="1"/>
        <v>0.36780254702312215</v>
      </c>
    </row>
    <row r="41" spans="5:72" x14ac:dyDescent="0.2">
      <c r="E41" s="3">
        <v>0.05</v>
      </c>
      <c r="F41" s="1">
        <f ca="1"/>
        <v>0.88272611285549329</v>
      </c>
      <c r="G41" s="3">
        <f ca="1"/>
        <v>4.9999999999999822E-2</v>
      </c>
      <c r="H41" s="3">
        <f ca="1"/>
        <v>4.9896121783964416E-2</v>
      </c>
      <c r="I41">
        <v>30</v>
      </c>
      <c r="J41" s="2">
        <v>2.5</v>
      </c>
      <c r="M41" s="1">
        <f ca="1"/>
        <v>0</v>
      </c>
      <c r="N41" s="1">
        <f ca="1"/>
        <v>0</v>
      </c>
      <c r="O41" s="1">
        <f ca="1"/>
        <v>0</v>
      </c>
      <c r="P41" s="1">
        <f ca="1"/>
        <v>0</v>
      </c>
      <c r="Q41" s="1">
        <f ca="1"/>
        <v>0</v>
      </c>
      <c r="R41" s="1">
        <f ca="1"/>
        <v>0</v>
      </c>
      <c r="S41" s="1">
        <f ca="1"/>
        <v>0</v>
      </c>
      <c r="T41" s="1">
        <f ca="1"/>
        <v>0</v>
      </c>
      <c r="U41" s="1">
        <f ca="1"/>
        <v>0</v>
      </c>
      <c r="V41" s="1">
        <f ca="1"/>
        <v>0</v>
      </c>
      <c r="W41" s="1">
        <f ca="1"/>
        <v>0</v>
      </c>
      <c r="X41" s="1">
        <f ca="1"/>
        <v>0</v>
      </c>
      <c r="Y41" s="1">
        <f ca="1"/>
        <v>0</v>
      </c>
      <c r="Z41" s="1">
        <f ca="1"/>
        <v>0</v>
      </c>
      <c r="AA41" s="1">
        <f ca="1"/>
        <v>0</v>
      </c>
      <c r="AB41" s="1">
        <f ca="1"/>
        <v>0</v>
      </c>
      <c r="AC41" s="1">
        <f ca="1"/>
        <v>0</v>
      </c>
      <c r="AD41" s="1">
        <f ca="1"/>
        <v>0</v>
      </c>
      <c r="AE41" s="1">
        <f ca="1"/>
        <v>0</v>
      </c>
      <c r="AF41" s="1">
        <f ca="1"/>
        <v>0</v>
      </c>
      <c r="AG41" s="1">
        <f ca="1"/>
        <v>0</v>
      </c>
      <c r="AH41" s="1">
        <f ca="1"/>
        <v>0</v>
      </c>
      <c r="AI41" s="1">
        <f ca="1"/>
        <v>0</v>
      </c>
      <c r="AJ41" s="1">
        <f ca="1"/>
        <v>0</v>
      </c>
      <c r="AK41" s="1">
        <f ca="1"/>
        <v>0</v>
      </c>
      <c r="AL41" s="1">
        <f ca="1"/>
        <v>0</v>
      </c>
      <c r="AM41" s="1">
        <f ca="1"/>
        <v>0</v>
      </c>
      <c r="AN41" s="1">
        <f ca="1"/>
        <v>0</v>
      </c>
      <c r="AO41" s="1">
        <f ca="1"/>
        <v>0</v>
      </c>
      <c r="AP41" s="1">
        <f ca="1"/>
        <v>0</v>
      </c>
      <c r="AQ41" s="1">
        <f ca="1"/>
        <v>0</v>
      </c>
      <c r="AR41" s="1">
        <f ca="1"/>
        <v>0.36627639537572315</v>
      </c>
      <c r="AS41" s="1">
        <f ca="1"/>
        <v>0.36627639537572315</v>
      </c>
      <c r="AT41" s="1">
        <f ca="1"/>
        <v>0.36627639537572315</v>
      </c>
      <c r="AU41" s="1">
        <f ca="1"/>
        <v>0.36627639537572315</v>
      </c>
      <c r="AV41" s="1">
        <f ca="1"/>
        <v>0.36627639537572315</v>
      </c>
      <c r="AW41" s="1">
        <f ca="1"/>
        <v>0.36627639537572315</v>
      </c>
      <c r="AX41" s="1">
        <f ca="1"/>
        <v>0.36627639537572315</v>
      </c>
      <c r="AY41" s="1">
        <f ca="1"/>
        <v>0.36627639537572315</v>
      </c>
      <c r="AZ41" s="1">
        <f ca="1"/>
        <v>0.36627639537572315</v>
      </c>
      <c r="BA41" s="1">
        <f ca="1"/>
        <v>0.36627639537572315</v>
      </c>
      <c r="BB41" s="1">
        <f ca="1"/>
        <v>0.36627639537572315</v>
      </c>
      <c r="BC41" s="1">
        <f ca="1"/>
        <v>0.36627639537572315</v>
      </c>
      <c r="BD41" s="1">
        <f ca="1"/>
        <v>0.36627639537572315</v>
      </c>
      <c r="BE41" s="1">
        <f ca="1"/>
        <v>0.36627639537572315</v>
      </c>
      <c r="BF41" s="1">
        <f ca="1"/>
        <v>0.36627639537572315</v>
      </c>
      <c r="BG41" s="1">
        <f ca="1"/>
        <v>0.36627639537572315</v>
      </c>
      <c r="BH41" s="1">
        <f ca="1"/>
        <v>0.36627639537572315</v>
      </c>
      <c r="BI41" s="1">
        <f ca="1"/>
        <v>0.36627639537572315</v>
      </c>
      <c r="BJ41" s="1">
        <f ca="1"/>
        <v>0.36627639537572315</v>
      </c>
      <c r="BK41" s="1">
        <f ca="1"/>
        <v>0.36627639537572315</v>
      </c>
      <c r="BL41" s="1">
        <f ca="1"/>
        <v>0.36627639537572315</v>
      </c>
      <c r="BM41" s="1">
        <f ca="1"/>
        <v>0.36627639537572315</v>
      </c>
      <c r="BN41" s="1">
        <f ca="1"/>
        <v>0.36627639537572315</v>
      </c>
      <c r="BO41" s="1">
        <f ca="1"/>
        <v>0.36627639537572315</v>
      </c>
      <c r="BP41" s="1">
        <f ca="1"/>
        <v>0.36627639537572315</v>
      </c>
      <c r="BQ41" s="1">
        <f ca="1"/>
        <v>0.36627639537572315</v>
      </c>
      <c r="BR41" s="1">
        <f ca="1"/>
        <v>0.36627639537572315</v>
      </c>
      <c r="BS41" s="1">
        <f ca="1"/>
        <v>0.36627639537572315</v>
      </c>
      <c r="BT41" s="1">
        <f ca="1"/>
        <v>0.36627639537572315</v>
      </c>
    </row>
    <row r="42" spans="5:72" x14ac:dyDescent="0.2">
      <c r="E42" s="3">
        <v>0.05</v>
      </c>
      <c r="F42" s="1">
        <f ca="1"/>
        <v>0.87906334890173565</v>
      </c>
      <c r="G42" s="3">
        <f ca="1"/>
        <v>4.9999999999999822E-2</v>
      </c>
      <c r="H42" s="3">
        <f ca="1"/>
        <v>4.9896121783964589E-2</v>
      </c>
      <c r="I42">
        <v>31</v>
      </c>
      <c r="J42" s="2">
        <v>2.5833333333333335</v>
      </c>
      <c r="M42" s="1">
        <f ca="1"/>
        <v>0</v>
      </c>
      <c r="N42" s="1">
        <f ca="1"/>
        <v>0</v>
      </c>
      <c r="O42" s="1">
        <f ca="1"/>
        <v>0</v>
      </c>
      <c r="P42" s="1">
        <f ca="1"/>
        <v>0</v>
      </c>
      <c r="Q42" s="1">
        <f ca="1"/>
        <v>0</v>
      </c>
      <c r="R42" s="1">
        <f ca="1"/>
        <v>0</v>
      </c>
      <c r="S42" s="1">
        <f ca="1"/>
        <v>0</v>
      </c>
      <c r="T42" s="1">
        <f ca="1"/>
        <v>0</v>
      </c>
      <c r="U42" s="1">
        <f ca="1"/>
        <v>0</v>
      </c>
      <c r="V42" s="1">
        <f ca="1"/>
        <v>0</v>
      </c>
      <c r="W42" s="1">
        <f ca="1"/>
        <v>0</v>
      </c>
      <c r="X42" s="1">
        <f ca="1"/>
        <v>0</v>
      </c>
      <c r="Y42" s="1">
        <f ca="1"/>
        <v>0</v>
      </c>
      <c r="Z42" s="1">
        <f ca="1"/>
        <v>0</v>
      </c>
      <c r="AA42" s="1">
        <f ca="1"/>
        <v>0</v>
      </c>
      <c r="AB42" s="1">
        <f ca="1"/>
        <v>0</v>
      </c>
      <c r="AC42" s="1">
        <f ca="1"/>
        <v>0</v>
      </c>
      <c r="AD42" s="1">
        <f ca="1"/>
        <v>0</v>
      </c>
      <c r="AE42" s="1">
        <f ca="1"/>
        <v>0</v>
      </c>
      <c r="AF42" s="1">
        <f ca="1"/>
        <v>0</v>
      </c>
      <c r="AG42" s="1">
        <f ca="1"/>
        <v>0</v>
      </c>
      <c r="AH42" s="1">
        <f ca="1"/>
        <v>0</v>
      </c>
      <c r="AI42" s="1">
        <f ca="1"/>
        <v>0</v>
      </c>
      <c r="AJ42" s="1">
        <f ca="1"/>
        <v>0</v>
      </c>
      <c r="AK42" s="1">
        <f ca="1"/>
        <v>0</v>
      </c>
      <c r="AL42" s="1">
        <f ca="1"/>
        <v>0</v>
      </c>
      <c r="AM42" s="1">
        <f ca="1"/>
        <v>0</v>
      </c>
      <c r="AN42" s="1">
        <f ca="1"/>
        <v>0</v>
      </c>
      <c r="AO42" s="1">
        <f ca="1"/>
        <v>0</v>
      </c>
      <c r="AP42" s="1">
        <f ca="1"/>
        <v>0</v>
      </c>
      <c r="AQ42" s="1">
        <f ca="1"/>
        <v>0</v>
      </c>
      <c r="AR42" s="1">
        <f ca="1"/>
        <v>0</v>
      </c>
      <c r="AS42" s="1">
        <f ca="1"/>
        <v>0.36475657630777419</v>
      </c>
      <c r="AT42" s="1">
        <f ca="1"/>
        <v>0.36475657630777419</v>
      </c>
      <c r="AU42" s="1">
        <f ca="1"/>
        <v>0.36475657630777419</v>
      </c>
      <c r="AV42" s="1">
        <f ca="1"/>
        <v>0.36475657630777419</v>
      </c>
      <c r="AW42" s="1">
        <f ca="1"/>
        <v>0.36475657630777419</v>
      </c>
      <c r="AX42" s="1">
        <f ca="1"/>
        <v>0.36475657630777419</v>
      </c>
      <c r="AY42" s="1">
        <f ca="1"/>
        <v>0.36475657630777419</v>
      </c>
      <c r="AZ42" s="1">
        <f ca="1"/>
        <v>0.36475657630777419</v>
      </c>
      <c r="BA42" s="1">
        <f ca="1"/>
        <v>0.36475657630777419</v>
      </c>
      <c r="BB42" s="1">
        <f ca="1"/>
        <v>0.36475657630777419</v>
      </c>
      <c r="BC42" s="1">
        <f ca="1"/>
        <v>0.36475657630777419</v>
      </c>
      <c r="BD42" s="1">
        <f ca="1"/>
        <v>0.36475657630777419</v>
      </c>
      <c r="BE42" s="1">
        <f ca="1"/>
        <v>0.36475657630777419</v>
      </c>
      <c r="BF42" s="1">
        <f ca="1"/>
        <v>0.36475657630777419</v>
      </c>
      <c r="BG42" s="1">
        <f ca="1"/>
        <v>0.36475657630777419</v>
      </c>
      <c r="BH42" s="1">
        <f ca="1"/>
        <v>0.36475657630777419</v>
      </c>
      <c r="BI42" s="1">
        <f ca="1"/>
        <v>0.36475657630777419</v>
      </c>
      <c r="BJ42" s="1">
        <f ca="1"/>
        <v>0.36475657630777419</v>
      </c>
      <c r="BK42" s="1">
        <f ca="1"/>
        <v>0.36475657630777419</v>
      </c>
      <c r="BL42" s="1">
        <f ca="1"/>
        <v>0.36475657630777419</v>
      </c>
      <c r="BM42" s="1">
        <f ca="1"/>
        <v>0.36475657630777419</v>
      </c>
      <c r="BN42" s="1">
        <f ca="1"/>
        <v>0.36475657630777419</v>
      </c>
      <c r="BO42" s="1">
        <f ca="1"/>
        <v>0.36475657630777419</v>
      </c>
      <c r="BP42" s="1">
        <f ca="1"/>
        <v>0.36475657630777419</v>
      </c>
      <c r="BQ42" s="1">
        <f ca="1"/>
        <v>0.36475657630777419</v>
      </c>
      <c r="BR42" s="1">
        <f ca="1"/>
        <v>0.36475657630777419</v>
      </c>
      <c r="BS42" s="1">
        <f ca="1"/>
        <v>0.36475657630777419</v>
      </c>
      <c r="BT42" s="1">
        <f ca="1"/>
        <v>0.36475657630777419</v>
      </c>
    </row>
    <row r="43" spans="5:72" x14ac:dyDescent="0.2">
      <c r="E43" s="3">
        <v>0.05</v>
      </c>
      <c r="F43" s="1">
        <f ca="1"/>
        <v>0.87541578313865809</v>
      </c>
      <c r="G43" s="3">
        <f ca="1"/>
        <v>4.9999999999999822E-2</v>
      </c>
      <c r="H43" s="3">
        <f ca="1"/>
        <v>4.9896121783964513E-2</v>
      </c>
      <c r="I43">
        <v>32</v>
      </c>
      <c r="J43" s="2">
        <v>2.6666666666666665</v>
      </c>
      <c r="M43" s="1">
        <f ca="1"/>
        <v>0</v>
      </c>
      <c r="N43" s="1">
        <f ca="1"/>
        <v>0</v>
      </c>
      <c r="O43" s="1">
        <f ca="1"/>
        <v>0</v>
      </c>
      <c r="P43" s="1">
        <f ca="1"/>
        <v>0</v>
      </c>
      <c r="Q43" s="1">
        <f ca="1"/>
        <v>0</v>
      </c>
      <c r="R43" s="1">
        <f ca="1"/>
        <v>0</v>
      </c>
      <c r="S43" s="1">
        <f ca="1"/>
        <v>0</v>
      </c>
      <c r="T43" s="1">
        <f ca="1"/>
        <v>0</v>
      </c>
      <c r="U43" s="1">
        <f ca="1"/>
        <v>0</v>
      </c>
      <c r="V43" s="1">
        <f ca="1"/>
        <v>0</v>
      </c>
      <c r="W43" s="1">
        <f ca="1"/>
        <v>0</v>
      </c>
      <c r="X43" s="1">
        <f ca="1"/>
        <v>0</v>
      </c>
      <c r="Y43" s="1">
        <f ca="1"/>
        <v>0</v>
      </c>
      <c r="Z43" s="1">
        <f ca="1"/>
        <v>0</v>
      </c>
      <c r="AA43" s="1">
        <f ca="1"/>
        <v>0</v>
      </c>
      <c r="AB43" s="1">
        <f ca="1"/>
        <v>0</v>
      </c>
      <c r="AC43" s="1">
        <f ca="1"/>
        <v>0</v>
      </c>
      <c r="AD43" s="1">
        <f ca="1"/>
        <v>0</v>
      </c>
      <c r="AE43" s="1">
        <f ca="1"/>
        <v>0</v>
      </c>
      <c r="AF43" s="1">
        <f ca="1"/>
        <v>0</v>
      </c>
      <c r="AG43" s="1">
        <f ca="1"/>
        <v>0</v>
      </c>
      <c r="AH43" s="1">
        <f ca="1"/>
        <v>0</v>
      </c>
      <c r="AI43" s="1">
        <f ca="1"/>
        <v>0</v>
      </c>
      <c r="AJ43" s="1">
        <f ca="1"/>
        <v>0</v>
      </c>
      <c r="AK43" s="1">
        <f ca="1"/>
        <v>0</v>
      </c>
      <c r="AL43" s="1">
        <f ca="1"/>
        <v>0</v>
      </c>
      <c r="AM43" s="1">
        <f ca="1"/>
        <v>0</v>
      </c>
      <c r="AN43" s="1">
        <f ca="1"/>
        <v>0</v>
      </c>
      <c r="AO43" s="1">
        <f ca="1"/>
        <v>0</v>
      </c>
      <c r="AP43" s="1">
        <f ca="1"/>
        <v>0</v>
      </c>
      <c r="AQ43" s="1">
        <f ca="1"/>
        <v>0</v>
      </c>
      <c r="AR43" s="1">
        <f ca="1"/>
        <v>0</v>
      </c>
      <c r="AS43" s="1">
        <f ca="1"/>
        <v>0</v>
      </c>
      <c r="AT43" s="1">
        <f ca="1"/>
        <v>0.36324306354301161</v>
      </c>
      <c r="AU43" s="1">
        <f ca="1"/>
        <v>0.36324306354301161</v>
      </c>
      <c r="AV43" s="1">
        <f ca="1"/>
        <v>0.36324306354301161</v>
      </c>
      <c r="AW43" s="1">
        <f ca="1"/>
        <v>0.36324306354301161</v>
      </c>
      <c r="AX43" s="1">
        <f ca="1"/>
        <v>0.36324306354301161</v>
      </c>
      <c r="AY43" s="1">
        <f ca="1"/>
        <v>0.36324306354301161</v>
      </c>
      <c r="AZ43" s="1">
        <f ca="1"/>
        <v>0.36324306354301161</v>
      </c>
      <c r="BA43" s="1">
        <f ca="1"/>
        <v>0.36324306354301161</v>
      </c>
      <c r="BB43" s="1">
        <f ca="1"/>
        <v>0.36324306354301161</v>
      </c>
      <c r="BC43" s="1">
        <f ca="1"/>
        <v>0.36324306354301161</v>
      </c>
      <c r="BD43" s="1">
        <f ca="1"/>
        <v>0.36324306354301161</v>
      </c>
      <c r="BE43" s="1">
        <f ca="1"/>
        <v>0.36324306354301161</v>
      </c>
      <c r="BF43" s="1">
        <f ca="1"/>
        <v>0.36324306354301161</v>
      </c>
      <c r="BG43" s="1">
        <f ca="1"/>
        <v>0.36324306354301161</v>
      </c>
      <c r="BH43" s="1">
        <f ca="1"/>
        <v>0.36324306354301161</v>
      </c>
      <c r="BI43" s="1">
        <f ca="1"/>
        <v>0.36324306354301161</v>
      </c>
      <c r="BJ43" s="1">
        <f ca="1"/>
        <v>0.36324306354301161</v>
      </c>
      <c r="BK43" s="1">
        <f ca="1"/>
        <v>0.36324306354301161</v>
      </c>
      <c r="BL43" s="1">
        <f ca="1"/>
        <v>0.36324306354301161</v>
      </c>
      <c r="BM43" s="1">
        <f ca="1"/>
        <v>0.36324306354301161</v>
      </c>
      <c r="BN43" s="1">
        <f ca="1"/>
        <v>0.36324306354301161</v>
      </c>
      <c r="BO43" s="1">
        <f ca="1"/>
        <v>0.36324306354301161</v>
      </c>
      <c r="BP43" s="1">
        <f ca="1"/>
        <v>0.36324306354301161</v>
      </c>
      <c r="BQ43" s="1">
        <f ca="1"/>
        <v>0.36324306354301161</v>
      </c>
      <c r="BR43" s="1">
        <f ca="1"/>
        <v>0.36324306354301161</v>
      </c>
      <c r="BS43" s="1">
        <f ca="1"/>
        <v>0.36324306354301161</v>
      </c>
      <c r="BT43" s="1">
        <f ca="1"/>
        <v>0.36324306354301161</v>
      </c>
    </row>
    <row r="44" spans="5:72" x14ac:dyDescent="0.2">
      <c r="E44" s="3">
        <v>0.05</v>
      </c>
      <c r="F44" s="1">
        <f ca="1"/>
        <v>0.87178335250322792</v>
      </c>
      <c r="G44" s="3">
        <f ca="1"/>
        <v>4.9999999999999822E-2</v>
      </c>
      <c r="H44" s="3">
        <f ca="1"/>
        <v>4.9896121783964527E-2</v>
      </c>
      <c r="I44">
        <v>33</v>
      </c>
      <c r="J44" s="2">
        <v>2.75</v>
      </c>
      <c r="M44" s="1">
        <f ca="1"/>
        <v>0</v>
      </c>
      <c r="N44" s="1">
        <f ca="1"/>
        <v>0</v>
      </c>
      <c r="O44" s="1">
        <f ca="1"/>
        <v>0</v>
      </c>
      <c r="P44" s="1">
        <f ca="1"/>
        <v>0</v>
      </c>
      <c r="Q44" s="1">
        <f ca="1"/>
        <v>0</v>
      </c>
      <c r="R44" s="1">
        <f ca="1"/>
        <v>0</v>
      </c>
      <c r="S44" s="1">
        <f ca="1"/>
        <v>0</v>
      </c>
      <c r="T44" s="1">
        <f ca="1"/>
        <v>0</v>
      </c>
      <c r="U44" s="1">
        <f ca="1"/>
        <v>0</v>
      </c>
      <c r="V44" s="1">
        <f ca="1"/>
        <v>0</v>
      </c>
      <c r="W44" s="1">
        <f ca="1"/>
        <v>0</v>
      </c>
      <c r="X44" s="1">
        <f ca="1"/>
        <v>0</v>
      </c>
      <c r="Y44" s="1">
        <f ca="1"/>
        <v>0</v>
      </c>
      <c r="Z44" s="1">
        <f ca="1"/>
        <v>0</v>
      </c>
      <c r="AA44" s="1">
        <f ca="1"/>
        <v>0</v>
      </c>
      <c r="AB44" s="1">
        <f ca="1"/>
        <v>0</v>
      </c>
      <c r="AC44" s="1">
        <f ca="1"/>
        <v>0</v>
      </c>
      <c r="AD44" s="1">
        <f ca="1"/>
        <v>0</v>
      </c>
      <c r="AE44" s="1">
        <f ca="1"/>
        <v>0</v>
      </c>
      <c r="AF44" s="1">
        <f ca="1"/>
        <v>0</v>
      </c>
      <c r="AG44" s="1">
        <f ca="1"/>
        <v>0</v>
      </c>
      <c r="AH44" s="1">
        <f ca="1"/>
        <v>0</v>
      </c>
      <c r="AI44" s="1">
        <f ca="1"/>
        <v>0</v>
      </c>
      <c r="AJ44" s="1">
        <f ca="1"/>
        <v>0</v>
      </c>
      <c r="AK44" s="1">
        <f ca="1"/>
        <v>0</v>
      </c>
      <c r="AL44" s="1">
        <f ca="1"/>
        <v>0</v>
      </c>
      <c r="AM44" s="1">
        <f ca="1"/>
        <v>0</v>
      </c>
      <c r="AN44" s="1">
        <f ca="1"/>
        <v>0</v>
      </c>
      <c r="AO44" s="1">
        <f ca="1"/>
        <v>0</v>
      </c>
      <c r="AP44" s="1">
        <f ca="1"/>
        <v>0</v>
      </c>
      <c r="AQ44" s="1">
        <f ca="1"/>
        <v>0</v>
      </c>
      <c r="AR44" s="1">
        <f ca="1"/>
        <v>0</v>
      </c>
      <c r="AS44" s="1">
        <f ca="1"/>
        <v>0</v>
      </c>
      <c r="AT44" s="1">
        <f ca="1"/>
        <v>0</v>
      </c>
      <c r="AU44" s="1">
        <f ca="1"/>
        <v>0.36173583091420247</v>
      </c>
      <c r="AV44" s="1">
        <f ca="1"/>
        <v>0.36173583091420247</v>
      </c>
      <c r="AW44" s="1">
        <f ca="1"/>
        <v>0.36173583091420247</v>
      </c>
      <c r="AX44" s="1">
        <f ca="1"/>
        <v>0.36173583091420247</v>
      </c>
      <c r="AY44" s="1">
        <f ca="1"/>
        <v>0.36173583091420247</v>
      </c>
      <c r="AZ44" s="1">
        <f ca="1"/>
        <v>0.36173583091420247</v>
      </c>
      <c r="BA44" s="1">
        <f ca="1"/>
        <v>0.36173583091420247</v>
      </c>
      <c r="BB44" s="1">
        <f ca="1"/>
        <v>0.36173583091420247</v>
      </c>
      <c r="BC44" s="1">
        <f ca="1"/>
        <v>0.36173583091420247</v>
      </c>
      <c r="BD44" s="1">
        <f ca="1"/>
        <v>0.36173583091420247</v>
      </c>
      <c r="BE44" s="1">
        <f ca="1"/>
        <v>0.36173583091420247</v>
      </c>
      <c r="BF44" s="1">
        <f ca="1"/>
        <v>0.36173583091420247</v>
      </c>
      <c r="BG44" s="1">
        <f ca="1"/>
        <v>0.36173583091420247</v>
      </c>
      <c r="BH44" s="1">
        <f ca="1"/>
        <v>0.36173583091420247</v>
      </c>
      <c r="BI44" s="1">
        <f ca="1"/>
        <v>0.36173583091420247</v>
      </c>
      <c r="BJ44" s="1">
        <f ca="1"/>
        <v>0.36173583091420247</v>
      </c>
      <c r="BK44" s="1">
        <f ca="1"/>
        <v>0.36173583091420247</v>
      </c>
      <c r="BL44" s="1">
        <f ca="1"/>
        <v>0.36173583091420247</v>
      </c>
      <c r="BM44" s="1">
        <f ca="1"/>
        <v>0.36173583091420247</v>
      </c>
      <c r="BN44" s="1">
        <f ca="1"/>
        <v>0.36173583091420247</v>
      </c>
      <c r="BO44" s="1">
        <f ca="1"/>
        <v>0.36173583091420247</v>
      </c>
      <c r="BP44" s="1">
        <f ca="1"/>
        <v>0.36173583091420247</v>
      </c>
      <c r="BQ44" s="1">
        <f ca="1"/>
        <v>0.36173583091420247</v>
      </c>
      <c r="BR44" s="1">
        <f ca="1"/>
        <v>0.36173583091420247</v>
      </c>
      <c r="BS44" s="1">
        <f ca="1"/>
        <v>0.36173583091420247</v>
      </c>
      <c r="BT44" s="1">
        <f ca="1"/>
        <v>0.36173583091420247</v>
      </c>
    </row>
    <row r="45" spans="5:72" x14ac:dyDescent="0.2">
      <c r="E45" s="3">
        <v>0.05</v>
      </c>
      <c r="F45" s="1">
        <f ca="1"/>
        <v>0.86816599419408602</v>
      </c>
      <c r="G45" s="3">
        <f ca="1"/>
        <v>4.9999999999999822E-2</v>
      </c>
      <c r="H45" s="3">
        <f ca="1"/>
        <v>4.9896121783964457E-2</v>
      </c>
      <c r="I45">
        <v>34</v>
      </c>
      <c r="J45" s="2">
        <v>2.8333333333333335</v>
      </c>
      <c r="M45" s="1">
        <f ca="1"/>
        <v>0</v>
      </c>
      <c r="N45" s="1">
        <f ca="1"/>
        <v>0</v>
      </c>
      <c r="O45" s="1">
        <f ca="1"/>
        <v>0</v>
      </c>
      <c r="P45" s="1">
        <f ca="1"/>
        <v>0</v>
      </c>
      <c r="Q45" s="1">
        <f ca="1"/>
        <v>0</v>
      </c>
      <c r="R45" s="1">
        <f ca="1"/>
        <v>0</v>
      </c>
      <c r="S45" s="1">
        <f ca="1"/>
        <v>0</v>
      </c>
      <c r="T45" s="1">
        <f ca="1"/>
        <v>0</v>
      </c>
      <c r="U45" s="1">
        <f ca="1"/>
        <v>0</v>
      </c>
      <c r="V45" s="1">
        <f ca="1"/>
        <v>0</v>
      </c>
      <c r="W45" s="1">
        <f ca="1"/>
        <v>0</v>
      </c>
      <c r="X45" s="1">
        <f ca="1"/>
        <v>0</v>
      </c>
      <c r="Y45" s="1">
        <f ca="1"/>
        <v>0</v>
      </c>
      <c r="Z45" s="1">
        <f ca="1"/>
        <v>0</v>
      </c>
      <c r="AA45" s="1">
        <f ca="1"/>
        <v>0</v>
      </c>
      <c r="AB45" s="1">
        <f ca="1"/>
        <v>0</v>
      </c>
      <c r="AC45" s="1">
        <f ca="1"/>
        <v>0</v>
      </c>
      <c r="AD45" s="1">
        <f ca="1"/>
        <v>0</v>
      </c>
      <c r="AE45" s="1">
        <f ca="1"/>
        <v>0</v>
      </c>
      <c r="AF45" s="1">
        <f ca="1"/>
        <v>0</v>
      </c>
      <c r="AG45" s="1">
        <f ca="1"/>
        <v>0</v>
      </c>
      <c r="AH45" s="1">
        <f ca="1"/>
        <v>0</v>
      </c>
      <c r="AI45" s="1">
        <f ca="1"/>
        <v>0</v>
      </c>
      <c r="AJ45" s="1">
        <f ca="1"/>
        <v>0</v>
      </c>
      <c r="AK45" s="1">
        <f ca="1"/>
        <v>0</v>
      </c>
      <c r="AL45" s="1">
        <f ca="1"/>
        <v>0</v>
      </c>
      <c r="AM45" s="1">
        <f ca="1"/>
        <v>0</v>
      </c>
      <c r="AN45" s="1">
        <f ca="1"/>
        <v>0</v>
      </c>
      <c r="AO45" s="1">
        <f ca="1"/>
        <v>0</v>
      </c>
      <c r="AP45" s="1">
        <f ca="1"/>
        <v>0</v>
      </c>
      <c r="AQ45" s="1">
        <f ca="1"/>
        <v>0</v>
      </c>
      <c r="AR45" s="1">
        <f ca="1"/>
        <v>0</v>
      </c>
      <c r="AS45" s="1">
        <f ca="1"/>
        <v>0</v>
      </c>
      <c r="AT45" s="1">
        <f ca="1"/>
        <v>0</v>
      </c>
      <c r="AU45" s="1">
        <f ca="1"/>
        <v>0</v>
      </c>
      <c r="AV45" s="1">
        <f ca="1"/>
        <v>0.3602348523626912</v>
      </c>
      <c r="AW45" s="1">
        <f ca="1"/>
        <v>0.3602348523626912</v>
      </c>
      <c r="AX45" s="1">
        <f ca="1"/>
        <v>0.3602348523626912</v>
      </c>
      <c r="AY45" s="1">
        <f ca="1"/>
        <v>0.3602348523626912</v>
      </c>
      <c r="AZ45" s="1">
        <f ca="1"/>
        <v>0.3602348523626912</v>
      </c>
      <c r="BA45" s="1">
        <f ca="1"/>
        <v>0.3602348523626912</v>
      </c>
      <c r="BB45" s="1">
        <f ca="1"/>
        <v>0.3602348523626912</v>
      </c>
      <c r="BC45" s="1">
        <f ca="1"/>
        <v>0.3602348523626912</v>
      </c>
      <c r="BD45" s="1">
        <f ca="1"/>
        <v>0.3602348523626912</v>
      </c>
      <c r="BE45" s="1">
        <f ca="1"/>
        <v>0.3602348523626912</v>
      </c>
      <c r="BF45" s="1">
        <f ca="1"/>
        <v>0.3602348523626912</v>
      </c>
      <c r="BG45" s="1">
        <f ca="1"/>
        <v>0.3602348523626912</v>
      </c>
      <c r="BH45" s="1">
        <f ca="1"/>
        <v>0.3602348523626912</v>
      </c>
      <c r="BI45" s="1">
        <f ca="1"/>
        <v>0.3602348523626912</v>
      </c>
      <c r="BJ45" s="1">
        <f ca="1"/>
        <v>0.3602348523626912</v>
      </c>
      <c r="BK45" s="1">
        <f ca="1"/>
        <v>0.3602348523626912</v>
      </c>
      <c r="BL45" s="1">
        <f ca="1"/>
        <v>0.3602348523626912</v>
      </c>
      <c r="BM45" s="1">
        <f ca="1"/>
        <v>0.3602348523626912</v>
      </c>
      <c r="BN45" s="1">
        <f ca="1"/>
        <v>0.3602348523626912</v>
      </c>
      <c r="BO45" s="1">
        <f ca="1"/>
        <v>0.3602348523626912</v>
      </c>
      <c r="BP45" s="1">
        <f ca="1"/>
        <v>0.3602348523626912</v>
      </c>
      <c r="BQ45" s="1">
        <f ca="1"/>
        <v>0.3602348523626912</v>
      </c>
      <c r="BR45" s="1">
        <f ca="1"/>
        <v>0.3602348523626912</v>
      </c>
      <c r="BS45" s="1">
        <f ca="1"/>
        <v>0.3602348523626912</v>
      </c>
      <c r="BT45" s="1">
        <f ca="1"/>
        <v>0.3602348523626912</v>
      </c>
    </row>
    <row r="46" spans="5:72" x14ac:dyDescent="0.2">
      <c r="E46" s="3">
        <v>0.05</v>
      </c>
      <c r="F46" s="1">
        <f ca="1"/>
        <v>0.86456364567045896</v>
      </c>
      <c r="G46" s="3">
        <f ca="1"/>
        <v>4.9999999999999822E-2</v>
      </c>
      <c r="H46" s="3">
        <f ca="1"/>
        <v>4.989612178396452E-2</v>
      </c>
      <c r="I46">
        <v>35</v>
      </c>
      <c r="J46" s="2">
        <v>2.9166666666666665</v>
      </c>
      <c r="M46" s="1">
        <f ca="1"/>
        <v>0</v>
      </c>
      <c r="N46" s="1">
        <f ca="1"/>
        <v>0</v>
      </c>
      <c r="O46" s="1">
        <f ca="1"/>
        <v>0</v>
      </c>
      <c r="P46" s="1">
        <f ca="1"/>
        <v>0</v>
      </c>
      <c r="Q46" s="1">
        <f ca="1"/>
        <v>0</v>
      </c>
      <c r="R46" s="1">
        <f ca="1"/>
        <v>0</v>
      </c>
      <c r="S46" s="1">
        <f ca="1"/>
        <v>0</v>
      </c>
      <c r="T46" s="1">
        <f ca="1"/>
        <v>0</v>
      </c>
      <c r="U46" s="1">
        <f ca="1"/>
        <v>0</v>
      </c>
      <c r="V46" s="1">
        <f ca="1"/>
        <v>0</v>
      </c>
      <c r="W46" s="1">
        <f ca="1"/>
        <v>0</v>
      </c>
      <c r="X46" s="1">
        <f ca="1"/>
        <v>0</v>
      </c>
      <c r="Y46" s="1">
        <f ca="1"/>
        <v>0</v>
      </c>
      <c r="Z46" s="1">
        <f ca="1"/>
        <v>0</v>
      </c>
      <c r="AA46" s="1">
        <f ca="1"/>
        <v>0</v>
      </c>
      <c r="AB46" s="1">
        <f ca="1"/>
        <v>0</v>
      </c>
      <c r="AC46" s="1">
        <f ca="1"/>
        <v>0</v>
      </c>
      <c r="AD46" s="1">
        <f ca="1"/>
        <v>0</v>
      </c>
      <c r="AE46" s="1">
        <f ca="1"/>
        <v>0</v>
      </c>
      <c r="AF46" s="1">
        <f ca="1"/>
        <v>0</v>
      </c>
      <c r="AG46" s="1">
        <f ca="1"/>
        <v>0</v>
      </c>
      <c r="AH46" s="1">
        <f ca="1"/>
        <v>0</v>
      </c>
      <c r="AI46" s="1">
        <f ca="1"/>
        <v>0</v>
      </c>
      <c r="AJ46" s="1">
        <f ca="1"/>
        <v>0</v>
      </c>
      <c r="AK46" s="1">
        <f ca="1"/>
        <v>0</v>
      </c>
      <c r="AL46" s="1">
        <f ca="1"/>
        <v>0</v>
      </c>
      <c r="AM46" s="1">
        <f ca="1"/>
        <v>0</v>
      </c>
      <c r="AN46" s="1">
        <f ca="1"/>
        <v>0</v>
      </c>
      <c r="AO46" s="1">
        <f ca="1"/>
        <v>0</v>
      </c>
      <c r="AP46" s="1">
        <f ca="1"/>
        <v>0</v>
      </c>
      <c r="AQ46" s="1">
        <f ca="1"/>
        <v>0</v>
      </c>
      <c r="AR46" s="1">
        <f ca="1"/>
        <v>0</v>
      </c>
      <c r="AS46" s="1">
        <f ca="1"/>
        <v>0</v>
      </c>
      <c r="AT46" s="1">
        <f ca="1"/>
        <v>0</v>
      </c>
      <c r="AU46" s="1">
        <f ca="1"/>
        <v>0</v>
      </c>
      <c r="AV46" s="1">
        <f ca="1"/>
        <v>0</v>
      </c>
      <c r="AW46" s="1">
        <f ca="1"/>
        <v>0.35874010193794981</v>
      </c>
      <c r="AX46" s="1">
        <f ca="1"/>
        <v>0.35874010193794981</v>
      </c>
      <c r="AY46" s="1">
        <f ca="1"/>
        <v>0.35874010193794981</v>
      </c>
      <c r="AZ46" s="1">
        <f ca="1"/>
        <v>0.35874010193794981</v>
      </c>
      <c r="BA46" s="1">
        <f ca="1"/>
        <v>0.35874010193794981</v>
      </c>
      <c r="BB46" s="1">
        <f ca="1"/>
        <v>0.35874010193794981</v>
      </c>
      <c r="BC46" s="1">
        <f ca="1"/>
        <v>0.35874010193794981</v>
      </c>
      <c r="BD46" s="1">
        <f ca="1"/>
        <v>0.35874010193794981</v>
      </c>
      <c r="BE46" s="1">
        <f ca="1"/>
        <v>0.35874010193794981</v>
      </c>
      <c r="BF46" s="1">
        <f ca="1"/>
        <v>0.35874010193794981</v>
      </c>
      <c r="BG46" s="1">
        <f ca="1"/>
        <v>0.35874010193794981</v>
      </c>
      <c r="BH46" s="1">
        <f ca="1"/>
        <v>0.35874010193794981</v>
      </c>
      <c r="BI46" s="1">
        <f ca="1"/>
        <v>0.35874010193794981</v>
      </c>
      <c r="BJ46" s="1">
        <f ca="1"/>
        <v>0.35874010193794981</v>
      </c>
      <c r="BK46" s="1">
        <f ca="1"/>
        <v>0.35874010193794981</v>
      </c>
      <c r="BL46" s="1">
        <f ca="1"/>
        <v>0.35874010193794981</v>
      </c>
      <c r="BM46" s="1">
        <f ca="1"/>
        <v>0.35874010193794981</v>
      </c>
      <c r="BN46" s="1">
        <f ca="1"/>
        <v>0.35874010193794981</v>
      </c>
      <c r="BO46" s="1">
        <f ca="1"/>
        <v>0.35874010193794981</v>
      </c>
      <c r="BP46" s="1">
        <f ca="1"/>
        <v>0.35874010193794981</v>
      </c>
      <c r="BQ46" s="1">
        <f ca="1"/>
        <v>0.35874010193794981</v>
      </c>
      <c r="BR46" s="1">
        <f ca="1"/>
        <v>0.35874010193794981</v>
      </c>
      <c r="BS46" s="1">
        <f ca="1"/>
        <v>0.35874010193794981</v>
      </c>
      <c r="BT46" s="1">
        <f ca="1"/>
        <v>0.35874010193794981</v>
      </c>
    </row>
    <row r="47" spans="5:72" x14ac:dyDescent="0.2">
      <c r="E47" s="3">
        <v>0.05</v>
      </c>
      <c r="F47" s="1">
        <f ca="1"/>
        <v>0.86097624465107958</v>
      </c>
      <c r="G47" s="3">
        <f ca="1"/>
        <v>4.9999999999999822E-2</v>
      </c>
      <c r="H47" s="3">
        <f ca="1"/>
        <v>4.9896121783964464E-2</v>
      </c>
      <c r="I47">
        <v>36</v>
      </c>
      <c r="J47" s="2">
        <v>3</v>
      </c>
      <c r="M47" s="1">
        <f ca="1"/>
        <v>0</v>
      </c>
      <c r="N47" s="1">
        <f ca="1"/>
        <v>0</v>
      </c>
      <c r="O47" s="1">
        <f ca="1"/>
        <v>0</v>
      </c>
      <c r="P47" s="1">
        <f ca="1"/>
        <v>0</v>
      </c>
      <c r="Q47" s="1">
        <f ca="1"/>
        <v>0</v>
      </c>
      <c r="R47" s="1">
        <f ca="1"/>
        <v>0</v>
      </c>
      <c r="S47" s="1">
        <f ca="1"/>
        <v>0</v>
      </c>
      <c r="T47" s="1">
        <f ca="1"/>
        <v>0</v>
      </c>
      <c r="U47" s="1">
        <f ca="1"/>
        <v>0</v>
      </c>
      <c r="V47" s="1">
        <f ca="1"/>
        <v>0</v>
      </c>
      <c r="W47" s="1">
        <f ca="1"/>
        <v>0</v>
      </c>
      <c r="X47" s="1">
        <f ca="1"/>
        <v>0</v>
      </c>
      <c r="Y47" s="1">
        <f ca="1"/>
        <v>0</v>
      </c>
      <c r="Z47" s="1">
        <f ca="1"/>
        <v>0</v>
      </c>
      <c r="AA47" s="1">
        <f ca="1"/>
        <v>0</v>
      </c>
      <c r="AB47" s="1">
        <f ca="1"/>
        <v>0</v>
      </c>
      <c r="AC47" s="1">
        <f ca="1"/>
        <v>0</v>
      </c>
      <c r="AD47" s="1">
        <f ca="1"/>
        <v>0</v>
      </c>
      <c r="AE47" s="1">
        <f ca="1"/>
        <v>0</v>
      </c>
      <c r="AF47" s="1">
        <f ca="1"/>
        <v>0</v>
      </c>
      <c r="AG47" s="1">
        <f ca="1"/>
        <v>0</v>
      </c>
      <c r="AH47" s="1">
        <f ca="1"/>
        <v>0</v>
      </c>
      <c r="AI47" s="1">
        <f ca="1"/>
        <v>0</v>
      </c>
      <c r="AJ47" s="1">
        <f ca="1"/>
        <v>0</v>
      </c>
      <c r="AK47" s="1">
        <f ca="1"/>
        <v>0</v>
      </c>
      <c r="AL47" s="1">
        <f ca="1"/>
        <v>0</v>
      </c>
      <c r="AM47" s="1">
        <f ca="1"/>
        <v>0</v>
      </c>
      <c r="AN47" s="1">
        <f ca="1"/>
        <v>0</v>
      </c>
      <c r="AO47" s="1">
        <f ca="1"/>
        <v>0</v>
      </c>
      <c r="AP47" s="1">
        <f ca="1"/>
        <v>0</v>
      </c>
      <c r="AQ47" s="1">
        <f ca="1"/>
        <v>0</v>
      </c>
      <c r="AR47" s="1">
        <f ca="1"/>
        <v>0</v>
      </c>
      <c r="AS47" s="1">
        <f ca="1"/>
        <v>0</v>
      </c>
      <c r="AT47" s="1">
        <f ca="1"/>
        <v>0</v>
      </c>
      <c r="AU47" s="1">
        <f ca="1"/>
        <v>0</v>
      </c>
      <c r="AV47" s="1">
        <f ca="1"/>
        <v>0</v>
      </c>
      <c r="AW47" s="1">
        <f ca="1"/>
        <v>0</v>
      </c>
      <c r="AX47" s="1">
        <f ca="1"/>
        <v>0.35725155379712847</v>
      </c>
      <c r="AY47" s="1">
        <f ca="1"/>
        <v>0.35725155379712847</v>
      </c>
      <c r="AZ47" s="1">
        <f ca="1"/>
        <v>0.35725155379712847</v>
      </c>
      <c r="BA47" s="1">
        <f ca="1"/>
        <v>0.35725155379712847</v>
      </c>
      <c r="BB47" s="1">
        <f ca="1"/>
        <v>0.35725155379712847</v>
      </c>
      <c r="BC47" s="1">
        <f ca="1"/>
        <v>0.35725155379712847</v>
      </c>
      <c r="BD47" s="1">
        <f ca="1"/>
        <v>0.35725155379712847</v>
      </c>
      <c r="BE47" s="1">
        <f ca="1"/>
        <v>0.35725155379712847</v>
      </c>
      <c r="BF47" s="1">
        <f ca="1"/>
        <v>0.35725155379712847</v>
      </c>
      <c r="BG47" s="1">
        <f ca="1"/>
        <v>0.35725155379712847</v>
      </c>
      <c r="BH47" s="1">
        <f ca="1"/>
        <v>0.35725155379712847</v>
      </c>
      <c r="BI47" s="1">
        <f ca="1"/>
        <v>0.35725155379712847</v>
      </c>
      <c r="BJ47" s="1">
        <f ca="1"/>
        <v>0.35725155379712847</v>
      </c>
      <c r="BK47" s="1">
        <f ca="1"/>
        <v>0.35725155379712847</v>
      </c>
      <c r="BL47" s="1">
        <f ca="1"/>
        <v>0.35725155379712847</v>
      </c>
      <c r="BM47" s="1">
        <f ca="1"/>
        <v>0.35725155379712847</v>
      </c>
      <c r="BN47" s="1">
        <f ca="1"/>
        <v>0.35725155379712847</v>
      </c>
      <c r="BO47" s="1">
        <f ca="1"/>
        <v>0.35725155379712847</v>
      </c>
      <c r="BP47" s="1">
        <f ca="1"/>
        <v>0.35725155379712847</v>
      </c>
      <c r="BQ47" s="1">
        <f ca="1"/>
        <v>0.35725155379712847</v>
      </c>
      <c r="BR47" s="1">
        <f ca="1"/>
        <v>0.35725155379712847</v>
      </c>
      <c r="BS47" s="1">
        <f ca="1"/>
        <v>0.35725155379712847</v>
      </c>
      <c r="BT47" s="1">
        <f ca="1"/>
        <v>0.35725155379712847</v>
      </c>
    </row>
    <row r="48" spans="5:72" x14ac:dyDescent="0.2">
      <c r="E48" s="3">
        <v>0.05</v>
      </c>
      <c r="F48" s="1">
        <f ca="1"/>
        <v>0.85740372911310836</v>
      </c>
      <c r="G48" s="3">
        <f ca="1"/>
        <v>4.9999999999999822E-2</v>
      </c>
      <c r="H48" s="3">
        <f ca="1"/>
        <v>4.9896121783964437E-2</v>
      </c>
      <c r="I48">
        <v>37</v>
      </c>
      <c r="J48" s="2">
        <v>3.0833333333333335</v>
      </c>
      <c r="M48" s="1">
        <f ca="1"/>
        <v>0</v>
      </c>
      <c r="N48" s="1">
        <f ca="1"/>
        <v>0</v>
      </c>
      <c r="O48" s="1">
        <f ca="1"/>
        <v>0</v>
      </c>
      <c r="P48" s="1">
        <f ca="1"/>
        <v>0</v>
      </c>
      <c r="Q48" s="1">
        <f ca="1"/>
        <v>0</v>
      </c>
      <c r="R48" s="1">
        <f ca="1"/>
        <v>0</v>
      </c>
      <c r="S48" s="1">
        <f ca="1"/>
        <v>0</v>
      </c>
      <c r="T48" s="1">
        <f ca="1"/>
        <v>0</v>
      </c>
      <c r="U48" s="1">
        <f ca="1"/>
        <v>0</v>
      </c>
      <c r="V48" s="1">
        <f ca="1"/>
        <v>0</v>
      </c>
      <c r="W48" s="1">
        <f ca="1"/>
        <v>0</v>
      </c>
      <c r="X48" s="1">
        <f ca="1"/>
        <v>0</v>
      </c>
      <c r="Y48" s="1">
        <f ca="1"/>
        <v>0</v>
      </c>
      <c r="Z48" s="1">
        <f ca="1"/>
        <v>0</v>
      </c>
      <c r="AA48" s="1">
        <f ca="1"/>
        <v>0</v>
      </c>
      <c r="AB48" s="1">
        <f ca="1"/>
        <v>0</v>
      </c>
      <c r="AC48" s="1">
        <f ca="1"/>
        <v>0</v>
      </c>
      <c r="AD48" s="1">
        <f ca="1"/>
        <v>0</v>
      </c>
      <c r="AE48" s="1">
        <f ca="1"/>
        <v>0</v>
      </c>
      <c r="AF48" s="1">
        <f ca="1"/>
        <v>0</v>
      </c>
      <c r="AG48" s="1">
        <f ca="1"/>
        <v>0</v>
      </c>
      <c r="AH48" s="1">
        <f ca="1"/>
        <v>0</v>
      </c>
      <c r="AI48" s="1">
        <f ca="1"/>
        <v>0</v>
      </c>
      <c r="AJ48" s="1">
        <f ca="1"/>
        <v>0</v>
      </c>
      <c r="AK48" s="1">
        <f ca="1"/>
        <v>0</v>
      </c>
      <c r="AL48" s="1">
        <f ca="1"/>
        <v>0</v>
      </c>
      <c r="AM48" s="1">
        <f ca="1"/>
        <v>0</v>
      </c>
      <c r="AN48" s="1">
        <f ca="1"/>
        <v>0</v>
      </c>
      <c r="AO48" s="1">
        <f ca="1"/>
        <v>0</v>
      </c>
      <c r="AP48" s="1">
        <f ca="1"/>
        <v>0</v>
      </c>
      <c r="AQ48" s="1">
        <f ca="1"/>
        <v>0</v>
      </c>
      <c r="AR48" s="1">
        <f ca="1"/>
        <v>0</v>
      </c>
      <c r="AS48" s="1">
        <f ca="1"/>
        <v>0</v>
      </c>
      <c r="AT48" s="1">
        <f ca="1"/>
        <v>0</v>
      </c>
      <c r="AU48" s="1">
        <f ca="1"/>
        <v>0</v>
      </c>
      <c r="AV48" s="1">
        <f ca="1"/>
        <v>0</v>
      </c>
      <c r="AW48" s="1">
        <f ca="1"/>
        <v>0</v>
      </c>
      <c r="AX48" s="1">
        <f ca="1"/>
        <v>0</v>
      </c>
      <c r="AY48" s="1">
        <f ca="1"/>
        <v>0.35576918220460918</v>
      </c>
      <c r="AZ48" s="1">
        <f ca="1"/>
        <v>0.35576918220460918</v>
      </c>
      <c r="BA48" s="1">
        <f ca="1"/>
        <v>0.35576918220460918</v>
      </c>
      <c r="BB48" s="1">
        <f ca="1"/>
        <v>0.35576918220460918</v>
      </c>
      <c r="BC48" s="1">
        <f ca="1"/>
        <v>0.35576918220460918</v>
      </c>
      <c r="BD48" s="1">
        <f ca="1"/>
        <v>0.35576918220460918</v>
      </c>
      <c r="BE48" s="1">
        <f ca="1"/>
        <v>0.35576918220460918</v>
      </c>
      <c r="BF48" s="1">
        <f ca="1"/>
        <v>0.35576918220460918</v>
      </c>
      <c r="BG48" s="1">
        <f ca="1"/>
        <v>0.35576918220460918</v>
      </c>
      <c r="BH48" s="1">
        <f ca="1"/>
        <v>0.35576918220460918</v>
      </c>
      <c r="BI48" s="1">
        <f ca="1"/>
        <v>0.35576918220460918</v>
      </c>
      <c r="BJ48" s="1">
        <f ca="1"/>
        <v>0.35576918220460918</v>
      </c>
      <c r="BK48" s="1">
        <f ca="1"/>
        <v>0.35576918220460918</v>
      </c>
      <c r="BL48" s="1">
        <f ca="1"/>
        <v>0.35576918220460918</v>
      </c>
      <c r="BM48" s="1">
        <f ca="1"/>
        <v>0.35576918220460918</v>
      </c>
      <c r="BN48" s="1">
        <f ca="1"/>
        <v>0.35576918220460918</v>
      </c>
      <c r="BO48" s="1">
        <f ca="1"/>
        <v>0.35576918220460918</v>
      </c>
      <c r="BP48" s="1">
        <f ca="1"/>
        <v>0.35576918220460918</v>
      </c>
      <c r="BQ48" s="1">
        <f ca="1"/>
        <v>0.35576918220460918</v>
      </c>
      <c r="BR48" s="1">
        <f ca="1"/>
        <v>0.35576918220460918</v>
      </c>
      <c r="BS48" s="1">
        <f ca="1"/>
        <v>0.35576918220460918</v>
      </c>
      <c r="BT48" s="1">
        <f ca="1"/>
        <v>0.35576918220460918</v>
      </c>
    </row>
    <row r="49" spans="5:72" x14ac:dyDescent="0.2">
      <c r="E49" s="3">
        <v>0.05</v>
      </c>
      <c r="F49" s="1">
        <f ca="1"/>
        <v>0.85384603729106212</v>
      </c>
      <c r="G49" s="3">
        <f ca="1"/>
        <v>4.9999999999999822E-2</v>
      </c>
      <c r="H49" s="3">
        <f ca="1"/>
        <v>4.9896121783964499E-2</v>
      </c>
      <c r="I49">
        <v>38</v>
      </c>
      <c r="J49" s="2">
        <v>3.1666666666666665</v>
      </c>
      <c r="M49" s="1">
        <f ca="1"/>
        <v>0</v>
      </c>
      <c r="N49" s="1">
        <f ca="1"/>
        <v>0</v>
      </c>
      <c r="O49" s="1">
        <f ca="1"/>
        <v>0</v>
      </c>
      <c r="P49" s="1">
        <f ca="1"/>
        <v>0</v>
      </c>
      <c r="Q49" s="1">
        <f ca="1"/>
        <v>0</v>
      </c>
      <c r="R49" s="1">
        <f ca="1"/>
        <v>0</v>
      </c>
      <c r="S49" s="1">
        <f ca="1"/>
        <v>0</v>
      </c>
      <c r="T49" s="1">
        <f ca="1"/>
        <v>0</v>
      </c>
      <c r="U49" s="1">
        <f ca="1"/>
        <v>0</v>
      </c>
      <c r="V49" s="1">
        <f ca="1"/>
        <v>0</v>
      </c>
      <c r="W49" s="1">
        <f ca="1"/>
        <v>0</v>
      </c>
      <c r="X49" s="1">
        <f ca="1"/>
        <v>0</v>
      </c>
      <c r="Y49" s="1">
        <f ca="1"/>
        <v>0</v>
      </c>
      <c r="Z49" s="1">
        <f ca="1"/>
        <v>0</v>
      </c>
      <c r="AA49" s="1">
        <f ca="1"/>
        <v>0</v>
      </c>
      <c r="AB49" s="1">
        <f ca="1"/>
        <v>0</v>
      </c>
      <c r="AC49" s="1">
        <f ca="1"/>
        <v>0</v>
      </c>
      <c r="AD49" s="1">
        <f ca="1"/>
        <v>0</v>
      </c>
      <c r="AE49" s="1">
        <f ca="1"/>
        <v>0</v>
      </c>
      <c r="AF49" s="1">
        <f ca="1"/>
        <v>0</v>
      </c>
      <c r="AG49" s="1">
        <f ca="1"/>
        <v>0</v>
      </c>
      <c r="AH49" s="1">
        <f ca="1"/>
        <v>0</v>
      </c>
      <c r="AI49" s="1">
        <f ca="1"/>
        <v>0</v>
      </c>
      <c r="AJ49" s="1">
        <f ca="1"/>
        <v>0</v>
      </c>
      <c r="AK49" s="1">
        <f ca="1"/>
        <v>0</v>
      </c>
      <c r="AL49" s="1">
        <f ca="1"/>
        <v>0</v>
      </c>
      <c r="AM49" s="1">
        <f ca="1"/>
        <v>0</v>
      </c>
      <c r="AN49" s="1">
        <f ca="1"/>
        <v>0</v>
      </c>
      <c r="AO49" s="1">
        <f ca="1"/>
        <v>0</v>
      </c>
      <c r="AP49" s="1">
        <f ca="1"/>
        <v>0</v>
      </c>
      <c r="AQ49" s="1">
        <f ca="1"/>
        <v>0</v>
      </c>
      <c r="AR49" s="1">
        <f ca="1"/>
        <v>0</v>
      </c>
      <c r="AS49" s="1">
        <f ca="1"/>
        <v>0</v>
      </c>
      <c r="AT49" s="1">
        <f ca="1"/>
        <v>0</v>
      </c>
      <c r="AU49" s="1">
        <f ca="1"/>
        <v>0</v>
      </c>
      <c r="AV49" s="1">
        <f ca="1"/>
        <v>0</v>
      </c>
      <c r="AW49" s="1">
        <f ca="1"/>
        <v>0</v>
      </c>
      <c r="AX49" s="1">
        <f ca="1"/>
        <v>0</v>
      </c>
      <c r="AY49" s="1">
        <f ca="1"/>
        <v>0</v>
      </c>
      <c r="AZ49" s="1">
        <f ca="1"/>
        <v>0.35429296153156098</v>
      </c>
      <c r="BA49" s="1">
        <f ca="1"/>
        <v>0.35429296153156098</v>
      </c>
      <c r="BB49" s="1">
        <f ca="1"/>
        <v>0.35429296153156098</v>
      </c>
      <c r="BC49" s="1">
        <f ca="1"/>
        <v>0.35429296153156098</v>
      </c>
      <c r="BD49" s="1">
        <f ca="1"/>
        <v>0.35429296153156098</v>
      </c>
      <c r="BE49" s="1">
        <f ca="1"/>
        <v>0.35429296153156098</v>
      </c>
      <c r="BF49" s="1">
        <f ca="1"/>
        <v>0.35429296153156098</v>
      </c>
      <c r="BG49" s="1">
        <f ca="1"/>
        <v>0.35429296153156098</v>
      </c>
      <c r="BH49" s="1">
        <f ca="1"/>
        <v>0.35429296153156098</v>
      </c>
      <c r="BI49" s="1">
        <f ca="1"/>
        <v>0.35429296153156098</v>
      </c>
      <c r="BJ49" s="1">
        <f ca="1"/>
        <v>0.35429296153156098</v>
      </c>
      <c r="BK49" s="1">
        <f ca="1"/>
        <v>0.35429296153156098</v>
      </c>
      <c r="BL49" s="1">
        <f ca="1"/>
        <v>0.35429296153156098</v>
      </c>
      <c r="BM49" s="1">
        <f ca="1"/>
        <v>0.35429296153156098</v>
      </c>
      <c r="BN49" s="1">
        <f ca="1"/>
        <v>0.35429296153156098</v>
      </c>
      <c r="BO49" s="1">
        <f ca="1"/>
        <v>0.35429296153156098</v>
      </c>
      <c r="BP49" s="1">
        <f ca="1"/>
        <v>0.35429296153156098</v>
      </c>
      <c r="BQ49" s="1">
        <f ca="1"/>
        <v>0.35429296153156098</v>
      </c>
      <c r="BR49" s="1">
        <f ca="1"/>
        <v>0.35429296153156098</v>
      </c>
      <c r="BS49" s="1">
        <f ca="1"/>
        <v>0.35429296153156098</v>
      </c>
      <c r="BT49" s="1">
        <f ca="1"/>
        <v>0.35429296153156098</v>
      </c>
    </row>
    <row r="50" spans="5:72" x14ac:dyDescent="0.2">
      <c r="E50" s="3">
        <v>0.05</v>
      </c>
      <c r="F50" s="1">
        <f ca="1"/>
        <v>0.85030310767574646</v>
      </c>
      <c r="G50" s="3">
        <f ca="1"/>
        <v>4.9999999999999822E-2</v>
      </c>
      <c r="H50" s="3">
        <f ca="1"/>
        <v>4.9896121783964506E-2</v>
      </c>
      <c r="I50">
        <v>39</v>
      </c>
      <c r="J50" s="2">
        <v>3.25</v>
      </c>
      <c r="M50" s="1">
        <f ca="1"/>
        <v>0</v>
      </c>
      <c r="N50" s="1">
        <f ca="1"/>
        <v>0</v>
      </c>
      <c r="O50" s="1">
        <f ca="1"/>
        <v>0</v>
      </c>
      <c r="P50" s="1">
        <f ca="1"/>
        <v>0</v>
      </c>
      <c r="Q50" s="1">
        <f ca="1"/>
        <v>0</v>
      </c>
      <c r="R50" s="1">
        <f ca="1"/>
        <v>0</v>
      </c>
      <c r="S50" s="1">
        <f ca="1"/>
        <v>0</v>
      </c>
      <c r="T50" s="1">
        <f ca="1"/>
        <v>0</v>
      </c>
      <c r="U50" s="1">
        <f ca="1"/>
        <v>0</v>
      </c>
      <c r="V50" s="1">
        <f ca="1"/>
        <v>0</v>
      </c>
      <c r="W50" s="1">
        <f ca="1"/>
        <v>0</v>
      </c>
      <c r="X50" s="1">
        <f ca="1"/>
        <v>0</v>
      </c>
      <c r="Y50" s="1">
        <f ca="1"/>
        <v>0</v>
      </c>
      <c r="Z50" s="1">
        <f ca="1"/>
        <v>0</v>
      </c>
      <c r="AA50" s="1">
        <f ca="1"/>
        <v>0</v>
      </c>
      <c r="AB50" s="1">
        <f ca="1"/>
        <v>0</v>
      </c>
      <c r="AC50" s="1">
        <f ca="1"/>
        <v>0</v>
      </c>
      <c r="AD50" s="1">
        <f ca="1"/>
        <v>0</v>
      </c>
      <c r="AE50" s="1">
        <f ca="1"/>
        <v>0</v>
      </c>
      <c r="AF50" s="1">
        <f ca="1"/>
        <v>0</v>
      </c>
      <c r="AG50" s="1">
        <f ca="1"/>
        <v>0</v>
      </c>
      <c r="AH50" s="1">
        <f ca="1"/>
        <v>0</v>
      </c>
      <c r="AI50" s="1">
        <f ca="1"/>
        <v>0</v>
      </c>
      <c r="AJ50" s="1">
        <f ca="1"/>
        <v>0</v>
      </c>
      <c r="AK50" s="1">
        <f ca="1"/>
        <v>0</v>
      </c>
      <c r="AL50" s="1">
        <f ca="1"/>
        <v>0</v>
      </c>
      <c r="AM50" s="1">
        <f ca="1"/>
        <v>0</v>
      </c>
      <c r="AN50" s="1">
        <f ca="1"/>
        <v>0</v>
      </c>
      <c r="AO50" s="1">
        <f ca="1"/>
        <v>0</v>
      </c>
      <c r="AP50" s="1">
        <f ca="1"/>
        <v>0</v>
      </c>
      <c r="AQ50" s="1">
        <f ca="1"/>
        <v>0</v>
      </c>
      <c r="AR50" s="1">
        <f ca="1"/>
        <v>0</v>
      </c>
      <c r="AS50" s="1">
        <f ca="1"/>
        <v>0</v>
      </c>
      <c r="AT50" s="1">
        <f ca="1"/>
        <v>0</v>
      </c>
      <c r="AU50" s="1">
        <f ca="1"/>
        <v>0</v>
      </c>
      <c r="AV50" s="1">
        <f ca="1"/>
        <v>0</v>
      </c>
      <c r="AW50" s="1">
        <f ca="1"/>
        <v>0</v>
      </c>
      <c r="AX50" s="1">
        <f ca="1"/>
        <v>0</v>
      </c>
      <c r="AY50" s="1">
        <f ca="1"/>
        <v>0</v>
      </c>
      <c r="AZ50" s="1">
        <f ca="1"/>
        <v>0</v>
      </c>
      <c r="BA50" s="1">
        <f ca="1"/>
        <v>0.35282286625549647</v>
      </c>
      <c r="BB50" s="1">
        <f ca="1"/>
        <v>0.35282286625549647</v>
      </c>
      <c r="BC50" s="1">
        <f ca="1"/>
        <v>0.35282286625549647</v>
      </c>
      <c r="BD50" s="1">
        <f ca="1"/>
        <v>0.35282286625549647</v>
      </c>
      <c r="BE50" s="1">
        <f ca="1"/>
        <v>0.35282286625549647</v>
      </c>
      <c r="BF50" s="1">
        <f ca="1"/>
        <v>0.35282286625549647</v>
      </c>
      <c r="BG50" s="1">
        <f ca="1"/>
        <v>0.35282286625549647</v>
      </c>
      <c r="BH50" s="1">
        <f ca="1"/>
        <v>0.35282286625549647</v>
      </c>
      <c r="BI50" s="1">
        <f ca="1"/>
        <v>0.35282286625549647</v>
      </c>
      <c r="BJ50" s="1">
        <f ca="1"/>
        <v>0.35282286625549647</v>
      </c>
      <c r="BK50" s="1">
        <f ca="1"/>
        <v>0.35282286625549647</v>
      </c>
      <c r="BL50" s="1">
        <f ca="1"/>
        <v>0.35282286625549647</v>
      </c>
      <c r="BM50" s="1">
        <f ca="1"/>
        <v>0.35282286625549647</v>
      </c>
      <c r="BN50" s="1">
        <f ca="1"/>
        <v>0.35282286625549647</v>
      </c>
      <c r="BO50" s="1">
        <f ca="1"/>
        <v>0.35282286625549647</v>
      </c>
      <c r="BP50" s="1">
        <f ca="1"/>
        <v>0.35282286625549647</v>
      </c>
      <c r="BQ50" s="1">
        <f ca="1"/>
        <v>0.35282286625549647</v>
      </c>
      <c r="BR50" s="1">
        <f ca="1"/>
        <v>0.35282286625549647</v>
      </c>
      <c r="BS50" s="1">
        <f ca="1"/>
        <v>0.35282286625549647</v>
      </c>
      <c r="BT50" s="1">
        <f ca="1"/>
        <v>0.35282286625549647</v>
      </c>
    </row>
    <row r="51" spans="5:72" x14ac:dyDescent="0.2">
      <c r="E51" s="3">
        <v>0.05</v>
      </c>
      <c r="F51" s="1">
        <f ca="1"/>
        <v>0.84677487901319159</v>
      </c>
      <c r="G51" s="3">
        <f ca="1"/>
        <v>4.9999999999999822E-2</v>
      </c>
      <c r="H51" s="3">
        <f ca="1"/>
        <v>4.9896121783964457E-2</v>
      </c>
      <c r="I51">
        <v>40</v>
      </c>
      <c r="J51" s="2">
        <v>3.3333333333333335</v>
      </c>
      <c r="M51" s="1">
        <f ca="1"/>
        <v>0</v>
      </c>
      <c r="N51" s="1">
        <f ca="1"/>
        <v>0</v>
      </c>
      <c r="O51" s="1">
        <f ca="1"/>
        <v>0</v>
      </c>
      <c r="P51" s="1">
        <f ca="1"/>
        <v>0</v>
      </c>
      <c r="Q51" s="1">
        <f ca="1"/>
        <v>0</v>
      </c>
      <c r="R51" s="1">
        <f ca="1"/>
        <v>0</v>
      </c>
      <c r="S51" s="1">
        <f ca="1"/>
        <v>0</v>
      </c>
      <c r="T51" s="1">
        <f ca="1"/>
        <v>0</v>
      </c>
      <c r="U51" s="1">
        <f ca="1"/>
        <v>0</v>
      </c>
      <c r="V51" s="1">
        <f ca="1"/>
        <v>0</v>
      </c>
      <c r="W51" s="1">
        <f ca="1"/>
        <v>0</v>
      </c>
      <c r="X51" s="1">
        <f ca="1"/>
        <v>0</v>
      </c>
      <c r="Y51" s="1">
        <f ca="1"/>
        <v>0</v>
      </c>
      <c r="Z51" s="1">
        <f ca="1"/>
        <v>0</v>
      </c>
      <c r="AA51" s="1">
        <f ca="1"/>
        <v>0</v>
      </c>
      <c r="AB51" s="1">
        <f ca="1"/>
        <v>0</v>
      </c>
      <c r="AC51" s="1">
        <f ca="1"/>
        <v>0</v>
      </c>
      <c r="AD51" s="1">
        <f ca="1"/>
        <v>0</v>
      </c>
      <c r="AE51" s="1">
        <f ca="1"/>
        <v>0</v>
      </c>
      <c r="AF51" s="1">
        <f ca="1"/>
        <v>0</v>
      </c>
      <c r="AG51" s="1">
        <f ca="1"/>
        <v>0</v>
      </c>
      <c r="AH51" s="1">
        <f ca="1"/>
        <v>0</v>
      </c>
      <c r="AI51" s="1">
        <f ca="1"/>
        <v>0</v>
      </c>
      <c r="AJ51" s="1">
        <f ca="1"/>
        <v>0</v>
      </c>
      <c r="AK51" s="1">
        <f ca="1"/>
        <v>0</v>
      </c>
      <c r="AL51" s="1">
        <f ca="1"/>
        <v>0</v>
      </c>
      <c r="AM51" s="1">
        <f ca="1"/>
        <v>0</v>
      </c>
      <c r="AN51" s="1">
        <f ca="1"/>
        <v>0</v>
      </c>
      <c r="AO51" s="1">
        <f ca="1"/>
        <v>0</v>
      </c>
      <c r="AP51" s="1">
        <f ca="1"/>
        <v>0</v>
      </c>
      <c r="AQ51" s="1">
        <f ca="1"/>
        <v>0</v>
      </c>
      <c r="AR51" s="1">
        <f ca="1"/>
        <v>0</v>
      </c>
      <c r="AS51" s="1">
        <f ca="1"/>
        <v>0</v>
      </c>
      <c r="AT51" s="1">
        <f ca="1"/>
        <v>0</v>
      </c>
      <c r="AU51" s="1">
        <f ca="1"/>
        <v>0</v>
      </c>
      <c r="AV51" s="1">
        <f ca="1"/>
        <v>0</v>
      </c>
      <c r="AW51" s="1">
        <f ca="1"/>
        <v>0</v>
      </c>
      <c r="AX51" s="1">
        <f ca="1"/>
        <v>0</v>
      </c>
      <c r="AY51" s="1">
        <f ca="1"/>
        <v>0</v>
      </c>
      <c r="AZ51" s="1">
        <f ca="1"/>
        <v>0</v>
      </c>
      <c r="BA51" s="1">
        <f ca="1"/>
        <v>0</v>
      </c>
      <c r="BB51" s="1">
        <f ca="1"/>
        <v>0.35135887095983054</v>
      </c>
      <c r="BC51" s="1">
        <f ca="1"/>
        <v>0.35135887095983054</v>
      </c>
      <c r="BD51" s="1">
        <f ca="1"/>
        <v>0.35135887095983054</v>
      </c>
      <c r="BE51" s="1">
        <f ca="1"/>
        <v>0.35135887095983054</v>
      </c>
      <c r="BF51" s="1">
        <f ca="1"/>
        <v>0.35135887095983054</v>
      </c>
      <c r="BG51" s="1">
        <f ca="1"/>
        <v>0.35135887095983054</v>
      </c>
      <c r="BH51" s="1">
        <f ca="1"/>
        <v>0.35135887095983054</v>
      </c>
      <c r="BI51" s="1">
        <f ca="1"/>
        <v>0.35135887095983054</v>
      </c>
      <c r="BJ51" s="1">
        <f ca="1"/>
        <v>0.35135887095983054</v>
      </c>
      <c r="BK51" s="1">
        <f ca="1"/>
        <v>0.35135887095983054</v>
      </c>
      <c r="BL51" s="1">
        <f ca="1"/>
        <v>0.35135887095983054</v>
      </c>
      <c r="BM51" s="1">
        <f ca="1"/>
        <v>0.35135887095983054</v>
      </c>
      <c r="BN51" s="1">
        <f ca="1"/>
        <v>0.35135887095983054</v>
      </c>
      <c r="BO51" s="1">
        <f ca="1"/>
        <v>0.35135887095983054</v>
      </c>
      <c r="BP51" s="1">
        <f ca="1"/>
        <v>0.35135887095983054</v>
      </c>
      <c r="BQ51" s="1">
        <f ca="1"/>
        <v>0.35135887095983054</v>
      </c>
      <c r="BR51" s="1">
        <f ca="1"/>
        <v>0.35135887095983054</v>
      </c>
      <c r="BS51" s="1">
        <f ca="1"/>
        <v>0.35135887095983054</v>
      </c>
      <c r="BT51" s="1">
        <f ca="1"/>
        <v>0.35135887095983054</v>
      </c>
    </row>
    <row r="52" spans="5:72" x14ac:dyDescent="0.2">
      <c r="E52" s="3">
        <v>0.05</v>
      </c>
      <c r="F52" s="1">
        <f ca="1"/>
        <v>0.84326129030359331</v>
      </c>
      <c r="G52" s="3">
        <f ca="1"/>
        <v>4.9999999999999822E-2</v>
      </c>
      <c r="H52" s="3">
        <f ca="1"/>
        <v>4.9896121783964451E-2</v>
      </c>
      <c r="I52">
        <v>41</v>
      </c>
      <c r="J52" s="2">
        <v>3.4166666666666665</v>
      </c>
      <c r="M52" s="1">
        <f ca="1"/>
        <v>0</v>
      </c>
      <c r="N52" s="1">
        <f ca="1"/>
        <v>0</v>
      </c>
      <c r="O52" s="1">
        <f ca="1"/>
        <v>0</v>
      </c>
      <c r="P52" s="1">
        <f ca="1"/>
        <v>0</v>
      </c>
      <c r="Q52" s="1">
        <f ca="1"/>
        <v>0</v>
      </c>
      <c r="R52" s="1">
        <f ca="1"/>
        <v>0</v>
      </c>
      <c r="S52" s="1">
        <f ca="1"/>
        <v>0</v>
      </c>
      <c r="T52" s="1">
        <f ca="1"/>
        <v>0</v>
      </c>
      <c r="U52" s="1">
        <f ca="1"/>
        <v>0</v>
      </c>
      <c r="V52" s="1">
        <f ca="1"/>
        <v>0</v>
      </c>
      <c r="W52" s="1">
        <f ca="1"/>
        <v>0</v>
      </c>
      <c r="X52" s="1">
        <f ca="1"/>
        <v>0</v>
      </c>
      <c r="Y52" s="1">
        <f ca="1"/>
        <v>0</v>
      </c>
      <c r="Z52" s="1">
        <f ca="1"/>
        <v>0</v>
      </c>
      <c r="AA52" s="1">
        <f ca="1"/>
        <v>0</v>
      </c>
      <c r="AB52" s="1">
        <f ca="1"/>
        <v>0</v>
      </c>
      <c r="AC52" s="1">
        <f ca="1"/>
        <v>0</v>
      </c>
      <c r="AD52" s="1">
        <f ca="1"/>
        <v>0</v>
      </c>
      <c r="AE52" s="1">
        <f ca="1"/>
        <v>0</v>
      </c>
      <c r="AF52" s="1">
        <f ca="1"/>
        <v>0</v>
      </c>
      <c r="AG52" s="1">
        <f ca="1"/>
        <v>0</v>
      </c>
      <c r="AH52" s="1">
        <f ca="1"/>
        <v>0</v>
      </c>
      <c r="AI52" s="1">
        <f ca="1"/>
        <v>0</v>
      </c>
      <c r="AJ52" s="1">
        <f ca="1"/>
        <v>0</v>
      </c>
      <c r="AK52" s="1">
        <f ca="1"/>
        <v>0</v>
      </c>
      <c r="AL52" s="1">
        <f ca="1"/>
        <v>0</v>
      </c>
      <c r="AM52" s="1">
        <f ca="1"/>
        <v>0</v>
      </c>
      <c r="AN52" s="1">
        <f ca="1"/>
        <v>0</v>
      </c>
      <c r="AO52" s="1">
        <f ca="1"/>
        <v>0</v>
      </c>
      <c r="AP52" s="1">
        <f ca="1"/>
        <v>0</v>
      </c>
      <c r="AQ52" s="1">
        <f ca="1"/>
        <v>0</v>
      </c>
      <c r="AR52" s="1">
        <f ca="1"/>
        <v>0</v>
      </c>
      <c r="AS52" s="1">
        <f ca="1"/>
        <v>0</v>
      </c>
      <c r="AT52" s="1">
        <f ca="1"/>
        <v>0</v>
      </c>
      <c r="AU52" s="1">
        <f ca="1"/>
        <v>0</v>
      </c>
      <c r="AV52" s="1">
        <f ca="1"/>
        <v>0</v>
      </c>
      <c r="AW52" s="1">
        <f ca="1"/>
        <v>0</v>
      </c>
      <c r="AX52" s="1">
        <f ca="1"/>
        <v>0</v>
      </c>
      <c r="AY52" s="1">
        <f ca="1"/>
        <v>0</v>
      </c>
      <c r="AZ52" s="1">
        <f ca="1"/>
        <v>0</v>
      </c>
      <c r="BA52" s="1">
        <f ca="1"/>
        <v>0</v>
      </c>
      <c r="BB52" s="1">
        <f ca="1"/>
        <v>0</v>
      </c>
      <c r="BC52" s="1">
        <f ca="1"/>
        <v>0.34990095033344104</v>
      </c>
      <c r="BD52" s="1">
        <f ca="1"/>
        <v>0.34990095033344104</v>
      </c>
      <c r="BE52" s="1">
        <f ca="1"/>
        <v>0.34990095033344104</v>
      </c>
      <c r="BF52" s="1">
        <f ca="1"/>
        <v>0.34990095033344104</v>
      </c>
      <c r="BG52" s="1">
        <f ca="1"/>
        <v>0.34990095033344104</v>
      </c>
      <c r="BH52" s="1">
        <f ca="1"/>
        <v>0.34990095033344104</v>
      </c>
      <c r="BI52" s="1">
        <f ca="1"/>
        <v>0.34990095033344104</v>
      </c>
      <c r="BJ52" s="1">
        <f ca="1"/>
        <v>0.34990095033344104</v>
      </c>
      <c r="BK52" s="1">
        <f ca="1"/>
        <v>0.34990095033344104</v>
      </c>
      <c r="BL52" s="1">
        <f ca="1"/>
        <v>0.34990095033344104</v>
      </c>
      <c r="BM52" s="1">
        <f ca="1"/>
        <v>0.34990095033344104</v>
      </c>
      <c r="BN52" s="1">
        <f ca="1"/>
        <v>0.34990095033344104</v>
      </c>
      <c r="BO52" s="1">
        <f ca="1"/>
        <v>0.34990095033344104</v>
      </c>
      <c r="BP52" s="1">
        <f ca="1"/>
        <v>0.34990095033344104</v>
      </c>
      <c r="BQ52" s="1">
        <f ca="1"/>
        <v>0.34990095033344104</v>
      </c>
      <c r="BR52" s="1">
        <f ca="1"/>
        <v>0.34990095033344104</v>
      </c>
      <c r="BS52" s="1">
        <f ca="1"/>
        <v>0.34990095033344104</v>
      </c>
      <c r="BT52" s="1">
        <f ca="1"/>
        <v>0.34990095033344104</v>
      </c>
    </row>
    <row r="53" spans="5:72" x14ac:dyDescent="0.2">
      <c r="E53" s="3">
        <v>0.05</v>
      </c>
      <c r="F53" s="1">
        <f ca="1"/>
        <v>0.83976228080025861</v>
      </c>
      <c r="G53" s="3">
        <f ca="1"/>
        <v>4.9999999999999822E-2</v>
      </c>
      <c r="H53" s="3">
        <f ca="1"/>
        <v>4.9896121783964541E-2</v>
      </c>
      <c r="I53">
        <v>42</v>
      </c>
      <c r="J53" s="2">
        <v>3.5</v>
      </c>
      <c r="M53" s="1">
        <f ca="1"/>
        <v>0</v>
      </c>
      <c r="N53" s="1">
        <f ca="1"/>
        <v>0</v>
      </c>
      <c r="O53" s="1">
        <f ca="1"/>
        <v>0</v>
      </c>
      <c r="P53" s="1">
        <f ca="1"/>
        <v>0</v>
      </c>
      <c r="Q53" s="1">
        <f ca="1"/>
        <v>0</v>
      </c>
      <c r="R53" s="1">
        <f ca="1"/>
        <v>0</v>
      </c>
      <c r="S53" s="1">
        <f ca="1"/>
        <v>0</v>
      </c>
      <c r="T53" s="1">
        <f ca="1"/>
        <v>0</v>
      </c>
      <c r="U53" s="1">
        <f ca="1"/>
        <v>0</v>
      </c>
      <c r="V53" s="1">
        <f ca="1"/>
        <v>0</v>
      </c>
      <c r="W53" s="1">
        <f ca="1"/>
        <v>0</v>
      </c>
      <c r="X53" s="1">
        <f ca="1"/>
        <v>0</v>
      </c>
      <c r="Y53" s="1">
        <f ca="1"/>
        <v>0</v>
      </c>
      <c r="Z53" s="1">
        <f ca="1"/>
        <v>0</v>
      </c>
      <c r="AA53" s="1">
        <f ca="1"/>
        <v>0</v>
      </c>
      <c r="AB53" s="1">
        <f ca="1"/>
        <v>0</v>
      </c>
      <c r="AC53" s="1">
        <f ca="1"/>
        <v>0</v>
      </c>
      <c r="AD53" s="1">
        <f ca="1"/>
        <v>0</v>
      </c>
      <c r="AE53" s="1">
        <f ca="1"/>
        <v>0</v>
      </c>
      <c r="AF53" s="1">
        <f ca="1"/>
        <v>0</v>
      </c>
      <c r="AG53" s="1">
        <f ca="1"/>
        <v>0</v>
      </c>
      <c r="AH53" s="1">
        <f ca="1"/>
        <v>0</v>
      </c>
      <c r="AI53" s="1">
        <f ca="1"/>
        <v>0</v>
      </c>
      <c r="AJ53" s="1">
        <f ca="1"/>
        <v>0</v>
      </c>
      <c r="AK53" s="1">
        <f ca="1"/>
        <v>0</v>
      </c>
      <c r="AL53" s="1">
        <f ca="1"/>
        <v>0</v>
      </c>
      <c r="AM53" s="1">
        <f ca="1"/>
        <v>0</v>
      </c>
      <c r="AN53" s="1">
        <f ca="1"/>
        <v>0</v>
      </c>
      <c r="AO53" s="1">
        <f ca="1"/>
        <v>0</v>
      </c>
      <c r="AP53" s="1">
        <f ca="1"/>
        <v>0</v>
      </c>
      <c r="AQ53" s="1">
        <f ca="1"/>
        <v>0</v>
      </c>
      <c r="AR53" s="1">
        <f ca="1"/>
        <v>0</v>
      </c>
      <c r="AS53" s="1">
        <f ca="1"/>
        <v>0</v>
      </c>
      <c r="AT53" s="1">
        <f ca="1"/>
        <v>0</v>
      </c>
      <c r="AU53" s="1">
        <f ca="1"/>
        <v>0</v>
      </c>
      <c r="AV53" s="1">
        <f ca="1"/>
        <v>0</v>
      </c>
      <c r="AW53" s="1">
        <f ca="1"/>
        <v>0</v>
      </c>
      <c r="AX53" s="1">
        <f ca="1"/>
        <v>0</v>
      </c>
      <c r="AY53" s="1">
        <f ca="1"/>
        <v>0</v>
      </c>
      <c r="AZ53" s="1">
        <f ca="1"/>
        <v>0</v>
      </c>
      <c r="BA53" s="1">
        <f ca="1"/>
        <v>0</v>
      </c>
      <c r="BB53" s="1">
        <f ca="1"/>
        <v>0</v>
      </c>
      <c r="BC53" s="1">
        <f ca="1"/>
        <v>0</v>
      </c>
      <c r="BD53" s="1">
        <f ca="1"/>
        <v>0.34844907917023182</v>
      </c>
      <c r="BE53" s="1">
        <f ca="1"/>
        <v>0.34844907917023182</v>
      </c>
      <c r="BF53" s="1">
        <f ca="1"/>
        <v>0.34844907917023182</v>
      </c>
      <c r="BG53" s="1">
        <f ca="1"/>
        <v>0.34844907917023182</v>
      </c>
      <c r="BH53" s="1">
        <f ca="1"/>
        <v>0.34844907917023182</v>
      </c>
      <c r="BI53" s="1">
        <f ca="1"/>
        <v>0.34844907917023182</v>
      </c>
      <c r="BJ53" s="1">
        <f ca="1"/>
        <v>0.34844907917023182</v>
      </c>
      <c r="BK53" s="1">
        <f ca="1"/>
        <v>0.34844907917023182</v>
      </c>
      <c r="BL53" s="1">
        <f ca="1"/>
        <v>0.34844907917023182</v>
      </c>
      <c r="BM53" s="1">
        <f ca="1"/>
        <v>0.34844907917023182</v>
      </c>
      <c r="BN53" s="1">
        <f ca="1"/>
        <v>0.34844907917023182</v>
      </c>
      <c r="BO53" s="1">
        <f ca="1"/>
        <v>0.34844907917023182</v>
      </c>
      <c r="BP53" s="1">
        <f ca="1"/>
        <v>0.34844907917023182</v>
      </c>
      <c r="BQ53" s="1">
        <f ca="1"/>
        <v>0.34844907917023182</v>
      </c>
      <c r="BR53" s="1">
        <f ca="1"/>
        <v>0.34844907917023182</v>
      </c>
      <c r="BS53" s="1">
        <f ca="1"/>
        <v>0.34844907917023182</v>
      </c>
      <c r="BT53" s="1">
        <f ca="1"/>
        <v>0.34844907917023182</v>
      </c>
    </row>
    <row r="54" spans="5:72" x14ac:dyDescent="0.2">
      <c r="E54" s="3">
        <v>0.05</v>
      </c>
      <c r="F54" s="1">
        <f ca="1"/>
        <v>0.83627779000855651</v>
      </c>
      <c r="G54" s="3">
        <f ca="1"/>
        <v>4.9999999999999822E-2</v>
      </c>
      <c r="H54" s="3">
        <f ca="1"/>
        <v>4.9896121783964464E-2</v>
      </c>
      <c r="I54">
        <v>43</v>
      </c>
      <c r="J54" s="2">
        <v>3.5833333333333335</v>
      </c>
      <c r="M54" s="1">
        <f ca="1"/>
        <v>0</v>
      </c>
      <c r="N54" s="1">
        <f ca="1"/>
        <v>0</v>
      </c>
      <c r="O54" s="1">
        <f ca="1"/>
        <v>0</v>
      </c>
      <c r="P54" s="1">
        <f ca="1"/>
        <v>0</v>
      </c>
      <c r="Q54" s="1">
        <f ca="1"/>
        <v>0</v>
      </c>
      <c r="R54" s="1">
        <f ca="1"/>
        <v>0</v>
      </c>
      <c r="S54" s="1">
        <f ca="1"/>
        <v>0</v>
      </c>
      <c r="T54" s="1">
        <f ca="1"/>
        <v>0</v>
      </c>
      <c r="U54" s="1">
        <f ca="1"/>
        <v>0</v>
      </c>
      <c r="V54" s="1">
        <f ca="1"/>
        <v>0</v>
      </c>
      <c r="W54" s="1">
        <f ca="1"/>
        <v>0</v>
      </c>
      <c r="X54" s="1">
        <f ca="1"/>
        <v>0</v>
      </c>
      <c r="Y54" s="1">
        <f ca="1"/>
        <v>0</v>
      </c>
      <c r="Z54" s="1">
        <f ca="1"/>
        <v>0</v>
      </c>
      <c r="AA54" s="1">
        <f ca="1"/>
        <v>0</v>
      </c>
      <c r="AB54" s="1">
        <f ca="1"/>
        <v>0</v>
      </c>
      <c r="AC54" s="1">
        <f ca="1"/>
        <v>0</v>
      </c>
      <c r="AD54" s="1">
        <f ca="1"/>
        <v>0</v>
      </c>
      <c r="AE54" s="1">
        <f ca="1"/>
        <v>0</v>
      </c>
      <c r="AF54" s="1">
        <f ca="1"/>
        <v>0</v>
      </c>
      <c r="AG54" s="1">
        <f ca="1"/>
        <v>0</v>
      </c>
      <c r="AH54" s="1">
        <f ca="1"/>
        <v>0</v>
      </c>
      <c r="AI54" s="1">
        <f ca="1"/>
        <v>0</v>
      </c>
      <c r="AJ54" s="1">
        <f ca="1"/>
        <v>0</v>
      </c>
      <c r="AK54" s="1">
        <f ca="1"/>
        <v>0</v>
      </c>
      <c r="AL54" s="1">
        <f ca="1"/>
        <v>0</v>
      </c>
      <c r="AM54" s="1">
        <f ca="1"/>
        <v>0</v>
      </c>
      <c r="AN54" s="1">
        <f ca="1"/>
        <v>0</v>
      </c>
      <c r="AO54" s="1">
        <f ca="1"/>
        <v>0</v>
      </c>
      <c r="AP54" s="1">
        <f ca="1"/>
        <v>0</v>
      </c>
      <c r="AQ54" s="1">
        <f ca="1"/>
        <v>0</v>
      </c>
      <c r="AR54" s="1">
        <f ca="1"/>
        <v>0</v>
      </c>
      <c r="AS54" s="1">
        <f ca="1"/>
        <v>0</v>
      </c>
      <c r="AT54" s="1">
        <f ca="1"/>
        <v>0</v>
      </c>
      <c r="AU54" s="1">
        <f ca="1"/>
        <v>0</v>
      </c>
      <c r="AV54" s="1">
        <f ca="1"/>
        <v>0</v>
      </c>
      <c r="AW54" s="1">
        <f ca="1"/>
        <v>0</v>
      </c>
      <c r="AX54" s="1">
        <f ca="1"/>
        <v>0</v>
      </c>
      <c r="AY54" s="1">
        <f ca="1"/>
        <v>0</v>
      </c>
      <c r="AZ54" s="1">
        <f ca="1"/>
        <v>0</v>
      </c>
      <c r="BA54" s="1">
        <f ca="1"/>
        <v>0</v>
      </c>
      <c r="BB54" s="1">
        <f ca="1"/>
        <v>0</v>
      </c>
      <c r="BC54" s="1">
        <f ca="1"/>
        <v>0</v>
      </c>
      <c r="BD54" s="1">
        <f ca="1"/>
        <v>0</v>
      </c>
      <c r="BE54" s="1">
        <f ca="1"/>
        <v>0.34700323236869557</v>
      </c>
      <c r="BF54" s="1">
        <f ca="1"/>
        <v>0.34700323236869557</v>
      </c>
      <c r="BG54" s="1">
        <f ca="1"/>
        <v>0.34700323236869557</v>
      </c>
      <c r="BH54" s="1">
        <f ca="1"/>
        <v>0.34700323236869557</v>
      </c>
      <c r="BI54" s="1">
        <f ca="1"/>
        <v>0.34700323236869557</v>
      </c>
      <c r="BJ54" s="1">
        <f ca="1"/>
        <v>0.34700323236869557</v>
      </c>
      <c r="BK54" s="1">
        <f ca="1"/>
        <v>0.34700323236869557</v>
      </c>
      <c r="BL54" s="1">
        <f ca="1"/>
        <v>0.34700323236869557</v>
      </c>
      <c r="BM54" s="1">
        <f ca="1"/>
        <v>0.34700323236869557</v>
      </c>
      <c r="BN54" s="1">
        <f ca="1"/>
        <v>0.34700323236869557</v>
      </c>
      <c r="BO54" s="1">
        <f ca="1"/>
        <v>0.34700323236869557</v>
      </c>
      <c r="BP54" s="1">
        <f ca="1"/>
        <v>0.34700323236869557</v>
      </c>
      <c r="BQ54" s="1">
        <f ca="1"/>
        <v>0.34700323236869557</v>
      </c>
      <c r="BR54" s="1">
        <f ca="1"/>
        <v>0.34700323236869557</v>
      </c>
      <c r="BS54" s="1">
        <f ca="1"/>
        <v>0.34700323236869557</v>
      </c>
      <c r="BT54" s="1">
        <f ca="1"/>
        <v>0.34700323236869557</v>
      </c>
    </row>
    <row r="55" spans="5:72" x14ac:dyDescent="0.2">
      <c r="E55" s="3">
        <v>0.05</v>
      </c>
      <c r="F55" s="1">
        <f ca="1"/>
        <v>0.83280775768486948</v>
      </c>
      <c r="G55" s="3">
        <f ca="1"/>
        <v>4.9999999999999822E-2</v>
      </c>
      <c r="H55" s="3">
        <f ca="1"/>
        <v>4.9896121783964492E-2</v>
      </c>
      <c r="I55">
        <v>44</v>
      </c>
      <c r="J55" s="2">
        <v>3.6666666666666665</v>
      </c>
      <c r="M55" s="1">
        <f ca="1"/>
        <v>0</v>
      </c>
      <c r="N55" s="1">
        <f ca="1"/>
        <v>0</v>
      </c>
      <c r="O55" s="1">
        <f ca="1"/>
        <v>0</v>
      </c>
      <c r="P55" s="1">
        <f ca="1"/>
        <v>0</v>
      </c>
      <c r="Q55" s="1">
        <f ca="1"/>
        <v>0</v>
      </c>
      <c r="R55" s="1">
        <f ca="1"/>
        <v>0</v>
      </c>
      <c r="S55" s="1">
        <f ca="1"/>
        <v>0</v>
      </c>
      <c r="T55" s="1">
        <f ca="1"/>
        <v>0</v>
      </c>
      <c r="U55" s="1">
        <f ca="1"/>
        <v>0</v>
      </c>
      <c r="V55" s="1">
        <f ca="1"/>
        <v>0</v>
      </c>
      <c r="W55" s="1">
        <f ca="1"/>
        <v>0</v>
      </c>
      <c r="X55" s="1">
        <f ca="1"/>
        <v>0</v>
      </c>
      <c r="Y55" s="1">
        <f ca="1"/>
        <v>0</v>
      </c>
      <c r="Z55" s="1">
        <f ca="1"/>
        <v>0</v>
      </c>
      <c r="AA55" s="1">
        <f ca="1"/>
        <v>0</v>
      </c>
      <c r="AB55" s="1">
        <f ca="1"/>
        <v>0</v>
      </c>
      <c r="AC55" s="1">
        <f ca="1"/>
        <v>0</v>
      </c>
      <c r="AD55" s="1">
        <f ca="1"/>
        <v>0</v>
      </c>
      <c r="AE55" s="1">
        <f ca="1"/>
        <v>0</v>
      </c>
      <c r="AF55" s="1">
        <f ca="1"/>
        <v>0</v>
      </c>
      <c r="AG55" s="1">
        <f ca="1"/>
        <v>0</v>
      </c>
      <c r="AH55" s="1">
        <f ca="1"/>
        <v>0</v>
      </c>
      <c r="AI55" s="1">
        <f ca="1"/>
        <v>0</v>
      </c>
      <c r="AJ55" s="1">
        <f ca="1"/>
        <v>0</v>
      </c>
      <c r="AK55" s="1">
        <f ca="1"/>
        <v>0</v>
      </c>
      <c r="AL55" s="1">
        <f ca="1"/>
        <v>0</v>
      </c>
      <c r="AM55" s="1">
        <f ca="1"/>
        <v>0</v>
      </c>
      <c r="AN55" s="1">
        <f ca="1"/>
        <v>0</v>
      </c>
      <c r="AO55" s="1">
        <f ca="1"/>
        <v>0</v>
      </c>
      <c r="AP55" s="1">
        <f ca="1"/>
        <v>0</v>
      </c>
      <c r="AQ55" s="1">
        <f ca="1"/>
        <v>0</v>
      </c>
      <c r="AR55" s="1">
        <f ca="1"/>
        <v>0</v>
      </c>
      <c r="AS55" s="1">
        <f ca="1"/>
        <v>0</v>
      </c>
      <c r="AT55" s="1">
        <f ca="1"/>
        <v>0</v>
      </c>
      <c r="AU55" s="1">
        <f ca="1"/>
        <v>0</v>
      </c>
      <c r="AV55" s="1">
        <f ca="1"/>
        <v>0</v>
      </c>
      <c r="AW55" s="1">
        <f ca="1"/>
        <v>0</v>
      </c>
      <c r="AX55" s="1">
        <f ca="1"/>
        <v>0</v>
      </c>
      <c r="AY55" s="1">
        <f ca="1"/>
        <v>0</v>
      </c>
      <c r="AZ55" s="1">
        <f ca="1"/>
        <v>0</v>
      </c>
      <c r="BA55" s="1">
        <f ca="1"/>
        <v>0</v>
      </c>
      <c r="BB55" s="1">
        <f ca="1"/>
        <v>0</v>
      </c>
      <c r="BC55" s="1">
        <f ca="1"/>
        <v>0</v>
      </c>
      <c r="BD55" s="1">
        <f ca="1"/>
        <v>0</v>
      </c>
      <c r="BE55" s="1">
        <f ca="1"/>
        <v>0</v>
      </c>
      <c r="BF55" s="1">
        <f ca="1"/>
        <v>0.34556338493148114</v>
      </c>
      <c r="BG55" s="1">
        <f ca="1"/>
        <v>0.34556338493148114</v>
      </c>
      <c r="BH55" s="1">
        <f ca="1"/>
        <v>0.34556338493148114</v>
      </c>
      <c r="BI55" s="1">
        <f ca="1"/>
        <v>0.34556338493148114</v>
      </c>
      <c r="BJ55" s="1">
        <f ca="1"/>
        <v>0.34556338493148114</v>
      </c>
      <c r="BK55" s="1">
        <f ca="1"/>
        <v>0.34556338493148114</v>
      </c>
      <c r="BL55" s="1">
        <f ca="1"/>
        <v>0.34556338493148114</v>
      </c>
      <c r="BM55" s="1">
        <f ca="1"/>
        <v>0.34556338493148114</v>
      </c>
      <c r="BN55" s="1">
        <f ca="1"/>
        <v>0.34556338493148114</v>
      </c>
      <c r="BO55" s="1">
        <f ca="1"/>
        <v>0.34556338493148114</v>
      </c>
      <c r="BP55" s="1">
        <f ca="1"/>
        <v>0.34556338493148114</v>
      </c>
      <c r="BQ55" s="1">
        <f ca="1"/>
        <v>0.34556338493148114</v>
      </c>
      <c r="BR55" s="1">
        <f ca="1"/>
        <v>0.34556338493148114</v>
      </c>
      <c r="BS55" s="1">
        <f ca="1"/>
        <v>0.34556338493148114</v>
      </c>
      <c r="BT55" s="1">
        <f ca="1"/>
        <v>0.34556338493148114</v>
      </c>
    </row>
    <row r="56" spans="5:72" x14ac:dyDescent="0.2">
      <c r="E56" s="3">
        <v>0.05</v>
      </c>
      <c r="F56" s="1">
        <f ca="1"/>
        <v>0.82935212383555479</v>
      </c>
      <c r="G56" s="3">
        <f ca="1"/>
        <v>4.9999999999999822E-2</v>
      </c>
      <c r="H56" s="3">
        <f ca="1"/>
        <v>4.9896121783964444E-2</v>
      </c>
      <c r="I56">
        <v>45</v>
      </c>
      <c r="J56" s="2">
        <v>3.75</v>
      </c>
      <c r="M56" s="1">
        <f ca="1"/>
        <v>0</v>
      </c>
      <c r="N56" s="1">
        <f ca="1"/>
        <v>0</v>
      </c>
      <c r="O56" s="1">
        <f ca="1"/>
        <v>0</v>
      </c>
      <c r="P56" s="1">
        <f ca="1"/>
        <v>0</v>
      </c>
      <c r="Q56" s="1">
        <f ca="1"/>
        <v>0</v>
      </c>
      <c r="R56" s="1">
        <f ca="1"/>
        <v>0</v>
      </c>
      <c r="S56" s="1">
        <f ca="1"/>
        <v>0</v>
      </c>
      <c r="T56" s="1">
        <f ca="1"/>
        <v>0</v>
      </c>
      <c r="U56" s="1">
        <f ca="1"/>
        <v>0</v>
      </c>
      <c r="V56" s="1">
        <f ca="1"/>
        <v>0</v>
      </c>
      <c r="W56" s="1">
        <f ca="1"/>
        <v>0</v>
      </c>
      <c r="X56" s="1">
        <f ca="1"/>
        <v>0</v>
      </c>
      <c r="Y56" s="1">
        <f ca="1"/>
        <v>0</v>
      </c>
      <c r="Z56" s="1">
        <f ca="1"/>
        <v>0</v>
      </c>
      <c r="AA56" s="1">
        <f ca="1"/>
        <v>0</v>
      </c>
      <c r="AB56" s="1">
        <f ca="1"/>
        <v>0</v>
      </c>
      <c r="AC56" s="1">
        <f ca="1"/>
        <v>0</v>
      </c>
      <c r="AD56" s="1">
        <f ca="1"/>
        <v>0</v>
      </c>
      <c r="AE56" s="1">
        <f ca="1"/>
        <v>0</v>
      </c>
      <c r="AF56" s="1">
        <f ca="1"/>
        <v>0</v>
      </c>
      <c r="AG56" s="1">
        <f ca="1"/>
        <v>0</v>
      </c>
      <c r="AH56" s="1">
        <f ca="1"/>
        <v>0</v>
      </c>
      <c r="AI56" s="1">
        <f ca="1"/>
        <v>0</v>
      </c>
      <c r="AJ56" s="1">
        <f ca="1"/>
        <v>0</v>
      </c>
      <c r="AK56" s="1">
        <f ca="1"/>
        <v>0</v>
      </c>
      <c r="AL56" s="1">
        <f ca="1"/>
        <v>0</v>
      </c>
      <c r="AM56" s="1">
        <f ca="1"/>
        <v>0</v>
      </c>
      <c r="AN56" s="1">
        <f ca="1"/>
        <v>0</v>
      </c>
      <c r="AO56" s="1">
        <f ca="1"/>
        <v>0</v>
      </c>
      <c r="AP56" s="1">
        <f ca="1"/>
        <v>0</v>
      </c>
      <c r="AQ56" s="1">
        <f ca="1"/>
        <v>0</v>
      </c>
      <c r="AR56" s="1">
        <f ca="1"/>
        <v>0</v>
      </c>
      <c r="AS56" s="1">
        <f ca="1"/>
        <v>0</v>
      </c>
      <c r="AT56" s="1">
        <f ca="1"/>
        <v>0</v>
      </c>
      <c r="AU56" s="1">
        <f ca="1"/>
        <v>0</v>
      </c>
      <c r="AV56" s="1">
        <f ca="1"/>
        <v>0</v>
      </c>
      <c r="AW56" s="1">
        <f ca="1"/>
        <v>0</v>
      </c>
      <c r="AX56" s="1">
        <f ca="1"/>
        <v>0</v>
      </c>
      <c r="AY56" s="1">
        <f ca="1"/>
        <v>0</v>
      </c>
      <c r="AZ56" s="1">
        <f ca="1"/>
        <v>0</v>
      </c>
      <c r="BA56" s="1">
        <f ca="1"/>
        <v>0</v>
      </c>
      <c r="BB56" s="1">
        <f ca="1"/>
        <v>0</v>
      </c>
      <c r="BC56" s="1">
        <f ca="1"/>
        <v>0</v>
      </c>
      <c r="BD56" s="1">
        <f ca="1"/>
        <v>0</v>
      </c>
      <c r="BE56" s="1">
        <f ca="1"/>
        <v>0</v>
      </c>
      <c r="BF56" s="1">
        <f ca="1"/>
        <v>0</v>
      </c>
      <c r="BG56" s="1">
        <f ca="1"/>
        <v>0.34412951196496044</v>
      </c>
      <c r="BH56" s="1">
        <f ca="1"/>
        <v>0.34412951196496044</v>
      </c>
      <c r="BI56" s="1">
        <f ca="1"/>
        <v>0.34412951196496044</v>
      </c>
      <c r="BJ56" s="1">
        <f ca="1"/>
        <v>0.34412951196496044</v>
      </c>
      <c r="BK56" s="1">
        <f ca="1"/>
        <v>0.34412951196496044</v>
      </c>
      <c r="BL56" s="1">
        <f ca="1"/>
        <v>0.34412951196496044</v>
      </c>
      <c r="BM56" s="1">
        <f ca="1"/>
        <v>0.34412951196496044</v>
      </c>
      <c r="BN56" s="1">
        <f ca="1"/>
        <v>0.34412951196496044</v>
      </c>
      <c r="BO56" s="1">
        <f ca="1"/>
        <v>0.34412951196496044</v>
      </c>
      <c r="BP56" s="1">
        <f ca="1"/>
        <v>0.34412951196496044</v>
      </c>
      <c r="BQ56" s="1">
        <f ca="1"/>
        <v>0.34412951196496044</v>
      </c>
      <c r="BR56" s="1">
        <f ca="1"/>
        <v>0.34412951196496044</v>
      </c>
      <c r="BS56" s="1">
        <f ca="1"/>
        <v>0.34412951196496044</v>
      </c>
      <c r="BT56" s="1">
        <f ca="1"/>
        <v>0.34412951196496044</v>
      </c>
    </row>
    <row r="57" spans="5:72" x14ac:dyDescent="0.2">
      <c r="E57" s="3">
        <v>0.05</v>
      </c>
      <c r="F57" s="1">
        <f ca="1"/>
        <v>0.82591082871590515</v>
      </c>
      <c r="G57" s="3">
        <f ca="1"/>
        <v>4.9999999999999822E-2</v>
      </c>
      <c r="H57" s="3">
        <f ca="1"/>
        <v>4.9896121783964451E-2</v>
      </c>
      <c r="I57">
        <v>46</v>
      </c>
      <c r="J57" s="2">
        <v>3.8333333333333335</v>
      </c>
      <c r="M57" s="1">
        <f ca="1"/>
        <v>0</v>
      </c>
      <c r="N57" s="1">
        <f ca="1"/>
        <v>0</v>
      </c>
      <c r="O57" s="1">
        <f ca="1"/>
        <v>0</v>
      </c>
      <c r="P57" s="1">
        <f ca="1"/>
        <v>0</v>
      </c>
      <c r="Q57" s="1">
        <f ca="1"/>
        <v>0</v>
      </c>
      <c r="R57" s="1">
        <f ca="1"/>
        <v>0</v>
      </c>
      <c r="S57" s="1">
        <f ca="1"/>
        <v>0</v>
      </c>
      <c r="T57" s="1">
        <f ca="1"/>
        <v>0</v>
      </c>
      <c r="U57" s="1">
        <f ca="1"/>
        <v>0</v>
      </c>
      <c r="V57" s="1">
        <f ca="1"/>
        <v>0</v>
      </c>
      <c r="W57" s="1">
        <f ca="1"/>
        <v>0</v>
      </c>
      <c r="X57" s="1">
        <f ca="1"/>
        <v>0</v>
      </c>
      <c r="Y57" s="1">
        <f ca="1"/>
        <v>0</v>
      </c>
      <c r="Z57" s="1">
        <f ca="1"/>
        <v>0</v>
      </c>
      <c r="AA57" s="1">
        <f ca="1"/>
        <v>0</v>
      </c>
      <c r="AB57" s="1">
        <f ca="1"/>
        <v>0</v>
      </c>
      <c r="AC57" s="1">
        <f ca="1"/>
        <v>0</v>
      </c>
      <c r="AD57" s="1">
        <f ca="1"/>
        <v>0</v>
      </c>
      <c r="AE57" s="1">
        <f ca="1"/>
        <v>0</v>
      </c>
      <c r="AF57" s="1">
        <f ca="1"/>
        <v>0</v>
      </c>
      <c r="AG57" s="1">
        <f ca="1"/>
        <v>0</v>
      </c>
      <c r="AH57" s="1">
        <f ca="1"/>
        <v>0</v>
      </c>
      <c r="AI57" s="1">
        <f ca="1"/>
        <v>0</v>
      </c>
      <c r="AJ57" s="1">
        <f ca="1"/>
        <v>0</v>
      </c>
      <c r="AK57" s="1">
        <f ca="1"/>
        <v>0</v>
      </c>
      <c r="AL57" s="1">
        <f ca="1"/>
        <v>0</v>
      </c>
      <c r="AM57" s="1">
        <f ca="1"/>
        <v>0</v>
      </c>
      <c r="AN57" s="1">
        <f ca="1"/>
        <v>0</v>
      </c>
      <c r="AO57" s="1">
        <f ca="1"/>
        <v>0</v>
      </c>
      <c r="AP57" s="1">
        <f ca="1"/>
        <v>0</v>
      </c>
      <c r="AQ57" s="1">
        <f ca="1"/>
        <v>0</v>
      </c>
      <c r="AR57" s="1">
        <f ca="1"/>
        <v>0</v>
      </c>
      <c r="AS57" s="1">
        <f ca="1"/>
        <v>0</v>
      </c>
      <c r="AT57" s="1">
        <f ca="1"/>
        <v>0</v>
      </c>
      <c r="AU57" s="1">
        <f ca="1"/>
        <v>0</v>
      </c>
      <c r="AV57" s="1">
        <f ca="1"/>
        <v>0</v>
      </c>
      <c r="AW57" s="1">
        <f ca="1"/>
        <v>0</v>
      </c>
      <c r="AX57" s="1">
        <f ca="1"/>
        <v>0</v>
      </c>
      <c r="AY57" s="1">
        <f ca="1"/>
        <v>0</v>
      </c>
      <c r="AZ57" s="1">
        <f ca="1"/>
        <v>0</v>
      </c>
      <c r="BA57" s="1">
        <f ca="1"/>
        <v>0</v>
      </c>
      <c r="BB57" s="1">
        <f ca="1"/>
        <v>0</v>
      </c>
      <c r="BC57" s="1">
        <f ca="1"/>
        <v>0</v>
      </c>
      <c r="BD57" s="1">
        <f ca="1"/>
        <v>0</v>
      </c>
      <c r="BE57" s="1">
        <f ca="1"/>
        <v>0</v>
      </c>
      <c r="BF57" s="1">
        <f ca="1"/>
        <v>0</v>
      </c>
      <c r="BG57" s="1">
        <f ca="1"/>
        <v>0</v>
      </c>
      <c r="BH57" s="1">
        <f ca="1"/>
        <v>0.34270158867879869</v>
      </c>
      <c r="BI57" s="1">
        <f ca="1"/>
        <v>0.34270158867879869</v>
      </c>
      <c r="BJ57" s="1">
        <f ca="1"/>
        <v>0.34270158867879869</v>
      </c>
      <c r="BK57" s="1">
        <f ca="1"/>
        <v>0.34270158867879869</v>
      </c>
      <c r="BL57" s="1">
        <f ca="1"/>
        <v>0.34270158867879869</v>
      </c>
      <c r="BM57" s="1">
        <f ca="1"/>
        <v>0.34270158867879869</v>
      </c>
      <c r="BN57" s="1">
        <f ca="1"/>
        <v>0.34270158867879869</v>
      </c>
      <c r="BO57" s="1">
        <f ca="1"/>
        <v>0.34270158867879869</v>
      </c>
      <c r="BP57" s="1">
        <f ca="1"/>
        <v>0.34270158867879869</v>
      </c>
      <c r="BQ57" s="1">
        <f ca="1"/>
        <v>0.34270158867879869</v>
      </c>
      <c r="BR57" s="1">
        <f ca="1"/>
        <v>0.34270158867879869</v>
      </c>
      <c r="BS57" s="1">
        <f ca="1"/>
        <v>0.34270158867879869</v>
      </c>
      <c r="BT57" s="1">
        <f ca="1"/>
        <v>0.34270158867879869</v>
      </c>
    </row>
    <row r="58" spans="5:72" x14ac:dyDescent="0.2">
      <c r="E58" s="3">
        <v>0.05</v>
      </c>
      <c r="F58" s="1">
        <f ca="1"/>
        <v>0.82248381282911687</v>
      </c>
      <c r="G58" s="3">
        <f ca="1"/>
        <v>4.9999999999999822E-2</v>
      </c>
      <c r="H58" s="3">
        <f ca="1"/>
        <v>4.9896121783964541E-2</v>
      </c>
      <c r="I58">
        <v>47</v>
      </c>
      <c r="J58" s="2">
        <v>3.9166666666666665</v>
      </c>
      <c r="M58" s="1">
        <f ca="1"/>
        <v>0</v>
      </c>
      <c r="N58" s="1">
        <f ca="1"/>
        <v>0</v>
      </c>
      <c r="O58" s="1">
        <f ca="1"/>
        <v>0</v>
      </c>
      <c r="P58" s="1">
        <f ca="1"/>
        <v>0</v>
      </c>
      <c r="Q58" s="1">
        <f ca="1"/>
        <v>0</v>
      </c>
      <c r="R58" s="1">
        <f ca="1"/>
        <v>0</v>
      </c>
      <c r="S58" s="1">
        <f ca="1"/>
        <v>0</v>
      </c>
      <c r="T58" s="1">
        <f ca="1"/>
        <v>0</v>
      </c>
      <c r="U58" s="1">
        <f ca="1"/>
        <v>0</v>
      </c>
      <c r="V58" s="1">
        <f ca="1"/>
        <v>0</v>
      </c>
      <c r="W58" s="1">
        <f ca="1"/>
        <v>0</v>
      </c>
      <c r="X58" s="1">
        <f ca="1"/>
        <v>0</v>
      </c>
      <c r="Y58" s="1">
        <f ca="1"/>
        <v>0</v>
      </c>
      <c r="Z58" s="1">
        <f ca="1"/>
        <v>0</v>
      </c>
      <c r="AA58" s="1">
        <f ca="1"/>
        <v>0</v>
      </c>
      <c r="AB58" s="1">
        <f ca="1"/>
        <v>0</v>
      </c>
      <c r="AC58" s="1">
        <f ca="1"/>
        <v>0</v>
      </c>
      <c r="AD58" s="1">
        <f ca="1"/>
        <v>0</v>
      </c>
      <c r="AE58" s="1">
        <f ca="1"/>
        <v>0</v>
      </c>
      <c r="AF58" s="1">
        <f ca="1"/>
        <v>0</v>
      </c>
      <c r="AG58" s="1">
        <f ca="1"/>
        <v>0</v>
      </c>
      <c r="AH58" s="1">
        <f ca="1"/>
        <v>0</v>
      </c>
      <c r="AI58" s="1">
        <f ca="1"/>
        <v>0</v>
      </c>
      <c r="AJ58" s="1">
        <f ca="1"/>
        <v>0</v>
      </c>
      <c r="AK58" s="1">
        <f ca="1"/>
        <v>0</v>
      </c>
      <c r="AL58" s="1">
        <f ca="1"/>
        <v>0</v>
      </c>
      <c r="AM58" s="1">
        <f ca="1"/>
        <v>0</v>
      </c>
      <c r="AN58" s="1">
        <f ca="1"/>
        <v>0</v>
      </c>
      <c r="AO58" s="1">
        <f ca="1"/>
        <v>0</v>
      </c>
      <c r="AP58" s="1">
        <f ca="1"/>
        <v>0</v>
      </c>
      <c r="AQ58" s="1">
        <f ca="1"/>
        <v>0</v>
      </c>
      <c r="AR58" s="1">
        <f ca="1"/>
        <v>0</v>
      </c>
      <c r="AS58" s="1">
        <f ca="1"/>
        <v>0</v>
      </c>
      <c r="AT58" s="1">
        <f ca="1"/>
        <v>0</v>
      </c>
      <c r="AU58" s="1">
        <f ca="1"/>
        <v>0</v>
      </c>
      <c r="AV58" s="1">
        <f ca="1"/>
        <v>0</v>
      </c>
      <c r="AW58" s="1">
        <f ca="1"/>
        <v>0</v>
      </c>
      <c r="AX58" s="1">
        <f ca="1"/>
        <v>0</v>
      </c>
      <c r="AY58" s="1">
        <f ca="1"/>
        <v>0</v>
      </c>
      <c r="AZ58" s="1">
        <f ca="1"/>
        <v>0</v>
      </c>
      <c r="BA58" s="1">
        <f ca="1"/>
        <v>0</v>
      </c>
      <c r="BB58" s="1">
        <f ca="1"/>
        <v>0</v>
      </c>
      <c r="BC58" s="1">
        <f ca="1"/>
        <v>0</v>
      </c>
      <c r="BD58" s="1">
        <f ca="1"/>
        <v>0</v>
      </c>
      <c r="BE58" s="1">
        <f ca="1"/>
        <v>0</v>
      </c>
      <c r="BF58" s="1">
        <f ca="1"/>
        <v>0</v>
      </c>
      <c r="BG58" s="1">
        <f ca="1"/>
        <v>0</v>
      </c>
      <c r="BH58" s="1">
        <f ca="1"/>
        <v>0</v>
      </c>
      <c r="BI58" s="1">
        <f ca="1"/>
        <v>0.34127959038552569</v>
      </c>
      <c r="BJ58" s="1">
        <f ca="1"/>
        <v>0.34127959038552569</v>
      </c>
      <c r="BK58" s="1">
        <f ca="1"/>
        <v>0.34127959038552569</v>
      </c>
      <c r="BL58" s="1">
        <f ca="1"/>
        <v>0.34127959038552569</v>
      </c>
      <c r="BM58" s="1">
        <f ca="1"/>
        <v>0.34127959038552569</v>
      </c>
      <c r="BN58" s="1">
        <f ca="1"/>
        <v>0.34127959038552569</v>
      </c>
      <c r="BO58" s="1">
        <f ca="1"/>
        <v>0.34127959038552569</v>
      </c>
      <c r="BP58" s="1">
        <f ca="1"/>
        <v>0.34127959038552569</v>
      </c>
      <c r="BQ58" s="1">
        <f ca="1"/>
        <v>0.34127959038552569</v>
      </c>
      <c r="BR58" s="1">
        <f ca="1"/>
        <v>0.34127959038552569</v>
      </c>
      <c r="BS58" s="1">
        <f ca="1"/>
        <v>0.34127959038552569</v>
      </c>
      <c r="BT58" s="1">
        <f ca="1"/>
        <v>0.34127959038552569</v>
      </c>
    </row>
    <row r="59" spans="5:72" x14ac:dyDescent="0.2">
      <c r="E59" s="3">
        <v>0.05</v>
      </c>
      <c r="F59" s="1">
        <f ca="1"/>
        <v>0.81907101692526174</v>
      </c>
      <c r="G59" s="3">
        <f ca="1"/>
        <v>4.9999999999999822E-2</v>
      </c>
      <c r="H59" s="3">
        <f ca="1"/>
        <v>4.9896121783964499E-2</v>
      </c>
      <c r="I59">
        <v>48</v>
      </c>
      <c r="J59" s="2">
        <v>4</v>
      </c>
      <c r="M59" s="1">
        <f ca="1"/>
        <v>0</v>
      </c>
      <c r="N59" s="1">
        <f ca="1"/>
        <v>0</v>
      </c>
      <c r="O59" s="1">
        <f ca="1"/>
        <v>0</v>
      </c>
      <c r="P59" s="1">
        <f ca="1"/>
        <v>0</v>
      </c>
      <c r="Q59" s="1">
        <f ca="1"/>
        <v>0</v>
      </c>
      <c r="R59" s="1">
        <f ca="1"/>
        <v>0</v>
      </c>
      <c r="S59" s="1">
        <f ca="1"/>
        <v>0</v>
      </c>
      <c r="T59" s="1">
        <f ca="1"/>
        <v>0</v>
      </c>
      <c r="U59" s="1">
        <f ca="1"/>
        <v>0</v>
      </c>
      <c r="V59" s="1">
        <f ca="1"/>
        <v>0</v>
      </c>
      <c r="W59" s="1">
        <f ca="1"/>
        <v>0</v>
      </c>
      <c r="X59" s="1">
        <f ca="1"/>
        <v>0</v>
      </c>
      <c r="Y59" s="1">
        <f ca="1"/>
        <v>0</v>
      </c>
      <c r="Z59" s="1">
        <f ca="1"/>
        <v>0</v>
      </c>
      <c r="AA59" s="1">
        <f ca="1"/>
        <v>0</v>
      </c>
      <c r="AB59" s="1">
        <f ca="1"/>
        <v>0</v>
      </c>
      <c r="AC59" s="1">
        <f ca="1"/>
        <v>0</v>
      </c>
      <c r="AD59" s="1">
        <f ca="1"/>
        <v>0</v>
      </c>
      <c r="AE59" s="1">
        <f ca="1"/>
        <v>0</v>
      </c>
      <c r="AF59" s="1">
        <f ca="1"/>
        <v>0</v>
      </c>
      <c r="AG59" s="1">
        <f ca="1"/>
        <v>0</v>
      </c>
      <c r="AH59" s="1">
        <f ca="1"/>
        <v>0</v>
      </c>
      <c r="AI59" s="1">
        <f ca="1"/>
        <v>0</v>
      </c>
      <c r="AJ59" s="1">
        <f ca="1"/>
        <v>0</v>
      </c>
      <c r="AK59" s="1">
        <f ca="1"/>
        <v>0</v>
      </c>
      <c r="AL59" s="1">
        <f ca="1"/>
        <v>0</v>
      </c>
      <c r="AM59" s="1">
        <f ca="1"/>
        <v>0</v>
      </c>
      <c r="AN59" s="1">
        <f ca="1"/>
        <v>0</v>
      </c>
      <c r="AO59" s="1">
        <f ca="1"/>
        <v>0</v>
      </c>
      <c r="AP59" s="1">
        <f ca="1"/>
        <v>0</v>
      </c>
      <c r="AQ59" s="1">
        <f ca="1"/>
        <v>0</v>
      </c>
      <c r="AR59" s="1">
        <f ca="1"/>
        <v>0</v>
      </c>
      <c r="AS59" s="1">
        <f ca="1"/>
        <v>0</v>
      </c>
      <c r="AT59" s="1">
        <f ca="1"/>
        <v>0</v>
      </c>
      <c r="AU59" s="1">
        <f ca="1"/>
        <v>0</v>
      </c>
      <c r="AV59" s="1">
        <f ca="1"/>
        <v>0</v>
      </c>
      <c r="AW59" s="1">
        <f ca="1"/>
        <v>0</v>
      </c>
      <c r="AX59" s="1">
        <f ca="1"/>
        <v>0</v>
      </c>
      <c r="AY59" s="1">
        <f ca="1"/>
        <v>0</v>
      </c>
      <c r="AZ59" s="1">
        <f ca="1"/>
        <v>0</v>
      </c>
      <c r="BA59" s="1">
        <f ca="1"/>
        <v>0</v>
      </c>
      <c r="BB59" s="1">
        <f ca="1"/>
        <v>0</v>
      </c>
      <c r="BC59" s="1">
        <f ca="1"/>
        <v>0</v>
      </c>
      <c r="BD59" s="1">
        <f ca="1"/>
        <v>0</v>
      </c>
      <c r="BE59" s="1">
        <f ca="1"/>
        <v>0</v>
      </c>
      <c r="BF59" s="1">
        <f ca="1"/>
        <v>0</v>
      </c>
      <c r="BG59" s="1">
        <f ca="1"/>
        <v>0</v>
      </c>
      <c r="BH59" s="1">
        <f ca="1"/>
        <v>0</v>
      </c>
      <c r="BI59" s="1">
        <f ca="1"/>
        <v>0</v>
      </c>
      <c r="BJ59" s="1">
        <f ca="1"/>
        <v>0.33986349250010861</v>
      </c>
      <c r="BK59" s="1">
        <f ca="1"/>
        <v>0.33986349250010861</v>
      </c>
      <c r="BL59" s="1">
        <f ca="1"/>
        <v>0.33986349250010861</v>
      </c>
      <c r="BM59" s="1">
        <f ca="1"/>
        <v>0.33986349250010861</v>
      </c>
      <c r="BN59" s="1">
        <f ca="1"/>
        <v>0.33986349250010861</v>
      </c>
      <c r="BO59" s="1">
        <f ca="1"/>
        <v>0.33986349250010861</v>
      </c>
      <c r="BP59" s="1">
        <f ca="1"/>
        <v>0.33986349250010861</v>
      </c>
      <c r="BQ59" s="1">
        <f ca="1"/>
        <v>0.33986349250010861</v>
      </c>
      <c r="BR59" s="1">
        <f ca="1"/>
        <v>0.33986349250010861</v>
      </c>
      <c r="BS59" s="1">
        <f ca="1"/>
        <v>0.33986349250010861</v>
      </c>
      <c r="BT59" s="1">
        <f ca="1"/>
        <v>0.33986349250010861</v>
      </c>
    </row>
    <row r="60" spans="5:72" x14ac:dyDescent="0.2">
      <c r="E60" s="3">
        <v>0.05</v>
      </c>
      <c r="F60" s="1">
        <f ca="1"/>
        <v>0.81567238200026071</v>
      </c>
      <c r="G60" s="3">
        <f ca="1"/>
        <v>4.9999999999999822E-2</v>
      </c>
      <c r="H60" s="3">
        <f ca="1"/>
        <v>4.9896121783964485E-2</v>
      </c>
      <c r="I60">
        <v>49</v>
      </c>
      <c r="J60" s="2">
        <v>4.083333333333333</v>
      </c>
      <c r="M60" s="1">
        <f ca="1"/>
        <v>0</v>
      </c>
      <c r="N60" s="1">
        <f ca="1"/>
        <v>0</v>
      </c>
      <c r="O60" s="1">
        <f ca="1"/>
        <v>0</v>
      </c>
      <c r="P60" s="1">
        <f ca="1"/>
        <v>0</v>
      </c>
      <c r="Q60" s="1">
        <f ca="1"/>
        <v>0</v>
      </c>
      <c r="R60" s="1">
        <f ca="1"/>
        <v>0</v>
      </c>
      <c r="S60" s="1">
        <f ca="1"/>
        <v>0</v>
      </c>
      <c r="T60" s="1">
        <f ca="1"/>
        <v>0</v>
      </c>
      <c r="U60" s="1">
        <f ca="1"/>
        <v>0</v>
      </c>
      <c r="V60" s="1">
        <f ca="1"/>
        <v>0</v>
      </c>
      <c r="W60" s="1">
        <f ca="1"/>
        <v>0</v>
      </c>
      <c r="X60" s="1">
        <f ca="1"/>
        <v>0</v>
      </c>
      <c r="Y60" s="1">
        <f ca="1"/>
        <v>0</v>
      </c>
      <c r="Z60" s="1">
        <f ca="1"/>
        <v>0</v>
      </c>
      <c r="AA60" s="1">
        <f ca="1"/>
        <v>0</v>
      </c>
      <c r="AB60" s="1">
        <f ca="1"/>
        <v>0</v>
      </c>
      <c r="AC60" s="1">
        <f ca="1"/>
        <v>0</v>
      </c>
      <c r="AD60" s="1">
        <f ca="1"/>
        <v>0</v>
      </c>
      <c r="AE60" s="1">
        <f ca="1"/>
        <v>0</v>
      </c>
      <c r="AF60" s="1">
        <f ca="1"/>
        <v>0</v>
      </c>
      <c r="AG60" s="1">
        <f ca="1"/>
        <v>0</v>
      </c>
      <c r="AH60" s="1">
        <f ca="1"/>
        <v>0</v>
      </c>
      <c r="AI60" s="1">
        <f ca="1"/>
        <v>0</v>
      </c>
      <c r="AJ60" s="1">
        <f ca="1"/>
        <v>0</v>
      </c>
      <c r="AK60" s="1">
        <f ca="1"/>
        <v>0</v>
      </c>
      <c r="AL60" s="1">
        <f ca="1"/>
        <v>0</v>
      </c>
      <c r="AM60" s="1">
        <f ca="1"/>
        <v>0</v>
      </c>
      <c r="AN60" s="1">
        <f ca="1"/>
        <v>0</v>
      </c>
      <c r="AO60" s="1">
        <f ca="1"/>
        <v>0</v>
      </c>
      <c r="AP60" s="1">
        <f ca="1"/>
        <v>0</v>
      </c>
      <c r="AQ60" s="1">
        <f ca="1"/>
        <v>0</v>
      </c>
      <c r="AR60" s="1">
        <f ca="1"/>
        <v>0</v>
      </c>
      <c r="AS60" s="1">
        <f ca="1"/>
        <v>0</v>
      </c>
      <c r="AT60" s="1">
        <f ca="1"/>
        <v>0</v>
      </c>
      <c r="AU60" s="1">
        <f ca="1"/>
        <v>0</v>
      </c>
      <c r="AV60" s="1">
        <f ca="1"/>
        <v>0</v>
      </c>
      <c r="AW60" s="1">
        <f ca="1"/>
        <v>0</v>
      </c>
      <c r="AX60" s="1">
        <f ca="1"/>
        <v>0</v>
      </c>
      <c r="AY60" s="1">
        <f ca="1"/>
        <v>0</v>
      </c>
      <c r="AZ60" s="1">
        <f ca="1"/>
        <v>0</v>
      </c>
      <c r="BA60" s="1">
        <f ca="1"/>
        <v>0</v>
      </c>
      <c r="BB60" s="1">
        <f ca="1"/>
        <v>0</v>
      </c>
      <c r="BC60" s="1">
        <f ca="1"/>
        <v>0</v>
      </c>
      <c r="BD60" s="1">
        <f ca="1"/>
        <v>0</v>
      </c>
      <c r="BE60" s="1">
        <f ca="1"/>
        <v>0</v>
      </c>
      <c r="BF60" s="1">
        <f ca="1"/>
        <v>0</v>
      </c>
      <c r="BG60" s="1">
        <f ca="1"/>
        <v>0</v>
      </c>
      <c r="BH60" s="1">
        <f ca="1"/>
        <v>0</v>
      </c>
      <c r="BI60" s="1">
        <f ca="1"/>
        <v>0</v>
      </c>
      <c r="BJ60" s="1">
        <f ca="1"/>
        <v>0</v>
      </c>
      <c r="BK60" s="1">
        <f ca="1"/>
        <v>0.33845327053952728</v>
      </c>
      <c r="BL60" s="1">
        <f ca="1"/>
        <v>0.33845327053952728</v>
      </c>
      <c r="BM60" s="1">
        <f ca="1"/>
        <v>0.33845327053952728</v>
      </c>
      <c r="BN60" s="1">
        <f ca="1"/>
        <v>0.33845327053952728</v>
      </c>
      <c r="BO60" s="1">
        <f ca="1"/>
        <v>0.33845327053952728</v>
      </c>
      <c r="BP60" s="1">
        <f ca="1"/>
        <v>0.33845327053952728</v>
      </c>
      <c r="BQ60" s="1">
        <f ca="1"/>
        <v>0.33845327053952728</v>
      </c>
      <c r="BR60" s="1">
        <f ca="1"/>
        <v>0.33845327053952728</v>
      </c>
      <c r="BS60" s="1">
        <f ca="1"/>
        <v>0.33845327053952728</v>
      </c>
      <c r="BT60" s="1">
        <f ca="1"/>
        <v>0.33845327053952728</v>
      </c>
    </row>
    <row r="61" spans="5:72" x14ac:dyDescent="0.2">
      <c r="E61" s="3">
        <v>0.05</v>
      </c>
      <c r="F61" s="1">
        <f ca="1"/>
        <v>0.81228784929486553</v>
      </c>
      <c r="G61" s="3">
        <f ca="1"/>
        <v>4.9999999999999822E-2</v>
      </c>
      <c r="H61" s="3">
        <f ca="1"/>
        <v>4.9896121783964444E-2</v>
      </c>
      <c r="I61">
        <v>50</v>
      </c>
      <c r="J61" s="2">
        <v>4.166666666666667</v>
      </c>
      <c r="M61" s="1">
        <f ca="1"/>
        <v>0</v>
      </c>
      <c r="N61" s="1">
        <f ca="1"/>
        <v>0</v>
      </c>
      <c r="O61" s="1">
        <f ca="1"/>
        <v>0</v>
      </c>
      <c r="P61" s="1">
        <f ca="1"/>
        <v>0</v>
      </c>
      <c r="Q61" s="1">
        <f ca="1"/>
        <v>0</v>
      </c>
      <c r="R61" s="1">
        <f ca="1"/>
        <v>0</v>
      </c>
      <c r="S61" s="1">
        <f ca="1"/>
        <v>0</v>
      </c>
      <c r="T61" s="1">
        <f ca="1"/>
        <v>0</v>
      </c>
      <c r="U61" s="1">
        <f ca="1"/>
        <v>0</v>
      </c>
      <c r="V61" s="1">
        <f ca="1"/>
        <v>0</v>
      </c>
      <c r="W61" s="1">
        <f ca="1"/>
        <v>0</v>
      </c>
      <c r="X61" s="1">
        <f ca="1"/>
        <v>0</v>
      </c>
      <c r="Y61" s="1">
        <f ca="1"/>
        <v>0</v>
      </c>
      <c r="Z61" s="1">
        <f ca="1"/>
        <v>0</v>
      </c>
      <c r="AA61" s="1">
        <f ca="1"/>
        <v>0</v>
      </c>
      <c r="AB61" s="1">
        <f ca="1"/>
        <v>0</v>
      </c>
      <c r="AC61" s="1">
        <f ca="1"/>
        <v>0</v>
      </c>
      <c r="AD61" s="1">
        <f ca="1"/>
        <v>0</v>
      </c>
      <c r="AE61" s="1">
        <f ca="1"/>
        <v>0</v>
      </c>
      <c r="AF61" s="1">
        <f ca="1"/>
        <v>0</v>
      </c>
      <c r="AG61" s="1">
        <f ca="1"/>
        <v>0</v>
      </c>
      <c r="AH61" s="1">
        <f ca="1"/>
        <v>0</v>
      </c>
      <c r="AI61" s="1">
        <f ca="1"/>
        <v>0</v>
      </c>
      <c r="AJ61" s="1">
        <f ca="1"/>
        <v>0</v>
      </c>
      <c r="AK61" s="1">
        <f ca="1"/>
        <v>0</v>
      </c>
      <c r="AL61" s="1">
        <f ca="1"/>
        <v>0</v>
      </c>
      <c r="AM61" s="1">
        <f ca="1"/>
        <v>0</v>
      </c>
      <c r="AN61" s="1">
        <f ca="1"/>
        <v>0</v>
      </c>
      <c r="AO61" s="1">
        <f ca="1"/>
        <v>0</v>
      </c>
      <c r="AP61" s="1">
        <f ca="1"/>
        <v>0</v>
      </c>
      <c r="AQ61" s="1">
        <f ca="1"/>
        <v>0</v>
      </c>
      <c r="AR61" s="1">
        <f ca="1"/>
        <v>0</v>
      </c>
      <c r="AS61" s="1">
        <f ca="1"/>
        <v>0</v>
      </c>
      <c r="AT61" s="1">
        <f ca="1"/>
        <v>0</v>
      </c>
      <c r="AU61" s="1">
        <f ca="1"/>
        <v>0</v>
      </c>
      <c r="AV61" s="1">
        <f ca="1"/>
        <v>0</v>
      </c>
      <c r="AW61" s="1">
        <f ca="1"/>
        <v>0</v>
      </c>
      <c r="AX61" s="1">
        <f ca="1"/>
        <v>0</v>
      </c>
      <c r="AY61" s="1">
        <f ca="1"/>
        <v>0</v>
      </c>
      <c r="AZ61" s="1">
        <f ca="1"/>
        <v>0</v>
      </c>
      <c r="BA61" s="1">
        <f ca="1"/>
        <v>0</v>
      </c>
      <c r="BB61" s="1">
        <f ca="1"/>
        <v>0</v>
      </c>
      <c r="BC61" s="1">
        <f ca="1"/>
        <v>0</v>
      </c>
      <c r="BD61" s="1">
        <f ca="1"/>
        <v>0</v>
      </c>
      <c r="BE61" s="1">
        <f ca="1"/>
        <v>0</v>
      </c>
      <c r="BF61" s="1">
        <f ca="1"/>
        <v>0</v>
      </c>
      <c r="BG61" s="1">
        <f ca="1"/>
        <v>0</v>
      </c>
      <c r="BH61" s="1">
        <f ca="1"/>
        <v>0</v>
      </c>
      <c r="BI61" s="1">
        <f ca="1"/>
        <v>0</v>
      </c>
      <c r="BJ61" s="1">
        <f ca="1"/>
        <v>0</v>
      </c>
      <c r="BK61" s="1">
        <f ca="1"/>
        <v>0</v>
      </c>
      <c r="BL61" s="1">
        <f ca="1"/>
        <v>0.33704890012235078</v>
      </c>
      <c r="BM61" s="1">
        <f ca="1"/>
        <v>0.33704890012235078</v>
      </c>
      <c r="BN61" s="1">
        <f ca="1"/>
        <v>0.33704890012235078</v>
      </c>
      <c r="BO61" s="1">
        <f ca="1"/>
        <v>0.33704890012235078</v>
      </c>
      <c r="BP61" s="1">
        <f ca="1"/>
        <v>0.33704890012235078</v>
      </c>
      <c r="BQ61" s="1">
        <f ca="1"/>
        <v>0.33704890012235078</v>
      </c>
      <c r="BR61" s="1">
        <f ca="1"/>
        <v>0.33704890012235078</v>
      </c>
      <c r="BS61" s="1">
        <f ca="1"/>
        <v>0.33704890012235078</v>
      </c>
      <c r="BT61" s="1">
        <f ca="1"/>
        <v>0.33704890012235078</v>
      </c>
    </row>
    <row r="62" spans="5:72" x14ac:dyDescent="0.2">
      <c r="E62" s="3">
        <v>0.05</v>
      </c>
      <c r="F62" s="1">
        <f ca="1"/>
        <v>0.80891736029364192</v>
      </c>
      <c r="G62" s="3">
        <f ca="1"/>
        <v>4.9999999999999822E-2</v>
      </c>
      <c r="H62" s="3">
        <f ca="1"/>
        <v>4.9896121783964471E-2</v>
      </c>
      <c r="I62">
        <v>51</v>
      </c>
      <c r="J62" s="2">
        <v>4.25</v>
      </c>
      <c r="M62" s="1">
        <f ca="1"/>
        <v>0</v>
      </c>
      <c r="N62" s="1">
        <f ca="1"/>
        <v>0</v>
      </c>
      <c r="O62" s="1">
        <f ca="1"/>
        <v>0</v>
      </c>
      <c r="P62" s="1">
        <f ca="1"/>
        <v>0</v>
      </c>
      <c r="Q62" s="1">
        <f ca="1"/>
        <v>0</v>
      </c>
      <c r="R62" s="1">
        <f ca="1"/>
        <v>0</v>
      </c>
      <c r="S62" s="1">
        <f ca="1"/>
        <v>0</v>
      </c>
      <c r="T62" s="1">
        <f ca="1"/>
        <v>0</v>
      </c>
      <c r="U62" s="1">
        <f ca="1"/>
        <v>0</v>
      </c>
      <c r="V62" s="1">
        <f ca="1"/>
        <v>0</v>
      </c>
      <c r="W62" s="1">
        <f ca="1"/>
        <v>0</v>
      </c>
      <c r="X62" s="1">
        <f ca="1"/>
        <v>0</v>
      </c>
      <c r="Y62" s="1">
        <f ca="1"/>
        <v>0</v>
      </c>
      <c r="Z62" s="1">
        <f ca="1"/>
        <v>0</v>
      </c>
      <c r="AA62" s="1">
        <f ca="1"/>
        <v>0</v>
      </c>
      <c r="AB62" s="1">
        <f ca="1"/>
        <v>0</v>
      </c>
      <c r="AC62" s="1">
        <f ca="1"/>
        <v>0</v>
      </c>
      <c r="AD62" s="1">
        <f ca="1"/>
        <v>0</v>
      </c>
      <c r="AE62" s="1">
        <f ca="1"/>
        <v>0</v>
      </c>
      <c r="AF62" s="1">
        <f ca="1"/>
        <v>0</v>
      </c>
      <c r="AG62" s="1">
        <f ca="1"/>
        <v>0</v>
      </c>
      <c r="AH62" s="1">
        <f ca="1"/>
        <v>0</v>
      </c>
      <c r="AI62" s="1">
        <f ca="1"/>
        <v>0</v>
      </c>
      <c r="AJ62" s="1">
        <f ca="1"/>
        <v>0</v>
      </c>
      <c r="AK62" s="1">
        <f ca="1"/>
        <v>0</v>
      </c>
      <c r="AL62" s="1">
        <f ca="1"/>
        <v>0</v>
      </c>
      <c r="AM62" s="1">
        <f ca="1"/>
        <v>0</v>
      </c>
      <c r="AN62" s="1">
        <f ca="1"/>
        <v>0</v>
      </c>
      <c r="AO62" s="1">
        <f ca="1"/>
        <v>0</v>
      </c>
      <c r="AP62" s="1">
        <f ca="1"/>
        <v>0</v>
      </c>
      <c r="AQ62" s="1">
        <f ca="1"/>
        <v>0</v>
      </c>
      <c r="AR62" s="1">
        <f ca="1"/>
        <v>0</v>
      </c>
      <c r="AS62" s="1">
        <f ca="1"/>
        <v>0</v>
      </c>
      <c r="AT62" s="1">
        <f ca="1"/>
        <v>0</v>
      </c>
      <c r="AU62" s="1">
        <f ca="1"/>
        <v>0</v>
      </c>
      <c r="AV62" s="1">
        <f ca="1"/>
        <v>0</v>
      </c>
      <c r="AW62" s="1">
        <f ca="1"/>
        <v>0</v>
      </c>
      <c r="AX62" s="1">
        <f ca="1"/>
        <v>0</v>
      </c>
      <c r="AY62" s="1">
        <f ca="1"/>
        <v>0</v>
      </c>
      <c r="AZ62" s="1">
        <f ca="1"/>
        <v>0</v>
      </c>
      <c r="BA62" s="1">
        <f ca="1"/>
        <v>0</v>
      </c>
      <c r="BB62" s="1">
        <f ca="1"/>
        <v>0</v>
      </c>
      <c r="BC62" s="1">
        <f ca="1"/>
        <v>0</v>
      </c>
      <c r="BD62" s="1">
        <f ca="1"/>
        <v>0</v>
      </c>
      <c r="BE62" s="1">
        <f ca="1"/>
        <v>0</v>
      </c>
      <c r="BF62" s="1">
        <f ca="1"/>
        <v>0</v>
      </c>
      <c r="BG62" s="1">
        <f ca="1"/>
        <v>0</v>
      </c>
      <c r="BH62" s="1">
        <f ca="1"/>
        <v>0</v>
      </c>
      <c r="BI62" s="1">
        <f ca="1"/>
        <v>0</v>
      </c>
      <c r="BJ62" s="1">
        <f ca="1"/>
        <v>0</v>
      </c>
      <c r="BK62" s="1">
        <f ca="1"/>
        <v>0</v>
      </c>
      <c r="BL62" s="1">
        <f ca="1"/>
        <v>0</v>
      </c>
      <c r="BM62" s="1">
        <f ca="1"/>
        <v>0.33565035696831608</v>
      </c>
      <c r="BN62" s="1">
        <f ca="1"/>
        <v>0.33565035696831608</v>
      </c>
      <c r="BO62" s="1">
        <f ca="1"/>
        <v>0.33565035696831608</v>
      </c>
      <c r="BP62" s="1">
        <f ca="1"/>
        <v>0.33565035696831608</v>
      </c>
      <c r="BQ62" s="1">
        <f ca="1"/>
        <v>0.33565035696831608</v>
      </c>
      <c r="BR62" s="1">
        <f ca="1"/>
        <v>0.33565035696831608</v>
      </c>
      <c r="BS62" s="1">
        <f ca="1"/>
        <v>0.33565035696831608</v>
      </c>
      <c r="BT62" s="1">
        <f ca="1"/>
        <v>0.33565035696831608</v>
      </c>
    </row>
    <row r="63" spans="5:72" x14ac:dyDescent="0.2">
      <c r="E63" s="3">
        <v>0.05</v>
      </c>
      <c r="F63" s="1">
        <f ca="1"/>
        <v>0.80556085672395861</v>
      </c>
      <c r="G63" s="3">
        <f ca="1"/>
        <v>4.9999999999999822E-2</v>
      </c>
      <c r="H63" s="3">
        <f ca="1"/>
        <v>4.989612178396452E-2</v>
      </c>
      <c r="I63">
        <v>52</v>
      </c>
      <c r="J63" s="2">
        <v>4.333333333333333</v>
      </c>
      <c r="M63" s="1">
        <f ca="1"/>
        <v>0</v>
      </c>
      <c r="N63" s="1">
        <f ca="1"/>
        <v>0</v>
      </c>
      <c r="O63" s="1">
        <f ca="1"/>
        <v>0</v>
      </c>
      <c r="P63" s="1">
        <f ca="1"/>
        <v>0</v>
      </c>
      <c r="Q63" s="1">
        <f ca="1"/>
        <v>0</v>
      </c>
      <c r="R63" s="1">
        <f ca="1"/>
        <v>0</v>
      </c>
      <c r="S63" s="1">
        <f ca="1"/>
        <v>0</v>
      </c>
      <c r="T63" s="1">
        <f ca="1"/>
        <v>0</v>
      </c>
      <c r="U63" s="1">
        <f ca="1"/>
        <v>0</v>
      </c>
      <c r="V63" s="1">
        <f ca="1"/>
        <v>0</v>
      </c>
      <c r="W63" s="1">
        <f ca="1"/>
        <v>0</v>
      </c>
      <c r="X63" s="1">
        <f ca="1"/>
        <v>0</v>
      </c>
      <c r="Y63" s="1">
        <f ca="1"/>
        <v>0</v>
      </c>
      <c r="Z63" s="1">
        <f ca="1"/>
        <v>0</v>
      </c>
      <c r="AA63" s="1">
        <f ca="1"/>
        <v>0</v>
      </c>
      <c r="AB63" s="1">
        <f ca="1"/>
        <v>0</v>
      </c>
      <c r="AC63" s="1">
        <f ca="1"/>
        <v>0</v>
      </c>
      <c r="AD63" s="1">
        <f ca="1"/>
        <v>0</v>
      </c>
      <c r="AE63" s="1">
        <f ca="1"/>
        <v>0</v>
      </c>
      <c r="AF63" s="1">
        <f ca="1"/>
        <v>0</v>
      </c>
      <c r="AG63" s="1">
        <f ca="1"/>
        <v>0</v>
      </c>
      <c r="AH63" s="1">
        <f ca="1"/>
        <v>0</v>
      </c>
      <c r="AI63" s="1">
        <f ca="1"/>
        <v>0</v>
      </c>
      <c r="AJ63" s="1">
        <f ca="1"/>
        <v>0</v>
      </c>
      <c r="AK63" s="1">
        <f ca="1"/>
        <v>0</v>
      </c>
      <c r="AL63" s="1">
        <f ca="1"/>
        <v>0</v>
      </c>
      <c r="AM63" s="1">
        <f ca="1"/>
        <v>0</v>
      </c>
      <c r="AN63" s="1">
        <f ca="1"/>
        <v>0</v>
      </c>
      <c r="AO63" s="1">
        <f ca="1"/>
        <v>0</v>
      </c>
      <c r="AP63" s="1">
        <f ca="1"/>
        <v>0</v>
      </c>
      <c r="AQ63" s="1">
        <f ca="1"/>
        <v>0</v>
      </c>
      <c r="AR63" s="1">
        <f ca="1"/>
        <v>0</v>
      </c>
      <c r="AS63" s="1">
        <f ca="1"/>
        <v>0</v>
      </c>
      <c r="AT63" s="1">
        <f ca="1"/>
        <v>0</v>
      </c>
      <c r="AU63" s="1">
        <f ca="1"/>
        <v>0</v>
      </c>
      <c r="AV63" s="1">
        <f ca="1"/>
        <v>0</v>
      </c>
      <c r="AW63" s="1">
        <f ca="1"/>
        <v>0</v>
      </c>
      <c r="AX63" s="1">
        <f ca="1"/>
        <v>0</v>
      </c>
      <c r="AY63" s="1">
        <f ca="1"/>
        <v>0</v>
      </c>
      <c r="AZ63" s="1">
        <f ca="1"/>
        <v>0</v>
      </c>
      <c r="BA63" s="1">
        <f ca="1"/>
        <v>0</v>
      </c>
      <c r="BB63" s="1">
        <f ca="1"/>
        <v>0</v>
      </c>
      <c r="BC63" s="1">
        <f ca="1"/>
        <v>0</v>
      </c>
      <c r="BD63" s="1">
        <f ca="1"/>
        <v>0</v>
      </c>
      <c r="BE63" s="1">
        <f ca="1"/>
        <v>0</v>
      </c>
      <c r="BF63" s="1">
        <f ca="1"/>
        <v>0</v>
      </c>
      <c r="BG63" s="1">
        <f ca="1"/>
        <v>0</v>
      </c>
      <c r="BH63" s="1">
        <f ca="1"/>
        <v>0</v>
      </c>
      <c r="BI63" s="1">
        <f ca="1"/>
        <v>0</v>
      </c>
      <c r="BJ63" s="1">
        <f ca="1"/>
        <v>0</v>
      </c>
      <c r="BK63" s="1">
        <f ca="1"/>
        <v>0</v>
      </c>
      <c r="BL63" s="1">
        <f ca="1"/>
        <v>0</v>
      </c>
      <c r="BM63" s="1">
        <f ca="1"/>
        <v>0</v>
      </c>
      <c r="BN63" s="1">
        <f ca="1"/>
        <v>0.33425761689790812</v>
      </c>
      <c r="BO63" s="1">
        <f ca="1"/>
        <v>0.33425761689790812</v>
      </c>
      <c r="BP63" s="1">
        <f ca="1"/>
        <v>0.33425761689790812</v>
      </c>
      <c r="BQ63" s="1">
        <f ca="1"/>
        <v>0.33425761689790812</v>
      </c>
      <c r="BR63" s="1">
        <f ca="1"/>
        <v>0.33425761689790812</v>
      </c>
      <c r="BS63" s="1">
        <f ca="1"/>
        <v>0.33425761689790812</v>
      </c>
      <c r="BT63" s="1">
        <f ca="1"/>
        <v>0.33425761689790812</v>
      </c>
    </row>
    <row r="64" spans="5:72" x14ac:dyDescent="0.2">
      <c r="E64" s="3">
        <v>0.05</v>
      </c>
      <c r="F64" s="1">
        <f ca="1"/>
        <v>0.80221828055497957</v>
      </c>
      <c r="G64" s="3">
        <f ca="1"/>
        <v>4.9999999999999822E-2</v>
      </c>
      <c r="H64" s="3">
        <f ca="1"/>
        <v>4.9896121783964492E-2</v>
      </c>
      <c r="I64">
        <v>53</v>
      </c>
      <c r="J64" s="2">
        <v>4.416666666666667</v>
      </c>
      <c r="M64" s="1">
        <f ca="1"/>
        <v>0</v>
      </c>
      <c r="N64" s="1">
        <f ca="1"/>
        <v>0</v>
      </c>
      <c r="O64" s="1">
        <f ca="1"/>
        <v>0</v>
      </c>
      <c r="P64" s="1">
        <f ca="1"/>
        <v>0</v>
      </c>
      <c r="Q64" s="1">
        <f ca="1"/>
        <v>0</v>
      </c>
      <c r="R64" s="1">
        <f ca="1"/>
        <v>0</v>
      </c>
      <c r="S64" s="1">
        <f ca="1"/>
        <v>0</v>
      </c>
      <c r="T64" s="1">
        <f ca="1"/>
        <v>0</v>
      </c>
      <c r="U64" s="1">
        <f ca="1"/>
        <v>0</v>
      </c>
      <c r="V64" s="1">
        <f ca="1"/>
        <v>0</v>
      </c>
      <c r="W64" s="1">
        <f ca="1"/>
        <v>0</v>
      </c>
      <c r="X64" s="1">
        <f ca="1"/>
        <v>0</v>
      </c>
      <c r="Y64" s="1">
        <f ca="1"/>
        <v>0</v>
      </c>
      <c r="Z64" s="1">
        <f ca="1"/>
        <v>0</v>
      </c>
      <c r="AA64" s="1">
        <f ca="1"/>
        <v>0</v>
      </c>
      <c r="AB64" s="1">
        <f ca="1"/>
        <v>0</v>
      </c>
      <c r="AC64" s="1">
        <f ca="1"/>
        <v>0</v>
      </c>
      <c r="AD64" s="1">
        <f ca="1"/>
        <v>0</v>
      </c>
      <c r="AE64" s="1">
        <f ca="1"/>
        <v>0</v>
      </c>
      <c r="AF64" s="1">
        <f ca="1"/>
        <v>0</v>
      </c>
      <c r="AG64" s="1">
        <f ca="1"/>
        <v>0</v>
      </c>
      <c r="AH64" s="1">
        <f ca="1"/>
        <v>0</v>
      </c>
      <c r="AI64" s="1">
        <f ca="1"/>
        <v>0</v>
      </c>
      <c r="AJ64" s="1">
        <f ca="1"/>
        <v>0</v>
      </c>
      <c r="AK64" s="1">
        <f ca="1"/>
        <v>0</v>
      </c>
      <c r="AL64" s="1">
        <f ca="1"/>
        <v>0</v>
      </c>
      <c r="AM64" s="1">
        <f ca="1"/>
        <v>0</v>
      </c>
      <c r="AN64" s="1">
        <f ca="1"/>
        <v>0</v>
      </c>
      <c r="AO64" s="1">
        <f ca="1"/>
        <v>0</v>
      </c>
      <c r="AP64" s="1">
        <f ca="1"/>
        <v>0</v>
      </c>
      <c r="AQ64" s="1">
        <f ca="1"/>
        <v>0</v>
      </c>
      <c r="AR64" s="1">
        <f ca="1"/>
        <v>0</v>
      </c>
      <c r="AS64" s="1">
        <f ca="1"/>
        <v>0</v>
      </c>
      <c r="AT64" s="1">
        <f ca="1"/>
        <v>0</v>
      </c>
      <c r="AU64" s="1">
        <f ca="1"/>
        <v>0</v>
      </c>
      <c r="AV64" s="1">
        <f ca="1"/>
        <v>0</v>
      </c>
      <c r="AW64" s="1">
        <f ca="1"/>
        <v>0</v>
      </c>
      <c r="AX64" s="1">
        <f ca="1"/>
        <v>0</v>
      </c>
      <c r="AY64" s="1">
        <f ca="1"/>
        <v>0</v>
      </c>
      <c r="AZ64" s="1">
        <f ca="1"/>
        <v>0</v>
      </c>
      <c r="BA64" s="1">
        <f ca="1"/>
        <v>0</v>
      </c>
      <c r="BB64" s="1">
        <f ca="1"/>
        <v>0</v>
      </c>
      <c r="BC64" s="1">
        <f ca="1"/>
        <v>0</v>
      </c>
      <c r="BD64" s="1">
        <f ca="1"/>
        <v>0</v>
      </c>
      <c r="BE64" s="1">
        <f ca="1"/>
        <v>0</v>
      </c>
      <c r="BF64" s="1">
        <f ca="1"/>
        <v>0</v>
      </c>
      <c r="BG64" s="1">
        <f ca="1"/>
        <v>0</v>
      </c>
      <c r="BH64" s="1">
        <f ca="1"/>
        <v>0</v>
      </c>
      <c r="BI64" s="1">
        <f ca="1"/>
        <v>0</v>
      </c>
      <c r="BJ64" s="1">
        <f ca="1"/>
        <v>0</v>
      </c>
      <c r="BK64" s="1">
        <f ca="1"/>
        <v>0</v>
      </c>
      <c r="BL64" s="1">
        <f ca="1"/>
        <v>0</v>
      </c>
      <c r="BM64" s="1">
        <f ca="1"/>
        <v>0</v>
      </c>
      <c r="BN64" s="1">
        <f ca="1"/>
        <v>0</v>
      </c>
      <c r="BO64" s="1">
        <f ca="1"/>
        <v>0.3328706558319417</v>
      </c>
      <c r="BP64" s="1">
        <f ca="1"/>
        <v>0.3328706558319417</v>
      </c>
      <c r="BQ64" s="1">
        <f ca="1"/>
        <v>0.3328706558319417</v>
      </c>
      <c r="BR64" s="1">
        <f ca="1"/>
        <v>0.3328706558319417</v>
      </c>
      <c r="BS64" s="1">
        <f ca="1"/>
        <v>0.3328706558319417</v>
      </c>
      <c r="BT64" s="1">
        <f ca="1"/>
        <v>0.3328706558319417</v>
      </c>
    </row>
    <row r="65" spans="5:72" x14ac:dyDescent="0.2">
      <c r="E65" s="3">
        <v>0.05</v>
      </c>
      <c r="F65" s="1">
        <f ca="1"/>
        <v>0.79888957399666016</v>
      </c>
      <c r="G65" s="3">
        <f ca="1"/>
        <v>4.9999999999999822E-2</v>
      </c>
      <c r="H65" s="3">
        <f ca="1"/>
        <v>4.9896121783964492E-2</v>
      </c>
      <c r="I65">
        <v>54</v>
      </c>
      <c r="J65" s="2">
        <v>4.5</v>
      </c>
      <c r="M65" s="1">
        <f ca="1"/>
        <v>0</v>
      </c>
      <c r="N65" s="1">
        <f ca="1"/>
        <v>0</v>
      </c>
      <c r="O65" s="1">
        <f ca="1"/>
        <v>0</v>
      </c>
      <c r="P65" s="1">
        <f ca="1"/>
        <v>0</v>
      </c>
      <c r="Q65" s="1">
        <f ca="1"/>
        <v>0</v>
      </c>
      <c r="R65" s="1">
        <f ca="1"/>
        <v>0</v>
      </c>
      <c r="S65" s="1">
        <f ca="1"/>
        <v>0</v>
      </c>
      <c r="T65" s="1">
        <f ca="1"/>
        <v>0</v>
      </c>
      <c r="U65" s="1">
        <f ca="1"/>
        <v>0</v>
      </c>
      <c r="V65" s="1">
        <f ca="1"/>
        <v>0</v>
      </c>
      <c r="W65" s="1">
        <f ca="1"/>
        <v>0</v>
      </c>
      <c r="X65" s="1">
        <f ca="1"/>
        <v>0</v>
      </c>
      <c r="Y65" s="1">
        <f ca="1"/>
        <v>0</v>
      </c>
      <c r="Z65" s="1">
        <f ca="1"/>
        <v>0</v>
      </c>
      <c r="AA65" s="1">
        <f ca="1"/>
        <v>0</v>
      </c>
      <c r="AB65" s="1">
        <f ca="1"/>
        <v>0</v>
      </c>
      <c r="AC65" s="1">
        <f ca="1"/>
        <v>0</v>
      </c>
      <c r="AD65" s="1">
        <f ca="1"/>
        <v>0</v>
      </c>
      <c r="AE65" s="1">
        <f ca="1"/>
        <v>0</v>
      </c>
      <c r="AF65" s="1">
        <f ca="1"/>
        <v>0</v>
      </c>
      <c r="AG65" s="1">
        <f ca="1"/>
        <v>0</v>
      </c>
      <c r="AH65" s="1">
        <f ca="1"/>
        <v>0</v>
      </c>
      <c r="AI65" s="1">
        <f ca="1"/>
        <v>0</v>
      </c>
      <c r="AJ65" s="1">
        <f ca="1"/>
        <v>0</v>
      </c>
      <c r="AK65" s="1">
        <f ca="1"/>
        <v>0</v>
      </c>
      <c r="AL65" s="1">
        <f ca="1"/>
        <v>0</v>
      </c>
      <c r="AM65" s="1">
        <f ca="1"/>
        <v>0</v>
      </c>
      <c r="AN65" s="1">
        <f ca="1"/>
        <v>0</v>
      </c>
      <c r="AO65" s="1">
        <f ca="1"/>
        <v>0</v>
      </c>
      <c r="AP65" s="1">
        <f ca="1"/>
        <v>0</v>
      </c>
      <c r="AQ65" s="1">
        <f ca="1"/>
        <v>0</v>
      </c>
      <c r="AR65" s="1">
        <f ca="1"/>
        <v>0</v>
      </c>
      <c r="AS65" s="1">
        <f ca="1"/>
        <v>0</v>
      </c>
      <c r="AT65" s="1">
        <f ca="1"/>
        <v>0</v>
      </c>
      <c r="AU65" s="1">
        <f ca="1"/>
        <v>0</v>
      </c>
      <c r="AV65" s="1">
        <f ca="1"/>
        <v>0</v>
      </c>
      <c r="AW65" s="1">
        <f ca="1"/>
        <v>0</v>
      </c>
      <c r="AX65" s="1">
        <f ca="1"/>
        <v>0</v>
      </c>
      <c r="AY65" s="1">
        <f ca="1"/>
        <v>0</v>
      </c>
      <c r="AZ65" s="1">
        <f ca="1"/>
        <v>0</v>
      </c>
      <c r="BA65" s="1">
        <f ca="1"/>
        <v>0</v>
      </c>
      <c r="BB65" s="1">
        <f ca="1"/>
        <v>0</v>
      </c>
      <c r="BC65" s="1">
        <f ca="1"/>
        <v>0</v>
      </c>
      <c r="BD65" s="1">
        <f ca="1"/>
        <v>0</v>
      </c>
      <c r="BE65" s="1">
        <f ca="1"/>
        <v>0</v>
      </c>
      <c r="BF65" s="1">
        <f ca="1"/>
        <v>0</v>
      </c>
      <c r="BG65" s="1">
        <f ca="1"/>
        <v>0</v>
      </c>
      <c r="BH65" s="1">
        <f ca="1"/>
        <v>0</v>
      </c>
      <c r="BI65" s="1">
        <f ca="1"/>
        <v>0</v>
      </c>
      <c r="BJ65" s="1">
        <f ca="1"/>
        <v>0</v>
      </c>
      <c r="BK65" s="1">
        <f ca="1"/>
        <v>0</v>
      </c>
      <c r="BL65" s="1">
        <f ca="1"/>
        <v>0</v>
      </c>
      <c r="BM65" s="1">
        <f ca="1"/>
        <v>0</v>
      </c>
      <c r="BN65" s="1">
        <f ca="1"/>
        <v>0</v>
      </c>
      <c r="BO65" s="1">
        <f ca="1"/>
        <v>0</v>
      </c>
      <c r="BP65" s="1">
        <f ca="1"/>
        <v>0.3314894497911452</v>
      </c>
      <c r="BQ65" s="1">
        <f ca="1"/>
        <v>0.3314894497911452</v>
      </c>
      <c r="BR65" s="1">
        <f ca="1"/>
        <v>0.3314894497911452</v>
      </c>
      <c r="BS65" s="1">
        <f ca="1"/>
        <v>0.3314894497911452</v>
      </c>
      <c r="BT65" s="1">
        <f ca="1"/>
        <v>0.3314894497911452</v>
      </c>
    </row>
    <row r="66" spans="5:72" x14ac:dyDescent="0.2">
      <c r="E66" s="3">
        <v>0.05</v>
      </c>
      <c r="F66" s="1">
        <f ca="1"/>
        <v>0.79557467949874849</v>
      </c>
      <c r="G66" s="3">
        <f ca="1"/>
        <v>4.9999999999999822E-2</v>
      </c>
      <c r="H66" s="3">
        <f ca="1"/>
        <v>4.9896121783964548E-2</v>
      </c>
      <c r="I66">
        <v>55</v>
      </c>
      <c r="J66" s="2">
        <v>4.583333333333333</v>
      </c>
      <c r="M66" s="1">
        <f ca="1"/>
        <v>0</v>
      </c>
      <c r="N66" s="1">
        <f ca="1"/>
        <v>0</v>
      </c>
      <c r="O66" s="1">
        <f ca="1"/>
        <v>0</v>
      </c>
      <c r="P66" s="1">
        <f ca="1"/>
        <v>0</v>
      </c>
      <c r="Q66" s="1">
        <f ca="1"/>
        <v>0</v>
      </c>
      <c r="R66" s="1">
        <f ca="1"/>
        <v>0</v>
      </c>
      <c r="S66" s="1">
        <f ca="1"/>
        <v>0</v>
      </c>
      <c r="T66" s="1">
        <f ca="1"/>
        <v>0</v>
      </c>
      <c r="U66" s="1">
        <f ca="1"/>
        <v>0</v>
      </c>
      <c r="V66" s="1">
        <f ca="1"/>
        <v>0</v>
      </c>
      <c r="W66" s="1">
        <f ca="1"/>
        <v>0</v>
      </c>
      <c r="X66" s="1">
        <f ca="1"/>
        <v>0</v>
      </c>
      <c r="Y66" s="1">
        <f ca="1"/>
        <v>0</v>
      </c>
      <c r="Z66" s="1">
        <f ca="1"/>
        <v>0</v>
      </c>
      <c r="AA66" s="1">
        <f ca="1"/>
        <v>0</v>
      </c>
      <c r="AB66" s="1">
        <f ca="1"/>
        <v>0</v>
      </c>
      <c r="AC66" s="1">
        <f ca="1"/>
        <v>0</v>
      </c>
      <c r="AD66" s="1">
        <f ca="1"/>
        <v>0</v>
      </c>
      <c r="AE66" s="1">
        <f ca="1"/>
        <v>0</v>
      </c>
      <c r="AF66" s="1">
        <f ca="1"/>
        <v>0</v>
      </c>
      <c r="AG66" s="1">
        <f ca="1"/>
        <v>0</v>
      </c>
      <c r="AH66" s="1">
        <f ca="1"/>
        <v>0</v>
      </c>
      <c r="AI66" s="1">
        <f ca="1"/>
        <v>0</v>
      </c>
      <c r="AJ66" s="1">
        <f ca="1"/>
        <v>0</v>
      </c>
      <c r="AK66" s="1">
        <f ca="1"/>
        <v>0</v>
      </c>
      <c r="AL66" s="1">
        <f ca="1"/>
        <v>0</v>
      </c>
      <c r="AM66" s="1">
        <f ca="1"/>
        <v>0</v>
      </c>
      <c r="AN66" s="1">
        <f ca="1"/>
        <v>0</v>
      </c>
      <c r="AO66" s="1">
        <f ca="1"/>
        <v>0</v>
      </c>
      <c r="AP66" s="1">
        <f ca="1"/>
        <v>0</v>
      </c>
      <c r="AQ66" s="1">
        <f ca="1"/>
        <v>0</v>
      </c>
      <c r="AR66" s="1">
        <f ca="1"/>
        <v>0</v>
      </c>
      <c r="AS66" s="1">
        <f ca="1"/>
        <v>0</v>
      </c>
      <c r="AT66" s="1">
        <f ca="1"/>
        <v>0</v>
      </c>
      <c r="AU66" s="1">
        <f ca="1"/>
        <v>0</v>
      </c>
      <c r="AV66" s="1">
        <f ca="1"/>
        <v>0</v>
      </c>
      <c r="AW66" s="1">
        <f ca="1"/>
        <v>0</v>
      </c>
      <c r="AX66" s="1">
        <f ca="1"/>
        <v>0</v>
      </c>
      <c r="AY66" s="1">
        <f ca="1"/>
        <v>0</v>
      </c>
      <c r="AZ66" s="1">
        <f ca="1"/>
        <v>0</v>
      </c>
      <c r="BA66" s="1">
        <f ca="1"/>
        <v>0</v>
      </c>
      <c r="BB66" s="1">
        <f ca="1"/>
        <v>0</v>
      </c>
      <c r="BC66" s="1">
        <f ca="1"/>
        <v>0</v>
      </c>
      <c r="BD66" s="1">
        <f ca="1"/>
        <v>0</v>
      </c>
      <c r="BE66" s="1">
        <f ca="1"/>
        <v>0</v>
      </c>
      <c r="BF66" s="1">
        <f ca="1"/>
        <v>0</v>
      </c>
      <c r="BG66" s="1">
        <f ca="1"/>
        <v>0</v>
      </c>
      <c r="BH66" s="1">
        <f ca="1"/>
        <v>0</v>
      </c>
      <c r="BI66" s="1">
        <f ca="1"/>
        <v>0</v>
      </c>
      <c r="BJ66" s="1">
        <f ca="1"/>
        <v>0</v>
      </c>
      <c r="BK66" s="1">
        <f ca="1"/>
        <v>0</v>
      </c>
      <c r="BL66" s="1">
        <f ca="1"/>
        <v>0</v>
      </c>
      <c r="BM66" s="1">
        <f ca="1"/>
        <v>0</v>
      </c>
      <c r="BN66" s="1">
        <f ca="1"/>
        <v>0</v>
      </c>
      <c r="BO66" s="1">
        <f ca="1"/>
        <v>0</v>
      </c>
      <c r="BP66" s="1">
        <f ca="1"/>
        <v>0</v>
      </c>
      <c r="BQ66" s="1">
        <f ca="1"/>
        <v>0.33011397489574629</v>
      </c>
      <c r="BR66" s="1">
        <f ca="1"/>
        <v>0.33011397489574629</v>
      </c>
      <c r="BS66" s="1">
        <f ca="1"/>
        <v>0.33011397489574629</v>
      </c>
      <c r="BT66" s="1">
        <f ca="1"/>
        <v>0.33011397489574629</v>
      </c>
    </row>
    <row r="67" spans="5:72" x14ac:dyDescent="0.2">
      <c r="E67" s="3">
        <v>0.05</v>
      </c>
      <c r="F67" s="1">
        <f ca="1"/>
        <v>0.7922735397497912</v>
      </c>
      <c r="G67" s="3">
        <f ca="1"/>
        <v>4.9999999999999822E-2</v>
      </c>
      <c r="H67" s="3">
        <f ca="1"/>
        <v>4.9896121783964492E-2</v>
      </c>
      <c r="I67">
        <v>56</v>
      </c>
      <c r="J67" s="2">
        <v>4.666666666666667</v>
      </c>
      <c r="M67" s="1">
        <f ca="1"/>
        <v>0</v>
      </c>
      <c r="N67" s="1">
        <f ca="1"/>
        <v>0</v>
      </c>
      <c r="O67" s="1">
        <f ca="1"/>
        <v>0</v>
      </c>
      <c r="P67" s="1">
        <f ca="1"/>
        <v>0</v>
      </c>
      <c r="Q67" s="1">
        <f ca="1"/>
        <v>0</v>
      </c>
      <c r="R67" s="1">
        <f ca="1"/>
        <v>0</v>
      </c>
      <c r="S67" s="1">
        <f ca="1"/>
        <v>0</v>
      </c>
      <c r="T67" s="1">
        <f ca="1"/>
        <v>0</v>
      </c>
      <c r="U67" s="1">
        <f ca="1"/>
        <v>0</v>
      </c>
      <c r="V67" s="1">
        <f ca="1"/>
        <v>0</v>
      </c>
      <c r="W67" s="1">
        <f ca="1"/>
        <v>0</v>
      </c>
      <c r="X67" s="1">
        <f ca="1"/>
        <v>0</v>
      </c>
      <c r="Y67" s="1">
        <f ca="1"/>
        <v>0</v>
      </c>
      <c r="Z67" s="1">
        <f ca="1"/>
        <v>0</v>
      </c>
      <c r="AA67" s="1">
        <f ca="1"/>
        <v>0</v>
      </c>
      <c r="AB67" s="1">
        <f ca="1"/>
        <v>0</v>
      </c>
      <c r="AC67" s="1">
        <f ca="1"/>
        <v>0</v>
      </c>
      <c r="AD67" s="1">
        <f ca="1"/>
        <v>0</v>
      </c>
      <c r="AE67" s="1">
        <f ca="1"/>
        <v>0</v>
      </c>
      <c r="AF67" s="1">
        <f ca="1"/>
        <v>0</v>
      </c>
      <c r="AG67" s="1">
        <f ca="1"/>
        <v>0</v>
      </c>
      <c r="AH67" s="1">
        <f ca="1"/>
        <v>0</v>
      </c>
      <c r="AI67" s="1">
        <f ca="1"/>
        <v>0</v>
      </c>
      <c r="AJ67" s="1">
        <f ca="1"/>
        <v>0</v>
      </c>
      <c r="AK67" s="1">
        <f ca="1"/>
        <v>0</v>
      </c>
      <c r="AL67" s="1">
        <f ca="1"/>
        <v>0</v>
      </c>
      <c r="AM67" s="1">
        <f ca="1"/>
        <v>0</v>
      </c>
      <c r="AN67" s="1">
        <f ca="1"/>
        <v>0</v>
      </c>
      <c r="AO67" s="1">
        <f ca="1"/>
        <v>0</v>
      </c>
      <c r="AP67" s="1">
        <f ca="1"/>
        <v>0</v>
      </c>
      <c r="AQ67" s="1">
        <f ca="1"/>
        <v>0</v>
      </c>
      <c r="AR67" s="1">
        <f ca="1"/>
        <v>0</v>
      </c>
      <c r="AS67" s="1">
        <f ca="1"/>
        <v>0</v>
      </c>
      <c r="AT67" s="1">
        <f ca="1"/>
        <v>0</v>
      </c>
      <c r="AU67" s="1">
        <f ca="1"/>
        <v>0</v>
      </c>
      <c r="AV67" s="1">
        <f ca="1"/>
        <v>0</v>
      </c>
      <c r="AW67" s="1">
        <f ca="1"/>
        <v>0</v>
      </c>
      <c r="AX67" s="1">
        <f ca="1"/>
        <v>0</v>
      </c>
      <c r="AY67" s="1">
        <f ca="1"/>
        <v>0</v>
      </c>
      <c r="AZ67" s="1">
        <f ca="1"/>
        <v>0</v>
      </c>
      <c r="BA67" s="1">
        <f ca="1"/>
        <v>0</v>
      </c>
      <c r="BB67" s="1">
        <f ca="1"/>
        <v>0</v>
      </c>
      <c r="BC67" s="1">
        <f ca="1"/>
        <v>0</v>
      </c>
      <c r="BD67" s="1">
        <f ca="1"/>
        <v>0</v>
      </c>
      <c r="BE67" s="1">
        <f ca="1"/>
        <v>0</v>
      </c>
      <c r="BF67" s="1">
        <f ca="1"/>
        <v>0</v>
      </c>
      <c r="BG67" s="1">
        <f ca="1"/>
        <v>0</v>
      </c>
      <c r="BH67" s="1">
        <f ca="1"/>
        <v>0</v>
      </c>
      <c r="BI67" s="1">
        <f ca="1"/>
        <v>0</v>
      </c>
      <c r="BJ67" s="1">
        <f ca="1"/>
        <v>0</v>
      </c>
      <c r="BK67" s="1">
        <f ca="1"/>
        <v>0</v>
      </c>
      <c r="BL67" s="1">
        <f ca="1"/>
        <v>0</v>
      </c>
      <c r="BM67" s="1">
        <f ca="1"/>
        <v>0</v>
      </c>
      <c r="BN67" s="1">
        <f ca="1"/>
        <v>0</v>
      </c>
      <c r="BO67" s="1">
        <f ca="1"/>
        <v>0</v>
      </c>
      <c r="BP67" s="1">
        <f ca="1"/>
        <v>0</v>
      </c>
      <c r="BQ67" s="1">
        <f ca="1"/>
        <v>0</v>
      </c>
      <c r="BR67" s="1">
        <f ca="1"/>
        <v>0.32874420736505866</v>
      </c>
      <c r="BS67" s="1">
        <f ca="1"/>
        <v>0.32874420736505866</v>
      </c>
      <c r="BT67" s="1">
        <f ca="1"/>
        <v>0.32874420736505866</v>
      </c>
    </row>
    <row r="68" spans="5:72" x14ac:dyDescent="0.2">
      <c r="E68" s="3">
        <v>0.05</v>
      </c>
      <c r="F68" s="1">
        <f ca="1"/>
        <v>0.78898609767614081</v>
      </c>
      <c r="G68" s="3">
        <f ca="1"/>
        <v>4.9999999999999822E-2</v>
      </c>
      <c r="H68" s="3">
        <f ca="1"/>
        <v>4.9896121783964437E-2</v>
      </c>
      <c r="I68">
        <v>57</v>
      </c>
      <c r="J68" s="2">
        <v>4.75</v>
      </c>
      <c r="M68" s="1">
        <f ca="1"/>
        <v>0</v>
      </c>
      <c r="N68" s="1">
        <f ca="1"/>
        <v>0</v>
      </c>
      <c r="O68" s="1">
        <f ca="1"/>
        <v>0</v>
      </c>
      <c r="P68" s="1">
        <f ca="1"/>
        <v>0</v>
      </c>
      <c r="Q68" s="1">
        <f ca="1"/>
        <v>0</v>
      </c>
      <c r="R68" s="1">
        <f ca="1"/>
        <v>0</v>
      </c>
      <c r="S68" s="1">
        <f ca="1"/>
        <v>0</v>
      </c>
      <c r="T68" s="1">
        <f ca="1"/>
        <v>0</v>
      </c>
      <c r="U68" s="1">
        <f ca="1"/>
        <v>0</v>
      </c>
      <c r="V68" s="1">
        <f ca="1"/>
        <v>0</v>
      </c>
      <c r="W68" s="1">
        <f ca="1"/>
        <v>0</v>
      </c>
      <c r="X68" s="1">
        <f ca="1"/>
        <v>0</v>
      </c>
      <c r="Y68" s="1">
        <f ca="1"/>
        <v>0</v>
      </c>
      <c r="Z68" s="1">
        <f ca="1"/>
        <v>0</v>
      </c>
      <c r="AA68" s="1">
        <f ca="1"/>
        <v>0</v>
      </c>
      <c r="AB68" s="1">
        <f ca="1"/>
        <v>0</v>
      </c>
      <c r="AC68" s="1">
        <f ca="1"/>
        <v>0</v>
      </c>
      <c r="AD68" s="1">
        <f ca="1"/>
        <v>0</v>
      </c>
      <c r="AE68" s="1">
        <f ca="1"/>
        <v>0</v>
      </c>
      <c r="AF68" s="1">
        <f ca="1"/>
        <v>0</v>
      </c>
      <c r="AG68" s="1">
        <f ca="1"/>
        <v>0</v>
      </c>
      <c r="AH68" s="1">
        <f ca="1"/>
        <v>0</v>
      </c>
      <c r="AI68" s="1">
        <f ca="1"/>
        <v>0</v>
      </c>
      <c r="AJ68" s="1">
        <f ca="1"/>
        <v>0</v>
      </c>
      <c r="AK68" s="1">
        <f ca="1"/>
        <v>0</v>
      </c>
      <c r="AL68" s="1">
        <f ca="1"/>
        <v>0</v>
      </c>
      <c r="AM68" s="1">
        <f ca="1"/>
        <v>0</v>
      </c>
      <c r="AN68" s="1">
        <f ca="1"/>
        <v>0</v>
      </c>
      <c r="AO68" s="1">
        <f ca="1"/>
        <v>0</v>
      </c>
      <c r="AP68" s="1">
        <f ca="1"/>
        <v>0</v>
      </c>
      <c r="AQ68" s="1">
        <f ca="1"/>
        <v>0</v>
      </c>
      <c r="AR68" s="1">
        <f ca="1"/>
        <v>0</v>
      </c>
      <c r="AS68" s="1">
        <f ca="1"/>
        <v>0</v>
      </c>
      <c r="AT68" s="1">
        <f ca="1"/>
        <v>0</v>
      </c>
      <c r="AU68" s="1">
        <f ca="1"/>
        <v>0</v>
      </c>
      <c r="AV68" s="1">
        <f ca="1"/>
        <v>0</v>
      </c>
      <c r="AW68" s="1">
        <f ca="1"/>
        <v>0</v>
      </c>
      <c r="AX68" s="1">
        <f ca="1"/>
        <v>0</v>
      </c>
      <c r="AY68" s="1">
        <f ca="1"/>
        <v>0</v>
      </c>
      <c r="AZ68" s="1">
        <f ca="1"/>
        <v>0</v>
      </c>
      <c r="BA68" s="1">
        <f ca="1"/>
        <v>0</v>
      </c>
      <c r="BB68" s="1">
        <f ca="1"/>
        <v>0</v>
      </c>
      <c r="BC68" s="1">
        <f ca="1"/>
        <v>0</v>
      </c>
      <c r="BD68" s="1">
        <f ca="1"/>
        <v>0</v>
      </c>
      <c r="BE68" s="1">
        <f ca="1"/>
        <v>0</v>
      </c>
      <c r="BF68" s="1">
        <f ca="1"/>
        <v>0</v>
      </c>
      <c r="BG68" s="1">
        <f ca="1"/>
        <v>0</v>
      </c>
      <c r="BH68" s="1">
        <f ca="1"/>
        <v>0</v>
      </c>
      <c r="BI68" s="1">
        <f ca="1"/>
        <v>0</v>
      </c>
      <c r="BJ68" s="1">
        <f ca="1"/>
        <v>0</v>
      </c>
      <c r="BK68" s="1">
        <f ca="1"/>
        <v>0</v>
      </c>
      <c r="BL68" s="1">
        <f ca="1"/>
        <v>0</v>
      </c>
      <c r="BM68" s="1">
        <f ca="1"/>
        <v>0</v>
      </c>
      <c r="BN68" s="1">
        <f ca="1"/>
        <v>0</v>
      </c>
      <c r="BO68" s="1">
        <f ca="1"/>
        <v>0</v>
      </c>
      <c r="BP68" s="1">
        <f ca="1"/>
        <v>0</v>
      </c>
      <c r="BQ68" s="1">
        <f ca="1"/>
        <v>0</v>
      </c>
      <c r="BR68" s="1">
        <f ca="1"/>
        <v>0</v>
      </c>
      <c r="BS68" s="1">
        <f ca="1"/>
        <v>0.32738012351707074</v>
      </c>
      <c r="BT68" s="1">
        <f ca="1"/>
        <v>0.32738012351707074</v>
      </c>
    </row>
    <row r="69" spans="5:72" x14ac:dyDescent="0.2">
      <c r="E69" s="3">
        <v>0.05</v>
      </c>
      <c r="F69" s="1">
        <f ca="1"/>
        <v>0.78571229644096985</v>
      </c>
      <c r="G69" s="3">
        <f ca="1"/>
        <v>4.9999999999999822E-2</v>
      </c>
      <c r="H69" s="3">
        <f ca="1"/>
        <v>4.9896121783964506E-2</v>
      </c>
      <c r="I69">
        <v>58</v>
      </c>
      <c r="J69" s="2">
        <v>4.833333333333333</v>
      </c>
      <c r="M69" s="1">
        <f ca="1"/>
        <v>0</v>
      </c>
      <c r="N69" s="1">
        <f ca="1"/>
        <v>0</v>
      </c>
      <c r="O69" s="1">
        <f ca="1"/>
        <v>0</v>
      </c>
      <c r="P69" s="1">
        <f ca="1"/>
        <v>0</v>
      </c>
      <c r="Q69" s="1">
        <f ca="1"/>
        <v>0</v>
      </c>
      <c r="R69" s="1">
        <f ca="1"/>
        <v>0</v>
      </c>
      <c r="S69" s="1">
        <f ca="1"/>
        <v>0</v>
      </c>
      <c r="T69" s="1">
        <f ca="1"/>
        <v>0</v>
      </c>
      <c r="U69" s="1">
        <f ca="1"/>
        <v>0</v>
      </c>
      <c r="V69" s="1">
        <f ca="1"/>
        <v>0</v>
      </c>
      <c r="W69" s="1">
        <f ca="1"/>
        <v>0</v>
      </c>
      <c r="X69" s="1">
        <f ca="1"/>
        <v>0</v>
      </c>
      <c r="Y69" s="1">
        <f ca="1"/>
        <v>0</v>
      </c>
      <c r="Z69" s="1">
        <f ca="1"/>
        <v>0</v>
      </c>
      <c r="AA69" s="1">
        <f ca="1"/>
        <v>0</v>
      </c>
      <c r="AB69" s="1">
        <f ca="1"/>
        <v>0</v>
      </c>
      <c r="AC69" s="1">
        <f ca="1"/>
        <v>0</v>
      </c>
      <c r="AD69" s="1">
        <f ca="1"/>
        <v>0</v>
      </c>
      <c r="AE69" s="1">
        <f ca="1"/>
        <v>0</v>
      </c>
      <c r="AF69" s="1">
        <f ca="1"/>
        <v>0</v>
      </c>
      <c r="AG69" s="1">
        <f ca="1"/>
        <v>0</v>
      </c>
      <c r="AH69" s="1">
        <f ca="1"/>
        <v>0</v>
      </c>
      <c r="AI69" s="1">
        <f ca="1"/>
        <v>0</v>
      </c>
      <c r="AJ69" s="1">
        <f ca="1"/>
        <v>0</v>
      </c>
      <c r="AK69" s="1">
        <f ca="1"/>
        <v>0</v>
      </c>
      <c r="AL69" s="1">
        <f ca="1"/>
        <v>0</v>
      </c>
      <c r="AM69" s="1">
        <f ca="1"/>
        <v>0</v>
      </c>
      <c r="AN69" s="1">
        <f ca="1"/>
        <v>0</v>
      </c>
      <c r="AO69" s="1">
        <f ca="1"/>
        <v>0</v>
      </c>
      <c r="AP69" s="1">
        <f ca="1"/>
        <v>0</v>
      </c>
      <c r="AQ69" s="1">
        <f ca="1"/>
        <v>0</v>
      </c>
      <c r="AR69" s="1">
        <f ca="1"/>
        <v>0</v>
      </c>
      <c r="AS69" s="1">
        <f ca="1"/>
        <v>0</v>
      </c>
      <c r="AT69" s="1">
        <f ca="1"/>
        <v>0</v>
      </c>
      <c r="AU69" s="1">
        <f ca="1"/>
        <v>0</v>
      </c>
      <c r="AV69" s="1">
        <f ca="1"/>
        <v>0</v>
      </c>
      <c r="AW69" s="1">
        <f ca="1"/>
        <v>0</v>
      </c>
      <c r="AX69" s="1">
        <f ca="1"/>
        <v>0</v>
      </c>
      <c r="AY69" s="1">
        <f ca="1"/>
        <v>0</v>
      </c>
      <c r="AZ69" s="1">
        <f ca="1"/>
        <v>0</v>
      </c>
      <c r="BA69" s="1">
        <f ca="1"/>
        <v>0</v>
      </c>
      <c r="BB69" s="1">
        <f ca="1"/>
        <v>0</v>
      </c>
      <c r="BC69" s="1">
        <f ca="1"/>
        <v>0</v>
      </c>
      <c r="BD69" s="1">
        <f ca="1"/>
        <v>0</v>
      </c>
      <c r="BE69" s="1">
        <f ca="1"/>
        <v>0</v>
      </c>
      <c r="BF69" s="1">
        <f ca="1"/>
        <v>0</v>
      </c>
      <c r="BG69" s="1">
        <f ca="1"/>
        <v>0</v>
      </c>
      <c r="BH69" s="1">
        <f ca="1"/>
        <v>0</v>
      </c>
      <c r="BI69" s="1">
        <f ca="1"/>
        <v>0</v>
      </c>
      <c r="BJ69" s="1">
        <f ca="1"/>
        <v>0</v>
      </c>
      <c r="BK69" s="1">
        <f ca="1"/>
        <v>0</v>
      </c>
      <c r="BL69" s="1">
        <f ca="1"/>
        <v>0</v>
      </c>
      <c r="BM69" s="1">
        <f ca="1"/>
        <v>0</v>
      </c>
      <c r="BN69" s="1">
        <f ca="1"/>
        <v>0</v>
      </c>
      <c r="BO69" s="1">
        <f ca="1"/>
        <v>0</v>
      </c>
      <c r="BP69" s="1">
        <f ca="1"/>
        <v>0</v>
      </c>
      <c r="BQ69" s="1">
        <f ca="1"/>
        <v>0</v>
      </c>
      <c r="BR69" s="1">
        <f ca="1"/>
        <v>0</v>
      </c>
      <c r="BS69" s="1">
        <f ca="1"/>
        <v>0</v>
      </c>
      <c r="BT69" s="1">
        <f ca="1"/>
        <v>0.3260216997680373</v>
      </c>
    </row>
    <row r="70" spans="5:72" x14ac:dyDescent="0.2">
      <c r="E70" s="3">
        <v>0.05</v>
      </c>
      <c r="F70" s="1">
        <f ca="1"/>
        <v>0.78245207944328965</v>
      </c>
      <c r="G70" s="3">
        <f ca="1"/>
        <v>4.9999999999999822E-2</v>
      </c>
      <c r="H70" s="3">
        <f ca="1"/>
        <v>4.9896121783964451E-2</v>
      </c>
      <c r="I70">
        <v>59</v>
      </c>
      <c r="J70" s="2">
        <v>4.916666666666667</v>
      </c>
      <c r="M70" s="1">
        <f ca="1"/>
        <v>0</v>
      </c>
      <c r="N70" s="1">
        <f ca="1"/>
        <v>0</v>
      </c>
      <c r="O70" s="1">
        <f ca="1"/>
        <v>0</v>
      </c>
      <c r="P70" s="1">
        <f ca="1"/>
        <v>0</v>
      </c>
      <c r="Q70" s="1">
        <f ca="1"/>
        <v>0</v>
      </c>
      <c r="R70" s="1">
        <f ca="1"/>
        <v>0</v>
      </c>
      <c r="S70" s="1">
        <f ca="1"/>
        <v>0</v>
      </c>
      <c r="T70" s="1">
        <f ca="1"/>
        <v>0</v>
      </c>
      <c r="U70" s="1">
        <f ca="1"/>
        <v>0</v>
      </c>
      <c r="V70" s="1">
        <f ca="1"/>
        <v>0</v>
      </c>
      <c r="W70" s="1">
        <f ca="1"/>
        <v>0</v>
      </c>
      <c r="X70" s="1">
        <f ca="1"/>
        <v>0</v>
      </c>
      <c r="Y70" s="1">
        <f ca="1"/>
        <v>0</v>
      </c>
      <c r="Z70" s="1">
        <f ca="1"/>
        <v>0</v>
      </c>
      <c r="AA70" s="1">
        <f ca="1"/>
        <v>0</v>
      </c>
      <c r="AB70" s="1">
        <f ca="1"/>
        <v>0</v>
      </c>
      <c r="AC70" s="1">
        <f ca="1"/>
        <v>0</v>
      </c>
      <c r="AD70" s="1">
        <f ca="1"/>
        <v>0</v>
      </c>
      <c r="AE70" s="1">
        <f ca="1"/>
        <v>0</v>
      </c>
      <c r="AF70" s="1">
        <f ca="1"/>
        <v>0</v>
      </c>
      <c r="AG70" s="1">
        <f ca="1"/>
        <v>0</v>
      </c>
      <c r="AH70" s="1">
        <f ca="1"/>
        <v>0</v>
      </c>
      <c r="AI70" s="1">
        <f ca="1"/>
        <v>0</v>
      </c>
      <c r="AJ70" s="1">
        <f ca="1"/>
        <v>0</v>
      </c>
      <c r="AK70" s="1">
        <f ca="1"/>
        <v>0</v>
      </c>
      <c r="AL70" s="1">
        <f ca="1"/>
        <v>0</v>
      </c>
      <c r="AM70" s="1">
        <f ca="1"/>
        <v>0</v>
      </c>
      <c r="AN70" s="1">
        <f ca="1"/>
        <v>0</v>
      </c>
      <c r="AO70" s="1">
        <f ca="1"/>
        <v>0</v>
      </c>
      <c r="AP70" s="1">
        <f ca="1"/>
        <v>0</v>
      </c>
      <c r="AQ70" s="1">
        <f ca="1"/>
        <v>0</v>
      </c>
      <c r="AR70" s="1">
        <f ca="1"/>
        <v>0</v>
      </c>
      <c r="AS70" s="1">
        <f ca="1"/>
        <v>0</v>
      </c>
      <c r="AT70" s="1">
        <f ca="1"/>
        <v>0</v>
      </c>
      <c r="AU70" s="1">
        <f ca="1"/>
        <v>0</v>
      </c>
      <c r="AV70" s="1">
        <f ca="1"/>
        <v>0</v>
      </c>
      <c r="AW70" s="1">
        <f ca="1"/>
        <v>0</v>
      </c>
      <c r="AX70" s="1">
        <f ca="1"/>
        <v>0</v>
      </c>
      <c r="AY70" s="1">
        <f ca="1"/>
        <v>0</v>
      </c>
      <c r="AZ70" s="1">
        <f ca="1"/>
        <v>0</v>
      </c>
      <c r="BA70" s="1">
        <f ca="1"/>
        <v>0</v>
      </c>
      <c r="BB70" s="1">
        <f ca="1"/>
        <v>0</v>
      </c>
      <c r="BC70" s="1">
        <f ca="1"/>
        <v>0</v>
      </c>
      <c r="BD70" s="1">
        <f ca="1"/>
        <v>0</v>
      </c>
      <c r="BE70" s="1">
        <f ca="1"/>
        <v>0</v>
      </c>
      <c r="BF70" s="1">
        <f ca="1"/>
        <v>0</v>
      </c>
      <c r="BG70" s="1">
        <f ca="1"/>
        <v>0</v>
      </c>
      <c r="BH70" s="1">
        <f ca="1"/>
        <v>0</v>
      </c>
      <c r="BI70" s="1">
        <f ca="1"/>
        <v>0</v>
      </c>
      <c r="BJ70" s="1">
        <f ca="1"/>
        <v>0</v>
      </c>
      <c r="BK70" s="1">
        <f ca="1"/>
        <v>0</v>
      </c>
      <c r="BL70" s="1">
        <f ca="1"/>
        <v>0</v>
      </c>
      <c r="BM70" s="1">
        <f ca="1"/>
        <v>0</v>
      </c>
      <c r="BN70" s="1">
        <f ca="1"/>
        <v>0</v>
      </c>
      <c r="BO70" s="1">
        <f ca="1"/>
        <v>0</v>
      </c>
      <c r="BP70" s="1">
        <f ca="1"/>
        <v>0</v>
      </c>
      <c r="BQ70" s="1">
        <f ca="1"/>
        <v>0</v>
      </c>
      <c r="BR70" s="1">
        <f ca="1"/>
        <v>0</v>
      </c>
      <c r="BS70" s="1">
        <f ca="1"/>
        <v>0</v>
      </c>
      <c r="BT70" s="1">
        <f ca="1"/>
        <v>0</v>
      </c>
    </row>
    <row r="71" spans="5:72" x14ac:dyDescent="0.2">
      <c r="E71" s="3">
        <v>0.05</v>
      </c>
      <c r="F71" s="1">
        <f ca="1"/>
        <v>0.77920539031696889</v>
      </c>
      <c r="G71" s="3">
        <f ca="1"/>
        <v>4.9999999999999822E-2</v>
      </c>
      <c r="H71" s="3">
        <f ca="1"/>
        <v>4.9896121783964464E-2</v>
      </c>
      <c r="I71">
        <v>60</v>
      </c>
      <c r="J71" s="2">
        <v>5</v>
      </c>
    </row>
  </sheetData>
  <mergeCells count="3">
    <mergeCell ref="E2:J8"/>
    <mergeCell ref="B2:C2"/>
    <mergeCell ref="B3:C3"/>
  </mergeCells>
  <conditionalFormatting sqref="M6:XFD6">
    <cfRule type="cellIs" priority="9" stopIfTrue="1" operator="equal">
      <formula>""</formula>
    </cfRule>
    <cfRule type="containsBlanks" priority="10" stopIfTrue="1">
      <formula>LEN(TRIM(M6))=0</formula>
    </cfRule>
    <cfRule type="cellIs" dxfId="15" priority="16" stopIfTrue="1" operator="equal">
      <formula>"PASS"</formula>
    </cfRule>
  </conditionalFormatting>
  <conditionalFormatting sqref="M6:XFD6">
    <cfRule type="cellIs" dxfId="14" priority="12" stopIfTrue="1" operator="equal">
      <formula>"FAIL"</formula>
    </cfRule>
  </conditionalFormatting>
  <conditionalFormatting sqref="M6:XFD6">
    <cfRule type="containsText" dxfId="13" priority="13" stopIfTrue="1" operator="containsText" text="No">
      <formula>NOT(ISERROR(SEARCH("No",M6)))</formula>
    </cfRule>
  </conditionalFormatting>
  <conditionalFormatting sqref="M6:XFD6">
    <cfRule type="cellIs" dxfId="12" priority="11" stopIfTrue="1" operator="equal">
      <formula>FALSE</formula>
    </cfRule>
    <cfRule type="cellIs" dxfId="11" priority="14" stopIfTrue="1" operator="equal">
      <formula>TRUE</formula>
    </cfRule>
    <cfRule type="containsText" dxfId="10" priority="15" stopIfTrue="1" operator="containsText" text="Yes">
      <formula>NOT(ISERROR(SEARCH("Yes",M6)))</formula>
    </cfRule>
  </conditionalFormatting>
  <conditionalFormatting sqref="C4">
    <cfRule type="cellIs" priority="1" stopIfTrue="1" operator="equal">
      <formula>""</formula>
    </cfRule>
    <cfRule type="containsBlanks" priority="2" stopIfTrue="1">
      <formula>LEN(TRIM(C4))=0</formula>
    </cfRule>
    <cfRule type="cellIs" dxfId="9" priority="8" stopIfTrue="1" operator="equal">
      <formula>"PASS"</formula>
    </cfRule>
  </conditionalFormatting>
  <conditionalFormatting sqref="C4">
    <cfRule type="cellIs" dxfId="8" priority="4" stopIfTrue="1" operator="equal">
      <formula>"FAIL"</formula>
    </cfRule>
  </conditionalFormatting>
  <conditionalFormatting sqref="C4">
    <cfRule type="containsText" dxfId="7" priority="5" stopIfTrue="1" operator="containsText" text="No">
      <formula>NOT(ISERROR(SEARCH("No",C4)))</formula>
    </cfRule>
  </conditionalFormatting>
  <conditionalFormatting sqref="C4">
    <cfRule type="cellIs" dxfId="6" priority="3" stopIfTrue="1" operator="equal">
      <formula>FALSE</formula>
    </cfRule>
    <cfRule type="cellIs" dxfId="5" priority="6" stopIfTrue="1" operator="equal">
      <formula>TRUE</formula>
    </cfRule>
    <cfRule type="containsText" dxfId="4" priority="7" stopIfTrue="1" operator="containsText" text="Yes">
      <formula>NOT(ISERROR(SEARCH("Yes",C4)))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C6DB2-DB03-43AB-A1C4-B68113E4D9B2}">
  <sheetPr codeName="Sheet2"/>
  <dimension ref="A1:A5"/>
  <sheetViews>
    <sheetView workbookViewId="0"/>
  </sheetViews>
  <sheetFormatPr defaultRowHeight="12" x14ac:dyDescent="0.2"/>
  <sheetData>
    <row r="1" spans="1:1" x14ac:dyDescent="0.2">
      <c r="A1" s="21" t="s">
        <v>25</v>
      </c>
    </row>
    <row r="2" spans="1:1" x14ac:dyDescent="0.2">
      <c r="A2" t="s">
        <v>12</v>
      </c>
    </row>
    <row r="3" spans="1:1" x14ac:dyDescent="0.2">
      <c r="A3" t="s">
        <v>24</v>
      </c>
    </row>
    <row r="4" spans="1:1" x14ac:dyDescent="0.2">
      <c r="A4" t="s">
        <v>23</v>
      </c>
    </row>
    <row r="5" spans="1:1" x14ac:dyDescent="0.2">
      <c r="A5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Array Formulae</vt:lpstr>
      <vt:lpstr>DataValidation</vt:lpstr>
      <vt:lpstr>Freq</vt:lpstr>
      <vt:lpstr>MaxTenor</vt:lpstr>
      <vt:lpstr>NbPeriods</vt:lpstr>
      <vt:lpstr>Par</vt:lpstr>
      <vt:lpstr>PeriodLength</vt:lpstr>
      <vt:lpstr>PeriodsPerYear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Shasa Foster</dc:creator>
  <cp:lastModifiedBy>Shasa Foster</cp:lastModifiedBy>
  <dcterms:created xsi:type="dcterms:W3CDTF">2025-02-26T06:49:26Z</dcterms:created>
  <dcterms:modified xsi:type="dcterms:W3CDTF">2025-02-28T03:16:15Z</dcterms:modified>
</cp:coreProperties>
</file>