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filterPrivacy="1" codeName="ThisWorkbook"/>
  <xr:revisionPtr revIDLastSave="0" documentId="13_ncr:1_{E97C3380-A8BD-4D96-93D4-934CFA371154}" xr6:coauthVersionLast="47" xr6:coauthVersionMax="47" xr10:uidLastSave="{00000000-0000-0000-0000-000000000000}"/>
  <bookViews>
    <workbookView xWindow="-120" yWindow="-120" windowWidth="29040" windowHeight="15720" xr2:uid="{38728B3C-6E10-490B-A31B-73F062BB067D}"/>
  </bookViews>
  <sheets>
    <sheet name="GK Pricer" sheetId="3" r:id="rId1"/>
    <sheet name="GK Bulk" sheetId="8" r:id="rId2"/>
    <sheet name="MonteCarlo" sheetId="7" r:id="rId3"/>
    <sheet name="Data Validation" sheetId="2" r:id="rId4"/>
  </sheets>
  <definedNames>
    <definedName name="CP">'GK Pricer'!$G$4</definedName>
    <definedName name="d1_">'GK Pricer'!$G$21</definedName>
    <definedName name="d2_">'GK Pricer'!$G$22</definedName>
    <definedName name="Domestic_Ccy_Notional">'GK Pricer'!$G$14</definedName>
    <definedName name="F">'GK Pricer'!$G$11</definedName>
    <definedName name="Foreign_Ccy_Notional">'GK Pricer'!$G$13</definedName>
    <definedName name="H">'GK Pricer'!$G$50</definedName>
    <definedName name="K">'GK Pricer'!$G$6</definedName>
    <definedName name="Methodology">'GK Pricer'!$C$17</definedName>
    <definedName name="Monte_Carlo_Runtime">MonteCarlo!$P$5</definedName>
    <definedName name="Notional_amount">'GK Pricer'!$C$14</definedName>
    <definedName name="Notional_Ccy">'GK Pricer'!$C$15</definedName>
    <definedName name="Number_Of_Refreshes">MonteCarlo!$P$3</definedName>
    <definedName name="q_">'GK Pricer'!$G$16</definedName>
    <definedName name="r_">'GK Pricer'!$G$15</definedName>
    <definedName name="r_d">'GK Pricer'!$G$7</definedName>
    <definedName name="r_d_basis_adj">'GK Pricer'!$G$12</definedName>
    <definedName name="r_f">'GK Pricer'!$G$8</definedName>
    <definedName name="ResultCurrency">'GK Pricer'!$L$3</definedName>
    <definedName name="ResultDomesticFXSpotRate">'GK Pricer'!$L$4</definedName>
    <definedName name="ResultNotionalFXSpotRate">'GK Pricer'!$L$5</definedName>
    <definedName name="S0">'GK Pricer'!$G$5</definedName>
    <definedName name="T">'GK Pricer'!$G$10</definedName>
    <definedName name="μ">'GK Pricer'!$G$17</definedName>
    <definedName name="σ">'GK Pricer'!$G$9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7" l="1"/>
  <c r="K9" i="7"/>
  <c r="K6" i="7"/>
  <c r="M6" i="7"/>
  <c r="L5" i="3"/>
  <c r="M5" i="7"/>
  <c r="K10" i="7"/>
  <c r="K8" i="7"/>
  <c r="M3" i="7"/>
  <c r="M8" i="7"/>
  <c r="M10" i="7"/>
  <c r="AL2" i="8"/>
  <c r="J15" i="7"/>
  <c r="L15" i="7"/>
  <c r="P4" i="7" l="1"/>
  <c r="I15" i="7"/>
  <c r="P6" i="7"/>
  <c r="M22" i="3"/>
  <c r="M21" i="3"/>
  <c r="M17" i="3"/>
  <c r="M16" i="3"/>
  <c r="M15" i="3"/>
  <c r="M14" i="3"/>
  <c r="M13" i="3"/>
  <c r="M12" i="3"/>
  <c r="M11" i="3"/>
  <c r="M10" i="3"/>
  <c r="M9" i="3"/>
  <c r="X5" i="8"/>
  <c r="X6" i="8"/>
  <c r="Q6" i="8" a="1"/>
  <c r="Q6" i="8" s="1"/>
  <c r="R6" i="8"/>
  <c r="T6" i="8" s="1"/>
  <c r="U6" i="8" s="1"/>
  <c r="Y6" i="8" s="1" a="1"/>
  <c r="Y6" i="8" s="1"/>
  <c r="S6" i="8"/>
  <c r="V6" i="8" a="1"/>
  <c r="V6" i="8" s="1"/>
  <c r="W6" i="8" a="1"/>
  <c r="W6" i="8" s="1"/>
  <c r="Z6" i="8"/>
  <c r="Z5" i="8"/>
  <c r="W5" i="8" a="1"/>
  <c r="W5" i="8" s="1"/>
  <c r="V5" i="8" a="1"/>
  <c r="V5" i="8" s="1"/>
  <c r="S5" i="8"/>
  <c r="Q5" i="8" a="1"/>
  <c r="Q5" i="8" s="1"/>
  <c r="R5" i="8"/>
  <c r="T5" i="8" s="1"/>
  <c r="U5" i="8" s="1"/>
  <c r="Y5" i="8" s="1" a="1"/>
  <c r="Y5" i="8" s="1"/>
  <c r="AA6" i="8" l="1" a="1"/>
  <c r="AA6" i="8" s="1"/>
  <c r="AB6" i="8" s="1"/>
  <c r="AA5" i="8" a="1"/>
  <c r="AA5" i="8" s="1"/>
  <c r="AB5" i="8" s="1"/>
  <c r="AI5" i="8" l="1"/>
  <c r="AQ5" i="8" s="1"/>
  <c r="AF5" i="8"/>
  <c r="AN5" i="8" s="1"/>
  <c r="AC6" i="8"/>
  <c r="AK6" i="8" s="1"/>
  <c r="AS6" i="8" s="1"/>
  <c r="AF6" i="8"/>
  <c r="AN6" i="8" s="1"/>
  <c r="AE6" i="8"/>
  <c r="AM6" i="8" s="1"/>
  <c r="AE5" i="8"/>
  <c r="AM5" i="8" s="1"/>
  <c r="AI6" i="8"/>
  <c r="AQ6" i="8" s="1"/>
  <c r="AC5" i="8"/>
  <c r="AK5" i="8" s="1"/>
  <c r="AS5" i="8" s="1"/>
  <c r="AD6" i="8" l="1"/>
  <c r="AL6" i="8" s="1"/>
  <c r="AH6" i="8"/>
  <c r="AP6" i="8" s="1"/>
  <c r="AH5" i="8"/>
  <c r="AP5" i="8" s="1"/>
  <c r="AD5" i="8"/>
  <c r="AL5" i="8" s="1"/>
  <c r="H39" i="3" l="1"/>
  <c r="G13" i="3"/>
  <c r="J3" i="7" s="1"/>
  <c r="G14" i="3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B4016" i="7"/>
  <c r="B4017" i="7" s="1"/>
  <c r="B4018" i="7" s="1"/>
  <c r="B4019" i="7" s="1"/>
  <c r="B4020" i="7" s="1"/>
  <c r="B4021" i="7" s="1"/>
  <c r="B4022" i="7" s="1"/>
  <c r="B4023" i="7" s="1"/>
  <c r="B4024" i="7" s="1"/>
  <c r="B4025" i="7" s="1"/>
  <c r="B4026" i="7" s="1"/>
  <c r="B4027" i="7" s="1"/>
  <c r="B4028" i="7" s="1"/>
  <c r="B4029" i="7" s="1"/>
  <c r="B4030" i="7" s="1"/>
  <c r="B4031" i="7" s="1"/>
  <c r="B4032" i="7" s="1"/>
  <c r="B4033" i="7" s="1"/>
  <c r="B4034" i="7" s="1"/>
  <c r="B4035" i="7" s="1"/>
  <c r="B4036" i="7" s="1"/>
  <c r="B4037" i="7" s="1"/>
  <c r="B4038" i="7" s="1"/>
  <c r="B4039" i="7" s="1"/>
  <c r="B4040" i="7" s="1"/>
  <c r="B4041" i="7" s="1"/>
  <c r="B4042" i="7" s="1"/>
  <c r="B4043" i="7" s="1"/>
  <c r="B4044" i="7" s="1"/>
  <c r="B4045" i="7" s="1"/>
  <c r="B4046" i="7" s="1"/>
  <c r="B4047" i="7" s="1"/>
  <c r="B4048" i="7" s="1"/>
  <c r="B4049" i="7" s="1"/>
  <c r="B4050" i="7" s="1"/>
  <c r="B4051" i="7" s="1"/>
  <c r="B4052" i="7" s="1"/>
  <c r="B4053" i="7" s="1"/>
  <c r="B4054" i="7" s="1"/>
  <c r="B4055" i="7" s="1"/>
  <c r="B4056" i="7" s="1"/>
  <c r="B4057" i="7" s="1"/>
  <c r="B4058" i="7" s="1"/>
  <c r="B4059" i="7" s="1"/>
  <c r="B4060" i="7" s="1"/>
  <c r="B4061" i="7" s="1"/>
  <c r="B4062" i="7" s="1"/>
  <c r="B4063" i="7" s="1"/>
  <c r="B4064" i="7" s="1"/>
  <c r="B4065" i="7" s="1"/>
  <c r="B4066" i="7" s="1"/>
  <c r="B4067" i="7" s="1"/>
  <c r="B4068" i="7" s="1"/>
  <c r="B4069" i="7" s="1"/>
  <c r="B4070" i="7" s="1"/>
  <c r="B4071" i="7" s="1"/>
  <c r="B4072" i="7" s="1"/>
  <c r="B4073" i="7" s="1"/>
  <c r="B4074" i="7" s="1"/>
  <c r="B4075" i="7" s="1"/>
  <c r="B4076" i="7" s="1"/>
  <c r="B4077" i="7" s="1"/>
  <c r="B4078" i="7" s="1"/>
  <c r="B4079" i="7" s="1"/>
  <c r="B4080" i="7" s="1"/>
  <c r="B4081" i="7" s="1"/>
  <c r="B4082" i="7" s="1"/>
  <c r="B4083" i="7" s="1"/>
  <c r="B4084" i="7" s="1"/>
  <c r="B4085" i="7" s="1"/>
  <c r="B4086" i="7" s="1"/>
  <c r="B4087" i="7" s="1"/>
  <c r="B4088" i="7" s="1"/>
  <c r="B4089" i="7" s="1"/>
  <c r="B4090" i="7" s="1"/>
  <c r="B4091" i="7" s="1"/>
  <c r="B4092" i="7" s="1"/>
  <c r="B4093" i="7" s="1"/>
  <c r="B4094" i="7" s="1"/>
  <c r="B4095" i="7" s="1"/>
  <c r="B4096" i="7" s="1"/>
  <c r="B4097" i="7" s="1"/>
  <c r="B4098" i="7" s="1"/>
  <c r="B4099" i="7" s="1"/>
  <c r="B4100" i="7" s="1"/>
  <c r="B4101" i="7" s="1"/>
  <c r="B4102" i="7" s="1"/>
  <c r="B4103" i="7" s="1"/>
  <c r="B4104" i="7" s="1"/>
  <c r="B4105" i="7" s="1"/>
  <c r="B4106" i="7" s="1"/>
  <c r="B4107" i="7" s="1"/>
  <c r="B4108" i="7" s="1"/>
  <c r="B4109" i="7" s="1"/>
  <c r="B4110" i="7" s="1"/>
  <c r="B4111" i="7" s="1"/>
  <c r="B4112" i="7" s="1"/>
  <c r="B4113" i="7" s="1"/>
  <c r="B4114" i="7" s="1"/>
  <c r="B4115" i="7" s="1"/>
  <c r="B4116" i="7" s="1"/>
  <c r="B4117" i="7" s="1"/>
  <c r="B4118" i="7" s="1"/>
  <c r="B4119" i="7" s="1"/>
  <c r="B4120" i="7" s="1"/>
  <c r="B4121" i="7" s="1"/>
  <c r="B4122" i="7" s="1"/>
  <c r="B4123" i="7" s="1"/>
  <c r="B4124" i="7" s="1"/>
  <c r="B4125" i="7" s="1"/>
  <c r="B4126" i="7" s="1"/>
  <c r="B4127" i="7" s="1"/>
  <c r="B4128" i="7" s="1"/>
  <c r="B4129" i="7" s="1"/>
  <c r="B4130" i="7" s="1"/>
  <c r="B4131" i="7" s="1"/>
  <c r="B4132" i="7" s="1"/>
  <c r="B4133" i="7" s="1"/>
  <c r="B4134" i="7" s="1"/>
  <c r="B4135" i="7" s="1"/>
  <c r="B4136" i="7" s="1"/>
  <c r="B4137" i="7" s="1"/>
  <c r="B4138" i="7" s="1"/>
  <c r="B4139" i="7" s="1"/>
  <c r="B4140" i="7" s="1"/>
  <c r="B4141" i="7" s="1"/>
  <c r="B4142" i="7" s="1"/>
  <c r="B4143" i="7" s="1"/>
  <c r="B4144" i="7" s="1"/>
  <c r="B4145" i="7" s="1"/>
  <c r="B4146" i="7" s="1"/>
  <c r="B4147" i="7" s="1"/>
  <c r="B4148" i="7" s="1"/>
  <c r="B4149" i="7" s="1"/>
  <c r="B4150" i="7" s="1"/>
  <c r="B4151" i="7" s="1"/>
  <c r="B4152" i="7" s="1"/>
  <c r="B4153" i="7" s="1"/>
  <c r="B4154" i="7" s="1"/>
  <c r="B4155" i="7" s="1"/>
  <c r="B4156" i="7" s="1"/>
  <c r="B4157" i="7" s="1"/>
  <c r="B4158" i="7" s="1"/>
  <c r="B4159" i="7" s="1"/>
  <c r="B4160" i="7" s="1"/>
  <c r="B4161" i="7" s="1"/>
  <c r="B4162" i="7" s="1"/>
  <c r="B4163" i="7" s="1"/>
  <c r="B4164" i="7" s="1"/>
  <c r="B4165" i="7" s="1"/>
  <c r="B4166" i="7" s="1"/>
  <c r="B4167" i="7" s="1"/>
  <c r="B4168" i="7" s="1"/>
  <c r="B4169" i="7" s="1"/>
  <c r="B4170" i="7" s="1"/>
  <c r="B4171" i="7" s="1"/>
  <c r="B4172" i="7" s="1"/>
  <c r="B4173" i="7" s="1"/>
  <c r="B4174" i="7" s="1"/>
  <c r="B4175" i="7" s="1"/>
  <c r="B4176" i="7" s="1"/>
  <c r="B4177" i="7" s="1"/>
  <c r="B4178" i="7" s="1"/>
  <c r="B4179" i="7" s="1"/>
  <c r="B4180" i="7" s="1"/>
  <c r="B4181" i="7" s="1"/>
  <c r="B4182" i="7" s="1"/>
  <c r="B4183" i="7" s="1"/>
  <c r="B4184" i="7" s="1"/>
  <c r="B4185" i="7" s="1"/>
  <c r="B4186" i="7" s="1"/>
  <c r="B4187" i="7" s="1"/>
  <c r="B4188" i="7" s="1"/>
  <c r="B4189" i="7" s="1"/>
  <c r="B4190" i="7" s="1"/>
  <c r="B4191" i="7" s="1"/>
  <c r="B4192" i="7" s="1"/>
  <c r="B4193" i="7" s="1"/>
  <c r="B4194" i="7" s="1"/>
  <c r="B4195" i="7" s="1"/>
  <c r="B4196" i="7" s="1"/>
  <c r="B4197" i="7" s="1"/>
  <c r="B4198" i="7" s="1"/>
  <c r="B4199" i="7" s="1"/>
  <c r="B4200" i="7" s="1"/>
  <c r="B4201" i="7" s="1"/>
  <c r="B4202" i="7" s="1"/>
  <c r="B4203" i="7" s="1"/>
  <c r="B4204" i="7" s="1"/>
  <c r="B4205" i="7" s="1"/>
  <c r="B4206" i="7" s="1"/>
  <c r="B4207" i="7" s="1"/>
  <c r="B4208" i="7" s="1"/>
  <c r="B4209" i="7" s="1"/>
  <c r="B4210" i="7" s="1"/>
  <c r="B4211" i="7" s="1"/>
  <c r="B4212" i="7" s="1"/>
  <c r="B4213" i="7" s="1"/>
  <c r="B4214" i="7" s="1"/>
  <c r="B4215" i="7" s="1"/>
  <c r="B4216" i="7" s="1"/>
  <c r="B4217" i="7" s="1"/>
  <c r="B4218" i="7" s="1"/>
  <c r="B4219" i="7" s="1"/>
  <c r="B4220" i="7" s="1"/>
  <c r="B4221" i="7" s="1"/>
  <c r="B4222" i="7" s="1"/>
  <c r="B4223" i="7" s="1"/>
  <c r="B4224" i="7" s="1"/>
  <c r="B4225" i="7" s="1"/>
  <c r="B4226" i="7" s="1"/>
  <c r="B4227" i="7" s="1"/>
  <c r="B4228" i="7" s="1"/>
  <c r="B4229" i="7" s="1"/>
  <c r="B4230" i="7" s="1"/>
  <c r="B4231" i="7" s="1"/>
  <c r="B4232" i="7" s="1"/>
  <c r="B4233" i="7" s="1"/>
  <c r="B4234" i="7" s="1"/>
  <c r="B4235" i="7" s="1"/>
  <c r="B4236" i="7" s="1"/>
  <c r="B4237" i="7" s="1"/>
  <c r="B4238" i="7" s="1"/>
  <c r="B4239" i="7" s="1"/>
  <c r="B4240" i="7" s="1"/>
  <c r="B4241" i="7" s="1"/>
  <c r="B4242" i="7" s="1"/>
  <c r="B4243" i="7" s="1"/>
  <c r="B4244" i="7" s="1"/>
  <c r="B4245" i="7" s="1"/>
  <c r="B4246" i="7" s="1"/>
  <c r="B4247" i="7" s="1"/>
  <c r="B4248" i="7" s="1"/>
  <c r="B4249" i="7" s="1"/>
  <c r="B4250" i="7" s="1"/>
  <c r="B4251" i="7" s="1"/>
  <c r="B4252" i="7" s="1"/>
  <c r="B4253" i="7" s="1"/>
  <c r="B4254" i="7" s="1"/>
  <c r="B4255" i="7" s="1"/>
  <c r="B4256" i="7" s="1"/>
  <c r="B4257" i="7" s="1"/>
  <c r="B4258" i="7" s="1"/>
  <c r="B4259" i="7" s="1"/>
  <c r="B4260" i="7" s="1"/>
  <c r="B4261" i="7" s="1"/>
  <c r="B4262" i="7" s="1"/>
  <c r="B4263" i="7" s="1"/>
  <c r="B4264" i="7" s="1"/>
  <c r="B4265" i="7" s="1"/>
  <c r="B4266" i="7" s="1"/>
  <c r="B4267" i="7" s="1"/>
  <c r="B4268" i="7" s="1"/>
  <c r="B4269" i="7" s="1"/>
  <c r="B4270" i="7" s="1"/>
  <c r="B4271" i="7" s="1"/>
  <c r="B4272" i="7" s="1"/>
  <c r="B4273" i="7" s="1"/>
  <c r="B4274" i="7" s="1"/>
  <c r="B4275" i="7" s="1"/>
  <c r="B4276" i="7" s="1"/>
  <c r="B4277" i="7" s="1"/>
  <c r="B4278" i="7" s="1"/>
  <c r="B4279" i="7" s="1"/>
  <c r="B4280" i="7" s="1"/>
  <c r="B4281" i="7" s="1"/>
  <c r="B4282" i="7" s="1"/>
  <c r="B4283" i="7" s="1"/>
  <c r="B4284" i="7" s="1"/>
  <c r="B4285" i="7" s="1"/>
  <c r="B4286" i="7" s="1"/>
  <c r="B4287" i="7" s="1"/>
  <c r="B4288" i="7" s="1"/>
  <c r="B4289" i="7" s="1"/>
  <c r="B4290" i="7" s="1"/>
  <c r="B4291" i="7" s="1"/>
  <c r="B4292" i="7" s="1"/>
  <c r="B4293" i="7" s="1"/>
  <c r="B4294" i="7" s="1"/>
  <c r="B4295" i="7" s="1"/>
  <c r="B4296" i="7" s="1"/>
  <c r="B4297" i="7" s="1"/>
  <c r="B4298" i="7" s="1"/>
  <c r="B4299" i="7" s="1"/>
  <c r="B4300" i="7" s="1"/>
  <c r="B4301" i="7" s="1"/>
  <c r="B4302" i="7" s="1"/>
  <c r="B4303" i="7" s="1"/>
  <c r="B4304" i="7" s="1"/>
  <c r="B4305" i="7" s="1"/>
  <c r="B4306" i="7" s="1"/>
  <c r="B4307" i="7" s="1"/>
  <c r="B4308" i="7" s="1"/>
  <c r="B4309" i="7" s="1"/>
  <c r="B4310" i="7" s="1"/>
  <c r="B4311" i="7" s="1"/>
  <c r="B4312" i="7" s="1"/>
  <c r="B4313" i="7" s="1"/>
  <c r="B4314" i="7" s="1"/>
  <c r="B4315" i="7" s="1"/>
  <c r="B4316" i="7" s="1"/>
  <c r="B4317" i="7" s="1"/>
  <c r="B4318" i="7" s="1"/>
  <c r="B4319" i="7" s="1"/>
  <c r="B4320" i="7" s="1"/>
  <c r="B4321" i="7" s="1"/>
  <c r="B4322" i="7" s="1"/>
  <c r="B4323" i="7" s="1"/>
  <c r="B4324" i="7" s="1"/>
  <c r="B4325" i="7" s="1"/>
  <c r="B4326" i="7" s="1"/>
  <c r="B4327" i="7" s="1"/>
  <c r="B4328" i="7" s="1"/>
  <c r="B4329" i="7" s="1"/>
  <c r="B4330" i="7" s="1"/>
  <c r="B4331" i="7" s="1"/>
  <c r="B4332" i="7" s="1"/>
  <c r="B4333" i="7" s="1"/>
  <c r="B4334" i="7" s="1"/>
  <c r="B4335" i="7" s="1"/>
  <c r="B4336" i="7" s="1"/>
  <c r="B4337" i="7" s="1"/>
  <c r="B4338" i="7" s="1"/>
  <c r="B4339" i="7" s="1"/>
  <c r="B4340" i="7" s="1"/>
  <c r="B4341" i="7" s="1"/>
  <c r="B4342" i="7" s="1"/>
  <c r="B4343" i="7" s="1"/>
  <c r="B4344" i="7" s="1"/>
  <c r="B4345" i="7" s="1"/>
  <c r="B4346" i="7" s="1"/>
  <c r="B4347" i="7" s="1"/>
  <c r="B4348" i="7" s="1"/>
  <c r="B4349" i="7" s="1"/>
  <c r="B4350" i="7" s="1"/>
  <c r="B4351" i="7" s="1"/>
  <c r="B4352" i="7" s="1"/>
  <c r="B4353" i="7" s="1"/>
  <c r="B4354" i="7" s="1"/>
  <c r="B4355" i="7" s="1"/>
  <c r="B4356" i="7" s="1"/>
  <c r="B4357" i="7" s="1"/>
  <c r="B4358" i="7" s="1"/>
  <c r="B4359" i="7" s="1"/>
  <c r="B4360" i="7" s="1"/>
  <c r="B4361" i="7" s="1"/>
  <c r="B4362" i="7" s="1"/>
  <c r="B4363" i="7" s="1"/>
  <c r="B4364" i="7" s="1"/>
  <c r="B4365" i="7" s="1"/>
  <c r="B4366" i="7" s="1"/>
  <c r="B4367" i="7" s="1"/>
  <c r="B4368" i="7" s="1"/>
  <c r="B4369" i="7" s="1"/>
  <c r="B4370" i="7" s="1"/>
  <c r="B4371" i="7" s="1"/>
  <c r="B4372" i="7" s="1"/>
  <c r="B4373" i="7" s="1"/>
  <c r="B4374" i="7" s="1"/>
  <c r="B4375" i="7" s="1"/>
  <c r="B4376" i="7" s="1"/>
  <c r="B4377" i="7" s="1"/>
  <c r="B4378" i="7" s="1"/>
  <c r="B4379" i="7" s="1"/>
  <c r="B4380" i="7" s="1"/>
  <c r="B4381" i="7" s="1"/>
  <c r="B4382" i="7" s="1"/>
  <c r="B4383" i="7" s="1"/>
  <c r="B4384" i="7" s="1"/>
  <c r="B4385" i="7" s="1"/>
  <c r="B4386" i="7" s="1"/>
  <c r="B4387" i="7" s="1"/>
  <c r="B4388" i="7" s="1"/>
  <c r="B4389" i="7" s="1"/>
  <c r="B4390" i="7" s="1"/>
  <c r="B4391" i="7" s="1"/>
  <c r="B4392" i="7" s="1"/>
  <c r="B4393" i="7" s="1"/>
  <c r="B4394" i="7" s="1"/>
  <c r="B4395" i="7" s="1"/>
  <c r="B4396" i="7" s="1"/>
  <c r="B4397" i="7" s="1"/>
  <c r="B4398" i="7" s="1"/>
  <c r="B4399" i="7" s="1"/>
  <c r="B4400" i="7" s="1"/>
  <c r="B4401" i="7" s="1"/>
  <c r="B4402" i="7" s="1"/>
  <c r="B4403" i="7" s="1"/>
  <c r="B4404" i="7" s="1"/>
  <c r="B4405" i="7" s="1"/>
  <c r="B4406" i="7" s="1"/>
  <c r="B4407" i="7" s="1"/>
  <c r="B4408" i="7" s="1"/>
  <c r="B4409" i="7" s="1"/>
  <c r="B4410" i="7" s="1"/>
  <c r="B4411" i="7" s="1"/>
  <c r="B4412" i="7" s="1"/>
  <c r="B4413" i="7" s="1"/>
  <c r="B4414" i="7" s="1"/>
  <c r="B4415" i="7" s="1"/>
  <c r="B4416" i="7" s="1"/>
  <c r="B4417" i="7" s="1"/>
  <c r="B4418" i="7" s="1"/>
  <c r="B4419" i="7" s="1"/>
  <c r="B4420" i="7" s="1"/>
  <c r="B4421" i="7" s="1"/>
  <c r="B4422" i="7" s="1"/>
  <c r="B4423" i="7" s="1"/>
  <c r="B4424" i="7" s="1"/>
  <c r="B4425" i="7" s="1"/>
  <c r="B4426" i="7" s="1"/>
  <c r="B4427" i="7" s="1"/>
  <c r="B4428" i="7" s="1"/>
  <c r="B4429" i="7" s="1"/>
  <c r="B4430" i="7" s="1"/>
  <c r="B4431" i="7" s="1"/>
  <c r="B4432" i="7" s="1"/>
  <c r="B4433" i="7" s="1"/>
  <c r="B4434" i="7" s="1"/>
  <c r="B4435" i="7" s="1"/>
  <c r="B4436" i="7" s="1"/>
  <c r="B4437" i="7" s="1"/>
  <c r="B4438" i="7" s="1"/>
  <c r="B4439" i="7" s="1"/>
  <c r="B4440" i="7" s="1"/>
  <c r="B4441" i="7" s="1"/>
  <c r="B4442" i="7" s="1"/>
  <c r="B4443" i="7" s="1"/>
  <c r="B4444" i="7" s="1"/>
  <c r="B4445" i="7" s="1"/>
  <c r="B4446" i="7" s="1"/>
  <c r="B4447" i="7" s="1"/>
  <c r="B4448" i="7" s="1"/>
  <c r="B4449" i="7" s="1"/>
  <c r="B4450" i="7" s="1"/>
  <c r="B4451" i="7" s="1"/>
  <c r="B4452" i="7" s="1"/>
  <c r="B4453" i="7" s="1"/>
  <c r="B4454" i="7" s="1"/>
  <c r="B4455" i="7" s="1"/>
  <c r="B4456" i="7" s="1"/>
  <c r="B4457" i="7" s="1"/>
  <c r="B4458" i="7" s="1"/>
  <c r="B4459" i="7" s="1"/>
  <c r="B4460" i="7" s="1"/>
  <c r="B4461" i="7" s="1"/>
  <c r="B4462" i="7" s="1"/>
  <c r="B4463" i="7" s="1"/>
  <c r="B4464" i="7" s="1"/>
  <c r="B4465" i="7" s="1"/>
  <c r="B4466" i="7" s="1"/>
  <c r="B4467" i="7" s="1"/>
  <c r="B4468" i="7" s="1"/>
  <c r="B4469" i="7" s="1"/>
  <c r="B4470" i="7" s="1"/>
  <c r="B4471" i="7" s="1"/>
  <c r="B4472" i="7" s="1"/>
  <c r="B4473" i="7" s="1"/>
  <c r="B4474" i="7" s="1"/>
  <c r="B4475" i="7" s="1"/>
  <c r="B4476" i="7" s="1"/>
  <c r="B4477" i="7" s="1"/>
  <c r="B4478" i="7" s="1"/>
  <c r="B4479" i="7" s="1"/>
  <c r="B4480" i="7" s="1"/>
  <c r="B4481" i="7" s="1"/>
  <c r="B4482" i="7" s="1"/>
  <c r="B4483" i="7" s="1"/>
  <c r="B4484" i="7" s="1"/>
  <c r="B4485" i="7" s="1"/>
  <c r="B4486" i="7" s="1"/>
  <c r="B4487" i="7" s="1"/>
  <c r="B4488" i="7" s="1"/>
  <c r="B4489" i="7" s="1"/>
  <c r="B4490" i="7" s="1"/>
  <c r="B4491" i="7" s="1"/>
  <c r="B4492" i="7" s="1"/>
  <c r="B4493" i="7" s="1"/>
  <c r="B4494" i="7" s="1"/>
  <c r="B4495" i="7" s="1"/>
  <c r="B4496" i="7" s="1"/>
  <c r="B4497" i="7" s="1"/>
  <c r="B4498" i="7" s="1"/>
  <c r="B4499" i="7" s="1"/>
  <c r="B4500" i="7" s="1"/>
  <c r="B4501" i="7" s="1"/>
  <c r="B4502" i="7" s="1"/>
  <c r="B4503" i="7" s="1"/>
  <c r="B4504" i="7" s="1"/>
  <c r="B4505" i="7" s="1"/>
  <c r="B4506" i="7" s="1"/>
  <c r="B4507" i="7" s="1"/>
  <c r="B4508" i="7" s="1"/>
  <c r="B4509" i="7" s="1"/>
  <c r="B4510" i="7" s="1"/>
  <c r="B4511" i="7" s="1"/>
  <c r="B4512" i="7" s="1"/>
  <c r="B4513" i="7" s="1"/>
  <c r="B4514" i="7" s="1"/>
  <c r="B4515" i="7" s="1"/>
  <c r="B4516" i="7" s="1"/>
  <c r="B4517" i="7" s="1"/>
  <c r="B4518" i="7" s="1"/>
  <c r="B4519" i="7" s="1"/>
  <c r="B4520" i="7" s="1"/>
  <c r="B4521" i="7" s="1"/>
  <c r="B4522" i="7" s="1"/>
  <c r="B4523" i="7" s="1"/>
  <c r="B4524" i="7" s="1"/>
  <c r="B4525" i="7" s="1"/>
  <c r="B4526" i="7" s="1"/>
  <c r="B4527" i="7" s="1"/>
  <c r="B4528" i="7" s="1"/>
  <c r="B4529" i="7" s="1"/>
  <c r="B4530" i="7" s="1"/>
  <c r="B4531" i="7" s="1"/>
  <c r="B4532" i="7" s="1"/>
  <c r="B4533" i="7" s="1"/>
  <c r="B4534" i="7" s="1"/>
  <c r="B4535" i="7" s="1"/>
  <c r="B4536" i="7" s="1"/>
  <c r="B4537" i="7" s="1"/>
  <c r="B4538" i="7" s="1"/>
  <c r="B4539" i="7" s="1"/>
  <c r="B4540" i="7" s="1"/>
  <c r="B4541" i="7" s="1"/>
  <c r="B4542" i="7" s="1"/>
  <c r="B4543" i="7" s="1"/>
  <c r="B4544" i="7" s="1"/>
  <c r="B4545" i="7" s="1"/>
  <c r="B4546" i="7" s="1"/>
  <c r="B4547" i="7" s="1"/>
  <c r="B4548" i="7" s="1"/>
  <c r="B4549" i="7" s="1"/>
  <c r="B4550" i="7" s="1"/>
  <c r="B4551" i="7" s="1"/>
  <c r="B4552" i="7" s="1"/>
  <c r="B4553" i="7" s="1"/>
  <c r="B4554" i="7" s="1"/>
  <c r="B4555" i="7" s="1"/>
  <c r="B4556" i="7" s="1"/>
  <c r="B4557" i="7" s="1"/>
  <c r="B4558" i="7" s="1"/>
  <c r="B4559" i="7" s="1"/>
  <c r="B4560" i="7" s="1"/>
  <c r="B4561" i="7" s="1"/>
  <c r="B4562" i="7" s="1"/>
  <c r="B4563" i="7" s="1"/>
  <c r="B4564" i="7" s="1"/>
  <c r="B4565" i="7" s="1"/>
  <c r="B4566" i="7" s="1"/>
  <c r="B4567" i="7" s="1"/>
  <c r="B4568" i="7" s="1"/>
  <c r="B4569" i="7" s="1"/>
  <c r="B4570" i="7" s="1"/>
  <c r="B4571" i="7" s="1"/>
  <c r="B4572" i="7" s="1"/>
  <c r="B4573" i="7" s="1"/>
  <c r="B4574" i="7" s="1"/>
  <c r="B4575" i="7" s="1"/>
  <c r="B4576" i="7" s="1"/>
  <c r="B4577" i="7" s="1"/>
  <c r="B4578" i="7" s="1"/>
  <c r="B4579" i="7" s="1"/>
  <c r="B4580" i="7" s="1"/>
  <c r="B4581" i="7" s="1"/>
  <c r="B4582" i="7" s="1"/>
  <c r="B4583" i="7" s="1"/>
  <c r="B4584" i="7" s="1"/>
  <c r="B4585" i="7" s="1"/>
  <c r="B4586" i="7" s="1"/>
  <c r="B4587" i="7" s="1"/>
  <c r="B4588" i="7" s="1"/>
  <c r="B4589" i="7" s="1"/>
  <c r="B4590" i="7" s="1"/>
  <c r="B4591" i="7" s="1"/>
  <c r="B4592" i="7" s="1"/>
  <c r="B4593" i="7" s="1"/>
  <c r="B4594" i="7" s="1"/>
  <c r="B4595" i="7" s="1"/>
  <c r="B4596" i="7" s="1"/>
  <c r="B4597" i="7" s="1"/>
  <c r="B4598" i="7" s="1"/>
  <c r="B4599" i="7" s="1"/>
  <c r="B4600" i="7" s="1"/>
  <c r="B4601" i="7" s="1"/>
  <c r="B4602" i="7" s="1"/>
  <c r="B4603" i="7" s="1"/>
  <c r="B4604" i="7" s="1"/>
  <c r="B4605" i="7" s="1"/>
  <c r="B4606" i="7" s="1"/>
  <c r="B4607" i="7" s="1"/>
  <c r="B4608" i="7" s="1"/>
  <c r="B4609" i="7" s="1"/>
  <c r="B4610" i="7" s="1"/>
  <c r="B4611" i="7" s="1"/>
  <c r="B4612" i="7" s="1"/>
  <c r="B4613" i="7" s="1"/>
  <c r="B4614" i="7" s="1"/>
  <c r="B4615" i="7" s="1"/>
  <c r="B4616" i="7" s="1"/>
  <c r="B4617" i="7" s="1"/>
  <c r="B4618" i="7" s="1"/>
  <c r="B4619" i="7" s="1"/>
  <c r="B4620" i="7" s="1"/>
  <c r="B4621" i="7" s="1"/>
  <c r="B4622" i="7" s="1"/>
  <c r="B4623" i="7" s="1"/>
  <c r="B4624" i="7" s="1"/>
  <c r="B4625" i="7" s="1"/>
  <c r="B4626" i="7" s="1"/>
  <c r="B4627" i="7" s="1"/>
  <c r="B4628" i="7" s="1"/>
  <c r="B4629" i="7" s="1"/>
  <c r="B4630" i="7" s="1"/>
  <c r="B4631" i="7" s="1"/>
  <c r="B4632" i="7" s="1"/>
  <c r="B4633" i="7" s="1"/>
  <c r="B4634" i="7" s="1"/>
  <c r="B4635" i="7" s="1"/>
  <c r="B4636" i="7" s="1"/>
  <c r="B4637" i="7" s="1"/>
  <c r="B4638" i="7" s="1"/>
  <c r="B4639" i="7" s="1"/>
  <c r="B4640" i="7" s="1"/>
  <c r="B4641" i="7" s="1"/>
  <c r="B4642" i="7" s="1"/>
  <c r="B4643" i="7" s="1"/>
  <c r="B4644" i="7" s="1"/>
  <c r="B4645" i="7" s="1"/>
  <c r="B4646" i="7" s="1"/>
  <c r="B4647" i="7" s="1"/>
  <c r="B4648" i="7" s="1"/>
  <c r="B4649" i="7" s="1"/>
  <c r="B4650" i="7" s="1"/>
  <c r="B4651" i="7" s="1"/>
  <c r="B4652" i="7" s="1"/>
  <c r="B4653" i="7" s="1"/>
  <c r="B4654" i="7" s="1"/>
  <c r="B4655" i="7" s="1"/>
  <c r="B4656" i="7" s="1"/>
  <c r="B4657" i="7" s="1"/>
  <c r="B4658" i="7" s="1"/>
  <c r="B4659" i="7" s="1"/>
  <c r="B4660" i="7" s="1"/>
  <c r="B4661" i="7" s="1"/>
  <c r="B4662" i="7" s="1"/>
  <c r="B4663" i="7" s="1"/>
  <c r="B4664" i="7" s="1"/>
  <c r="B4665" i="7" s="1"/>
  <c r="B4666" i="7" s="1"/>
  <c r="B4667" i="7" s="1"/>
  <c r="B4668" i="7" s="1"/>
  <c r="B4669" i="7" s="1"/>
  <c r="B4670" i="7" s="1"/>
  <c r="B4671" i="7" s="1"/>
  <c r="B4672" i="7" s="1"/>
  <c r="B4673" i="7" s="1"/>
  <c r="B4674" i="7" s="1"/>
  <c r="B4675" i="7" s="1"/>
  <c r="B4676" i="7" s="1"/>
  <c r="B4677" i="7" s="1"/>
  <c r="B4678" i="7" s="1"/>
  <c r="B4679" i="7" s="1"/>
  <c r="B4680" i="7" s="1"/>
  <c r="B4681" i="7" s="1"/>
  <c r="B4682" i="7" s="1"/>
  <c r="B4683" i="7" s="1"/>
  <c r="B4684" i="7" s="1"/>
  <c r="B4685" i="7" s="1"/>
  <c r="B4686" i="7" s="1"/>
  <c r="B4687" i="7" s="1"/>
  <c r="B4688" i="7" s="1"/>
  <c r="B4689" i="7" s="1"/>
  <c r="B4690" i="7" s="1"/>
  <c r="B4691" i="7" s="1"/>
  <c r="B4692" i="7" s="1"/>
  <c r="B4693" i="7" s="1"/>
  <c r="B4694" i="7" s="1"/>
  <c r="B4695" i="7" s="1"/>
  <c r="B4696" i="7" s="1"/>
  <c r="B4697" i="7" s="1"/>
  <c r="B4698" i="7" s="1"/>
  <c r="B4699" i="7" s="1"/>
  <c r="B4700" i="7" s="1"/>
  <c r="B4701" i="7" s="1"/>
  <c r="B4702" i="7" s="1"/>
  <c r="B4703" i="7" s="1"/>
  <c r="B4704" i="7" s="1"/>
  <c r="B4705" i="7" s="1"/>
  <c r="B4706" i="7" s="1"/>
  <c r="B4707" i="7" s="1"/>
  <c r="B4708" i="7" s="1"/>
  <c r="B4709" i="7" s="1"/>
  <c r="B4710" i="7" s="1"/>
  <c r="B4711" i="7" s="1"/>
  <c r="B4712" i="7" s="1"/>
  <c r="B4713" i="7" s="1"/>
  <c r="B4714" i="7" s="1"/>
  <c r="B4715" i="7" s="1"/>
  <c r="B4716" i="7" s="1"/>
  <c r="B4717" i="7" s="1"/>
  <c r="B4718" i="7" s="1"/>
  <c r="B4719" i="7" s="1"/>
  <c r="B4720" i="7" s="1"/>
  <c r="B4721" i="7" s="1"/>
  <c r="B4722" i="7" s="1"/>
  <c r="B4723" i="7" s="1"/>
  <c r="B4724" i="7" s="1"/>
  <c r="B4725" i="7" s="1"/>
  <c r="B4726" i="7" s="1"/>
  <c r="B4727" i="7" s="1"/>
  <c r="B4728" i="7" s="1"/>
  <c r="B4729" i="7" s="1"/>
  <c r="B4730" i="7" s="1"/>
  <c r="B4731" i="7" s="1"/>
  <c r="B4732" i="7" s="1"/>
  <c r="B4733" i="7" s="1"/>
  <c r="B4734" i="7" s="1"/>
  <c r="B4735" i="7" s="1"/>
  <c r="B4736" i="7" s="1"/>
  <c r="B4737" i="7" s="1"/>
  <c r="B4738" i="7" s="1"/>
  <c r="B4739" i="7" s="1"/>
  <c r="B4740" i="7" s="1"/>
  <c r="B4741" i="7" s="1"/>
  <c r="B4742" i="7" s="1"/>
  <c r="B4743" i="7" s="1"/>
  <c r="B4744" i="7" s="1"/>
  <c r="B4745" i="7" s="1"/>
  <c r="B4746" i="7" s="1"/>
  <c r="B4747" i="7" s="1"/>
  <c r="B4748" i="7" s="1"/>
  <c r="B4749" i="7" s="1"/>
  <c r="B4750" i="7" s="1"/>
  <c r="B4751" i="7" s="1"/>
  <c r="B4752" i="7" s="1"/>
  <c r="B4753" i="7" s="1"/>
  <c r="B4754" i="7" s="1"/>
  <c r="B4755" i="7" s="1"/>
  <c r="B4756" i="7" s="1"/>
  <c r="B4757" i="7" s="1"/>
  <c r="B4758" i="7" s="1"/>
  <c r="B4759" i="7" s="1"/>
  <c r="B4760" i="7" s="1"/>
  <c r="B4761" i="7" s="1"/>
  <c r="B4762" i="7" s="1"/>
  <c r="B4763" i="7" s="1"/>
  <c r="B4764" i="7" s="1"/>
  <c r="B4765" i="7" s="1"/>
  <c r="B4766" i="7" s="1"/>
  <c r="B4767" i="7" s="1"/>
  <c r="B4768" i="7" s="1"/>
  <c r="B4769" i="7" s="1"/>
  <c r="B4770" i="7" s="1"/>
  <c r="B4771" i="7" s="1"/>
  <c r="B4772" i="7" s="1"/>
  <c r="B4773" i="7" s="1"/>
  <c r="B4774" i="7" s="1"/>
  <c r="B4775" i="7" s="1"/>
  <c r="B4776" i="7" s="1"/>
  <c r="B4777" i="7" s="1"/>
  <c r="B4778" i="7" s="1"/>
  <c r="B4779" i="7" s="1"/>
  <c r="B4780" i="7" s="1"/>
  <c r="B4781" i="7" s="1"/>
  <c r="B4782" i="7" s="1"/>
  <c r="B4783" i="7" s="1"/>
  <c r="B4784" i="7" s="1"/>
  <c r="B4785" i="7" s="1"/>
  <c r="B4786" i="7" s="1"/>
  <c r="B4787" i="7" s="1"/>
  <c r="B4788" i="7" s="1"/>
  <c r="B4789" i="7" s="1"/>
  <c r="B4790" i="7" s="1"/>
  <c r="B4791" i="7" s="1"/>
  <c r="B4792" i="7" s="1"/>
  <c r="B4793" i="7" s="1"/>
  <c r="B4794" i="7" s="1"/>
  <c r="B4795" i="7" s="1"/>
  <c r="B4796" i="7" s="1"/>
  <c r="B4797" i="7" s="1"/>
  <c r="B4798" i="7" s="1"/>
  <c r="B4799" i="7" s="1"/>
  <c r="B4800" i="7" s="1"/>
  <c r="B4801" i="7" s="1"/>
  <c r="B4802" i="7" s="1"/>
  <c r="B4803" i="7" s="1"/>
  <c r="B4804" i="7" s="1"/>
  <c r="B4805" i="7" s="1"/>
  <c r="B4806" i="7" s="1"/>
  <c r="B4807" i="7" s="1"/>
  <c r="B4808" i="7" s="1"/>
  <c r="B4809" i="7" s="1"/>
  <c r="B4810" i="7" s="1"/>
  <c r="B4811" i="7" s="1"/>
  <c r="B4812" i="7" s="1"/>
  <c r="B4813" i="7" s="1"/>
  <c r="B4814" i="7" s="1"/>
  <c r="B4815" i="7" s="1"/>
  <c r="B4816" i="7" s="1"/>
  <c r="B4817" i="7" s="1"/>
  <c r="B4818" i="7" s="1"/>
  <c r="B4819" i="7" s="1"/>
  <c r="B4820" i="7" s="1"/>
  <c r="B4821" i="7" s="1"/>
  <c r="B4822" i="7" s="1"/>
  <c r="B4823" i="7" s="1"/>
  <c r="B4824" i="7" s="1"/>
  <c r="B4825" i="7" s="1"/>
  <c r="B4826" i="7" s="1"/>
  <c r="B4827" i="7" s="1"/>
  <c r="B4828" i="7" s="1"/>
  <c r="B4829" i="7" s="1"/>
  <c r="B4830" i="7" s="1"/>
  <c r="B4831" i="7" s="1"/>
  <c r="B4832" i="7" s="1"/>
  <c r="B4833" i="7" s="1"/>
  <c r="B4834" i="7" s="1"/>
  <c r="B4835" i="7" s="1"/>
  <c r="B4836" i="7" s="1"/>
  <c r="B4837" i="7" s="1"/>
  <c r="B4838" i="7" s="1"/>
  <c r="B4839" i="7" s="1"/>
  <c r="B4840" i="7" s="1"/>
  <c r="B4841" i="7" s="1"/>
  <c r="B4842" i="7" s="1"/>
  <c r="B4843" i="7" s="1"/>
  <c r="B4844" i="7" s="1"/>
  <c r="B4845" i="7" s="1"/>
  <c r="B4846" i="7" s="1"/>
  <c r="B4847" i="7" s="1"/>
  <c r="B4848" i="7" s="1"/>
  <c r="B4849" i="7" s="1"/>
  <c r="B4850" i="7" s="1"/>
  <c r="B4851" i="7" s="1"/>
  <c r="B4852" i="7" s="1"/>
  <c r="B4853" i="7" s="1"/>
  <c r="B4854" i="7" s="1"/>
  <c r="B4855" i="7" s="1"/>
  <c r="B4856" i="7" s="1"/>
  <c r="B4857" i="7" s="1"/>
  <c r="B4858" i="7" s="1"/>
  <c r="B4859" i="7" s="1"/>
  <c r="B4860" i="7" s="1"/>
  <c r="B4861" i="7" s="1"/>
  <c r="B4862" i="7" s="1"/>
  <c r="B4863" i="7" s="1"/>
  <c r="B4864" i="7" s="1"/>
  <c r="B4865" i="7" s="1"/>
  <c r="B4866" i="7" s="1"/>
  <c r="B4867" i="7" s="1"/>
  <c r="B4868" i="7" s="1"/>
  <c r="B4869" i="7" s="1"/>
  <c r="B4870" i="7" s="1"/>
  <c r="B4871" i="7" s="1"/>
  <c r="B4872" i="7" s="1"/>
  <c r="B4873" i="7" s="1"/>
  <c r="B4874" i="7" s="1"/>
  <c r="B4875" i="7" s="1"/>
  <c r="B4876" i="7" s="1"/>
  <c r="B4877" i="7" s="1"/>
  <c r="B4878" i="7" s="1"/>
  <c r="B4879" i="7" s="1"/>
  <c r="B4880" i="7" s="1"/>
  <c r="B4881" i="7" s="1"/>
  <c r="B4882" i="7" s="1"/>
  <c r="B4883" i="7" s="1"/>
  <c r="B4884" i="7" s="1"/>
  <c r="B4885" i="7" s="1"/>
  <c r="B4886" i="7" s="1"/>
  <c r="B4887" i="7" s="1"/>
  <c r="B4888" i="7" s="1"/>
  <c r="B4889" i="7" s="1"/>
  <c r="B4890" i="7" s="1"/>
  <c r="B4891" i="7" s="1"/>
  <c r="B4892" i="7" s="1"/>
  <c r="B4893" i="7" s="1"/>
  <c r="B4894" i="7" s="1"/>
  <c r="B4895" i="7" s="1"/>
  <c r="B4896" i="7" s="1"/>
  <c r="B4897" i="7" s="1"/>
  <c r="B4898" i="7" s="1"/>
  <c r="B4899" i="7" s="1"/>
  <c r="B4900" i="7" s="1"/>
  <c r="B4901" i="7" s="1"/>
  <c r="B4902" i="7" s="1"/>
  <c r="B4903" i="7" s="1"/>
  <c r="B4904" i="7" s="1"/>
  <c r="B4905" i="7" s="1"/>
  <c r="B4906" i="7" s="1"/>
  <c r="B4907" i="7" s="1"/>
  <c r="B4908" i="7" s="1"/>
  <c r="B4909" i="7" s="1"/>
  <c r="B4910" i="7" s="1"/>
  <c r="B4911" i="7" s="1"/>
  <c r="B4912" i="7" s="1"/>
  <c r="B4913" i="7" s="1"/>
  <c r="B4914" i="7" s="1"/>
  <c r="B4915" i="7" s="1"/>
  <c r="B4916" i="7" s="1"/>
  <c r="B4917" i="7" s="1"/>
  <c r="B4918" i="7" s="1"/>
  <c r="B4919" i="7" s="1"/>
  <c r="B4920" i="7" s="1"/>
  <c r="B4921" i="7" s="1"/>
  <c r="B4922" i="7" s="1"/>
  <c r="B4923" i="7" s="1"/>
  <c r="B4924" i="7" s="1"/>
  <c r="B4925" i="7" s="1"/>
  <c r="B4926" i="7" s="1"/>
  <c r="B4927" i="7" s="1"/>
  <c r="B4928" i="7" s="1"/>
  <c r="B4929" i="7" s="1"/>
  <c r="B4930" i="7" s="1"/>
  <c r="B4931" i="7" s="1"/>
  <c r="B4932" i="7" s="1"/>
  <c r="B4933" i="7" s="1"/>
  <c r="B4934" i="7" s="1"/>
  <c r="B4935" i="7" s="1"/>
  <c r="B4936" i="7" s="1"/>
  <c r="B4937" i="7" s="1"/>
  <c r="B4938" i="7" s="1"/>
  <c r="B4939" i="7" s="1"/>
  <c r="B4940" i="7" s="1"/>
  <c r="B4941" i="7" s="1"/>
  <c r="B4942" i="7" s="1"/>
  <c r="B4943" i="7" s="1"/>
  <c r="B4944" i="7" s="1"/>
  <c r="B4945" i="7" s="1"/>
  <c r="B4946" i="7" s="1"/>
  <c r="B4947" i="7" s="1"/>
  <c r="B4948" i="7" s="1"/>
  <c r="B4949" i="7" s="1"/>
  <c r="B4950" i="7" s="1"/>
  <c r="B4951" i="7" s="1"/>
  <c r="B4952" i="7" s="1"/>
  <c r="B4953" i="7" s="1"/>
  <c r="B4954" i="7" s="1"/>
  <c r="B4955" i="7" s="1"/>
  <c r="B4956" i="7" s="1"/>
  <c r="B4957" i="7" s="1"/>
  <c r="B4958" i="7" s="1"/>
  <c r="B4959" i="7" s="1"/>
  <c r="B4960" i="7" s="1"/>
  <c r="B4961" i="7" s="1"/>
  <c r="B4962" i="7" s="1"/>
  <c r="B4963" i="7" s="1"/>
  <c r="B4964" i="7" s="1"/>
  <c r="B4965" i="7" s="1"/>
  <c r="B4966" i="7" s="1"/>
  <c r="B4967" i="7" s="1"/>
  <c r="B4968" i="7" s="1"/>
  <c r="B4969" i="7" s="1"/>
  <c r="B4970" i="7" s="1"/>
  <c r="B4971" i="7" s="1"/>
  <c r="B4972" i="7" s="1"/>
  <c r="B4973" i="7" s="1"/>
  <c r="B4974" i="7" s="1"/>
  <c r="B4975" i="7" s="1"/>
  <c r="B4976" i="7" s="1"/>
  <c r="B4977" i="7" s="1"/>
  <c r="B4978" i="7" s="1"/>
  <c r="B4979" i="7" s="1"/>
  <c r="B4980" i="7" s="1"/>
  <c r="B4981" i="7" s="1"/>
  <c r="B4982" i="7" s="1"/>
  <c r="B4983" i="7" s="1"/>
  <c r="B4984" i="7" s="1"/>
  <c r="B4985" i="7" s="1"/>
  <c r="B4986" i="7" s="1"/>
  <c r="B4987" i="7" s="1"/>
  <c r="B4988" i="7" s="1"/>
  <c r="B4989" i="7" s="1"/>
  <c r="B4990" i="7" s="1"/>
  <c r="B4991" i="7" s="1"/>
  <c r="B4992" i="7" s="1"/>
  <c r="B4993" i="7" s="1"/>
  <c r="B4994" i="7" s="1"/>
  <c r="B4995" i="7" s="1"/>
  <c r="B4996" i="7" s="1"/>
  <c r="B4997" i="7" s="1"/>
  <c r="B4998" i="7" s="1"/>
  <c r="B4999" i="7" s="1"/>
  <c r="B5000" i="7" s="1"/>
  <c r="B5001" i="7" s="1"/>
  <c r="B5002" i="7" s="1"/>
  <c r="B5003" i="7" s="1"/>
  <c r="B5004" i="7" s="1"/>
  <c r="B5005" i="7" s="1"/>
  <c r="B5006" i="7" s="1"/>
  <c r="B5007" i="7" s="1"/>
  <c r="B5008" i="7" s="1"/>
  <c r="B5009" i="7" s="1"/>
  <c r="B5010" i="7" s="1"/>
  <c r="B5011" i="7" s="1"/>
  <c r="B5012" i="7" s="1"/>
  <c r="B5013" i="7" s="1"/>
  <c r="B5014" i="7" s="1"/>
  <c r="B5015" i="7" s="1"/>
  <c r="C2015" i="7"/>
  <c r="C2014" i="7"/>
  <c r="C2013" i="7"/>
  <c r="C2012" i="7"/>
  <c r="C2011" i="7"/>
  <c r="C2010" i="7"/>
  <c r="C2009" i="7"/>
  <c r="C2008" i="7"/>
  <c r="C2007" i="7"/>
  <c r="C2006" i="7"/>
  <c r="C2005" i="7"/>
  <c r="C2004" i="7"/>
  <c r="C2003" i="7"/>
  <c r="C2002" i="7"/>
  <c r="C2001" i="7"/>
  <c r="C2000" i="7"/>
  <c r="C1999" i="7"/>
  <c r="C1998" i="7"/>
  <c r="C1997" i="7"/>
  <c r="C1996" i="7"/>
  <c r="C1995" i="7"/>
  <c r="C1994" i="7"/>
  <c r="C1993" i="7"/>
  <c r="C1992" i="7"/>
  <c r="C1991" i="7"/>
  <c r="C1990" i="7"/>
  <c r="C1989" i="7"/>
  <c r="C1988" i="7"/>
  <c r="C1987" i="7"/>
  <c r="C1986" i="7"/>
  <c r="C1985" i="7"/>
  <c r="C1984" i="7"/>
  <c r="C1983" i="7"/>
  <c r="C1982" i="7"/>
  <c r="C1981" i="7"/>
  <c r="C1980" i="7"/>
  <c r="C1979" i="7"/>
  <c r="C1978" i="7"/>
  <c r="C1977" i="7"/>
  <c r="C1976" i="7"/>
  <c r="C1975" i="7"/>
  <c r="C1974" i="7"/>
  <c r="C1973" i="7"/>
  <c r="C1972" i="7"/>
  <c r="C1971" i="7"/>
  <c r="C1970" i="7"/>
  <c r="C1969" i="7"/>
  <c r="C1968" i="7"/>
  <c r="C1967" i="7"/>
  <c r="C1966" i="7"/>
  <c r="C1965" i="7"/>
  <c r="C1964" i="7"/>
  <c r="C1963" i="7"/>
  <c r="C1962" i="7"/>
  <c r="C1961" i="7"/>
  <c r="C1960" i="7"/>
  <c r="C1959" i="7"/>
  <c r="C1958" i="7"/>
  <c r="C1957" i="7"/>
  <c r="C1956" i="7"/>
  <c r="C1955" i="7"/>
  <c r="C1954" i="7"/>
  <c r="C1953" i="7"/>
  <c r="C1952" i="7"/>
  <c r="C1951" i="7"/>
  <c r="C1950" i="7"/>
  <c r="C1949" i="7"/>
  <c r="C1948" i="7"/>
  <c r="C1947" i="7"/>
  <c r="C1946" i="7"/>
  <c r="C1945" i="7"/>
  <c r="C1944" i="7"/>
  <c r="C1943" i="7"/>
  <c r="C1942" i="7"/>
  <c r="C1941" i="7"/>
  <c r="C1940" i="7"/>
  <c r="C1939" i="7"/>
  <c r="C1938" i="7"/>
  <c r="C1937" i="7"/>
  <c r="C1936" i="7"/>
  <c r="C1935" i="7"/>
  <c r="C1934" i="7"/>
  <c r="C1933" i="7"/>
  <c r="C1932" i="7"/>
  <c r="C1931" i="7"/>
  <c r="C1930" i="7"/>
  <c r="C1929" i="7"/>
  <c r="C1928" i="7"/>
  <c r="C1927" i="7"/>
  <c r="C1926" i="7"/>
  <c r="C1925" i="7"/>
  <c r="C1924" i="7"/>
  <c r="C1923" i="7"/>
  <c r="C1922" i="7"/>
  <c r="C1921" i="7"/>
  <c r="C1920" i="7"/>
  <c r="C1919" i="7"/>
  <c r="C1918" i="7"/>
  <c r="C1917" i="7"/>
  <c r="C1916" i="7"/>
  <c r="C1915" i="7"/>
  <c r="C1914" i="7"/>
  <c r="C1913" i="7"/>
  <c r="C1912" i="7"/>
  <c r="C1911" i="7"/>
  <c r="C1910" i="7"/>
  <c r="C1909" i="7"/>
  <c r="C1908" i="7"/>
  <c r="C1907" i="7"/>
  <c r="C1906" i="7"/>
  <c r="C1905" i="7"/>
  <c r="C1904" i="7"/>
  <c r="C1903" i="7"/>
  <c r="C1902" i="7"/>
  <c r="C1901" i="7"/>
  <c r="C1900" i="7"/>
  <c r="C1899" i="7"/>
  <c r="C1898" i="7"/>
  <c r="C1897" i="7"/>
  <c r="C1896" i="7"/>
  <c r="C1895" i="7"/>
  <c r="C1894" i="7"/>
  <c r="C1893" i="7"/>
  <c r="C1892" i="7"/>
  <c r="C1891" i="7"/>
  <c r="C1890" i="7"/>
  <c r="C1889" i="7"/>
  <c r="C1888" i="7"/>
  <c r="C1887" i="7"/>
  <c r="C1886" i="7"/>
  <c r="C1885" i="7"/>
  <c r="C1884" i="7"/>
  <c r="C1883" i="7"/>
  <c r="C1882" i="7"/>
  <c r="C1881" i="7"/>
  <c r="C1880" i="7"/>
  <c r="C1879" i="7"/>
  <c r="C1878" i="7"/>
  <c r="C1877" i="7"/>
  <c r="C1876" i="7"/>
  <c r="C1875" i="7"/>
  <c r="C1874" i="7"/>
  <c r="C1873" i="7"/>
  <c r="C1872" i="7"/>
  <c r="C1871" i="7"/>
  <c r="C1870" i="7"/>
  <c r="C1869" i="7"/>
  <c r="C1868" i="7"/>
  <c r="C1867" i="7"/>
  <c r="C1866" i="7"/>
  <c r="C1865" i="7"/>
  <c r="C1864" i="7"/>
  <c r="C1863" i="7"/>
  <c r="C1862" i="7"/>
  <c r="C1861" i="7"/>
  <c r="C1860" i="7"/>
  <c r="C1859" i="7"/>
  <c r="C1858" i="7"/>
  <c r="C1857" i="7"/>
  <c r="C1856" i="7"/>
  <c r="C1855" i="7"/>
  <c r="C1854" i="7"/>
  <c r="C1853" i="7"/>
  <c r="C1852" i="7"/>
  <c r="C1851" i="7"/>
  <c r="C1850" i="7"/>
  <c r="C1849" i="7"/>
  <c r="C1848" i="7"/>
  <c r="C1847" i="7"/>
  <c r="C1846" i="7"/>
  <c r="C1845" i="7"/>
  <c r="C1844" i="7"/>
  <c r="C1843" i="7"/>
  <c r="C1842" i="7"/>
  <c r="C1841" i="7"/>
  <c r="C1840" i="7"/>
  <c r="C1839" i="7"/>
  <c r="C1838" i="7"/>
  <c r="C1837" i="7"/>
  <c r="C1836" i="7"/>
  <c r="C1835" i="7"/>
  <c r="C1834" i="7"/>
  <c r="C1833" i="7"/>
  <c r="C1832" i="7"/>
  <c r="C1831" i="7"/>
  <c r="C1830" i="7"/>
  <c r="C1829" i="7"/>
  <c r="C1828" i="7"/>
  <c r="C1827" i="7"/>
  <c r="C1826" i="7"/>
  <c r="C1825" i="7"/>
  <c r="C1824" i="7"/>
  <c r="C1823" i="7"/>
  <c r="C1822" i="7"/>
  <c r="C1821" i="7"/>
  <c r="C1820" i="7"/>
  <c r="C1819" i="7"/>
  <c r="C1818" i="7"/>
  <c r="C1817" i="7"/>
  <c r="C1816" i="7"/>
  <c r="C1815" i="7"/>
  <c r="C1814" i="7"/>
  <c r="C1813" i="7"/>
  <c r="C1812" i="7"/>
  <c r="C1811" i="7"/>
  <c r="C1810" i="7"/>
  <c r="C1809" i="7"/>
  <c r="C1808" i="7"/>
  <c r="C1807" i="7"/>
  <c r="C1806" i="7"/>
  <c r="C1805" i="7"/>
  <c r="C1804" i="7"/>
  <c r="C1803" i="7"/>
  <c r="C1802" i="7"/>
  <c r="C1801" i="7"/>
  <c r="C1800" i="7"/>
  <c r="C1799" i="7"/>
  <c r="C1798" i="7"/>
  <c r="C1797" i="7"/>
  <c r="C1796" i="7"/>
  <c r="C1795" i="7"/>
  <c r="C1794" i="7"/>
  <c r="C1793" i="7"/>
  <c r="C1792" i="7"/>
  <c r="C1791" i="7"/>
  <c r="C1790" i="7"/>
  <c r="C1789" i="7"/>
  <c r="C1788" i="7"/>
  <c r="C1787" i="7"/>
  <c r="C1786" i="7"/>
  <c r="C1785" i="7"/>
  <c r="C1784" i="7"/>
  <c r="C1783" i="7"/>
  <c r="C1782" i="7"/>
  <c r="C1781" i="7"/>
  <c r="C1780" i="7"/>
  <c r="C1779" i="7"/>
  <c r="C1778" i="7"/>
  <c r="C1777" i="7"/>
  <c r="C1776" i="7"/>
  <c r="C1775" i="7"/>
  <c r="C1774" i="7"/>
  <c r="C1773" i="7"/>
  <c r="C1772" i="7"/>
  <c r="C1771" i="7"/>
  <c r="C1770" i="7"/>
  <c r="C1769" i="7"/>
  <c r="C1768" i="7"/>
  <c r="C1767" i="7"/>
  <c r="C1766" i="7"/>
  <c r="C1765" i="7"/>
  <c r="C1764" i="7"/>
  <c r="C1763" i="7"/>
  <c r="C1762" i="7"/>
  <c r="C1761" i="7"/>
  <c r="C1760" i="7"/>
  <c r="C1759" i="7"/>
  <c r="C1758" i="7"/>
  <c r="C1757" i="7"/>
  <c r="C1756" i="7"/>
  <c r="C1755" i="7"/>
  <c r="C1754" i="7"/>
  <c r="C1753" i="7"/>
  <c r="C1752" i="7"/>
  <c r="C1751" i="7"/>
  <c r="C1750" i="7"/>
  <c r="C1749" i="7"/>
  <c r="C1748" i="7"/>
  <c r="C1747" i="7"/>
  <c r="C1746" i="7"/>
  <c r="C1745" i="7"/>
  <c r="C1744" i="7"/>
  <c r="C1743" i="7"/>
  <c r="C1742" i="7"/>
  <c r="C1741" i="7"/>
  <c r="C1740" i="7"/>
  <c r="C1739" i="7"/>
  <c r="C1738" i="7"/>
  <c r="C1737" i="7"/>
  <c r="C1736" i="7"/>
  <c r="C1735" i="7"/>
  <c r="C1734" i="7"/>
  <c r="C1733" i="7"/>
  <c r="C1732" i="7"/>
  <c r="C1731" i="7"/>
  <c r="C1730" i="7"/>
  <c r="C1729" i="7"/>
  <c r="C1728" i="7"/>
  <c r="C1727" i="7"/>
  <c r="C1726" i="7"/>
  <c r="C1725" i="7"/>
  <c r="C1724" i="7"/>
  <c r="C1723" i="7"/>
  <c r="C1722" i="7"/>
  <c r="C1721" i="7"/>
  <c r="C1720" i="7"/>
  <c r="C1719" i="7"/>
  <c r="C1718" i="7"/>
  <c r="C1717" i="7"/>
  <c r="C1716" i="7"/>
  <c r="C1715" i="7"/>
  <c r="C1714" i="7"/>
  <c r="C1713" i="7"/>
  <c r="C1712" i="7"/>
  <c r="C1711" i="7"/>
  <c r="C1710" i="7"/>
  <c r="C1709" i="7"/>
  <c r="C1708" i="7"/>
  <c r="C1707" i="7"/>
  <c r="C1706" i="7"/>
  <c r="C1705" i="7"/>
  <c r="C1704" i="7"/>
  <c r="C1703" i="7"/>
  <c r="C1702" i="7"/>
  <c r="C1701" i="7"/>
  <c r="C1700" i="7"/>
  <c r="C1699" i="7"/>
  <c r="C1698" i="7"/>
  <c r="C1697" i="7"/>
  <c r="C1696" i="7"/>
  <c r="C1695" i="7"/>
  <c r="C1694" i="7"/>
  <c r="C1693" i="7"/>
  <c r="C1692" i="7"/>
  <c r="C1691" i="7"/>
  <c r="C1690" i="7"/>
  <c r="C1689" i="7"/>
  <c r="C1688" i="7"/>
  <c r="C1687" i="7"/>
  <c r="C1686" i="7"/>
  <c r="C1685" i="7"/>
  <c r="C1684" i="7"/>
  <c r="C1683" i="7"/>
  <c r="C1682" i="7"/>
  <c r="C1681" i="7"/>
  <c r="C1680" i="7"/>
  <c r="C1679" i="7"/>
  <c r="C1678" i="7"/>
  <c r="C1677" i="7"/>
  <c r="C1676" i="7"/>
  <c r="C1675" i="7"/>
  <c r="C1674" i="7"/>
  <c r="C1673" i="7"/>
  <c r="C1672" i="7"/>
  <c r="C1671" i="7"/>
  <c r="C1670" i="7"/>
  <c r="C1669" i="7"/>
  <c r="C1668" i="7"/>
  <c r="C1667" i="7"/>
  <c r="C1666" i="7"/>
  <c r="C1665" i="7"/>
  <c r="C1664" i="7"/>
  <c r="C1663" i="7"/>
  <c r="C1662" i="7"/>
  <c r="C1661" i="7"/>
  <c r="C1660" i="7"/>
  <c r="C1659" i="7"/>
  <c r="C1658" i="7"/>
  <c r="C1657" i="7"/>
  <c r="C1656" i="7"/>
  <c r="C1655" i="7"/>
  <c r="C1654" i="7"/>
  <c r="C1653" i="7"/>
  <c r="C1652" i="7"/>
  <c r="C1651" i="7"/>
  <c r="C1650" i="7"/>
  <c r="C1649" i="7"/>
  <c r="C1648" i="7"/>
  <c r="C1647" i="7"/>
  <c r="C1646" i="7"/>
  <c r="C1645" i="7"/>
  <c r="C1644" i="7"/>
  <c r="C1643" i="7"/>
  <c r="C1642" i="7"/>
  <c r="C1641" i="7"/>
  <c r="C1640" i="7"/>
  <c r="C1639" i="7"/>
  <c r="C1638" i="7"/>
  <c r="C1637" i="7"/>
  <c r="C1636" i="7"/>
  <c r="C1635" i="7"/>
  <c r="C1634" i="7"/>
  <c r="C1633" i="7"/>
  <c r="C1632" i="7"/>
  <c r="C1631" i="7"/>
  <c r="C1630" i="7"/>
  <c r="C1629" i="7"/>
  <c r="C1628" i="7"/>
  <c r="C1627" i="7"/>
  <c r="C1626" i="7"/>
  <c r="C1625" i="7"/>
  <c r="C1624" i="7"/>
  <c r="C1623" i="7"/>
  <c r="C1622" i="7"/>
  <c r="C1621" i="7"/>
  <c r="C1620" i="7"/>
  <c r="C1619" i="7"/>
  <c r="C1618" i="7"/>
  <c r="C1617" i="7"/>
  <c r="C1616" i="7"/>
  <c r="C1615" i="7"/>
  <c r="C1614" i="7"/>
  <c r="C1613" i="7"/>
  <c r="C1612" i="7"/>
  <c r="C1611" i="7"/>
  <c r="C1610" i="7"/>
  <c r="C1609" i="7"/>
  <c r="C1608" i="7"/>
  <c r="C1607" i="7"/>
  <c r="C1606" i="7"/>
  <c r="C1605" i="7"/>
  <c r="C1604" i="7"/>
  <c r="C1603" i="7"/>
  <c r="C1602" i="7"/>
  <c r="C1601" i="7"/>
  <c r="C1600" i="7"/>
  <c r="C1599" i="7"/>
  <c r="C1598" i="7"/>
  <c r="C1597" i="7"/>
  <c r="C1596" i="7"/>
  <c r="C1595" i="7"/>
  <c r="C1594" i="7"/>
  <c r="C1593" i="7"/>
  <c r="C1592" i="7"/>
  <c r="C1591" i="7"/>
  <c r="C1590" i="7"/>
  <c r="C1589" i="7"/>
  <c r="C1588" i="7"/>
  <c r="C1587" i="7"/>
  <c r="C1586" i="7"/>
  <c r="C1585" i="7"/>
  <c r="C1584" i="7"/>
  <c r="C1583" i="7"/>
  <c r="C1582" i="7"/>
  <c r="C1581" i="7"/>
  <c r="C1580" i="7"/>
  <c r="C1579" i="7"/>
  <c r="C1578" i="7"/>
  <c r="C1577" i="7"/>
  <c r="C1576" i="7"/>
  <c r="C1575" i="7"/>
  <c r="C1574" i="7"/>
  <c r="C1573" i="7"/>
  <c r="C1572" i="7"/>
  <c r="C1571" i="7"/>
  <c r="C1570" i="7"/>
  <c r="C1569" i="7"/>
  <c r="C1568" i="7"/>
  <c r="C1567" i="7"/>
  <c r="C1566" i="7"/>
  <c r="C1565" i="7"/>
  <c r="C1564" i="7"/>
  <c r="C1563" i="7"/>
  <c r="C1562" i="7"/>
  <c r="C1561" i="7"/>
  <c r="C1560" i="7"/>
  <c r="C1559" i="7"/>
  <c r="C1558" i="7"/>
  <c r="C1557" i="7"/>
  <c r="C1556" i="7"/>
  <c r="C1555" i="7"/>
  <c r="C1554" i="7"/>
  <c r="C1553" i="7"/>
  <c r="C1552" i="7"/>
  <c r="C1551" i="7"/>
  <c r="C1550" i="7"/>
  <c r="C1549" i="7"/>
  <c r="C1548" i="7"/>
  <c r="C1547" i="7"/>
  <c r="C1546" i="7"/>
  <c r="C1545" i="7"/>
  <c r="C1544" i="7"/>
  <c r="C1543" i="7"/>
  <c r="C1542" i="7"/>
  <c r="C1541" i="7"/>
  <c r="C1540" i="7"/>
  <c r="C1539" i="7"/>
  <c r="C1538" i="7"/>
  <c r="C1537" i="7"/>
  <c r="C1536" i="7"/>
  <c r="C1535" i="7"/>
  <c r="C1534" i="7"/>
  <c r="C1533" i="7"/>
  <c r="C1532" i="7"/>
  <c r="C1531" i="7"/>
  <c r="C1530" i="7"/>
  <c r="C1529" i="7"/>
  <c r="C1528" i="7"/>
  <c r="C1527" i="7"/>
  <c r="C1526" i="7"/>
  <c r="C1525" i="7"/>
  <c r="C1524" i="7"/>
  <c r="C1523" i="7"/>
  <c r="C1522" i="7"/>
  <c r="C1521" i="7"/>
  <c r="C1520" i="7"/>
  <c r="C1519" i="7"/>
  <c r="C1518" i="7"/>
  <c r="C1517" i="7"/>
  <c r="C1516" i="7"/>
  <c r="C1515" i="7"/>
  <c r="C1514" i="7"/>
  <c r="C1513" i="7"/>
  <c r="C1512" i="7"/>
  <c r="C1511" i="7"/>
  <c r="C1510" i="7"/>
  <c r="C1509" i="7"/>
  <c r="C1508" i="7"/>
  <c r="C1507" i="7"/>
  <c r="C1506" i="7"/>
  <c r="C1505" i="7"/>
  <c r="C1504" i="7"/>
  <c r="C1503" i="7"/>
  <c r="C1502" i="7"/>
  <c r="C1501" i="7"/>
  <c r="C1500" i="7"/>
  <c r="C1499" i="7"/>
  <c r="C1498" i="7"/>
  <c r="C1497" i="7"/>
  <c r="C1496" i="7"/>
  <c r="C1495" i="7"/>
  <c r="C1494" i="7"/>
  <c r="C1493" i="7"/>
  <c r="C1492" i="7"/>
  <c r="C1491" i="7"/>
  <c r="C1490" i="7"/>
  <c r="C1489" i="7"/>
  <c r="C1488" i="7"/>
  <c r="C1487" i="7"/>
  <c r="C1486" i="7"/>
  <c r="C1485" i="7"/>
  <c r="C1484" i="7"/>
  <c r="C1483" i="7"/>
  <c r="C1482" i="7"/>
  <c r="C1481" i="7"/>
  <c r="C1480" i="7"/>
  <c r="C1479" i="7"/>
  <c r="C1478" i="7"/>
  <c r="C1477" i="7"/>
  <c r="C1476" i="7"/>
  <c r="C1475" i="7"/>
  <c r="C1474" i="7"/>
  <c r="C1473" i="7"/>
  <c r="C1472" i="7"/>
  <c r="C1471" i="7"/>
  <c r="C1470" i="7"/>
  <c r="C1469" i="7"/>
  <c r="C1468" i="7"/>
  <c r="C1467" i="7"/>
  <c r="C1466" i="7"/>
  <c r="C1465" i="7"/>
  <c r="C1464" i="7"/>
  <c r="C1463" i="7"/>
  <c r="C1462" i="7"/>
  <c r="C1461" i="7"/>
  <c r="C1460" i="7"/>
  <c r="C1459" i="7"/>
  <c r="C1458" i="7"/>
  <c r="C1457" i="7"/>
  <c r="C1456" i="7"/>
  <c r="C1455" i="7"/>
  <c r="C1454" i="7"/>
  <c r="C1453" i="7"/>
  <c r="C1452" i="7"/>
  <c r="C1451" i="7"/>
  <c r="C1450" i="7"/>
  <c r="C1449" i="7"/>
  <c r="C1448" i="7"/>
  <c r="C1447" i="7"/>
  <c r="C1446" i="7"/>
  <c r="C1445" i="7"/>
  <c r="C1444" i="7"/>
  <c r="C1443" i="7"/>
  <c r="C1442" i="7"/>
  <c r="C1441" i="7"/>
  <c r="C1440" i="7"/>
  <c r="C1439" i="7"/>
  <c r="C1438" i="7"/>
  <c r="C1437" i="7"/>
  <c r="C1436" i="7"/>
  <c r="C1435" i="7"/>
  <c r="C1434" i="7"/>
  <c r="C1433" i="7"/>
  <c r="C1432" i="7"/>
  <c r="C1431" i="7"/>
  <c r="C1430" i="7"/>
  <c r="C1429" i="7"/>
  <c r="C1428" i="7"/>
  <c r="C1427" i="7"/>
  <c r="C1426" i="7"/>
  <c r="C1425" i="7"/>
  <c r="C1424" i="7"/>
  <c r="C1423" i="7"/>
  <c r="C1422" i="7"/>
  <c r="C1421" i="7"/>
  <c r="C1420" i="7"/>
  <c r="C1419" i="7"/>
  <c r="C1418" i="7"/>
  <c r="C1417" i="7"/>
  <c r="C1416" i="7"/>
  <c r="C1415" i="7"/>
  <c r="C1414" i="7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72" i="7"/>
  <c r="C1371" i="7"/>
  <c r="C1370" i="7"/>
  <c r="C1369" i="7"/>
  <c r="C1368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17" i="7"/>
  <c r="C1316" i="7"/>
  <c r="C1315" i="7"/>
  <c r="C1314" i="7"/>
  <c r="C1313" i="7"/>
  <c r="C1312" i="7"/>
  <c r="C1311" i="7"/>
  <c r="C1310" i="7"/>
  <c r="C1309" i="7"/>
  <c r="C1308" i="7"/>
  <c r="C1307" i="7"/>
  <c r="C1306" i="7"/>
  <c r="C1305" i="7"/>
  <c r="C1304" i="7"/>
  <c r="C1303" i="7"/>
  <c r="C1302" i="7"/>
  <c r="C1301" i="7"/>
  <c r="C1300" i="7"/>
  <c r="C1299" i="7"/>
  <c r="C1298" i="7"/>
  <c r="C1297" i="7"/>
  <c r="C1296" i="7"/>
  <c r="C1295" i="7"/>
  <c r="C1294" i="7"/>
  <c r="C1293" i="7"/>
  <c r="C1292" i="7"/>
  <c r="C1291" i="7"/>
  <c r="C1290" i="7"/>
  <c r="C1289" i="7"/>
  <c r="C1288" i="7"/>
  <c r="C1287" i="7"/>
  <c r="C1286" i="7"/>
  <c r="C1285" i="7"/>
  <c r="C1284" i="7"/>
  <c r="C1283" i="7"/>
  <c r="C1282" i="7"/>
  <c r="C1281" i="7"/>
  <c r="C1280" i="7"/>
  <c r="C1279" i="7"/>
  <c r="C1278" i="7"/>
  <c r="C1277" i="7"/>
  <c r="C1276" i="7"/>
  <c r="C1275" i="7"/>
  <c r="C1274" i="7"/>
  <c r="C1273" i="7"/>
  <c r="C1272" i="7"/>
  <c r="C1271" i="7"/>
  <c r="C1270" i="7"/>
  <c r="C1269" i="7"/>
  <c r="C1268" i="7"/>
  <c r="C1267" i="7"/>
  <c r="C1266" i="7"/>
  <c r="C1265" i="7"/>
  <c r="C1264" i="7"/>
  <c r="C1263" i="7"/>
  <c r="C1262" i="7"/>
  <c r="C1261" i="7"/>
  <c r="C1260" i="7"/>
  <c r="C1259" i="7"/>
  <c r="C1258" i="7"/>
  <c r="C1257" i="7"/>
  <c r="C1256" i="7"/>
  <c r="C1255" i="7"/>
  <c r="C1254" i="7"/>
  <c r="C1253" i="7"/>
  <c r="C1252" i="7"/>
  <c r="C1251" i="7"/>
  <c r="C1250" i="7"/>
  <c r="C1249" i="7"/>
  <c r="C1248" i="7"/>
  <c r="C1247" i="7"/>
  <c r="C1246" i="7"/>
  <c r="C1245" i="7"/>
  <c r="C1244" i="7"/>
  <c r="C1243" i="7"/>
  <c r="C1242" i="7"/>
  <c r="C1241" i="7"/>
  <c r="C1240" i="7"/>
  <c r="C1239" i="7"/>
  <c r="C1238" i="7"/>
  <c r="C1237" i="7"/>
  <c r="C1236" i="7"/>
  <c r="C1235" i="7"/>
  <c r="C1234" i="7"/>
  <c r="C1233" i="7"/>
  <c r="C1232" i="7"/>
  <c r="C1231" i="7"/>
  <c r="C1230" i="7"/>
  <c r="C1229" i="7"/>
  <c r="C1228" i="7"/>
  <c r="C1227" i="7"/>
  <c r="C1226" i="7"/>
  <c r="C1225" i="7"/>
  <c r="C1224" i="7"/>
  <c r="C1223" i="7"/>
  <c r="C1222" i="7"/>
  <c r="C1221" i="7"/>
  <c r="C1220" i="7"/>
  <c r="C1219" i="7"/>
  <c r="C1218" i="7"/>
  <c r="C1217" i="7"/>
  <c r="C1216" i="7"/>
  <c r="C1215" i="7"/>
  <c r="C1214" i="7"/>
  <c r="C1213" i="7"/>
  <c r="C1212" i="7"/>
  <c r="C1211" i="7"/>
  <c r="C1210" i="7"/>
  <c r="C1209" i="7"/>
  <c r="C1208" i="7"/>
  <c r="C1207" i="7"/>
  <c r="C1206" i="7"/>
  <c r="C1205" i="7"/>
  <c r="C1204" i="7"/>
  <c r="C1203" i="7"/>
  <c r="C1202" i="7"/>
  <c r="C1201" i="7"/>
  <c r="C1200" i="7"/>
  <c r="C1199" i="7"/>
  <c r="C1198" i="7"/>
  <c r="C1197" i="7"/>
  <c r="C1196" i="7"/>
  <c r="C1195" i="7"/>
  <c r="C1194" i="7"/>
  <c r="C1193" i="7"/>
  <c r="C1192" i="7"/>
  <c r="C1191" i="7"/>
  <c r="C1190" i="7"/>
  <c r="C1189" i="7"/>
  <c r="C1188" i="7"/>
  <c r="C1187" i="7"/>
  <c r="C1186" i="7"/>
  <c r="C1185" i="7"/>
  <c r="C1184" i="7"/>
  <c r="C1183" i="7"/>
  <c r="C1182" i="7"/>
  <c r="C1181" i="7"/>
  <c r="C1180" i="7"/>
  <c r="C1179" i="7"/>
  <c r="C1178" i="7"/>
  <c r="C1177" i="7"/>
  <c r="C1176" i="7"/>
  <c r="C1175" i="7"/>
  <c r="C1174" i="7"/>
  <c r="C1173" i="7"/>
  <c r="C1172" i="7"/>
  <c r="C1171" i="7"/>
  <c r="C1170" i="7"/>
  <c r="C1169" i="7"/>
  <c r="C1168" i="7"/>
  <c r="C1167" i="7"/>
  <c r="C1166" i="7"/>
  <c r="C1165" i="7"/>
  <c r="C1164" i="7"/>
  <c r="C1163" i="7"/>
  <c r="C1162" i="7"/>
  <c r="C1161" i="7"/>
  <c r="C1160" i="7"/>
  <c r="C1159" i="7"/>
  <c r="C1158" i="7"/>
  <c r="C1157" i="7"/>
  <c r="C1156" i="7"/>
  <c r="C1155" i="7"/>
  <c r="C1154" i="7"/>
  <c r="C1153" i="7"/>
  <c r="C1152" i="7"/>
  <c r="C1151" i="7"/>
  <c r="C1150" i="7"/>
  <c r="C1149" i="7"/>
  <c r="C1148" i="7"/>
  <c r="C1147" i="7"/>
  <c r="C1146" i="7"/>
  <c r="C1145" i="7"/>
  <c r="C1144" i="7"/>
  <c r="C1143" i="7"/>
  <c r="C1142" i="7"/>
  <c r="C1141" i="7"/>
  <c r="C1140" i="7"/>
  <c r="C1139" i="7"/>
  <c r="C1138" i="7"/>
  <c r="C1137" i="7"/>
  <c r="C1136" i="7"/>
  <c r="C1135" i="7"/>
  <c r="C1134" i="7"/>
  <c r="C1133" i="7"/>
  <c r="C1132" i="7"/>
  <c r="C1131" i="7"/>
  <c r="C1130" i="7"/>
  <c r="C1129" i="7"/>
  <c r="C1128" i="7"/>
  <c r="C1127" i="7"/>
  <c r="C1126" i="7"/>
  <c r="C1125" i="7"/>
  <c r="C1124" i="7"/>
  <c r="C1123" i="7"/>
  <c r="C1122" i="7"/>
  <c r="C1121" i="7"/>
  <c r="C1120" i="7"/>
  <c r="C1119" i="7"/>
  <c r="C1118" i="7"/>
  <c r="C1117" i="7"/>
  <c r="C1116" i="7"/>
  <c r="C1115" i="7"/>
  <c r="C1114" i="7"/>
  <c r="C1113" i="7"/>
  <c r="C1112" i="7"/>
  <c r="C1111" i="7"/>
  <c r="C1110" i="7"/>
  <c r="C1109" i="7"/>
  <c r="C1108" i="7"/>
  <c r="C1107" i="7"/>
  <c r="C1106" i="7"/>
  <c r="C1105" i="7"/>
  <c r="C1104" i="7"/>
  <c r="C1103" i="7"/>
  <c r="C1102" i="7"/>
  <c r="C1101" i="7"/>
  <c r="C1100" i="7"/>
  <c r="C1099" i="7"/>
  <c r="C1098" i="7"/>
  <c r="C1097" i="7"/>
  <c r="C1096" i="7"/>
  <c r="C1095" i="7"/>
  <c r="C1094" i="7"/>
  <c r="C1093" i="7"/>
  <c r="C1092" i="7"/>
  <c r="C1091" i="7"/>
  <c r="C1090" i="7"/>
  <c r="C1089" i="7"/>
  <c r="C1088" i="7"/>
  <c r="C1087" i="7"/>
  <c r="C1086" i="7"/>
  <c r="C1085" i="7"/>
  <c r="C1084" i="7"/>
  <c r="C1083" i="7"/>
  <c r="C1082" i="7"/>
  <c r="C1081" i="7"/>
  <c r="C1080" i="7"/>
  <c r="C1079" i="7"/>
  <c r="C1078" i="7"/>
  <c r="C1077" i="7"/>
  <c r="C1076" i="7"/>
  <c r="C1075" i="7"/>
  <c r="C1074" i="7"/>
  <c r="C1073" i="7"/>
  <c r="C1072" i="7"/>
  <c r="C1071" i="7"/>
  <c r="C1070" i="7"/>
  <c r="C1069" i="7"/>
  <c r="C1068" i="7"/>
  <c r="C1067" i="7"/>
  <c r="C1066" i="7"/>
  <c r="C1065" i="7"/>
  <c r="C1064" i="7"/>
  <c r="C1063" i="7"/>
  <c r="C1062" i="7"/>
  <c r="C1061" i="7"/>
  <c r="C1060" i="7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17" i="7" l="1"/>
  <c r="C18" i="7"/>
  <c r="C19" i="7"/>
  <c r="C20" i="7"/>
  <c r="C16" i="7"/>
  <c r="G9" i="3"/>
  <c r="G5" i="3"/>
  <c r="G4" i="3" a="1"/>
  <c r="G4" i="3" s="1"/>
  <c r="G6" i="3"/>
  <c r="G7" i="3"/>
  <c r="G8" i="3"/>
  <c r="G16" i="3" s="1"/>
  <c r="G10" i="3"/>
  <c r="G11" i="3"/>
  <c r="L4" i="3" l="1" a="1"/>
  <c r="L4" i="3" s="1"/>
  <c r="L3" i="7"/>
  <c r="AG6" i="8"/>
  <c r="AO6" i="8" s="1"/>
  <c r="AJ5" i="8"/>
  <c r="AR5" i="8" s="1"/>
  <c r="AJ6" i="8"/>
  <c r="AR6" i="8" s="1"/>
  <c r="AG5" i="8"/>
  <c r="AO5" i="8" s="1"/>
  <c r="C2516" i="7" a="1"/>
  <c r="G50" i="3"/>
  <c r="G12" i="3"/>
  <c r="G15" i="3" s="1" a="1"/>
  <c r="G15" i="3" s="1"/>
  <c r="G17" i="3" s="1"/>
  <c r="G38" i="3" l="1" a="1"/>
  <c r="G38" i="3" s="1"/>
  <c r="L4" i="7" s="1"/>
  <c r="L5" i="7" s="1"/>
  <c r="L6" i="7" s="1"/>
  <c r="J4" i="7"/>
  <c r="J5" i="7" s="1"/>
  <c r="J6" i="7" s="1"/>
  <c r="G48" i="3"/>
  <c r="G49" i="3" s="1"/>
  <c r="G46" i="3"/>
  <c r="G47" i="3" s="1"/>
  <c r="C2516" i="7"/>
  <c r="D4593" i="7"/>
  <c r="L22" i="3" l="1"/>
  <c r="D3298" i="7"/>
  <c r="F3298" i="7" s="1"/>
  <c r="D2914" i="7"/>
  <c r="F2914" i="7" s="1"/>
  <c r="D3089" i="7"/>
  <c r="E3089" i="7" s="1"/>
  <c r="D2703" i="7"/>
  <c r="E2703" i="7" s="1"/>
  <c r="D2743" i="7"/>
  <c r="F2743" i="7" s="1"/>
  <c r="D3209" i="7"/>
  <c r="E3209" i="7" s="1"/>
  <c r="D3274" i="7"/>
  <c r="F3274" i="7" s="1"/>
  <c r="D3345" i="7"/>
  <c r="D3410" i="7"/>
  <c r="F3410" i="7" s="1"/>
  <c r="D3481" i="7"/>
  <c r="D2977" i="7"/>
  <c r="E2977" i="7" s="1"/>
  <c r="D3339" i="7"/>
  <c r="F3339" i="7" s="1"/>
  <c r="D3261" i="7"/>
  <c r="D3225" i="7"/>
  <c r="E3225" i="7" s="1"/>
  <c r="D2826" i="7"/>
  <c r="F2826" i="7" s="1"/>
  <c r="D3665" i="7"/>
  <c r="F3665" i="7" s="1"/>
  <c r="D3825" i="7"/>
  <c r="E3825" i="7" s="1"/>
  <c r="D3773" i="7"/>
  <c r="D3154" i="7"/>
  <c r="E3154" i="7" s="1"/>
  <c r="D3465" i="7"/>
  <c r="D2711" i="7"/>
  <c r="D2785" i="7"/>
  <c r="F2785" i="7" s="1"/>
  <c r="D3905" i="7"/>
  <c r="D4455" i="7"/>
  <c r="D2531" i="7"/>
  <c r="D2548" i="7"/>
  <c r="F2548" i="7" s="1"/>
  <c r="D2557" i="7"/>
  <c r="E2557" i="7" s="1"/>
  <c r="D3674" i="7"/>
  <c r="E3674" i="7" s="1"/>
  <c r="D3675" i="7"/>
  <c r="E3675" i="7" s="1"/>
  <c r="D2926" i="7"/>
  <c r="F2926" i="7" s="1"/>
  <c r="D2850" i="7"/>
  <c r="E2850" i="7" s="1"/>
  <c r="D2544" i="7"/>
  <c r="E2544" i="7" s="1"/>
  <c r="D2561" i="7"/>
  <c r="F2561" i="7" s="1"/>
  <c r="D2578" i="7"/>
  <c r="D2595" i="7"/>
  <c r="E2595" i="7" s="1"/>
  <c r="D2612" i="7"/>
  <c r="F2612" i="7" s="1"/>
  <c r="D2637" i="7"/>
  <c r="E2637" i="7" s="1"/>
  <c r="D3834" i="7"/>
  <c r="D3851" i="7"/>
  <c r="D3710" i="7"/>
  <c r="D2749" i="7"/>
  <c r="D3530" i="7"/>
  <c r="F3530" i="7" s="1"/>
  <c r="D3801" i="7"/>
  <c r="F3801" i="7" s="1"/>
  <c r="D3499" i="7"/>
  <c r="E3499" i="7" s="1"/>
  <c r="D2719" i="7"/>
  <c r="E2719" i="7" s="1"/>
  <c r="D2608" i="7"/>
  <c r="F2608" i="7" s="1"/>
  <c r="D2625" i="7"/>
  <c r="D2642" i="7"/>
  <c r="E2642" i="7" s="1"/>
  <c r="D2659" i="7"/>
  <c r="F2659" i="7" s="1"/>
  <c r="D2676" i="7"/>
  <c r="E2676" i="7" s="1"/>
  <c r="D2737" i="7"/>
  <c r="E2737" i="7" s="1"/>
  <c r="D4283" i="7"/>
  <c r="E4283" i="7" s="1"/>
  <c r="D4290" i="7"/>
  <c r="E4290" i="7" s="1"/>
  <c r="D3823" i="7"/>
  <c r="D3018" i="7"/>
  <c r="D3163" i="7"/>
  <c r="E3163" i="7" s="1"/>
  <c r="D2631" i="7"/>
  <c r="E2631" i="7" s="1"/>
  <c r="D3832" i="7"/>
  <c r="E3832" i="7" s="1"/>
  <c r="D2953" i="7"/>
  <c r="D2646" i="7"/>
  <c r="D2762" i="7"/>
  <c r="E2762" i="7" s="1"/>
  <c r="D3994" i="7"/>
  <c r="D2882" i="7"/>
  <c r="D2672" i="7"/>
  <c r="F2672" i="7" s="1"/>
  <c r="D2689" i="7"/>
  <c r="E2689" i="7" s="1"/>
  <c r="D2706" i="7"/>
  <c r="D2723" i="7"/>
  <c r="E2723" i="7" s="1"/>
  <c r="D2754" i="7"/>
  <c r="D3194" i="7"/>
  <c r="E3194" i="7" s="1"/>
  <c r="D2827" i="7"/>
  <c r="E2827" i="7" s="1"/>
  <c r="D3084" i="7"/>
  <c r="F3084" i="7" s="1"/>
  <c r="D2695" i="7"/>
  <c r="D2727" i="7"/>
  <c r="D2745" i="7"/>
  <c r="E2745" i="7" s="1"/>
  <c r="D2791" i="7"/>
  <c r="E2791" i="7" s="1"/>
  <c r="D2834" i="7"/>
  <c r="D2898" i="7"/>
  <c r="E2898" i="7" s="1"/>
  <c r="D2969" i="7"/>
  <c r="D3881" i="7"/>
  <c r="E3881" i="7" s="1"/>
  <c r="D2987" i="7"/>
  <c r="E2987" i="7" s="1"/>
  <c r="D3596" i="7"/>
  <c r="D3953" i="7"/>
  <c r="E3953" i="7" s="1"/>
  <c r="D2946" i="7"/>
  <c r="F2946" i="7" s="1"/>
  <c r="D3010" i="7"/>
  <c r="D2616" i="7"/>
  <c r="F2616" i="7" s="1"/>
  <c r="D2767" i="7"/>
  <c r="E2767" i="7" s="1"/>
  <c r="D3241" i="7"/>
  <c r="F3241" i="7" s="1"/>
  <c r="D4122" i="7"/>
  <c r="E4122" i="7" s="1"/>
  <c r="D2633" i="7"/>
  <c r="D2810" i="7"/>
  <c r="E2810" i="7" s="1"/>
  <c r="D3050" i="7"/>
  <c r="D3593" i="7"/>
  <c r="E3593" i="7" s="1"/>
  <c r="D2522" i="7"/>
  <c r="E2522" i="7" s="1"/>
  <c r="D2586" i="7"/>
  <c r="D2650" i="7"/>
  <c r="D2714" i="7"/>
  <c r="E2714" i="7" s="1"/>
  <c r="D2865" i="7"/>
  <c r="E2865" i="7" s="1"/>
  <c r="D3121" i="7"/>
  <c r="E3121" i="7" s="1"/>
  <c r="D3377" i="7"/>
  <c r="D3729" i="7"/>
  <c r="E3729" i="7" s="1"/>
  <c r="D2539" i="7"/>
  <c r="D2603" i="7"/>
  <c r="D2667" i="7"/>
  <c r="F2667" i="7" s="1"/>
  <c r="D2735" i="7"/>
  <c r="F2735" i="7" s="1"/>
  <c r="D2930" i="7"/>
  <c r="F2930" i="7" s="1"/>
  <c r="D3186" i="7"/>
  <c r="F3186" i="7" s="1"/>
  <c r="D3442" i="7"/>
  <c r="E3442" i="7" s="1"/>
  <c r="D3865" i="7"/>
  <c r="E3865" i="7" s="1"/>
  <c r="D2556" i="7"/>
  <c r="D2620" i="7"/>
  <c r="D2684" i="7"/>
  <c r="E2684" i="7" s="1"/>
  <c r="D2777" i="7"/>
  <c r="E2777" i="7" s="1"/>
  <c r="D3001" i="7"/>
  <c r="E3001" i="7" s="1"/>
  <c r="D3257" i="7"/>
  <c r="D3513" i="7"/>
  <c r="D4250" i="7"/>
  <c r="E4250" i="7" s="1"/>
  <c r="D2565" i="7"/>
  <c r="F2565" i="7" s="1"/>
  <c r="D2653" i="7"/>
  <c r="E2653" i="7" s="1"/>
  <c r="D2759" i="7"/>
  <c r="F2759" i="7" s="1"/>
  <c r="D3226" i="7"/>
  <c r="D4026" i="7"/>
  <c r="F4026" i="7" s="1"/>
  <c r="D2662" i="7"/>
  <c r="D3105" i="7"/>
  <c r="D4058" i="7"/>
  <c r="D3690" i="7"/>
  <c r="D3866" i="7"/>
  <c r="F3866" i="7" s="1"/>
  <c r="D4353" i="7"/>
  <c r="F4353" i="7" s="1"/>
  <c r="D2843" i="7"/>
  <c r="E2843" i="7" s="1"/>
  <c r="D3019" i="7"/>
  <c r="D3179" i="7"/>
  <c r="E3179" i="7" s="1"/>
  <c r="D3355" i="7"/>
  <c r="D3531" i="7"/>
  <c r="D3691" i="7"/>
  <c r="D3867" i="7"/>
  <c r="F3867" i="7" s="1"/>
  <c r="D4470" i="7"/>
  <c r="E4470" i="7" s="1"/>
  <c r="D3148" i="7"/>
  <c r="F3148" i="7" s="1"/>
  <c r="D3660" i="7"/>
  <c r="F3660" i="7" s="1"/>
  <c r="D2813" i="7"/>
  <c r="E2813" i="7" s="1"/>
  <c r="D3325" i="7"/>
  <c r="E3325" i="7" s="1"/>
  <c r="D3837" i="7"/>
  <c r="F3837" i="7" s="1"/>
  <c r="D2990" i="7"/>
  <c r="E2990" i="7" s="1"/>
  <c r="D3870" i="7"/>
  <c r="E3870" i="7" s="1"/>
  <c r="D4242" i="7"/>
  <c r="D4275" i="7"/>
  <c r="E4275" i="7" s="1"/>
  <c r="D89" i="7"/>
  <c r="E89" i="7" s="1"/>
  <c r="D641" i="7"/>
  <c r="D1225" i="7"/>
  <c r="D121" i="7"/>
  <c r="D529" i="7"/>
  <c r="F529" i="7" s="1"/>
  <c r="D977" i="7"/>
  <c r="D1425" i="7"/>
  <c r="E1425" i="7" s="1"/>
  <c r="D1769" i="7"/>
  <c r="E1769" i="7" s="1"/>
  <c r="D1969" i="7"/>
  <c r="D2419" i="7"/>
  <c r="E2419" i="7" s="1"/>
  <c r="D26" i="7"/>
  <c r="D90" i="7"/>
  <c r="E90" i="7" s="1"/>
  <c r="D154" i="7"/>
  <c r="E154" i="7" s="1"/>
  <c r="D218" i="7"/>
  <c r="E218" i="7" s="1"/>
  <c r="D282" i="7"/>
  <c r="D346" i="7"/>
  <c r="E346" i="7" s="1"/>
  <c r="D265" i="7"/>
  <c r="D833" i="7"/>
  <c r="D1377" i="7"/>
  <c r="D2355" i="7"/>
  <c r="D329" i="7"/>
  <c r="E329" i="7" s="1"/>
  <c r="D945" i="7"/>
  <c r="E945" i="7" s="1"/>
  <c r="D1409" i="7"/>
  <c r="F1409" i="7" s="1"/>
  <c r="D1793" i="7"/>
  <c r="F1793" i="7" s="1"/>
  <c r="D2515" i="7"/>
  <c r="F2515" i="7" s="1"/>
  <c r="D43" i="7"/>
  <c r="D107" i="7"/>
  <c r="D171" i="7"/>
  <c r="D235" i="7"/>
  <c r="E235" i="7" s="1"/>
  <c r="D60" i="7"/>
  <c r="D161" i="7"/>
  <c r="D649" i="7"/>
  <c r="D1105" i="7"/>
  <c r="D1553" i="7"/>
  <c r="F1553" i="7" s="1"/>
  <c r="D1905" i="7"/>
  <c r="D37" i="7"/>
  <c r="D101" i="7"/>
  <c r="D165" i="7"/>
  <c r="D229" i="7"/>
  <c r="D293" i="7"/>
  <c r="D357" i="7"/>
  <c r="D421" i="7"/>
  <c r="D485" i="7"/>
  <c r="D57" i="7"/>
  <c r="F57" i="7" s="1"/>
  <c r="D545" i="7"/>
  <c r="F545" i="7" s="1"/>
  <c r="D1041" i="7"/>
  <c r="D38" i="7"/>
  <c r="D150" i="7"/>
  <c r="D214" i="7"/>
  <c r="D278" i="7"/>
  <c r="D342" i="7"/>
  <c r="D129" i="7"/>
  <c r="D673" i="7"/>
  <c r="F673" i="7" s="1"/>
  <c r="D1121" i="7"/>
  <c r="D1577" i="7"/>
  <c r="F1577" i="7" s="1"/>
  <c r="D78" i="7"/>
  <c r="D95" i="7"/>
  <c r="D199" i="7"/>
  <c r="D271" i="7"/>
  <c r="D335" i="7"/>
  <c r="D399" i="7"/>
  <c r="D463" i="7"/>
  <c r="D527" i="7"/>
  <c r="D591" i="7"/>
  <c r="D655" i="7"/>
  <c r="D609" i="7"/>
  <c r="D1169" i="7"/>
  <c r="D1689" i="7"/>
  <c r="E1689" i="7" s="1"/>
  <c r="D47" i="7"/>
  <c r="D24" i="7"/>
  <c r="D88" i="7"/>
  <c r="D152" i="7"/>
  <c r="D216" i="7"/>
  <c r="E216" i="7" s="1"/>
  <c r="D280" i="7"/>
  <c r="E280" i="7" s="1"/>
  <c r="D344" i="7"/>
  <c r="D408" i="7"/>
  <c r="D2283" i="7"/>
  <c r="F2283" i="7" s="1"/>
  <c r="D442" i="7"/>
  <c r="D506" i="7"/>
  <c r="E506" i="7" s="1"/>
  <c r="D570" i="7"/>
  <c r="D634" i="7"/>
  <c r="E634" i="7" s="1"/>
  <c r="D698" i="7"/>
  <c r="D762" i="7"/>
  <c r="D826" i="7"/>
  <c r="E826" i="7" s="1"/>
  <c r="D890" i="7"/>
  <c r="E890" i="7" s="1"/>
  <c r="D954" i="7"/>
  <c r="E954" i="7" s="1"/>
  <c r="D1018" i="7"/>
  <c r="E1018" i="7" s="1"/>
  <c r="D299" i="7"/>
  <c r="D363" i="7"/>
  <c r="E363" i="7" s="1"/>
  <c r="D427" i="7"/>
  <c r="F427" i="7" s="1"/>
  <c r="D491" i="7"/>
  <c r="D555" i="7"/>
  <c r="D619" i="7"/>
  <c r="D683" i="7"/>
  <c r="E683" i="7" s="1"/>
  <c r="D747" i="7"/>
  <c r="D811" i="7"/>
  <c r="D875" i="7"/>
  <c r="D108" i="7"/>
  <c r="D172" i="7"/>
  <c r="D236" i="7"/>
  <c r="D300" i="7"/>
  <c r="D364" i="7"/>
  <c r="D428" i="7"/>
  <c r="D492" i="7"/>
  <c r="D556" i="7"/>
  <c r="D557" i="7"/>
  <c r="D398" i="7"/>
  <c r="D462" i="7"/>
  <c r="D526" i="7"/>
  <c r="D590" i="7"/>
  <c r="D654" i="7"/>
  <c r="D703" i="7"/>
  <c r="D767" i="7"/>
  <c r="D831" i="7"/>
  <c r="D895" i="7"/>
  <c r="D959" i="7"/>
  <c r="D1023" i="7"/>
  <c r="D1087" i="7"/>
  <c r="D1151" i="7"/>
  <c r="D1215" i="7"/>
  <c r="D1279" i="7"/>
  <c r="D432" i="7"/>
  <c r="D496" i="7"/>
  <c r="D560" i="7"/>
  <c r="D624" i="7"/>
  <c r="D688" i="7"/>
  <c r="D752" i="7"/>
  <c r="D816" i="7"/>
  <c r="F816" i="7" s="1"/>
  <c r="D880" i="7"/>
  <c r="D145" i="7"/>
  <c r="D705" i="7"/>
  <c r="E705" i="7" s="1"/>
  <c r="D1313" i="7"/>
  <c r="F1313" i="7" s="1"/>
  <c r="D169" i="7"/>
  <c r="D585" i="7"/>
  <c r="E585" i="7" s="1"/>
  <c r="D1033" i="7"/>
  <c r="D1481" i="7"/>
  <c r="E1481" i="7" s="1"/>
  <c r="D1809" i="7"/>
  <c r="E1809" i="7" s="1"/>
  <c r="D2009" i="7"/>
  <c r="E2009" i="7" s="1"/>
  <c r="D2411" i="7"/>
  <c r="D34" i="7"/>
  <c r="D98" i="7"/>
  <c r="E98" i="7" s="1"/>
  <c r="D162" i="7"/>
  <c r="D226" i="7"/>
  <c r="E226" i="7" s="1"/>
  <c r="D290" i="7"/>
  <c r="D354" i="7"/>
  <c r="F354" i="7" s="1"/>
  <c r="D337" i="7"/>
  <c r="E337" i="7" s="1"/>
  <c r="D881" i="7"/>
  <c r="E881" i="7" s="1"/>
  <c r="D1433" i="7"/>
  <c r="D267" i="7"/>
  <c r="D393" i="7"/>
  <c r="D1009" i="7"/>
  <c r="D1465" i="7"/>
  <c r="D1817" i="7"/>
  <c r="E1817" i="7" s="1"/>
  <c r="D2491" i="7"/>
  <c r="D51" i="7"/>
  <c r="F51" i="7" s="1"/>
  <c r="D115" i="7"/>
  <c r="D179" i="7"/>
  <c r="E179" i="7" s="1"/>
  <c r="D243" i="7"/>
  <c r="D68" i="7"/>
  <c r="D233" i="7"/>
  <c r="E233" i="7" s="1"/>
  <c r="D713" i="7"/>
  <c r="E713" i="7" s="1"/>
  <c r="D1153" i="7"/>
  <c r="D1601" i="7"/>
  <c r="F1601" i="7" s="1"/>
  <c r="D1929" i="7"/>
  <c r="D45" i="7"/>
  <c r="D109" i="7"/>
  <c r="D173" i="7"/>
  <c r="D237" i="7"/>
  <c r="D301" i="7"/>
  <c r="D365" i="7"/>
  <c r="D429" i="7"/>
  <c r="D493" i="7"/>
  <c r="D113" i="7"/>
  <c r="D601" i="7"/>
  <c r="D1113" i="7"/>
  <c r="E1113" i="7" s="1"/>
  <c r="D62" i="7"/>
  <c r="D158" i="7"/>
  <c r="D222" i="7"/>
  <c r="D286" i="7"/>
  <c r="D350" i="7"/>
  <c r="D185" i="7"/>
  <c r="D737" i="7"/>
  <c r="E737" i="7" s="1"/>
  <c r="D1177" i="7"/>
  <c r="F1177" i="7" s="1"/>
  <c r="D1625" i="7"/>
  <c r="E1625" i="7" s="1"/>
  <c r="D94" i="7"/>
  <c r="D103" i="7"/>
  <c r="D207" i="7"/>
  <c r="D279" i="7"/>
  <c r="D343" i="7"/>
  <c r="D407" i="7"/>
  <c r="D471" i="7"/>
  <c r="D535" i="7"/>
  <c r="D599" i="7"/>
  <c r="D33" i="7"/>
  <c r="D681" i="7"/>
  <c r="D1257" i="7"/>
  <c r="F1257" i="7" s="1"/>
  <c r="D1753" i="7"/>
  <c r="E1753" i="7" s="1"/>
  <c r="D71" i="7"/>
  <c r="D32" i="7"/>
  <c r="D96" i="7"/>
  <c r="D160" i="7"/>
  <c r="D224" i="7"/>
  <c r="E224" i="7" s="1"/>
  <c r="D288" i="7"/>
  <c r="D352" i="7"/>
  <c r="D416" i="7"/>
  <c r="F416" i="7" s="1"/>
  <c r="D386" i="7"/>
  <c r="E386" i="7" s="1"/>
  <c r="D450" i="7"/>
  <c r="E450" i="7" s="1"/>
  <c r="D514" i="7"/>
  <c r="D578" i="7"/>
  <c r="E578" i="7" s="1"/>
  <c r="D642" i="7"/>
  <c r="E642" i="7" s="1"/>
  <c r="D706" i="7"/>
  <c r="E706" i="7" s="1"/>
  <c r="D770" i="7"/>
  <c r="E770" i="7" s="1"/>
  <c r="D834" i="7"/>
  <c r="D898" i="7"/>
  <c r="D962" i="7"/>
  <c r="E962" i="7" s="1"/>
  <c r="D1026" i="7"/>
  <c r="D307" i="7"/>
  <c r="E307" i="7" s="1"/>
  <c r="D371" i="7"/>
  <c r="D435" i="7"/>
  <c r="D499" i="7"/>
  <c r="D563" i="7"/>
  <c r="D627" i="7"/>
  <c r="D691" i="7"/>
  <c r="F691" i="7" s="1"/>
  <c r="D755" i="7"/>
  <c r="D819" i="7"/>
  <c r="D883" i="7"/>
  <c r="D116" i="7"/>
  <c r="D180" i="7"/>
  <c r="D244" i="7"/>
  <c r="D308" i="7"/>
  <c r="D372" i="7"/>
  <c r="D436" i="7"/>
  <c r="D500" i="7"/>
  <c r="D564" i="7"/>
  <c r="D565" i="7"/>
  <c r="D406" i="7"/>
  <c r="D470" i="7"/>
  <c r="D534" i="7"/>
  <c r="D598" i="7"/>
  <c r="D662" i="7"/>
  <c r="D711" i="7"/>
  <c r="D775" i="7"/>
  <c r="D839" i="7"/>
  <c r="D903" i="7"/>
  <c r="D967" i="7"/>
  <c r="D1031" i="7"/>
  <c r="D1095" i="7"/>
  <c r="D1159" i="7"/>
  <c r="D1223" i="7"/>
  <c r="D1287" i="7"/>
  <c r="D440" i="7"/>
  <c r="E440" i="7" s="1"/>
  <c r="D504" i="7"/>
  <c r="E504" i="7" s="1"/>
  <c r="D568" i="7"/>
  <c r="D632" i="7"/>
  <c r="E632" i="7" s="1"/>
  <c r="D696" i="7"/>
  <c r="F696" i="7" s="1"/>
  <c r="D760" i="7"/>
  <c r="D824" i="7"/>
  <c r="D888" i="7"/>
  <c r="E888" i="7" s="1"/>
  <c r="D952" i="7"/>
  <c r="D1016" i="7"/>
  <c r="E1016" i="7" s="1"/>
  <c r="D1080" i="7"/>
  <c r="E1080" i="7" s="1"/>
  <c r="D2219" i="7"/>
  <c r="D2155" i="7"/>
  <c r="E2155" i="7" s="1"/>
  <c r="D2091" i="7"/>
  <c r="D2027" i="7"/>
  <c r="F2027" i="7" s="1"/>
  <c r="D1114" i="7"/>
  <c r="F1114" i="7" s="1"/>
  <c r="D1178" i="7"/>
  <c r="E1178" i="7" s="1"/>
  <c r="D1242" i="7"/>
  <c r="E1242" i="7" s="1"/>
  <c r="D1306" i="7"/>
  <c r="E1306" i="7" s="1"/>
  <c r="D1370" i="7"/>
  <c r="E1370" i="7" s="1"/>
  <c r="D1434" i="7"/>
  <c r="D1498" i="7"/>
  <c r="E1498" i="7" s="1"/>
  <c r="D1562" i="7"/>
  <c r="F1562" i="7" s="1"/>
  <c r="D1626" i="7"/>
  <c r="D1690" i="7"/>
  <c r="D995" i="7"/>
  <c r="D1059" i="7"/>
  <c r="E1059" i="7" s="1"/>
  <c r="D1123" i="7"/>
  <c r="D1187" i="7"/>
  <c r="D1251" i="7"/>
  <c r="D1315" i="7"/>
  <c r="D1379" i="7"/>
  <c r="E1379" i="7" s="1"/>
  <c r="D1443" i="7"/>
  <c r="F1443" i="7" s="1"/>
  <c r="D1507" i="7"/>
  <c r="F1507" i="7" s="1"/>
  <c r="D1571" i="7"/>
  <c r="D628" i="7"/>
  <c r="D692" i="7"/>
  <c r="D756" i="7"/>
  <c r="D820" i="7"/>
  <c r="D884" i="7"/>
  <c r="D948" i="7"/>
  <c r="D1012" i="7"/>
  <c r="D1076" i="7"/>
  <c r="D1140" i="7"/>
  <c r="D1204" i="7"/>
  <c r="D661" i="7"/>
  <c r="D725" i="7"/>
  <c r="D789" i="7"/>
  <c r="D853" i="7"/>
  <c r="D209" i="7"/>
  <c r="D785" i="7"/>
  <c r="E785" i="7" s="1"/>
  <c r="D1393" i="7"/>
  <c r="D225" i="7"/>
  <c r="E225" i="7" s="1"/>
  <c r="D657" i="7"/>
  <c r="D1081" i="7"/>
  <c r="E1081" i="7" s="1"/>
  <c r="D1537" i="7"/>
  <c r="E1537" i="7" s="1"/>
  <c r="D1841" i="7"/>
  <c r="D2499" i="7"/>
  <c r="D2403" i="7"/>
  <c r="E2403" i="7" s="1"/>
  <c r="D42" i="7"/>
  <c r="D106" i="7"/>
  <c r="E106" i="7" s="1"/>
  <c r="D170" i="7"/>
  <c r="E170" i="7" s="1"/>
  <c r="D234" i="7"/>
  <c r="D298" i="7"/>
  <c r="E298" i="7" s="1"/>
  <c r="D362" i="7"/>
  <c r="E362" i="7" s="1"/>
  <c r="D401" i="7"/>
  <c r="F401" i="7" s="1"/>
  <c r="D961" i="7"/>
  <c r="E961" i="7" s="1"/>
  <c r="D1497" i="7"/>
  <c r="E1497" i="7" s="1"/>
  <c r="D275" i="7"/>
  <c r="E275" i="7" s="1"/>
  <c r="D457" i="7"/>
  <c r="F457" i="7" s="1"/>
  <c r="D1065" i="7"/>
  <c r="E1065" i="7" s="1"/>
  <c r="D1521" i="7"/>
  <c r="F1521" i="7" s="1"/>
  <c r="D1849" i="7"/>
  <c r="F1849" i="7" s="1"/>
  <c r="D2475" i="7"/>
  <c r="D59" i="7"/>
  <c r="D123" i="7"/>
  <c r="E123" i="7" s="1"/>
  <c r="D187" i="7"/>
  <c r="E187" i="7" s="1"/>
  <c r="D251" i="7"/>
  <c r="E251" i="7" s="1"/>
  <c r="D76" i="7"/>
  <c r="D297" i="7"/>
  <c r="E297" i="7" s="1"/>
  <c r="D761" i="7"/>
  <c r="F761" i="7" s="1"/>
  <c r="D1217" i="7"/>
  <c r="F1217" i="7" s="1"/>
  <c r="D1665" i="7"/>
  <c r="D1953" i="7"/>
  <c r="D53" i="7"/>
  <c r="D117" i="7"/>
  <c r="D181" i="7"/>
  <c r="D245" i="7"/>
  <c r="D309" i="7"/>
  <c r="D373" i="7"/>
  <c r="D437" i="7"/>
  <c r="D501" i="7"/>
  <c r="D177" i="7"/>
  <c r="E177" i="7" s="1"/>
  <c r="D665" i="7"/>
  <c r="F665" i="7" s="1"/>
  <c r="D1185" i="7"/>
  <c r="D86" i="7"/>
  <c r="D166" i="7"/>
  <c r="D230" i="7"/>
  <c r="D294" i="7"/>
  <c r="D358" i="7"/>
  <c r="D249" i="7"/>
  <c r="F249" i="7" s="1"/>
  <c r="D793" i="7"/>
  <c r="E793" i="7" s="1"/>
  <c r="D1209" i="7"/>
  <c r="F1209" i="7" s="1"/>
  <c r="D1673" i="7"/>
  <c r="E1673" i="7" s="1"/>
  <c r="D23" i="7"/>
  <c r="D111" i="7"/>
  <c r="D223" i="7"/>
  <c r="D287" i="7"/>
  <c r="D351" i="7"/>
  <c r="D415" i="7"/>
  <c r="D479" i="7"/>
  <c r="D543" i="7"/>
  <c r="D607" i="7"/>
  <c r="D193" i="7"/>
  <c r="D745" i="7"/>
  <c r="D1329" i="7"/>
  <c r="E1329" i="7" s="1"/>
  <c r="D1977" i="7"/>
  <c r="D127" i="7"/>
  <c r="D40" i="7"/>
  <c r="D104" i="7"/>
  <c r="D168" i="7"/>
  <c r="D232" i="7"/>
  <c r="E232" i="7" s="1"/>
  <c r="D296" i="7"/>
  <c r="F296" i="7" s="1"/>
  <c r="D360" i="7"/>
  <c r="E360" i="7" s="1"/>
  <c r="D424" i="7"/>
  <c r="F424" i="7" s="1"/>
  <c r="D394" i="7"/>
  <c r="D458" i="7"/>
  <c r="D522" i="7"/>
  <c r="E522" i="7" s="1"/>
  <c r="D586" i="7"/>
  <c r="F586" i="7" s="1"/>
  <c r="D650" i="7"/>
  <c r="E650" i="7" s="1"/>
  <c r="D714" i="7"/>
  <c r="D778" i="7"/>
  <c r="E778" i="7" s="1"/>
  <c r="D842" i="7"/>
  <c r="E842" i="7" s="1"/>
  <c r="D906" i="7"/>
  <c r="E906" i="7" s="1"/>
  <c r="D970" i="7"/>
  <c r="E970" i="7" s="1"/>
  <c r="D1034" i="7"/>
  <c r="E1034" i="7" s="1"/>
  <c r="D315" i="7"/>
  <c r="D379" i="7"/>
  <c r="E379" i="7" s="1"/>
  <c r="D443" i="7"/>
  <c r="D507" i="7"/>
  <c r="D571" i="7"/>
  <c r="F571" i="7" s="1"/>
  <c r="D635" i="7"/>
  <c r="E635" i="7" s="1"/>
  <c r="D699" i="7"/>
  <c r="D763" i="7"/>
  <c r="D827" i="7"/>
  <c r="D891" i="7"/>
  <c r="D124" i="7"/>
  <c r="D188" i="7"/>
  <c r="D252" i="7"/>
  <c r="D316" i="7"/>
  <c r="D380" i="7"/>
  <c r="D444" i="7"/>
  <c r="D508" i="7"/>
  <c r="D572" i="7"/>
  <c r="D573" i="7"/>
  <c r="D414" i="7"/>
  <c r="D478" i="7"/>
  <c r="D542" i="7"/>
  <c r="D606" i="7"/>
  <c r="D670" i="7"/>
  <c r="D719" i="7"/>
  <c r="D783" i="7"/>
  <c r="D847" i="7"/>
  <c r="D911" i="7"/>
  <c r="D975" i="7"/>
  <c r="D1039" i="7"/>
  <c r="D1103" i="7"/>
  <c r="D1167" i="7"/>
  <c r="D1231" i="7"/>
  <c r="D1295" i="7"/>
  <c r="D448" i="7"/>
  <c r="D512" i="7"/>
  <c r="D576" i="7"/>
  <c r="D640" i="7"/>
  <c r="D704" i="7"/>
  <c r="D768" i="7"/>
  <c r="E768" i="7" s="1"/>
  <c r="D832" i="7"/>
  <c r="D896" i="7"/>
  <c r="D960" i="7"/>
  <c r="D1024" i="7"/>
  <c r="D2275" i="7"/>
  <c r="E2275" i="7" s="1"/>
  <c r="D2211" i="7"/>
  <c r="E2211" i="7" s="1"/>
  <c r="D2147" i="7"/>
  <c r="D2083" i="7"/>
  <c r="E2083" i="7" s="1"/>
  <c r="D2019" i="7"/>
  <c r="F2019" i="7" s="1"/>
  <c r="D1122" i="7"/>
  <c r="D1186" i="7"/>
  <c r="F1186" i="7" s="1"/>
  <c r="D1250" i="7"/>
  <c r="E1250" i="7" s="1"/>
  <c r="D1314" i="7"/>
  <c r="E1314" i="7" s="1"/>
  <c r="D1378" i="7"/>
  <c r="D1442" i="7"/>
  <c r="E1442" i="7" s="1"/>
  <c r="D1506" i="7"/>
  <c r="E1506" i="7" s="1"/>
  <c r="D1570" i="7"/>
  <c r="E1570" i="7" s="1"/>
  <c r="D1634" i="7"/>
  <c r="D289" i="7"/>
  <c r="D849" i="7"/>
  <c r="F849" i="7" s="1"/>
  <c r="D1457" i="7"/>
  <c r="E1457" i="7" s="1"/>
  <c r="D273" i="7"/>
  <c r="D721" i="7"/>
  <c r="D1137" i="7"/>
  <c r="D1569" i="7"/>
  <c r="D1857" i="7"/>
  <c r="E1857" i="7" s="1"/>
  <c r="D2483" i="7"/>
  <c r="E2483" i="7" s="1"/>
  <c r="D2395" i="7"/>
  <c r="D50" i="7"/>
  <c r="D114" i="7"/>
  <c r="D178" i="7"/>
  <c r="D242" i="7"/>
  <c r="F242" i="7" s="1"/>
  <c r="D306" i="7"/>
  <c r="F306" i="7" s="1"/>
  <c r="D370" i="7"/>
  <c r="D481" i="7"/>
  <c r="D1025" i="7"/>
  <c r="D1593" i="7"/>
  <c r="F1593" i="7" s="1"/>
  <c r="D41" i="7"/>
  <c r="F41" i="7" s="1"/>
  <c r="D513" i="7"/>
  <c r="D1129" i="7"/>
  <c r="F1129" i="7" s="1"/>
  <c r="D1561" i="7"/>
  <c r="F1561" i="7" s="1"/>
  <c r="D1865" i="7"/>
  <c r="F1865" i="7" s="1"/>
  <c r="D2459" i="7"/>
  <c r="E2459" i="7" s="1"/>
  <c r="D67" i="7"/>
  <c r="E67" i="7" s="1"/>
  <c r="D131" i="7"/>
  <c r="F131" i="7" s="1"/>
  <c r="D195" i="7"/>
  <c r="E195" i="7" s="1"/>
  <c r="D259" i="7"/>
  <c r="D84" i="7"/>
  <c r="D361" i="7"/>
  <c r="E361" i="7" s="1"/>
  <c r="D817" i="7"/>
  <c r="D1281" i="7"/>
  <c r="F1281" i="7" s="1"/>
  <c r="D1713" i="7"/>
  <c r="D1985" i="7"/>
  <c r="F1985" i="7" s="1"/>
  <c r="D61" i="7"/>
  <c r="D125" i="7"/>
  <c r="D189" i="7"/>
  <c r="D253" i="7"/>
  <c r="D317" i="7"/>
  <c r="D381" i="7"/>
  <c r="D445" i="7"/>
  <c r="D509" i="7"/>
  <c r="D241" i="7"/>
  <c r="E241" i="7" s="1"/>
  <c r="D729" i="7"/>
  <c r="F729" i="7" s="1"/>
  <c r="D1241" i="7"/>
  <c r="D110" i="7"/>
  <c r="D174" i="7"/>
  <c r="D238" i="7"/>
  <c r="D302" i="7"/>
  <c r="D366" i="7"/>
  <c r="D313" i="7"/>
  <c r="E313" i="7" s="1"/>
  <c r="D841" i="7"/>
  <c r="E841" i="7" s="1"/>
  <c r="D1273" i="7"/>
  <c r="E1273" i="7" s="1"/>
  <c r="D1721" i="7"/>
  <c r="D39" i="7"/>
  <c r="D119" i="7"/>
  <c r="D231" i="7"/>
  <c r="D295" i="7"/>
  <c r="D359" i="7"/>
  <c r="D423" i="7"/>
  <c r="D487" i="7"/>
  <c r="D551" i="7"/>
  <c r="D615" i="7"/>
  <c r="D257" i="7"/>
  <c r="F257" i="7" s="1"/>
  <c r="D809" i="7"/>
  <c r="F809" i="7" s="1"/>
  <c r="D1385" i="7"/>
  <c r="D22" i="7"/>
  <c r="D143" i="7"/>
  <c r="D48" i="7"/>
  <c r="D112" i="7"/>
  <c r="D176" i="7"/>
  <c r="D240" i="7"/>
  <c r="D304" i="7"/>
  <c r="D368" i="7"/>
  <c r="F368" i="7" s="1"/>
  <c r="D2323" i="7"/>
  <c r="F2323" i="7" s="1"/>
  <c r="D402" i="7"/>
  <c r="F402" i="7" s="1"/>
  <c r="D466" i="7"/>
  <c r="D530" i="7"/>
  <c r="F530" i="7" s="1"/>
  <c r="D594" i="7"/>
  <c r="E594" i="7" s="1"/>
  <c r="D658" i="7"/>
  <c r="D722" i="7"/>
  <c r="D786" i="7"/>
  <c r="E786" i="7" s="1"/>
  <c r="D850" i="7"/>
  <c r="D914" i="7"/>
  <c r="E914" i="7" s="1"/>
  <c r="D978" i="7"/>
  <c r="D1042" i="7"/>
  <c r="E1042" i="7" s="1"/>
  <c r="D323" i="7"/>
  <c r="E323" i="7" s="1"/>
  <c r="D387" i="7"/>
  <c r="E387" i="7" s="1"/>
  <c r="D451" i="7"/>
  <c r="E451" i="7" s="1"/>
  <c r="D515" i="7"/>
  <c r="E515" i="7" s="1"/>
  <c r="D579" i="7"/>
  <c r="D643" i="7"/>
  <c r="D707" i="7"/>
  <c r="D771" i="7"/>
  <c r="D835" i="7"/>
  <c r="E835" i="7" s="1"/>
  <c r="D899" i="7"/>
  <c r="E899" i="7" s="1"/>
  <c r="D132" i="7"/>
  <c r="D196" i="7"/>
  <c r="D260" i="7"/>
  <c r="D324" i="7"/>
  <c r="D388" i="7"/>
  <c r="D452" i="7"/>
  <c r="D516" i="7"/>
  <c r="D580" i="7"/>
  <c r="D581" i="7"/>
  <c r="D422" i="7"/>
  <c r="D486" i="7"/>
  <c r="D550" i="7"/>
  <c r="D614" i="7"/>
  <c r="D663" i="7"/>
  <c r="D727" i="7"/>
  <c r="D791" i="7"/>
  <c r="D855" i="7"/>
  <c r="D919" i="7"/>
  <c r="D983" i="7"/>
  <c r="D1047" i="7"/>
  <c r="D1111" i="7"/>
  <c r="D1175" i="7"/>
  <c r="D1239" i="7"/>
  <c r="D1303" i="7"/>
  <c r="D456" i="7"/>
  <c r="D520" i="7"/>
  <c r="D584" i="7"/>
  <c r="E584" i="7" s="1"/>
  <c r="D648" i="7"/>
  <c r="D712" i="7"/>
  <c r="D776" i="7"/>
  <c r="D840" i="7"/>
  <c r="E840" i="7" s="1"/>
  <c r="D904" i="7"/>
  <c r="E904" i="7" s="1"/>
  <c r="D968" i="7"/>
  <c r="D1032" i="7"/>
  <c r="D2267" i="7"/>
  <c r="D2203" i="7"/>
  <c r="E2203" i="7" s="1"/>
  <c r="D2139" i="7"/>
  <c r="D2075" i="7"/>
  <c r="E2075" i="7" s="1"/>
  <c r="D1066" i="7"/>
  <c r="E1066" i="7" s="1"/>
  <c r="D1130" i="7"/>
  <c r="E1130" i="7" s="1"/>
  <c r="D353" i="7"/>
  <c r="F353" i="7" s="1"/>
  <c r="D905" i="7"/>
  <c r="D1545" i="7"/>
  <c r="D321" i="7"/>
  <c r="D777" i="7"/>
  <c r="E777" i="7" s="1"/>
  <c r="D1201" i="7"/>
  <c r="E1201" i="7" s="1"/>
  <c r="D1617" i="7"/>
  <c r="D1881" i="7"/>
  <c r="E1881" i="7" s="1"/>
  <c r="D2467" i="7"/>
  <c r="F2467" i="7" s="1"/>
  <c r="D2387" i="7"/>
  <c r="F2387" i="7" s="1"/>
  <c r="D58" i="7"/>
  <c r="E58" i="7" s="1"/>
  <c r="D122" i="7"/>
  <c r="E122" i="7" s="1"/>
  <c r="D186" i="7"/>
  <c r="D250" i="7"/>
  <c r="F250" i="7" s="1"/>
  <c r="D314" i="7"/>
  <c r="D378" i="7"/>
  <c r="E378" i="7" s="1"/>
  <c r="D553" i="7"/>
  <c r="E553" i="7" s="1"/>
  <c r="D1097" i="7"/>
  <c r="F1097" i="7" s="1"/>
  <c r="D1633" i="7"/>
  <c r="E1633" i="7" s="1"/>
  <c r="D97" i="7"/>
  <c r="D561" i="7"/>
  <c r="E561" i="7" s="1"/>
  <c r="D1193" i="7"/>
  <c r="D1609" i="7"/>
  <c r="D1889" i="7"/>
  <c r="F1889" i="7" s="1"/>
  <c r="D2443" i="7"/>
  <c r="F2443" i="7" s="1"/>
  <c r="D75" i="7"/>
  <c r="E75" i="7" s="1"/>
  <c r="D139" i="7"/>
  <c r="D203" i="7"/>
  <c r="E203" i="7" s="1"/>
  <c r="D28" i="7"/>
  <c r="D92" i="7"/>
  <c r="D425" i="7"/>
  <c r="F425" i="7" s="1"/>
  <c r="D865" i="7"/>
  <c r="D1337" i="7"/>
  <c r="D1761" i="7"/>
  <c r="D2507" i="7"/>
  <c r="D69" i="7"/>
  <c r="D133" i="7"/>
  <c r="D197" i="7"/>
  <c r="D261" i="7"/>
  <c r="D325" i="7"/>
  <c r="D389" i="7"/>
  <c r="D453" i="7"/>
  <c r="D517" i="7"/>
  <c r="D305" i="7"/>
  <c r="D801" i="7"/>
  <c r="E801" i="7" s="1"/>
  <c r="D1297" i="7"/>
  <c r="D118" i="7"/>
  <c r="D182" i="7"/>
  <c r="D246" i="7"/>
  <c r="D310" i="7"/>
  <c r="D374" i="7"/>
  <c r="D377" i="7"/>
  <c r="D897" i="7"/>
  <c r="E897" i="7" s="1"/>
  <c r="D1353" i="7"/>
  <c r="E1353" i="7" s="1"/>
  <c r="D1785" i="7"/>
  <c r="E1785" i="7" s="1"/>
  <c r="D55" i="7"/>
  <c r="D135" i="7"/>
  <c r="D239" i="7"/>
  <c r="D303" i="7"/>
  <c r="D367" i="7"/>
  <c r="D431" i="7"/>
  <c r="D495" i="7"/>
  <c r="D559" i="7"/>
  <c r="D623" i="7"/>
  <c r="D345" i="7"/>
  <c r="D889" i="7"/>
  <c r="D1441" i="7"/>
  <c r="D46" i="7"/>
  <c r="D159" i="7"/>
  <c r="D56" i="7"/>
  <c r="E56" i="7" s="1"/>
  <c r="D120" i="7"/>
  <c r="E120" i="7" s="1"/>
  <c r="D184" i="7"/>
  <c r="D248" i="7"/>
  <c r="E248" i="7" s="1"/>
  <c r="D312" i="7"/>
  <c r="E312" i="7" s="1"/>
  <c r="D376" i="7"/>
  <c r="F376" i="7" s="1"/>
  <c r="D2315" i="7"/>
  <c r="D410" i="7"/>
  <c r="D474" i="7"/>
  <c r="F474" i="7" s="1"/>
  <c r="D538" i="7"/>
  <c r="F538" i="7" s="1"/>
  <c r="D602" i="7"/>
  <c r="F602" i="7" s="1"/>
  <c r="D666" i="7"/>
  <c r="D730" i="7"/>
  <c r="E730" i="7" s="1"/>
  <c r="D794" i="7"/>
  <c r="D858" i="7"/>
  <c r="E858" i="7" s="1"/>
  <c r="D922" i="7"/>
  <c r="D986" i="7"/>
  <c r="F986" i="7" s="1"/>
  <c r="D1050" i="7"/>
  <c r="F1050" i="7" s="1"/>
  <c r="D331" i="7"/>
  <c r="D395" i="7"/>
  <c r="D459" i="7"/>
  <c r="D523" i="7"/>
  <c r="D587" i="7"/>
  <c r="D651" i="7"/>
  <c r="E651" i="7" s="1"/>
  <c r="D715" i="7"/>
  <c r="D779" i="7"/>
  <c r="D843" i="7"/>
  <c r="D907" i="7"/>
  <c r="D140" i="7"/>
  <c r="D204" i="7"/>
  <c r="D268" i="7"/>
  <c r="D332" i="7"/>
  <c r="D396" i="7"/>
  <c r="D460" i="7"/>
  <c r="D524" i="7"/>
  <c r="D588" i="7"/>
  <c r="D589" i="7"/>
  <c r="D430" i="7"/>
  <c r="D494" i="7"/>
  <c r="D558" i="7"/>
  <c r="D622" i="7"/>
  <c r="D671" i="7"/>
  <c r="D735" i="7"/>
  <c r="D799" i="7"/>
  <c r="D863" i="7"/>
  <c r="D927" i="7"/>
  <c r="D991" i="7"/>
  <c r="D1055" i="7"/>
  <c r="D1119" i="7"/>
  <c r="D1183" i="7"/>
  <c r="D1247" i="7"/>
  <c r="D1311" i="7"/>
  <c r="D497" i="7"/>
  <c r="D1073" i="7"/>
  <c r="D2331" i="7"/>
  <c r="D449" i="7"/>
  <c r="D873" i="7"/>
  <c r="D1305" i="7"/>
  <c r="E1305" i="7" s="1"/>
  <c r="D1697" i="7"/>
  <c r="D1921" i="7"/>
  <c r="E1921" i="7" s="1"/>
  <c r="D2435" i="7"/>
  <c r="E2435" i="7" s="1"/>
  <c r="D2363" i="7"/>
  <c r="E2363" i="7" s="1"/>
  <c r="D74" i="7"/>
  <c r="D138" i="7"/>
  <c r="D202" i="7"/>
  <c r="F202" i="7" s="1"/>
  <c r="D266" i="7"/>
  <c r="E266" i="7" s="1"/>
  <c r="D330" i="7"/>
  <c r="D137" i="7"/>
  <c r="E137" i="7" s="1"/>
  <c r="D689" i="7"/>
  <c r="F689" i="7" s="1"/>
  <c r="D1249" i="7"/>
  <c r="E1249" i="7" s="1"/>
  <c r="D1737" i="7"/>
  <c r="F1737" i="7" s="1"/>
  <c r="D217" i="7"/>
  <c r="F217" i="7" s="1"/>
  <c r="D697" i="7"/>
  <c r="E697" i="7" s="1"/>
  <c r="D1289" i="7"/>
  <c r="F1289" i="7" s="1"/>
  <c r="D1705" i="7"/>
  <c r="D1937" i="7"/>
  <c r="E1937" i="7" s="1"/>
  <c r="D27" i="7"/>
  <c r="D91" i="7"/>
  <c r="E91" i="7" s="1"/>
  <c r="D155" i="7"/>
  <c r="E155" i="7" s="1"/>
  <c r="D219" i="7"/>
  <c r="E219" i="7" s="1"/>
  <c r="D44" i="7"/>
  <c r="D49" i="7"/>
  <c r="F49" i="7" s="1"/>
  <c r="D521" i="7"/>
  <c r="D985" i="7"/>
  <c r="F985" i="7" s="1"/>
  <c r="D1449" i="7"/>
  <c r="D1833" i="7"/>
  <c r="D21" i="7"/>
  <c r="D85" i="7"/>
  <c r="D149" i="7"/>
  <c r="D213" i="7"/>
  <c r="D277" i="7"/>
  <c r="D341" i="7"/>
  <c r="D405" i="7"/>
  <c r="D469" i="7"/>
  <c r="D533" i="7"/>
  <c r="D433" i="7"/>
  <c r="D913" i="7"/>
  <c r="D1489" i="7"/>
  <c r="D134" i="7"/>
  <c r="D198" i="7"/>
  <c r="D262" i="7"/>
  <c r="D326" i="7"/>
  <c r="D25" i="7"/>
  <c r="D577" i="7"/>
  <c r="D1001" i="7"/>
  <c r="E1001" i="7" s="1"/>
  <c r="D1473" i="7"/>
  <c r="D30" i="7"/>
  <c r="D79" i="7"/>
  <c r="D167" i="7"/>
  <c r="D255" i="7"/>
  <c r="D319" i="7"/>
  <c r="D383" i="7"/>
  <c r="D447" i="7"/>
  <c r="D511" i="7"/>
  <c r="D575" i="7"/>
  <c r="D639" i="7"/>
  <c r="D473" i="7"/>
  <c r="E473" i="7" s="1"/>
  <c r="D1017" i="7"/>
  <c r="D1585" i="7"/>
  <c r="E1585" i="7" s="1"/>
  <c r="D102" i="7"/>
  <c r="D191" i="7"/>
  <c r="D72" i="7"/>
  <c r="D136" i="7"/>
  <c r="D200" i="7"/>
  <c r="E200" i="7" s="1"/>
  <c r="D264" i="7"/>
  <c r="D328" i="7"/>
  <c r="F328" i="7" s="1"/>
  <c r="D392" i="7"/>
  <c r="D2299" i="7"/>
  <c r="E2299" i="7" s="1"/>
  <c r="D426" i="7"/>
  <c r="D490" i="7"/>
  <c r="E490" i="7" s="1"/>
  <c r="D554" i="7"/>
  <c r="D618" i="7"/>
  <c r="D682" i="7"/>
  <c r="D746" i="7"/>
  <c r="E746" i="7" s="1"/>
  <c r="D810" i="7"/>
  <c r="D874" i="7"/>
  <c r="E874" i="7" s="1"/>
  <c r="D938" i="7"/>
  <c r="D1002" i="7"/>
  <c r="E1002" i="7" s="1"/>
  <c r="D283" i="7"/>
  <c r="E283" i="7" s="1"/>
  <c r="D347" i="7"/>
  <c r="D411" i="7"/>
  <c r="D475" i="7"/>
  <c r="D539" i="7"/>
  <c r="D603" i="7"/>
  <c r="D667" i="7"/>
  <c r="D731" i="7"/>
  <c r="E731" i="7" s="1"/>
  <c r="D795" i="7"/>
  <c r="D859" i="7"/>
  <c r="E859" i="7" s="1"/>
  <c r="D923" i="7"/>
  <c r="E923" i="7" s="1"/>
  <c r="D156" i="7"/>
  <c r="D220" i="7"/>
  <c r="D284" i="7"/>
  <c r="D348" i="7"/>
  <c r="D412" i="7"/>
  <c r="D476" i="7"/>
  <c r="D540" i="7"/>
  <c r="D604" i="7"/>
  <c r="D605" i="7"/>
  <c r="D446" i="7"/>
  <c r="D510" i="7"/>
  <c r="D574" i="7"/>
  <c r="D638" i="7"/>
  <c r="D687" i="7"/>
  <c r="D751" i="7"/>
  <c r="D815" i="7"/>
  <c r="D879" i="7"/>
  <c r="D943" i="7"/>
  <c r="D1007" i="7"/>
  <c r="D1071" i="7"/>
  <c r="D1135" i="7"/>
  <c r="D1199" i="7"/>
  <c r="D1263" i="7"/>
  <c r="D1327" i="7"/>
  <c r="D480" i="7"/>
  <c r="E480" i="7" s="1"/>
  <c r="D544" i="7"/>
  <c r="D608" i="7"/>
  <c r="D672" i="7"/>
  <c r="D736" i="7"/>
  <c r="D800" i="7"/>
  <c r="D864" i="7"/>
  <c r="E864" i="7" s="1"/>
  <c r="D928" i="7"/>
  <c r="D992" i="7"/>
  <c r="F992" i="7" s="1"/>
  <c r="D1056" i="7"/>
  <c r="D2243" i="7"/>
  <c r="D2179" i="7"/>
  <c r="E2179" i="7" s="1"/>
  <c r="D2115" i="7"/>
  <c r="E2115" i="7" s="1"/>
  <c r="D2051" i="7"/>
  <c r="D1090" i="7"/>
  <c r="E1090" i="7" s="1"/>
  <c r="D1154" i="7"/>
  <c r="F1154" i="7" s="1"/>
  <c r="D1218" i="7"/>
  <c r="D1282" i="7"/>
  <c r="E1282" i="7" s="1"/>
  <c r="D1346" i="7"/>
  <c r="E1346" i="7" s="1"/>
  <c r="D1410" i="7"/>
  <c r="E1410" i="7" s="1"/>
  <c r="D1474" i="7"/>
  <c r="D569" i="7"/>
  <c r="D1145" i="7"/>
  <c r="D65" i="7"/>
  <c r="D489" i="7"/>
  <c r="D929" i="7"/>
  <c r="D1361" i="7"/>
  <c r="F1361" i="7" s="1"/>
  <c r="D1729" i="7"/>
  <c r="E1729" i="7" s="1"/>
  <c r="D1945" i="7"/>
  <c r="E1945" i="7" s="1"/>
  <c r="D2427" i="7"/>
  <c r="E2427" i="7" s="1"/>
  <c r="D2339" i="7"/>
  <c r="F2339" i="7" s="1"/>
  <c r="D82" i="7"/>
  <c r="D146" i="7"/>
  <c r="D210" i="7"/>
  <c r="F210" i="7" s="1"/>
  <c r="D274" i="7"/>
  <c r="D338" i="7"/>
  <c r="D201" i="7"/>
  <c r="E201" i="7" s="1"/>
  <c r="D753" i="7"/>
  <c r="D1321" i="7"/>
  <c r="F1321" i="7" s="1"/>
  <c r="D1825" i="7"/>
  <c r="D281" i="7"/>
  <c r="E281" i="7" s="1"/>
  <c r="D769" i="7"/>
  <c r="D1345" i="7"/>
  <c r="D1745" i="7"/>
  <c r="E1745" i="7" s="1"/>
  <c r="D1961" i="7"/>
  <c r="F1961" i="7" s="1"/>
  <c r="D35" i="7"/>
  <c r="D99" i="7"/>
  <c r="D163" i="7"/>
  <c r="E163" i="7" s="1"/>
  <c r="D227" i="7"/>
  <c r="D52" i="7"/>
  <c r="D105" i="7"/>
  <c r="F105" i="7" s="1"/>
  <c r="D593" i="7"/>
  <c r="E593" i="7" s="1"/>
  <c r="D1049" i="7"/>
  <c r="E1049" i="7" s="1"/>
  <c r="D1505" i="7"/>
  <c r="E1505" i="7" s="1"/>
  <c r="D1873" i="7"/>
  <c r="E1873" i="7" s="1"/>
  <c r="D29" i="7"/>
  <c r="D93" i="7"/>
  <c r="D157" i="7"/>
  <c r="D221" i="7"/>
  <c r="D285" i="7"/>
  <c r="D349" i="7"/>
  <c r="D413" i="7"/>
  <c r="D477" i="7"/>
  <c r="D541" i="7"/>
  <c r="D505" i="7"/>
  <c r="E505" i="7" s="1"/>
  <c r="D969" i="7"/>
  <c r="F969" i="7" s="1"/>
  <c r="D1993" i="7"/>
  <c r="F1993" i="7" s="1"/>
  <c r="D142" i="7"/>
  <c r="D206" i="7"/>
  <c r="D270" i="7"/>
  <c r="D334" i="7"/>
  <c r="D73" i="7"/>
  <c r="E73" i="7" s="1"/>
  <c r="D625" i="7"/>
  <c r="D1057" i="7"/>
  <c r="D1529" i="7"/>
  <c r="D54" i="7"/>
  <c r="D87" i="7"/>
  <c r="D183" i="7"/>
  <c r="D263" i="7"/>
  <c r="D327" i="7"/>
  <c r="D391" i="7"/>
  <c r="D455" i="7"/>
  <c r="D519" i="7"/>
  <c r="D583" i="7"/>
  <c r="D647" i="7"/>
  <c r="D537" i="7"/>
  <c r="D1089" i="7"/>
  <c r="D1641" i="7"/>
  <c r="D31" i="7"/>
  <c r="D215" i="7"/>
  <c r="D80" i="7"/>
  <c r="D144" i="7"/>
  <c r="D208" i="7"/>
  <c r="D272" i="7"/>
  <c r="D336" i="7"/>
  <c r="D400" i="7"/>
  <c r="D2291" i="7"/>
  <c r="D434" i="7"/>
  <c r="E434" i="7" s="1"/>
  <c r="D498" i="7"/>
  <c r="E498" i="7" s="1"/>
  <c r="D562" i="7"/>
  <c r="D626" i="7"/>
  <c r="F626" i="7" s="1"/>
  <c r="D690" i="7"/>
  <c r="E690" i="7" s="1"/>
  <c r="D417" i="7"/>
  <c r="E417" i="7" s="1"/>
  <c r="D2451" i="7"/>
  <c r="D617" i="7"/>
  <c r="E617" i="7" s="1"/>
  <c r="D2347" i="7"/>
  <c r="E2347" i="7" s="1"/>
  <c r="D1401" i="7"/>
  <c r="D397" i="7"/>
  <c r="D254" i="7"/>
  <c r="D151" i="7"/>
  <c r="D409" i="7"/>
  <c r="F409" i="7" s="1"/>
  <c r="D256" i="7"/>
  <c r="D674" i="7"/>
  <c r="E674" i="7" s="1"/>
  <c r="D946" i="7"/>
  <c r="D419" i="7"/>
  <c r="E419" i="7" s="1"/>
  <c r="D675" i="7"/>
  <c r="D931" i="7"/>
  <c r="D356" i="7"/>
  <c r="D549" i="7"/>
  <c r="D582" i="7"/>
  <c r="D823" i="7"/>
  <c r="D1079" i="7"/>
  <c r="D1335" i="7"/>
  <c r="D600" i="7"/>
  <c r="D784" i="7"/>
  <c r="D936" i="7"/>
  <c r="D1064" i="7"/>
  <c r="F1064" i="7" s="1"/>
  <c r="D2171" i="7"/>
  <c r="E2171" i="7" s="1"/>
  <c r="D2043" i="7"/>
  <c r="E2043" i="7" s="1"/>
  <c r="D1162" i="7"/>
  <c r="D1266" i="7"/>
  <c r="E1266" i="7" s="1"/>
  <c r="D1362" i="7"/>
  <c r="D1466" i="7"/>
  <c r="E1466" i="7" s="1"/>
  <c r="D1554" i="7"/>
  <c r="D1650" i="7"/>
  <c r="F1650" i="7" s="1"/>
  <c r="D963" i="7"/>
  <c r="E963" i="7" s="1"/>
  <c r="D1035" i="7"/>
  <c r="F1035" i="7" s="1"/>
  <c r="D1107" i="7"/>
  <c r="E1107" i="7" s="1"/>
  <c r="D1179" i="7"/>
  <c r="D1259" i="7"/>
  <c r="E1259" i="7" s="1"/>
  <c r="D1331" i="7"/>
  <c r="F1331" i="7" s="1"/>
  <c r="D1403" i="7"/>
  <c r="D1475" i="7"/>
  <c r="D1547" i="7"/>
  <c r="D612" i="7"/>
  <c r="D684" i="7"/>
  <c r="D764" i="7"/>
  <c r="D836" i="7"/>
  <c r="D908" i="7"/>
  <c r="D980" i="7"/>
  <c r="D1052" i="7"/>
  <c r="D1124" i="7"/>
  <c r="D1196" i="7"/>
  <c r="D669" i="7"/>
  <c r="D741" i="7"/>
  <c r="D813" i="7"/>
  <c r="D885" i="7"/>
  <c r="D949" i="7"/>
  <c r="D1013" i="7"/>
  <c r="D1077" i="7"/>
  <c r="D1141" i="7"/>
  <c r="D1205" i="7"/>
  <c r="D726" i="7"/>
  <c r="D790" i="7"/>
  <c r="D854" i="7"/>
  <c r="D918" i="7"/>
  <c r="D982" i="7"/>
  <c r="D1046" i="7"/>
  <c r="D1110" i="7"/>
  <c r="D1375" i="7"/>
  <c r="D1439" i="7"/>
  <c r="D1503" i="7"/>
  <c r="F1503" i="7" s="1"/>
  <c r="D1128" i="7"/>
  <c r="D1192" i="7"/>
  <c r="D1256" i="7"/>
  <c r="D1320" i="7"/>
  <c r="D1384" i="7"/>
  <c r="D1448" i="7"/>
  <c r="D1512" i="7"/>
  <c r="D1576" i="7"/>
  <c r="D1640" i="7"/>
  <c r="E1640" i="7" s="1"/>
  <c r="D1704" i="7"/>
  <c r="D1698" i="7"/>
  <c r="F1698" i="7" s="1"/>
  <c r="D1762" i="7"/>
  <c r="F1762" i="7" s="1"/>
  <c r="D1826" i="7"/>
  <c r="F1826" i="7" s="1"/>
  <c r="D1667" i="7"/>
  <c r="D1731" i="7"/>
  <c r="D1795" i="7"/>
  <c r="D1859" i="7"/>
  <c r="D1923" i="7"/>
  <c r="F1923" i="7" s="1"/>
  <c r="D1987" i="7"/>
  <c r="D2481" i="7"/>
  <c r="E2481" i="7" s="1"/>
  <c r="D2417" i="7"/>
  <c r="F2417" i="7" s="1"/>
  <c r="D2353" i="7"/>
  <c r="E2353" i="7" s="1"/>
  <c r="D2289" i="7"/>
  <c r="D1228" i="7"/>
  <c r="D1292" i="7"/>
  <c r="D1356" i="7"/>
  <c r="D1420" i="7"/>
  <c r="D1484" i="7"/>
  <c r="D1548" i="7"/>
  <c r="D1612" i="7"/>
  <c r="D1676" i="7"/>
  <c r="D1740" i="7"/>
  <c r="D1804" i="7"/>
  <c r="D1245" i="7"/>
  <c r="D1309" i="7"/>
  <c r="D1373" i="7"/>
  <c r="D1437" i="7"/>
  <c r="D1501" i="7"/>
  <c r="D1565" i="7"/>
  <c r="D1629" i="7"/>
  <c r="D1693" i="7"/>
  <c r="D1757" i="7"/>
  <c r="D1821" i="7"/>
  <c r="D1182" i="7"/>
  <c r="D1246" i="7"/>
  <c r="D1310" i="7"/>
  <c r="D1374" i="7"/>
  <c r="D1438" i="7"/>
  <c r="D1502" i="7"/>
  <c r="D1566" i="7"/>
  <c r="D1630" i="7"/>
  <c r="D1694" i="7"/>
  <c r="D1758" i="7"/>
  <c r="D1822" i="7"/>
  <c r="D1575" i="7"/>
  <c r="D1639" i="7"/>
  <c r="D1703" i="7"/>
  <c r="D1767" i="7"/>
  <c r="D1831" i="7"/>
  <c r="D1816" i="7"/>
  <c r="D1880" i="7"/>
  <c r="E1880" i="7" s="1"/>
  <c r="D1944" i="7"/>
  <c r="D2008" i="7"/>
  <c r="D2452" i="7"/>
  <c r="F2452" i="7" s="1"/>
  <c r="D2388" i="7"/>
  <c r="E2388" i="7" s="1"/>
  <c r="D2324" i="7"/>
  <c r="E2324" i="7" s="1"/>
  <c r="D2260" i="7"/>
  <c r="E2260" i="7" s="1"/>
  <c r="D1890" i="7"/>
  <c r="D1954" i="7"/>
  <c r="D2514" i="7"/>
  <c r="E2514" i="7" s="1"/>
  <c r="D2450" i="7"/>
  <c r="D2386" i="7"/>
  <c r="F2386" i="7" s="1"/>
  <c r="D2322" i="7"/>
  <c r="E2322" i="7" s="1"/>
  <c r="D2258" i="7"/>
  <c r="D2194" i="7"/>
  <c r="D2130" i="7"/>
  <c r="D2066" i="7"/>
  <c r="D2225" i="7"/>
  <c r="D2161" i="7"/>
  <c r="E2161" i="7" s="1"/>
  <c r="D2097" i="7"/>
  <c r="E2097" i="7" s="1"/>
  <c r="D2033" i="7"/>
  <c r="E2033" i="7" s="1"/>
  <c r="D1884" i="7"/>
  <c r="D1948" i="7"/>
  <c r="D2012" i="7"/>
  <c r="D2456" i="7"/>
  <c r="D2392" i="7"/>
  <c r="D2328" i="7"/>
  <c r="D2264" i="7"/>
  <c r="E2264" i="7" s="1"/>
  <c r="D2200" i="7"/>
  <c r="D2136" i="7"/>
  <c r="D2072" i="7"/>
  <c r="F2072" i="7" s="1"/>
  <c r="D1845" i="7"/>
  <c r="D1909" i="7"/>
  <c r="D1973" i="7"/>
  <c r="D2495" i="7"/>
  <c r="E2495" i="7" s="1"/>
  <c r="D2431" i="7"/>
  <c r="F2431" i="7" s="1"/>
  <c r="D2367" i="7"/>
  <c r="F2367" i="7" s="1"/>
  <c r="D2303" i="7"/>
  <c r="F2303" i="7" s="1"/>
  <c r="D2239" i="7"/>
  <c r="D2175" i="7"/>
  <c r="E2175" i="7" s="1"/>
  <c r="D993" i="7"/>
  <c r="D2371" i="7"/>
  <c r="D1161" i="7"/>
  <c r="F1161" i="7" s="1"/>
  <c r="D83" i="7"/>
  <c r="D1801" i="7"/>
  <c r="F1801" i="7" s="1"/>
  <c r="D461" i="7"/>
  <c r="D318" i="7"/>
  <c r="D247" i="7"/>
  <c r="D953" i="7"/>
  <c r="E953" i="7" s="1"/>
  <c r="D320" i="7"/>
  <c r="D738" i="7"/>
  <c r="D994" i="7"/>
  <c r="F994" i="7" s="1"/>
  <c r="D467" i="7"/>
  <c r="D723" i="7"/>
  <c r="D148" i="7"/>
  <c r="D404" i="7"/>
  <c r="D597" i="7"/>
  <c r="D630" i="7"/>
  <c r="D871" i="7"/>
  <c r="D1127" i="7"/>
  <c r="D464" i="7"/>
  <c r="D616" i="7"/>
  <c r="D792" i="7"/>
  <c r="D944" i="7"/>
  <c r="E944" i="7" s="1"/>
  <c r="D1072" i="7"/>
  <c r="D2163" i="7"/>
  <c r="E2163" i="7" s="1"/>
  <c r="D2035" i="7"/>
  <c r="D1170" i="7"/>
  <c r="F1170" i="7" s="1"/>
  <c r="D1274" i="7"/>
  <c r="D1386" i="7"/>
  <c r="F1386" i="7" s="1"/>
  <c r="D1482" i="7"/>
  <c r="E1482" i="7" s="1"/>
  <c r="D1578" i="7"/>
  <c r="F1578" i="7" s="1"/>
  <c r="D1658" i="7"/>
  <c r="E1658" i="7" s="1"/>
  <c r="D971" i="7"/>
  <c r="D1043" i="7"/>
  <c r="D1115" i="7"/>
  <c r="D1195" i="7"/>
  <c r="F1195" i="7" s="1"/>
  <c r="D1267" i="7"/>
  <c r="E1267" i="7" s="1"/>
  <c r="D1339" i="7"/>
  <c r="D1411" i="7"/>
  <c r="D1483" i="7"/>
  <c r="D1555" i="7"/>
  <c r="E1555" i="7" s="1"/>
  <c r="D620" i="7"/>
  <c r="D700" i="7"/>
  <c r="D772" i="7"/>
  <c r="D844" i="7"/>
  <c r="D916" i="7"/>
  <c r="D988" i="7"/>
  <c r="D1060" i="7"/>
  <c r="D1132" i="7"/>
  <c r="D1212" i="7"/>
  <c r="D677" i="7"/>
  <c r="D749" i="7"/>
  <c r="D821" i="7"/>
  <c r="D893" i="7"/>
  <c r="D957" i="7"/>
  <c r="D1021" i="7"/>
  <c r="D1085" i="7"/>
  <c r="D1149" i="7"/>
  <c r="D1213" i="7"/>
  <c r="D734" i="7"/>
  <c r="D798" i="7"/>
  <c r="D862" i="7"/>
  <c r="D926" i="7"/>
  <c r="D990" i="7"/>
  <c r="D1054" i="7"/>
  <c r="D1118" i="7"/>
  <c r="D1383" i="7"/>
  <c r="D1447" i="7"/>
  <c r="D1511" i="7"/>
  <c r="D1136" i="7"/>
  <c r="D1200" i="7"/>
  <c r="E1200" i="7" s="1"/>
  <c r="D1264" i="7"/>
  <c r="D1328" i="7"/>
  <c r="D1392" i="7"/>
  <c r="D1456" i="7"/>
  <c r="D1520" i="7"/>
  <c r="D1584" i="7"/>
  <c r="F1584" i="7" s="1"/>
  <c r="D1648" i="7"/>
  <c r="F1648" i="7" s="1"/>
  <c r="D1712" i="7"/>
  <c r="E1712" i="7" s="1"/>
  <c r="D1706" i="7"/>
  <c r="D1770" i="7"/>
  <c r="F1770" i="7" s="1"/>
  <c r="D1834" i="7"/>
  <c r="E1834" i="7" s="1"/>
  <c r="D1675" i="7"/>
  <c r="D1739" i="7"/>
  <c r="D1803" i="7"/>
  <c r="D1867" i="7"/>
  <c r="F1867" i="7" s="1"/>
  <c r="D1931" i="7"/>
  <c r="D1995" i="7"/>
  <c r="D2473" i="7"/>
  <c r="D2409" i="7"/>
  <c r="E2409" i="7" s="1"/>
  <c r="D2345" i="7"/>
  <c r="D2281" i="7"/>
  <c r="E2281" i="7" s="1"/>
  <c r="D1236" i="7"/>
  <c r="D1300" i="7"/>
  <c r="D1364" i="7"/>
  <c r="D1428" i="7"/>
  <c r="D1492" i="7"/>
  <c r="D1556" i="7"/>
  <c r="D1620" i="7"/>
  <c r="D1684" i="7"/>
  <c r="D1748" i="7"/>
  <c r="D1812" i="7"/>
  <c r="D1253" i="7"/>
  <c r="D1317" i="7"/>
  <c r="D1381" i="7"/>
  <c r="D1445" i="7"/>
  <c r="D1509" i="7"/>
  <c r="D1573" i="7"/>
  <c r="D1637" i="7"/>
  <c r="D1701" i="7"/>
  <c r="D1765" i="7"/>
  <c r="D1829" i="7"/>
  <c r="D1190" i="7"/>
  <c r="D1254" i="7"/>
  <c r="D1318" i="7"/>
  <c r="D1382" i="7"/>
  <c r="D1446" i="7"/>
  <c r="D1510" i="7"/>
  <c r="D1574" i="7"/>
  <c r="D1638" i="7"/>
  <c r="D1702" i="7"/>
  <c r="D1766" i="7"/>
  <c r="D1830" i="7"/>
  <c r="D1583" i="7"/>
  <c r="D1647" i="7"/>
  <c r="D1711" i="7"/>
  <c r="D1775" i="7"/>
  <c r="D1839" i="7"/>
  <c r="E1839" i="7" s="1"/>
  <c r="D1824" i="7"/>
  <c r="D1888" i="7"/>
  <c r="D1952" i="7"/>
  <c r="D2508" i="7"/>
  <c r="F2508" i="7" s="1"/>
  <c r="D2444" i="7"/>
  <c r="D2380" i="7"/>
  <c r="F2380" i="7" s="1"/>
  <c r="D2316" i="7"/>
  <c r="E2316" i="7" s="1"/>
  <c r="D2252" i="7"/>
  <c r="D1898" i="7"/>
  <c r="E1898" i="7" s="1"/>
  <c r="D1962" i="7"/>
  <c r="E1962" i="7" s="1"/>
  <c r="D2506" i="7"/>
  <c r="D2442" i="7"/>
  <c r="F2442" i="7" s="1"/>
  <c r="D2378" i="7"/>
  <c r="D2314" i="7"/>
  <c r="D2250" i="7"/>
  <c r="E2250" i="7" s="1"/>
  <c r="D2186" i="7"/>
  <c r="D2122" i="7"/>
  <c r="E2122" i="7" s="1"/>
  <c r="D2058" i="7"/>
  <c r="E2058" i="7" s="1"/>
  <c r="D2217" i="7"/>
  <c r="D2153" i="7"/>
  <c r="F2153" i="7" s="1"/>
  <c r="D2089" i="7"/>
  <c r="F2089" i="7" s="1"/>
  <c r="D2025" i="7"/>
  <c r="F2025" i="7" s="1"/>
  <c r="D1892" i="7"/>
  <c r="D1956" i="7"/>
  <c r="D2512" i="7"/>
  <c r="E2512" i="7" s="1"/>
  <c r="D2448" i="7"/>
  <c r="D2384" i="7"/>
  <c r="E2384" i="7" s="1"/>
  <c r="D2320" i="7"/>
  <c r="D2256" i="7"/>
  <c r="D2192" i="7"/>
  <c r="E2192" i="7" s="1"/>
  <c r="D2128" i="7"/>
  <c r="E2128" i="7" s="1"/>
  <c r="D2064" i="7"/>
  <c r="E2064" i="7" s="1"/>
  <c r="D1853" i="7"/>
  <c r="D1917" i="7"/>
  <c r="D1981" i="7"/>
  <c r="D2487" i="7"/>
  <c r="F2487" i="7" s="1"/>
  <c r="D2423" i="7"/>
  <c r="E2423" i="7" s="1"/>
  <c r="D2359" i="7"/>
  <c r="F2359" i="7" s="1"/>
  <c r="D2295" i="7"/>
  <c r="D2231" i="7"/>
  <c r="F2231" i="7" s="1"/>
  <c r="D2167" i="7"/>
  <c r="F2167" i="7" s="1"/>
  <c r="D2103" i="7"/>
  <c r="F2103" i="7" s="1"/>
  <c r="D2039" i="7"/>
  <c r="E2039" i="7" s="1"/>
  <c r="D1870" i="7"/>
  <c r="D1934" i="7"/>
  <c r="D1998" i="7"/>
  <c r="D2470" i="7"/>
  <c r="E2470" i="7" s="1"/>
  <c r="D2406" i="7"/>
  <c r="D2342" i="7"/>
  <c r="F2342" i="7" s="1"/>
  <c r="D2278" i="7"/>
  <c r="F2278" i="7" s="1"/>
  <c r="D2214" i="7"/>
  <c r="D2150" i="7"/>
  <c r="E2150" i="7" s="1"/>
  <c r="D2086" i="7"/>
  <c r="D2022" i="7"/>
  <c r="D1903" i="7"/>
  <c r="D1967" i="7"/>
  <c r="E1967" i="7" s="1"/>
  <c r="D2501" i="7"/>
  <c r="D1777" i="7"/>
  <c r="E1777" i="7" s="1"/>
  <c r="D66" i="7"/>
  <c r="E66" i="7" s="1"/>
  <c r="D1681" i="7"/>
  <c r="D147" i="7"/>
  <c r="D2379" i="7"/>
  <c r="E2379" i="7" s="1"/>
  <c r="D525" i="7"/>
  <c r="D382" i="7"/>
  <c r="D311" i="7"/>
  <c r="D1513" i="7"/>
  <c r="E1513" i="7" s="1"/>
  <c r="D384" i="7"/>
  <c r="E384" i="7" s="1"/>
  <c r="D754" i="7"/>
  <c r="F754" i="7" s="1"/>
  <c r="D1010" i="7"/>
  <c r="E1010" i="7" s="1"/>
  <c r="D483" i="7"/>
  <c r="D739" i="7"/>
  <c r="F739" i="7" s="1"/>
  <c r="D164" i="7"/>
  <c r="D420" i="7"/>
  <c r="D390" i="7"/>
  <c r="D646" i="7"/>
  <c r="D887" i="7"/>
  <c r="D1143" i="7"/>
  <c r="D472" i="7"/>
  <c r="D656" i="7"/>
  <c r="D808" i="7"/>
  <c r="D976" i="7"/>
  <c r="E976" i="7" s="1"/>
  <c r="D2259" i="7"/>
  <c r="D2131" i="7"/>
  <c r="D1074" i="7"/>
  <c r="F1074" i="7" s="1"/>
  <c r="D1194" i="7"/>
  <c r="D1290" i="7"/>
  <c r="E1290" i="7" s="1"/>
  <c r="D1394" i="7"/>
  <c r="E1394" i="7" s="1"/>
  <c r="D1490" i="7"/>
  <c r="F1490" i="7" s="1"/>
  <c r="D1586" i="7"/>
  <c r="D1666" i="7"/>
  <c r="E1666" i="7" s="1"/>
  <c r="D979" i="7"/>
  <c r="E979" i="7" s="1"/>
  <c r="D1051" i="7"/>
  <c r="D1131" i="7"/>
  <c r="D1203" i="7"/>
  <c r="D1275" i="7"/>
  <c r="F1275" i="7" s="1"/>
  <c r="D1347" i="7"/>
  <c r="D1419" i="7"/>
  <c r="D1491" i="7"/>
  <c r="D1563" i="7"/>
  <c r="D636" i="7"/>
  <c r="D708" i="7"/>
  <c r="D780" i="7"/>
  <c r="D852" i="7"/>
  <c r="D924" i="7"/>
  <c r="D996" i="7"/>
  <c r="D1068" i="7"/>
  <c r="D1148" i="7"/>
  <c r="D613" i="7"/>
  <c r="D685" i="7"/>
  <c r="D757" i="7"/>
  <c r="D829" i="7"/>
  <c r="D901" i="7"/>
  <c r="D965" i="7"/>
  <c r="D1029" i="7"/>
  <c r="D1093" i="7"/>
  <c r="D1157" i="7"/>
  <c r="D678" i="7"/>
  <c r="D742" i="7"/>
  <c r="D806" i="7"/>
  <c r="D870" i="7"/>
  <c r="D934" i="7"/>
  <c r="D998" i="7"/>
  <c r="D1062" i="7"/>
  <c r="D1126" i="7"/>
  <c r="D1391" i="7"/>
  <c r="D1455" i="7"/>
  <c r="D1519" i="7"/>
  <c r="D1144" i="7"/>
  <c r="E1144" i="7" s="1"/>
  <c r="D1208" i="7"/>
  <c r="D1272" i="7"/>
  <c r="E1272" i="7" s="1"/>
  <c r="D1336" i="7"/>
  <c r="D1400" i="7"/>
  <c r="D1464" i="7"/>
  <c r="E1464" i="7" s="1"/>
  <c r="D1528" i="7"/>
  <c r="D1592" i="7"/>
  <c r="E1592" i="7" s="1"/>
  <c r="D1656" i="7"/>
  <c r="D1720" i="7"/>
  <c r="D1714" i="7"/>
  <c r="F1714" i="7" s="1"/>
  <c r="D1778" i="7"/>
  <c r="F1778" i="7" s="1"/>
  <c r="D1619" i="7"/>
  <c r="D1683" i="7"/>
  <c r="D1747" i="7"/>
  <c r="D1811" i="7"/>
  <c r="D1875" i="7"/>
  <c r="E1875" i="7" s="1"/>
  <c r="D1939" i="7"/>
  <c r="D2003" i="7"/>
  <c r="D2465" i="7"/>
  <c r="E2465" i="7" s="1"/>
  <c r="D2401" i="7"/>
  <c r="E2401" i="7" s="1"/>
  <c r="D2337" i="7"/>
  <c r="F2337" i="7" s="1"/>
  <c r="D2273" i="7"/>
  <c r="E2273" i="7" s="1"/>
  <c r="D1244" i="7"/>
  <c r="D1308" i="7"/>
  <c r="D1372" i="7"/>
  <c r="D1436" i="7"/>
  <c r="D1500" i="7"/>
  <c r="D1564" i="7"/>
  <c r="D1628" i="7"/>
  <c r="D1692" i="7"/>
  <c r="D1756" i="7"/>
  <c r="D1820" i="7"/>
  <c r="D1261" i="7"/>
  <c r="D1325" i="7"/>
  <c r="D1389" i="7"/>
  <c r="D1453" i="7"/>
  <c r="D1517" i="7"/>
  <c r="D1581" i="7"/>
  <c r="D1645" i="7"/>
  <c r="D1709" i="7"/>
  <c r="D1773" i="7"/>
  <c r="D1837" i="7"/>
  <c r="D1198" i="7"/>
  <c r="D1262" i="7"/>
  <c r="D1326" i="7"/>
  <c r="D1390" i="7"/>
  <c r="D1454" i="7"/>
  <c r="D1518" i="7"/>
  <c r="D1582" i="7"/>
  <c r="D1646" i="7"/>
  <c r="D1710" i="7"/>
  <c r="D1774" i="7"/>
  <c r="D1527" i="7"/>
  <c r="D1591" i="7"/>
  <c r="D1655" i="7"/>
  <c r="D1719" i="7"/>
  <c r="D1783" i="7"/>
  <c r="E1783" i="7" s="1"/>
  <c r="D1768" i="7"/>
  <c r="D1832" i="7"/>
  <c r="D1896" i="7"/>
  <c r="D1960" i="7"/>
  <c r="D2500" i="7"/>
  <c r="E2500" i="7" s="1"/>
  <c r="D2436" i="7"/>
  <c r="F2436" i="7" s="1"/>
  <c r="D2372" i="7"/>
  <c r="D2308" i="7"/>
  <c r="D1842" i="7"/>
  <c r="E1842" i="7" s="1"/>
  <c r="D1906" i="7"/>
  <c r="E1906" i="7" s="1"/>
  <c r="D1970" i="7"/>
  <c r="E1970" i="7" s="1"/>
  <c r="D2498" i="7"/>
  <c r="F2498" i="7" s="1"/>
  <c r="D2434" i="7"/>
  <c r="D2370" i="7"/>
  <c r="E2370" i="7" s="1"/>
  <c r="D2306" i="7"/>
  <c r="F2306" i="7" s="1"/>
  <c r="D2242" i="7"/>
  <c r="D2178" i="7"/>
  <c r="F2178" i="7" s="1"/>
  <c r="D2114" i="7"/>
  <c r="F2114" i="7" s="1"/>
  <c r="D2050" i="7"/>
  <c r="E2050" i="7" s="1"/>
  <c r="D2209" i="7"/>
  <c r="E2209" i="7" s="1"/>
  <c r="D2145" i="7"/>
  <c r="F2145" i="7" s="1"/>
  <c r="D2081" i="7"/>
  <c r="F2081" i="7" s="1"/>
  <c r="D2017" i="7"/>
  <c r="D1900" i="7"/>
  <c r="D1964" i="7"/>
  <c r="D2504" i="7"/>
  <c r="E2504" i="7" s="1"/>
  <c r="D2440" i="7"/>
  <c r="D2376" i="7"/>
  <c r="F2376" i="7" s="1"/>
  <c r="D2312" i="7"/>
  <c r="E2312" i="7" s="1"/>
  <c r="D2248" i="7"/>
  <c r="F2248" i="7" s="1"/>
  <c r="D2184" i="7"/>
  <c r="F2184" i="7" s="1"/>
  <c r="D385" i="7"/>
  <c r="E385" i="7" s="1"/>
  <c r="D130" i="7"/>
  <c r="E130" i="7" s="1"/>
  <c r="D153" i="7"/>
  <c r="F153" i="7" s="1"/>
  <c r="D211" i="7"/>
  <c r="E211" i="7" s="1"/>
  <c r="D77" i="7"/>
  <c r="D369" i="7"/>
  <c r="D441" i="7"/>
  <c r="E441" i="7" s="1"/>
  <c r="D375" i="7"/>
  <c r="D70" i="7"/>
  <c r="D2307" i="7"/>
  <c r="E2307" i="7" s="1"/>
  <c r="D802" i="7"/>
  <c r="E802" i="7" s="1"/>
  <c r="D1058" i="7"/>
  <c r="F1058" i="7" s="1"/>
  <c r="D531" i="7"/>
  <c r="E531" i="7" s="1"/>
  <c r="D787" i="7"/>
  <c r="D212" i="7"/>
  <c r="D468" i="7"/>
  <c r="D438" i="7"/>
  <c r="D679" i="7"/>
  <c r="D935" i="7"/>
  <c r="D1191" i="7"/>
  <c r="D488" i="7"/>
  <c r="E488" i="7" s="1"/>
  <c r="D664" i="7"/>
  <c r="D848" i="7"/>
  <c r="D984" i="7"/>
  <c r="D2251" i="7"/>
  <c r="E2251" i="7" s="1"/>
  <c r="D2123" i="7"/>
  <c r="F2123" i="7" s="1"/>
  <c r="D1082" i="7"/>
  <c r="E1082" i="7" s="1"/>
  <c r="D1202" i="7"/>
  <c r="D1298" i="7"/>
  <c r="E1298" i="7" s="1"/>
  <c r="D1402" i="7"/>
  <c r="E1402" i="7" s="1"/>
  <c r="D1514" i="7"/>
  <c r="D1594" i="7"/>
  <c r="D1674" i="7"/>
  <c r="E1674" i="7" s="1"/>
  <c r="D987" i="7"/>
  <c r="D1067" i="7"/>
  <c r="D1139" i="7"/>
  <c r="D1211" i="7"/>
  <c r="E1211" i="7" s="1"/>
  <c r="D1283" i="7"/>
  <c r="E1283" i="7" s="1"/>
  <c r="D1355" i="7"/>
  <c r="D1427" i="7"/>
  <c r="E1427" i="7" s="1"/>
  <c r="D1499" i="7"/>
  <c r="D1579" i="7"/>
  <c r="D644" i="7"/>
  <c r="D716" i="7"/>
  <c r="D788" i="7"/>
  <c r="D860" i="7"/>
  <c r="D932" i="7"/>
  <c r="D1004" i="7"/>
  <c r="D1084" i="7"/>
  <c r="D1156" i="7"/>
  <c r="D621" i="7"/>
  <c r="D693" i="7"/>
  <c r="D765" i="7"/>
  <c r="D837" i="7"/>
  <c r="D909" i="7"/>
  <c r="D973" i="7"/>
  <c r="D1037" i="7"/>
  <c r="D1101" i="7"/>
  <c r="D1165" i="7"/>
  <c r="D686" i="7"/>
  <c r="D750" i="7"/>
  <c r="D814" i="7"/>
  <c r="D878" i="7"/>
  <c r="D942" i="7"/>
  <c r="D1006" i="7"/>
  <c r="D1070" i="7"/>
  <c r="D1134" i="7"/>
  <c r="D1399" i="7"/>
  <c r="D1463" i="7"/>
  <c r="D1088" i="7"/>
  <c r="D1152" i="7"/>
  <c r="D1216" i="7"/>
  <c r="E1216" i="7" s="1"/>
  <c r="D1280" i="7"/>
  <c r="D1344" i="7"/>
  <c r="D1408" i="7"/>
  <c r="E1408" i="7" s="1"/>
  <c r="D1472" i="7"/>
  <c r="D1536" i="7"/>
  <c r="E1536" i="7" s="1"/>
  <c r="D1600" i="7"/>
  <c r="E1600" i="7" s="1"/>
  <c r="D1664" i="7"/>
  <c r="D1728" i="7"/>
  <c r="D1722" i="7"/>
  <c r="E1722" i="7" s="1"/>
  <c r="D1786" i="7"/>
  <c r="D1627" i="7"/>
  <c r="D1691" i="7"/>
  <c r="D1755" i="7"/>
  <c r="F1755" i="7" s="1"/>
  <c r="D1819" i="7"/>
  <c r="E1819" i="7" s="1"/>
  <c r="D1883" i="7"/>
  <c r="E1883" i="7" s="1"/>
  <c r="D1947" i="7"/>
  <c r="D2011" i="7"/>
  <c r="E2011" i="7" s="1"/>
  <c r="D2457" i="7"/>
  <c r="E2457" i="7" s="1"/>
  <c r="D2393" i="7"/>
  <c r="E2393" i="7" s="1"/>
  <c r="D2329" i="7"/>
  <c r="F2329" i="7" s="1"/>
  <c r="D2265" i="7"/>
  <c r="E2265" i="7" s="1"/>
  <c r="D1252" i="7"/>
  <c r="D1316" i="7"/>
  <c r="D1380" i="7"/>
  <c r="D1444" i="7"/>
  <c r="D1508" i="7"/>
  <c r="D1572" i="7"/>
  <c r="D1636" i="7"/>
  <c r="D1700" i="7"/>
  <c r="D1764" i="7"/>
  <c r="D1828" i="7"/>
  <c r="D1269" i="7"/>
  <c r="D1333" i="7"/>
  <c r="D1397" i="7"/>
  <c r="D1461" i="7"/>
  <c r="D1525" i="7"/>
  <c r="D1589" i="7"/>
  <c r="D1653" i="7"/>
  <c r="D1717" i="7"/>
  <c r="D1781" i="7"/>
  <c r="D1142" i="7"/>
  <c r="D1206" i="7"/>
  <c r="D1270" i="7"/>
  <c r="D1334" i="7"/>
  <c r="D1398" i="7"/>
  <c r="D1462" i="7"/>
  <c r="D1526" i="7"/>
  <c r="D1590" i="7"/>
  <c r="D1654" i="7"/>
  <c r="D1718" i="7"/>
  <c r="D1782" i="7"/>
  <c r="D1535" i="7"/>
  <c r="D1599" i="7"/>
  <c r="E1599" i="7" s="1"/>
  <c r="D1663" i="7"/>
  <c r="D1727" i="7"/>
  <c r="E1727" i="7" s="1"/>
  <c r="D1791" i="7"/>
  <c r="E1791" i="7" s="1"/>
  <c r="D1776" i="7"/>
  <c r="F1776" i="7" s="1"/>
  <c r="D1840" i="7"/>
  <c r="D1904" i="7"/>
  <c r="D1968" i="7"/>
  <c r="D2492" i="7"/>
  <c r="D2428" i="7"/>
  <c r="F2428" i="7" s="1"/>
  <c r="D2364" i="7"/>
  <c r="D2300" i="7"/>
  <c r="F2300" i="7" s="1"/>
  <c r="D1850" i="7"/>
  <c r="E1850" i="7" s="1"/>
  <c r="D1914" i="7"/>
  <c r="D1978" i="7"/>
  <c r="D2490" i="7"/>
  <c r="E2490" i="7" s="1"/>
  <c r="D2426" i="7"/>
  <c r="D2362" i="7"/>
  <c r="F2362" i="7" s="1"/>
  <c r="D2298" i="7"/>
  <c r="D2234" i="7"/>
  <c r="E2234" i="7" s="1"/>
  <c r="D2170" i="7"/>
  <c r="F2170" i="7" s="1"/>
  <c r="D2106" i="7"/>
  <c r="D2042" i="7"/>
  <c r="F2042" i="7" s="1"/>
  <c r="D2201" i="7"/>
  <c r="F2201" i="7" s="1"/>
  <c r="D2137" i="7"/>
  <c r="D2073" i="7"/>
  <c r="D1844" i="7"/>
  <c r="D1908" i="7"/>
  <c r="D1972" i="7"/>
  <c r="D2496" i="7"/>
  <c r="F2496" i="7" s="1"/>
  <c r="D2432" i="7"/>
  <c r="E2432" i="7" s="1"/>
  <c r="D2368" i="7"/>
  <c r="E2368" i="7" s="1"/>
  <c r="D2304" i="7"/>
  <c r="D2240" i="7"/>
  <c r="F2240" i="7" s="1"/>
  <c r="D2176" i="7"/>
  <c r="F2176" i="7" s="1"/>
  <c r="D2112" i="7"/>
  <c r="D2048" i="7"/>
  <c r="E2048" i="7" s="1"/>
  <c r="D1869" i="7"/>
  <c r="D1933" i="7"/>
  <c r="D1997" i="7"/>
  <c r="D2471" i="7"/>
  <c r="F2471" i="7" s="1"/>
  <c r="D2407" i="7"/>
  <c r="F2407" i="7" s="1"/>
  <c r="D825" i="7"/>
  <c r="E825" i="7" s="1"/>
  <c r="D194" i="7"/>
  <c r="E194" i="7" s="1"/>
  <c r="D633" i="7"/>
  <c r="D36" i="7"/>
  <c r="D141" i="7"/>
  <c r="D857" i="7"/>
  <c r="E857" i="7" s="1"/>
  <c r="D937" i="7"/>
  <c r="E937" i="7" s="1"/>
  <c r="D439" i="7"/>
  <c r="D175" i="7"/>
  <c r="D418" i="7"/>
  <c r="F418" i="7" s="1"/>
  <c r="D818" i="7"/>
  <c r="E818" i="7" s="1"/>
  <c r="D291" i="7"/>
  <c r="D547" i="7"/>
  <c r="E547" i="7" s="1"/>
  <c r="D803" i="7"/>
  <c r="D228" i="7"/>
  <c r="D484" i="7"/>
  <c r="D454" i="7"/>
  <c r="D695" i="7"/>
  <c r="D951" i="7"/>
  <c r="D1207" i="7"/>
  <c r="D528" i="7"/>
  <c r="D680" i="7"/>
  <c r="E680" i="7" s="1"/>
  <c r="D856" i="7"/>
  <c r="F856" i="7" s="1"/>
  <c r="D1000" i="7"/>
  <c r="D2235" i="7"/>
  <c r="D2107" i="7"/>
  <c r="D1098" i="7"/>
  <c r="D1210" i="7"/>
  <c r="D1322" i="7"/>
  <c r="E1322" i="7" s="1"/>
  <c r="D1418" i="7"/>
  <c r="D1522" i="7"/>
  <c r="D1602" i="7"/>
  <c r="F1602" i="7" s="1"/>
  <c r="D1682" i="7"/>
  <c r="E1682" i="7" s="1"/>
  <c r="D1003" i="7"/>
  <c r="E1003" i="7" s="1"/>
  <c r="D1075" i="7"/>
  <c r="D1147" i="7"/>
  <c r="F1147" i="7" s="1"/>
  <c r="D1219" i="7"/>
  <c r="E1219" i="7" s="1"/>
  <c r="D1291" i="7"/>
  <c r="D1363" i="7"/>
  <c r="D1435" i="7"/>
  <c r="D1515" i="7"/>
  <c r="D1587" i="7"/>
  <c r="F1587" i="7" s="1"/>
  <c r="D652" i="7"/>
  <c r="D724" i="7"/>
  <c r="D796" i="7"/>
  <c r="D868" i="7"/>
  <c r="D940" i="7"/>
  <c r="D1020" i="7"/>
  <c r="D1092" i="7"/>
  <c r="D1164" i="7"/>
  <c r="D629" i="7"/>
  <c r="D701" i="7"/>
  <c r="D773" i="7"/>
  <c r="D845" i="7"/>
  <c r="D917" i="7"/>
  <c r="D981" i="7"/>
  <c r="D1045" i="7"/>
  <c r="D1109" i="7"/>
  <c r="D1173" i="7"/>
  <c r="D694" i="7"/>
  <c r="D758" i="7"/>
  <c r="D822" i="7"/>
  <c r="D886" i="7"/>
  <c r="D950" i="7"/>
  <c r="D1014" i="7"/>
  <c r="D1078" i="7"/>
  <c r="D1343" i="7"/>
  <c r="D1407" i="7"/>
  <c r="D1471" i="7"/>
  <c r="D1096" i="7"/>
  <c r="D1160" i="7"/>
  <c r="D1224" i="7"/>
  <c r="E1224" i="7" s="1"/>
  <c r="D1288" i="7"/>
  <c r="E1288" i="7" s="1"/>
  <c r="D1352" i="7"/>
  <c r="E1352" i="7" s="1"/>
  <c r="D1416" i="7"/>
  <c r="D1480" i="7"/>
  <c r="D1544" i="7"/>
  <c r="D1608" i="7"/>
  <c r="D1672" i="7"/>
  <c r="D1736" i="7"/>
  <c r="D1730" i="7"/>
  <c r="F1730" i="7" s="1"/>
  <c r="D1794" i="7"/>
  <c r="D1635" i="7"/>
  <c r="D1699" i="7"/>
  <c r="E1699" i="7" s="1"/>
  <c r="D1763" i="7"/>
  <c r="E1763" i="7" s="1"/>
  <c r="D1827" i="7"/>
  <c r="D1891" i="7"/>
  <c r="E1891" i="7" s="1"/>
  <c r="D1955" i="7"/>
  <c r="D2513" i="7"/>
  <c r="E2513" i="7" s="1"/>
  <c r="D2449" i="7"/>
  <c r="D2385" i="7"/>
  <c r="D2321" i="7"/>
  <c r="D2257" i="7"/>
  <c r="E2257" i="7" s="1"/>
  <c r="D1260" i="7"/>
  <c r="D1324" i="7"/>
  <c r="D1388" i="7"/>
  <c r="D1452" i="7"/>
  <c r="D1516" i="7"/>
  <c r="D1580" i="7"/>
  <c r="D1644" i="7"/>
  <c r="D1708" i="7"/>
  <c r="D1772" i="7"/>
  <c r="D1836" i="7"/>
  <c r="D1277" i="7"/>
  <c r="D1341" i="7"/>
  <c r="D1405" i="7"/>
  <c r="D1469" i="7"/>
  <c r="D1533" i="7"/>
  <c r="D1597" i="7"/>
  <c r="D1661" i="7"/>
  <c r="D1725" i="7"/>
  <c r="D1789" i="7"/>
  <c r="D1150" i="7"/>
  <c r="D1214" i="7"/>
  <c r="D1278" i="7"/>
  <c r="D1342" i="7"/>
  <c r="D1406" i="7"/>
  <c r="D1470" i="7"/>
  <c r="D1534" i="7"/>
  <c r="D1598" i="7"/>
  <c r="D1662" i="7"/>
  <c r="D1726" i="7"/>
  <c r="D1790" i="7"/>
  <c r="D1543" i="7"/>
  <c r="D1607" i="7"/>
  <c r="D1671" i="7"/>
  <c r="D1735" i="7"/>
  <c r="D1799" i="7"/>
  <c r="D1784" i="7"/>
  <c r="D1848" i="7"/>
  <c r="F1848" i="7" s="1"/>
  <c r="D1912" i="7"/>
  <c r="E1912" i="7" s="1"/>
  <c r="D1976" i="7"/>
  <c r="E1976" i="7" s="1"/>
  <c r="D2484" i="7"/>
  <c r="F2484" i="7" s="1"/>
  <c r="D2420" i="7"/>
  <c r="E2420" i="7" s="1"/>
  <c r="D2356" i="7"/>
  <c r="E2356" i="7" s="1"/>
  <c r="D2292" i="7"/>
  <c r="E2292" i="7" s="1"/>
  <c r="D1858" i="7"/>
  <c r="D1922" i="7"/>
  <c r="D1986" i="7"/>
  <c r="E1986" i="7" s="1"/>
  <c r="D2482" i="7"/>
  <c r="D2418" i="7"/>
  <c r="F2418" i="7" s="1"/>
  <c r="D2354" i="7"/>
  <c r="E2354" i="7" s="1"/>
  <c r="D2290" i="7"/>
  <c r="E2290" i="7" s="1"/>
  <c r="D2226" i="7"/>
  <c r="D2162" i="7"/>
  <c r="D2098" i="7"/>
  <c r="E2098" i="7" s="1"/>
  <c r="D2034" i="7"/>
  <c r="D2193" i="7"/>
  <c r="D2129" i="7"/>
  <c r="E2129" i="7" s="1"/>
  <c r="D2065" i="7"/>
  <c r="D1852" i="7"/>
  <c r="D1916" i="7"/>
  <c r="D1980" i="7"/>
  <c r="D2488" i="7"/>
  <c r="E2488" i="7" s="1"/>
  <c r="D2424" i="7"/>
  <c r="D2360" i="7"/>
  <c r="E2360" i="7" s="1"/>
  <c r="D1265" i="7"/>
  <c r="F1265" i="7" s="1"/>
  <c r="D258" i="7"/>
  <c r="E258" i="7" s="1"/>
  <c r="D1233" i="7"/>
  <c r="F1233" i="7" s="1"/>
  <c r="D100" i="7"/>
  <c r="D205" i="7"/>
  <c r="D1369" i="7"/>
  <c r="D1417" i="7"/>
  <c r="E1417" i="7" s="1"/>
  <c r="D503" i="7"/>
  <c r="D64" i="7"/>
  <c r="D482" i="7"/>
  <c r="D866" i="7"/>
  <c r="D339" i="7"/>
  <c r="F339" i="7" s="1"/>
  <c r="D595" i="7"/>
  <c r="D851" i="7"/>
  <c r="D276" i="7"/>
  <c r="D532" i="7"/>
  <c r="D502" i="7"/>
  <c r="D743" i="7"/>
  <c r="D999" i="7"/>
  <c r="D1255" i="7"/>
  <c r="D536" i="7"/>
  <c r="D720" i="7"/>
  <c r="D872" i="7"/>
  <c r="E872" i="7" s="1"/>
  <c r="D1008" i="7"/>
  <c r="D2227" i="7"/>
  <c r="D2099" i="7"/>
  <c r="D1106" i="7"/>
  <c r="E1106" i="7" s="1"/>
  <c r="D1226" i="7"/>
  <c r="D1330" i="7"/>
  <c r="D1426" i="7"/>
  <c r="E1426" i="7" s="1"/>
  <c r="D1530" i="7"/>
  <c r="E1530" i="7" s="1"/>
  <c r="D1610" i="7"/>
  <c r="E1610" i="7" s="1"/>
  <c r="D939" i="7"/>
  <c r="D1011" i="7"/>
  <c r="F1011" i="7" s="1"/>
  <c r="D1083" i="7"/>
  <c r="E1083" i="7" s="1"/>
  <c r="D1155" i="7"/>
  <c r="D1227" i="7"/>
  <c r="D1299" i="7"/>
  <c r="D1371" i="7"/>
  <c r="F1371" i="7" s="1"/>
  <c r="D1451" i="7"/>
  <c r="D1523" i="7"/>
  <c r="D1595" i="7"/>
  <c r="E1595" i="7" s="1"/>
  <c r="D660" i="7"/>
  <c r="D732" i="7"/>
  <c r="D804" i="7"/>
  <c r="D876" i="7"/>
  <c r="D956" i="7"/>
  <c r="D1028" i="7"/>
  <c r="D1100" i="7"/>
  <c r="D1172" i="7"/>
  <c r="D637" i="7"/>
  <c r="D709" i="7"/>
  <c r="D781" i="7"/>
  <c r="D861" i="7"/>
  <c r="D925" i="7"/>
  <c r="D989" i="7"/>
  <c r="D1053" i="7"/>
  <c r="D1117" i="7"/>
  <c r="D1181" i="7"/>
  <c r="D702" i="7"/>
  <c r="D766" i="7"/>
  <c r="D830" i="7"/>
  <c r="D894" i="7"/>
  <c r="D1649" i="7"/>
  <c r="D322" i="7"/>
  <c r="F322" i="7" s="1"/>
  <c r="D1657" i="7"/>
  <c r="E1657" i="7" s="1"/>
  <c r="D465" i="7"/>
  <c r="E465" i="7" s="1"/>
  <c r="D269" i="7"/>
  <c r="D126" i="7"/>
  <c r="D2001" i="7"/>
  <c r="D567" i="7"/>
  <c r="D128" i="7"/>
  <c r="E128" i="7" s="1"/>
  <c r="D546" i="7"/>
  <c r="D882" i="7"/>
  <c r="E882" i="7" s="1"/>
  <c r="D355" i="7"/>
  <c r="D611" i="7"/>
  <c r="E611" i="7" s="1"/>
  <c r="D867" i="7"/>
  <c r="E867" i="7" s="1"/>
  <c r="D292" i="7"/>
  <c r="D548" i="7"/>
  <c r="D518" i="7"/>
  <c r="D759" i="7"/>
  <c r="D1015" i="7"/>
  <c r="D1271" i="7"/>
  <c r="D552" i="7"/>
  <c r="D728" i="7"/>
  <c r="F728" i="7" s="1"/>
  <c r="D912" i="7"/>
  <c r="D1040" i="7"/>
  <c r="D2195" i="7"/>
  <c r="D2067" i="7"/>
  <c r="D1138" i="7"/>
  <c r="E1138" i="7" s="1"/>
  <c r="D1234" i="7"/>
  <c r="D1338" i="7"/>
  <c r="F1338" i="7" s="1"/>
  <c r="D1450" i="7"/>
  <c r="D1538" i="7"/>
  <c r="D1618" i="7"/>
  <c r="F1618" i="7" s="1"/>
  <c r="D947" i="7"/>
  <c r="D1019" i="7"/>
  <c r="D1091" i="7"/>
  <c r="E1091" i="7" s="1"/>
  <c r="D1163" i="7"/>
  <c r="F1163" i="7" s="1"/>
  <c r="D1235" i="7"/>
  <c r="D1307" i="7"/>
  <c r="D1387" i="7"/>
  <c r="E1387" i="7" s="1"/>
  <c r="D1459" i="7"/>
  <c r="F1459" i="7" s="1"/>
  <c r="D1531" i="7"/>
  <c r="D1603" i="7"/>
  <c r="F1603" i="7" s="1"/>
  <c r="D668" i="7"/>
  <c r="D740" i="7"/>
  <c r="D812" i="7"/>
  <c r="D892" i="7"/>
  <c r="D964" i="7"/>
  <c r="D1036" i="7"/>
  <c r="D1108" i="7"/>
  <c r="D1180" i="7"/>
  <c r="D645" i="7"/>
  <c r="D717" i="7"/>
  <c r="D797" i="7"/>
  <c r="D869" i="7"/>
  <c r="D933" i="7"/>
  <c r="D997" i="7"/>
  <c r="D1061" i="7"/>
  <c r="D1125" i="7"/>
  <c r="D1189" i="7"/>
  <c r="D710" i="7"/>
  <c r="D774" i="7"/>
  <c r="D838" i="7"/>
  <c r="D902" i="7"/>
  <c r="D966" i="7"/>
  <c r="D1030" i="7"/>
  <c r="D1094" i="7"/>
  <c r="D1359" i="7"/>
  <c r="D1423" i="7"/>
  <c r="D1487" i="7"/>
  <c r="D1112" i="7"/>
  <c r="D1176" i="7"/>
  <c r="D1240" i="7"/>
  <c r="E1240" i="7" s="1"/>
  <c r="D1304" i="7"/>
  <c r="D1368" i="7"/>
  <c r="E1368" i="7" s="1"/>
  <c r="D1432" i="7"/>
  <c r="D1496" i="7"/>
  <c r="D1560" i="7"/>
  <c r="F1560" i="7" s="1"/>
  <c r="D1624" i="7"/>
  <c r="D1688" i="7"/>
  <c r="D1752" i="7"/>
  <c r="E1752" i="7" s="1"/>
  <c r="D1746" i="7"/>
  <c r="E1746" i="7" s="1"/>
  <c r="D1810" i="7"/>
  <c r="E1810" i="7" s="1"/>
  <c r="D1651" i="7"/>
  <c r="F1651" i="7" s="1"/>
  <c r="D1715" i="7"/>
  <c r="E1715" i="7" s="1"/>
  <c r="D1779" i="7"/>
  <c r="D1843" i="7"/>
  <c r="D1907" i="7"/>
  <c r="D1971" i="7"/>
  <c r="D2497" i="7"/>
  <c r="F2497" i="7" s="1"/>
  <c r="D2433" i="7"/>
  <c r="E2433" i="7" s="1"/>
  <c r="D2369" i="7"/>
  <c r="E2369" i="7" s="1"/>
  <c r="D2305" i="7"/>
  <c r="F2305" i="7" s="1"/>
  <c r="D2241" i="7"/>
  <c r="F2241" i="7" s="1"/>
  <c r="D1276" i="7"/>
  <c r="D1340" i="7"/>
  <c r="D1404" i="7"/>
  <c r="D1468" i="7"/>
  <c r="D1532" i="7"/>
  <c r="D1596" i="7"/>
  <c r="D1660" i="7"/>
  <c r="D1724" i="7"/>
  <c r="D1788" i="7"/>
  <c r="D1229" i="7"/>
  <c r="D1293" i="7"/>
  <c r="D1357" i="7"/>
  <c r="D1421" i="7"/>
  <c r="D1485" i="7"/>
  <c r="D1549" i="7"/>
  <c r="D1613" i="7"/>
  <c r="D1677" i="7"/>
  <c r="D1741" i="7"/>
  <c r="D1805" i="7"/>
  <c r="D1166" i="7"/>
  <c r="D1230" i="7"/>
  <c r="D1294" i="7"/>
  <c r="D1358" i="7"/>
  <c r="D1422" i="7"/>
  <c r="D1486" i="7"/>
  <c r="D1550" i="7"/>
  <c r="D1614" i="7"/>
  <c r="D1678" i="7"/>
  <c r="D1742" i="7"/>
  <c r="D1806" i="7"/>
  <c r="D1559" i="7"/>
  <c r="D1623" i="7"/>
  <c r="D1687" i="7"/>
  <c r="D1751" i="7"/>
  <c r="E1751" i="7" s="1"/>
  <c r="D1815" i="7"/>
  <c r="D1800" i="7"/>
  <c r="D1864" i="7"/>
  <c r="F1864" i="7" s="1"/>
  <c r="D1928" i="7"/>
  <c r="D1992" i="7"/>
  <c r="F1992" i="7" s="1"/>
  <c r="D2468" i="7"/>
  <c r="F2468" i="7" s="1"/>
  <c r="D2404" i="7"/>
  <c r="E2404" i="7" s="1"/>
  <c r="D2340" i="7"/>
  <c r="E2340" i="7" s="1"/>
  <c r="D2276" i="7"/>
  <c r="F2276" i="7" s="1"/>
  <c r="D1874" i="7"/>
  <c r="F1874" i="7" s="1"/>
  <c r="D1938" i="7"/>
  <c r="D2002" i="7"/>
  <c r="F2002" i="7" s="1"/>
  <c r="D2466" i="7"/>
  <c r="E2466" i="7" s="1"/>
  <c r="D2402" i="7"/>
  <c r="D2338" i="7"/>
  <c r="F2338" i="7" s="1"/>
  <c r="D2274" i="7"/>
  <c r="F2274" i="7" s="1"/>
  <c r="D2210" i="7"/>
  <c r="E2210" i="7" s="1"/>
  <c r="D2146" i="7"/>
  <c r="E2146" i="7" s="1"/>
  <c r="D2082" i="7"/>
  <c r="F2082" i="7" s="1"/>
  <c r="D2018" i="7"/>
  <c r="F2018" i="7" s="1"/>
  <c r="D2177" i="7"/>
  <c r="F2177" i="7" s="1"/>
  <c r="D2113" i="7"/>
  <c r="F2113" i="7" s="1"/>
  <c r="D2049" i="7"/>
  <c r="E2049" i="7" s="1"/>
  <c r="D1868" i="7"/>
  <c r="D1932" i="7"/>
  <c r="D1996" i="7"/>
  <c r="D2472" i="7"/>
  <c r="F2472" i="7" s="1"/>
  <c r="D2408" i="7"/>
  <c r="D2344" i="7"/>
  <c r="F2344" i="7" s="1"/>
  <c r="D2280" i="7"/>
  <c r="E2280" i="7" s="1"/>
  <c r="D2216" i="7"/>
  <c r="D2152" i="7"/>
  <c r="E2152" i="7" s="1"/>
  <c r="D2088" i="7"/>
  <c r="F2088" i="7" s="1"/>
  <c r="D2024" i="7"/>
  <c r="F2024" i="7" s="1"/>
  <c r="D1893" i="7"/>
  <c r="D1957" i="7"/>
  <c r="D2511" i="7"/>
  <c r="F2511" i="7" s="1"/>
  <c r="D2447" i="7"/>
  <c r="D2383" i="7"/>
  <c r="D1897" i="7"/>
  <c r="E1897" i="7" s="1"/>
  <c r="D192" i="7"/>
  <c r="E192" i="7" s="1"/>
  <c r="D566" i="7"/>
  <c r="D2187" i="7"/>
  <c r="F2187" i="7" s="1"/>
  <c r="D955" i="7"/>
  <c r="E955" i="7" s="1"/>
  <c r="D1539" i="7"/>
  <c r="D1116" i="7"/>
  <c r="D1069" i="7"/>
  <c r="D974" i="7"/>
  <c r="D1431" i="7"/>
  <c r="D1248" i="7"/>
  <c r="E1248" i="7" s="1"/>
  <c r="D1504" i="7"/>
  <c r="E1504" i="7" s="1"/>
  <c r="D1760" i="7"/>
  <c r="D1723" i="7"/>
  <c r="D1979" i="7"/>
  <c r="D2297" i="7"/>
  <c r="E2297" i="7" s="1"/>
  <c r="D1412" i="7"/>
  <c r="D1668" i="7"/>
  <c r="D1301" i="7"/>
  <c r="D1557" i="7"/>
  <c r="D1813" i="7"/>
  <c r="D1366" i="7"/>
  <c r="D1622" i="7"/>
  <c r="D1567" i="7"/>
  <c r="E1567" i="7" s="1"/>
  <c r="D1823" i="7"/>
  <c r="D2000" i="7"/>
  <c r="E2000" i="7" s="1"/>
  <c r="D2268" i="7"/>
  <c r="F2268" i="7" s="1"/>
  <c r="D2458" i="7"/>
  <c r="D2202" i="7"/>
  <c r="D2169" i="7"/>
  <c r="F2169" i="7" s="1"/>
  <c r="D1940" i="7"/>
  <c r="D2336" i="7"/>
  <c r="F2336" i="7" s="1"/>
  <c r="D2160" i="7"/>
  <c r="E2160" i="7" s="1"/>
  <c r="D2032" i="7"/>
  <c r="E2032" i="7" s="1"/>
  <c r="D1949" i="7"/>
  <c r="D2455" i="7"/>
  <c r="F2455" i="7" s="1"/>
  <c r="D2335" i="7"/>
  <c r="D2255" i="7"/>
  <c r="D2159" i="7"/>
  <c r="F2159" i="7" s="1"/>
  <c r="D2087" i="7"/>
  <c r="D1902" i="7"/>
  <c r="D1974" i="7"/>
  <c r="D2486" i="7"/>
  <c r="D2414" i="7"/>
  <c r="E2414" i="7" s="1"/>
  <c r="D2334" i="7"/>
  <c r="D2262" i="7"/>
  <c r="F2262" i="7" s="1"/>
  <c r="D2190" i="7"/>
  <c r="E2190" i="7" s="1"/>
  <c r="D2118" i="7"/>
  <c r="F2118" i="7" s="1"/>
  <c r="D2046" i="7"/>
  <c r="F2046" i="7" s="1"/>
  <c r="D1887" i="7"/>
  <c r="D1959" i="7"/>
  <c r="D2493" i="7"/>
  <c r="F2493" i="7" s="1"/>
  <c r="D2429" i="7"/>
  <c r="D2365" i="7"/>
  <c r="E2365" i="7" s="1"/>
  <c r="D2301" i="7"/>
  <c r="D2237" i="7"/>
  <c r="E2237" i="7" s="1"/>
  <c r="D2173" i="7"/>
  <c r="D2109" i="7"/>
  <c r="D2045" i="7"/>
  <c r="D2212" i="7"/>
  <c r="E2212" i="7" s="1"/>
  <c r="D2148" i="7"/>
  <c r="D2084" i="7"/>
  <c r="F2084" i="7" s="1"/>
  <c r="D2020" i="7"/>
  <c r="E2020" i="7" s="1"/>
  <c r="D2044" i="7"/>
  <c r="E2044" i="7" s="1"/>
  <c r="D1925" i="7"/>
  <c r="D2430" i="7"/>
  <c r="E2430" i="7" s="1"/>
  <c r="D1871" i="7"/>
  <c r="D2189" i="7"/>
  <c r="E2189" i="7" s="1"/>
  <c r="D596" i="7"/>
  <c r="D1707" i="7"/>
  <c r="F1707" i="7" s="1"/>
  <c r="D1797" i="7"/>
  <c r="D2474" i="7"/>
  <c r="F2474" i="7" s="1"/>
  <c r="D2168" i="7"/>
  <c r="F2168" i="7" s="1"/>
  <c r="D2095" i="7"/>
  <c r="D2350" i="7"/>
  <c r="D2509" i="7"/>
  <c r="D2053" i="7"/>
  <c r="E2053" i="7" s="1"/>
  <c r="D81" i="7"/>
  <c r="E81" i="7" s="1"/>
  <c r="D610" i="7"/>
  <c r="D807" i="7"/>
  <c r="D2059" i="7"/>
  <c r="F2059" i="7" s="1"/>
  <c r="D1027" i="7"/>
  <c r="E1027" i="7" s="1"/>
  <c r="D1611" i="7"/>
  <c r="E1611" i="7" s="1"/>
  <c r="D1188" i="7"/>
  <c r="D1133" i="7"/>
  <c r="D1022" i="7"/>
  <c r="D1479" i="7"/>
  <c r="D1296" i="7"/>
  <c r="D1552" i="7"/>
  <c r="D1738" i="7"/>
  <c r="E1738" i="7" s="1"/>
  <c r="D1771" i="7"/>
  <c r="D2505" i="7"/>
  <c r="E2505" i="7" s="1"/>
  <c r="D2249" i="7"/>
  <c r="E2249" i="7" s="1"/>
  <c r="D1460" i="7"/>
  <c r="D1716" i="7"/>
  <c r="D1349" i="7"/>
  <c r="D1605" i="7"/>
  <c r="D1158" i="7"/>
  <c r="D1414" i="7"/>
  <c r="D1670" i="7"/>
  <c r="D1615" i="7"/>
  <c r="D1792" i="7"/>
  <c r="D2476" i="7"/>
  <c r="D1866" i="7"/>
  <c r="E1866" i="7" s="1"/>
  <c r="D2410" i="7"/>
  <c r="D2154" i="7"/>
  <c r="F2154" i="7" s="1"/>
  <c r="D2121" i="7"/>
  <c r="F2121" i="7" s="1"/>
  <c r="D1988" i="7"/>
  <c r="D2296" i="7"/>
  <c r="E2296" i="7" s="1"/>
  <c r="D2144" i="7"/>
  <c r="F2144" i="7" s="1"/>
  <c r="D2016" i="7"/>
  <c r="E2016" i="7" s="1"/>
  <c r="D1965" i="7"/>
  <c r="D2439" i="7"/>
  <c r="E2439" i="7" s="1"/>
  <c r="D2327" i="7"/>
  <c r="F2327" i="7" s="1"/>
  <c r="D2247" i="7"/>
  <c r="D2151" i="7"/>
  <c r="D2079" i="7"/>
  <c r="E2079" i="7" s="1"/>
  <c r="D1838" i="7"/>
  <c r="D1910" i="7"/>
  <c r="D1982" i="7"/>
  <c r="D2478" i="7"/>
  <c r="E2478" i="7" s="1"/>
  <c r="D2398" i="7"/>
  <c r="E2398" i="7" s="1"/>
  <c r="D2326" i="7"/>
  <c r="D2254" i="7"/>
  <c r="F2254" i="7" s="1"/>
  <c r="D2182" i="7"/>
  <c r="F2182" i="7" s="1"/>
  <c r="D2110" i="7"/>
  <c r="E2110" i="7" s="1"/>
  <c r="D2038" i="7"/>
  <c r="E2038" i="7" s="1"/>
  <c r="D1895" i="7"/>
  <c r="D1975" i="7"/>
  <c r="D2485" i="7"/>
  <c r="E2485" i="7" s="1"/>
  <c r="D2421" i="7"/>
  <c r="E2421" i="7" s="1"/>
  <c r="D2357" i="7"/>
  <c r="E2357" i="7" s="1"/>
  <c r="D2293" i="7"/>
  <c r="D2229" i="7"/>
  <c r="F2229" i="7" s="1"/>
  <c r="D2165" i="7"/>
  <c r="D2101" i="7"/>
  <c r="D2037" i="7"/>
  <c r="E2037" i="7" s="1"/>
  <c r="D2204" i="7"/>
  <c r="D2140" i="7"/>
  <c r="E2140" i="7" s="1"/>
  <c r="D2076" i="7"/>
  <c r="E2076" i="7" s="1"/>
  <c r="D2351" i="7"/>
  <c r="E2351" i="7" s="1"/>
  <c r="D1958" i="7"/>
  <c r="D2062" i="7"/>
  <c r="D2253" i="7"/>
  <c r="E2253" i="7" s="1"/>
  <c r="D2036" i="7"/>
  <c r="E2036" i="7" s="1"/>
  <c r="D1044" i="7"/>
  <c r="D2284" i="7"/>
  <c r="D1941" i="7"/>
  <c r="D1894" i="7"/>
  <c r="D2054" i="7"/>
  <c r="E2054" i="7" s="1"/>
  <c r="D2245" i="7"/>
  <c r="E2245" i="7" s="1"/>
  <c r="D2092" i="7"/>
  <c r="E2092" i="7" s="1"/>
  <c r="D1913" i="7"/>
  <c r="F1913" i="7" s="1"/>
  <c r="D930" i="7"/>
  <c r="E930" i="7" s="1"/>
  <c r="D1063" i="7"/>
  <c r="D1146" i="7"/>
  <c r="F1146" i="7" s="1"/>
  <c r="D1099" i="7"/>
  <c r="D676" i="7"/>
  <c r="D653" i="7"/>
  <c r="D1197" i="7"/>
  <c r="D1038" i="7"/>
  <c r="D1495" i="7"/>
  <c r="D1312" i="7"/>
  <c r="D1568" i="7"/>
  <c r="D1754" i="7"/>
  <c r="F1754" i="7" s="1"/>
  <c r="D1787" i="7"/>
  <c r="D2489" i="7"/>
  <c r="E2489" i="7" s="1"/>
  <c r="D1220" i="7"/>
  <c r="D1476" i="7"/>
  <c r="D1732" i="7"/>
  <c r="D1365" i="7"/>
  <c r="D1621" i="7"/>
  <c r="D1174" i="7"/>
  <c r="D1430" i="7"/>
  <c r="D1686" i="7"/>
  <c r="D1631" i="7"/>
  <c r="D1808" i="7"/>
  <c r="E1808" i="7" s="1"/>
  <c r="D2460" i="7"/>
  <c r="E2460" i="7" s="1"/>
  <c r="D1882" i="7"/>
  <c r="F1882" i="7" s="1"/>
  <c r="D2394" i="7"/>
  <c r="D2138" i="7"/>
  <c r="F2138" i="7" s="1"/>
  <c r="D2105" i="7"/>
  <c r="F2105" i="7" s="1"/>
  <c r="D2004" i="7"/>
  <c r="D2288" i="7"/>
  <c r="F2288" i="7" s="1"/>
  <c r="D2120" i="7"/>
  <c r="E2120" i="7" s="1"/>
  <c r="D1861" i="7"/>
  <c r="D1989" i="7"/>
  <c r="D2415" i="7"/>
  <c r="D2319" i="7"/>
  <c r="D2223" i="7"/>
  <c r="F2223" i="7" s="1"/>
  <c r="D2143" i="7"/>
  <c r="D2071" i="7"/>
  <c r="D1846" i="7"/>
  <c r="D1918" i="7"/>
  <c r="D1990" i="7"/>
  <c r="D2462" i="7"/>
  <c r="E2462" i="7" s="1"/>
  <c r="D2390" i="7"/>
  <c r="F2390" i="7" s="1"/>
  <c r="D2318" i="7"/>
  <c r="F2318" i="7" s="1"/>
  <c r="D2246" i="7"/>
  <c r="D2174" i="7"/>
  <c r="D2102" i="7"/>
  <c r="D2030" i="7"/>
  <c r="D1911" i="7"/>
  <c r="D1983" i="7"/>
  <c r="D2477" i="7"/>
  <c r="E2477" i="7" s="1"/>
  <c r="D2413" i="7"/>
  <c r="E2413" i="7" s="1"/>
  <c r="D2349" i="7"/>
  <c r="F2349" i="7" s="1"/>
  <c r="D2285" i="7"/>
  <c r="D2221" i="7"/>
  <c r="E2221" i="7" s="1"/>
  <c r="D2157" i="7"/>
  <c r="D2093" i="7"/>
  <c r="E2093" i="7" s="1"/>
  <c r="D2029" i="7"/>
  <c r="E2029" i="7" s="1"/>
  <c r="D2196" i="7"/>
  <c r="E2196" i="7" s="1"/>
  <c r="D2132" i="7"/>
  <c r="D2068" i="7"/>
  <c r="D2271" i="7"/>
  <c r="E2271" i="7" s="1"/>
  <c r="D2502" i="7"/>
  <c r="D1943" i="7"/>
  <c r="D2125" i="7"/>
  <c r="D631" i="7"/>
  <c r="D2313" i="7"/>
  <c r="F2313" i="7" s="1"/>
  <c r="D1350" i="7"/>
  <c r="D2218" i="7"/>
  <c r="D2463" i="7"/>
  <c r="D1966" i="7"/>
  <c r="D2126" i="7"/>
  <c r="D2309" i="7"/>
  <c r="E2309" i="7" s="1"/>
  <c r="D2156" i="7"/>
  <c r="E2156" i="7" s="1"/>
  <c r="D921" i="7"/>
  <c r="F921" i="7" s="1"/>
  <c r="D403" i="7"/>
  <c r="F403" i="7" s="1"/>
  <c r="D1319" i="7"/>
  <c r="D1258" i="7"/>
  <c r="D1171" i="7"/>
  <c r="D748" i="7"/>
  <c r="D733" i="7"/>
  <c r="D718" i="7"/>
  <c r="D1086" i="7"/>
  <c r="D1104" i="7"/>
  <c r="F1104" i="7" s="1"/>
  <c r="D1360" i="7"/>
  <c r="D1616" i="7"/>
  <c r="D1802" i="7"/>
  <c r="D1835" i="7"/>
  <c r="D2441" i="7"/>
  <c r="E2441" i="7" s="1"/>
  <c r="D1268" i="7"/>
  <c r="D1524" i="7"/>
  <c r="D1780" i="7"/>
  <c r="D1413" i="7"/>
  <c r="D1669" i="7"/>
  <c r="D1222" i="7"/>
  <c r="D1478" i="7"/>
  <c r="D1734" i="7"/>
  <c r="D1679" i="7"/>
  <c r="E1679" i="7" s="1"/>
  <c r="D1856" i="7"/>
  <c r="D2412" i="7"/>
  <c r="D1930" i="7"/>
  <c r="F1930" i="7" s="1"/>
  <c r="D2346" i="7"/>
  <c r="E2346" i="7" s="1"/>
  <c r="D2090" i="7"/>
  <c r="D2057" i="7"/>
  <c r="E2057" i="7" s="1"/>
  <c r="D2480" i="7"/>
  <c r="D2272" i="7"/>
  <c r="D2104" i="7"/>
  <c r="F2104" i="7" s="1"/>
  <c r="D1877" i="7"/>
  <c r="D2005" i="7"/>
  <c r="D2399" i="7"/>
  <c r="E2399" i="7" s="1"/>
  <c r="D2311" i="7"/>
  <c r="F2311" i="7" s="1"/>
  <c r="D2215" i="7"/>
  <c r="E2215" i="7" s="1"/>
  <c r="D2135" i="7"/>
  <c r="F2135" i="7" s="1"/>
  <c r="D2063" i="7"/>
  <c r="F2063" i="7" s="1"/>
  <c r="D1854" i="7"/>
  <c r="D1926" i="7"/>
  <c r="D2006" i="7"/>
  <c r="D2454" i="7"/>
  <c r="D2382" i="7"/>
  <c r="F2382" i="7" s="1"/>
  <c r="D2310" i="7"/>
  <c r="F2310" i="7" s="1"/>
  <c r="D2238" i="7"/>
  <c r="D2166" i="7"/>
  <c r="F2166" i="7" s="1"/>
  <c r="D2094" i="7"/>
  <c r="D1847" i="7"/>
  <c r="D1919" i="7"/>
  <c r="D1991" i="7"/>
  <c r="D2469" i="7"/>
  <c r="E2469" i="7" s="1"/>
  <c r="D2405" i="7"/>
  <c r="E2405" i="7" s="1"/>
  <c r="D2341" i="7"/>
  <c r="E2341" i="7" s="1"/>
  <c r="D2277" i="7"/>
  <c r="D2213" i="7"/>
  <c r="D2149" i="7"/>
  <c r="E2149" i="7" s="1"/>
  <c r="D2085" i="7"/>
  <c r="F2085" i="7" s="1"/>
  <c r="D2021" i="7"/>
  <c r="F2021" i="7" s="1"/>
  <c r="D2188" i="7"/>
  <c r="F2188" i="7" s="1"/>
  <c r="D2124" i="7"/>
  <c r="D2060" i="7"/>
  <c r="D2056" i="7"/>
  <c r="D2358" i="7"/>
  <c r="E2358" i="7" s="1"/>
  <c r="D2015" i="7"/>
  <c r="E2015" i="7" s="1"/>
  <c r="D2061" i="7"/>
  <c r="F2061" i="7" s="1"/>
  <c r="D1048" i="7"/>
  <c r="D1488" i="7"/>
  <c r="D1285" i="7"/>
  <c r="D1984" i="7"/>
  <c r="D2040" i="7"/>
  <c r="D2023" i="7"/>
  <c r="D2198" i="7"/>
  <c r="E2198" i="7" s="1"/>
  <c r="D2373" i="7"/>
  <c r="E2373" i="7" s="1"/>
  <c r="D2028" i="7"/>
  <c r="F2028" i="7" s="1"/>
  <c r="D333" i="7"/>
  <c r="D659" i="7"/>
  <c r="D592" i="7"/>
  <c r="D1354" i="7"/>
  <c r="D1243" i="7"/>
  <c r="D828" i="7"/>
  <c r="D805" i="7"/>
  <c r="D782" i="7"/>
  <c r="D1102" i="7"/>
  <c r="D1120" i="7"/>
  <c r="D1376" i="7"/>
  <c r="D1632" i="7"/>
  <c r="E1632" i="7" s="1"/>
  <c r="D1818" i="7"/>
  <c r="D1851" i="7"/>
  <c r="D2425" i="7"/>
  <c r="E2425" i="7" s="1"/>
  <c r="D1284" i="7"/>
  <c r="D1540" i="7"/>
  <c r="D1796" i="7"/>
  <c r="D1429" i="7"/>
  <c r="D1685" i="7"/>
  <c r="D1238" i="7"/>
  <c r="D1494" i="7"/>
  <c r="D1750" i="7"/>
  <c r="D1695" i="7"/>
  <c r="D1872" i="7"/>
  <c r="D2396" i="7"/>
  <c r="E2396" i="7" s="1"/>
  <c r="D1946" i="7"/>
  <c r="E1946" i="7" s="1"/>
  <c r="D2330" i="7"/>
  <c r="E2330" i="7" s="1"/>
  <c r="D2074" i="7"/>
  <c r="E2074" i="7" s="1"/>
  <c r="D2041" i="7"/>
  <c r="E2041" i="7" s="1"/>
  <c r="D2464" i="7"/>
  <c r="D2232" i="7"/>
  <c r="D2096" i="7"/>
  <c r="D1885" i="7"/>
  <c r="D2013" i="7"/>
  <c r="D2391" i="7"/>
  <c r="E2391" i="7" s="1"/>
  <c r="D2287" i="7"/>
  <c r="D2207" i="7"/>
  <c r="D2127" i="7"/>
  <c r="D2055" i="7"/>
  <c r="E2055" i="7" s="1"/>
  <c r="D1862" i="7"/>
  <c r="D1942" i="7"/>
  <c r="D2014" i="7"/>
  <c r="D2446" i="7"/>
  <c r="D2374" i="7"/>
  <c r="D2302" i="7"/>
  <c r="F2302" i="7" s="1"/>
  <c r="D2230" i="7"/>
  <c r="D2158" i="7"/>
  <c r="E2158" i="7" s="1"/>
  <c r="D2078" i="7"/>
  <c r="F2078" i="7" s="1"/>
  <c r="D1855" i="7"/>
  <c r="D1927" i="7"/>
  <c r="D1999" i="7"/>
  <c r="D2461" i="7"/>
  <c r="D2397" i="7"/>
  <c r="F2397" i="7" s="1"/>
  <c r="D2333" i="7"/>
  <c r="E2333" i="7" s="1"/>
  <c r="D2269" i="7"/>
  <c r="D2205" i="7"/>
  <c r="F2205" i="7" s="1"/>
  <c r="D2141" i="7"/>
  <c r="F2141" i="7" s="1"/>
  <c r="D2077" i="7"/>
  <c r="D2244" i="7"/>
  <c r="D2180" i="7"/>
  <c r="F2180" i="7" s="1"/>
  <c r="D2116" i="7"/>
  <c r="D2052" i="7"/>
  <c r="E2052" i="7" s="1"/>
  <c r="D2111" i="7"/>
  <c r="E2111" i="7" s="1"/>
  <c r="D2134" i="7"/>
  <c r="E2134" i="7" s="1"/>
  <c r="D2317" i="7"/>
  <c r="F2317" i="7" s="1"/>
  <c r="D2100" i="7"/>
  <c r="D1467" i="7"/>
  <c r="F1467" i="7" s="1"/>
  <c r="D958" i="7"/>
  <c r="D1232" i="7"/>
  <c r="D1396" i="7"/>
  <c r="D1551" i="7"/>
  <c r="D1924" i="7"/>
  <c r="D2263" i="7"/>
  <c r="D2494" i="7"/>
  <c r="E2494" i="7" s="1"/>
  <c r="D1879" i="7"/>
  <c r="D2117" i="7"/>
  <c r="F2117" i="7" s="1"/>
  <c r="D190" i="7"/>
  <c r="D915" i="7"/>
  <c r="D744" i="7"/>
  <c r="D1458" i="7"/>
  <c r="D1323" i="7"/>
  <c r="D900" i="7"/>
  <c r="D877" i="7"/>
  <c r="D846" i="7"/>
  <c r="D1351" i="7"/>
  <c r="D1168" i="7"/>
  <c r="E1168" i="7" s="1"/>
  <c r="D1424" i="7"/>
  <c r="D1680" i="7"/>
  <c r="D1643" i="7"/>
  <c r="E1643" i="7" s="1"/>
  <c r="D1899" i="7"/>
  <c r="D2377" i="7"/>
  <c r="F2377" i="7" s="1"/>
  <c r="D1332" i="7"/>
  <c r="D1588" i="7"/>
  <c r="D1221" i="7"/>
  <c r="D1477" i="7"/>
  <c r="D1733" i="7"/>
  <c r="D1286" i="7"/>
  <c r="D1542" i="7"/>
  <c r="D1798" i="7"/>
  <c r="D1743" i="7"/>
  <c r="E1743" i="7" s="1"/>
  <c r="D1920" i="7"/>
  <c r="D2348" i="7"/>
  <c r="F2348" i="7" s="1"/>
  <c r="D1994" i="7"/>
  <c r="D2282" i="7"/>
  <c r="E2282" i="7" s="1"/>
  <c r="D2026" i="7"/>
  <c r="E2026" i="7" s="1"/>
  <c r="D1860" i="7"/>
  <c r="D2416" i="7"/>
  <c r="E2416" i="7" s="1"/>
  <c r="D2224" i="7"/>
  <c r="D2080" i="7"/>
  <c r="F2080" i="7" s="1"/>
  <c r="D1901" i="7"/>
  <c r="D2503" i="7"/>
  <c r="E2503" i="7" s="1"/>
  <c r="D2375" i="7"/>
  <c r="E2375" i="7" s="1"/>
  <c r="D2279" i="7"/>
  <c r="D2199" i="7"/>
  <c r="D2119" i="7"/>
  <c r="E2119" i="7" s="1"/>
  <c r="D2047" i="7"/>
  <c r="E2047" i="7" s="1"/>
  <c r="D1878" i="7"/>
  <c r="D1950" i="7"/>
  <c r="D2510" i="7"/>
  <c r="E2510" i="7" s="1"/>
  <c r="D2438" i="7"/>
  <c r="E2438" i="7" s="1"/>
  <c r="D2366" i="7"/>
  <c r="E2366" i="7" s="1"/>
  <c r="D2294" i="7"/>
  <c r="F2294" i="7" s="1"/>
  <c r="D2222" i="7"/>
  <c r="D2142" i="7"/>
  <c r="E2142" i="7" s="1"/>
  <c r="D2070" i="7"/>
  <c r="D1863" i="7"/>
  <c r="D1935" i="7"/>
  <c r="E1935" i="7" s="1"/>
  <c r="D2007" i="7"/>
  <c r="D2453" i="7"/>
  <c r="E2453" i="7" s="1"/>
  <c r="D2389" i="7"/>
  <c r="D2325" i="7"/>
  <c r="E2325" i="7" s="1"/>
  <c r="D2261" i="7"/>
  <c r="D2197" i="7"/>
  <c r="E2197" i="7" s="1"/>
  <c r="D2133" i="7"/>
  <c r="D2069" i="7"/>
  <c r="D2236" i="7"/>
  <c r="E2236" i="7" s="1"/>
  <c r="D2172" i="7"/>
  <c r="E2172" i="7" s="1"/>
  <c r="D2108" i="7"/>
  <c r="E2108" i="7" s="1"/>
  <c r="D2479" i="7"/>
  <c r="E2479" i="7" s="1"/>
  <c r="D1886" i="7"/>
  <c r="D2206" i="7"/>
  <c r="D2381" i="7"/>
  <c r="F2381" i="7" s="1"/>
  <c r="D2164" i="7"/>
  <c r="F2164" i="7" s="1"/>
  <c r="D1005" i="7"/>
  <c r="D1963" i="7"/>
  <c r="D1541" i="7"/>
  <c r="D1807" i="7"/>
  <c r="D2352" i="7"/>
  <c r="E2352" i="7" s="1"/>
  <c r="D2343" i="7"/>
  <c r="D2422" i="7"/>
  <c r="D1951" i="7"/>
  <c r="D2181" i="7"/>
  <c r="D63" i="7"/>
  <c r="D340" i="7"/>
  <c r="D920" i="7"/>
  <c r="E920" i="7" s="1"/>
  <c r="D1546" i="7"/>
  <c r="F1546" i="7" s="1"/>
  <c r="D1395" i="7"/>
  <c r="D972" i="7"/>
  <c r="D941" i="7"/>
  <c r="D910" i="7"/>
  <c r="D1367" i="7"/>
  <c r="D1184" i="7"/>
  <c r="E1184" i="7" s="1"/>
  <c r="D1440" i="7"/>
  <c r="D1696" i="7"/>
  <c r="D1659" i="7"/>
  <c r="E1659" i="7" s="1"/>
  <c r="D1915" i="7"/>
  <c r="D2361" i="7"/>
  <c r="F2361" i="7" s="1"/>
  <c r="D1348" i="7"/>
  <c r="D1604" i="7"/>
  <c r="D1237" i="7"/>
  <c r="D1493" i="7"/>
  <c r="D1749" i="7"/>
  <c r="D1302" i="7"/>
  <c r="D1558" i="7"/>
  <c r="D1814" i="7"/>
  <c r="D1759" i="7"/>
  <c r="D1936" i="7"/>
  <c r="D2332" i="7"/>
  <c r="D2010" i="7"/>
  <c r="E2010" i="7" s="1"/>
  <c r="D2266" i="7"/>
  <c r="D2233" i="7"/>
  <c r="E2233" i="7" s="1"/>
  <c r="D1876" i="7"/>
  <c r="D2400" i="7"/>
  <c r="D2208" i="7"/>
  <c r="F2208" i="7" s="1"/>
  <c r="D2191" i="7"/>
  <c r="D2031" i="7"/>
  <c r="E2031" i="7" s="1"/>
  <c r="D2286" i="7"/>
  <c r="F2286" i="7" s="1"/>
  <c r="D2445" i="7"/>
  <c r="E2445" i="7" s="1"/>
  <c r="D2228" i="7"/>
  <c r="F2228" i="7" s="1"/>
  <c r="D1642" i="7"/>
  <c r="E1642" i="7" s="1"/>
  <c r="D1415" i="7"/>
  <c r="D1744" i="7"/>
  <c r="E1744" i="7" s="1"/>
  <c r="D1652" i="7"/>
  <c r="D1606" i="7"/>
  <c r="D2185" i="7"/>
  <c r="D2183" i="7"/>
  <c r="E2183" i="7" s="1"/>
  <c r="D2270" i="7"/>
  <c r="D2437" i="7"/>
  <c r="E2437" i="7" s="1"/>
  <c r="D2220" i="7"/>
  <c r="E2220" i="7" s="1"/>
  <c r="D20" i="7"/>
  <c r="D19" i="7"/>
  <c r="D18" i="7"/>
  <c r="D17" i="7"/>
  <c r="D16" i="7"/>
  <c r="D5015" i="7"/>
  <c r="D4951" i="7"/>
  <c r="E4951" i="7" s="1"/>
  <c r="D4887" i="7"/>
  <c r="D4823" i="7"/>
  <c r="F4823" i="7" s="1"/>
  <c r="D4759" i="7"/>
  <c r="D4695" i="7"/>
  <c r="E4695" i="7" s="1"/>
  <c r="D4631" i="7"/>
  <c r="E4631" i="7" s="1"/>
  <c r="D4567" i="7"/>
  <c r="D4503" i="7"/>
  <c r="D4990" i="7"/>
  <c r="F4990" i="7" s="1"/>
  <c r="D4926" i="7"/>
  <c r="F4926" i="7" s="1"/>
  <c r="D4862" i="7"/>
  <c r="E4862" i="7" s="1"/>
  <c r="D4965" i="7"/>
  <c r="D4901" i="7"/>
  <c r="E4901" i="7" s="1"/>
  <c r="D4837" i="7"/>
  <c r="E4837" i="7" s="1"/>
  <c r="D4773" i="7"/>
  <c r="E4773" i="7" s="1"/>
  <c r="D4709" i="7"/>
  <c r="E4709" i="7" s="1"/>
  <c r="D4645" i="7"/>
  <c r="D4581" i="7"/>
  <c r="D4517" i="7"/>
  <c r="E4517" i="7" s="1"/>
  <c r="D5004" i="7"/>
  <c r="D4940" i="7"/>
  <c r="E4940" i="7" s="1"/>
  <c r="D4876" i="7"/>
  <c r="E4876" i="7" s="1"/>
  <c r="D4812" i="7"/>
  <c r="E4812" i="7" s="1"/>
  <c r="D4748" i="7"/>
  <c r="E4748" i="7" s="1"/>
  <c r="D4684" i="7"/>
  <c r="E4684" i="7" s="1"/>
  <c r="D4620" i="7"/>
  <c r="D4556" i="7"/>
  <c r="E4556" i="7" s="1"/>
  <c r="D4492" i="7"/>
  <c r="E4492" i="7" s="1"/>
  <c r="D4428" i="7"/>
  <c r="D4364" i="7"/>
  <c r="F4364" i="7" s="1"/>
  <c r="D4979" i="7"/>
  <c r="D4915" i="7"/>
  <c r="E4915" i="7" s="1"/>
  <c r="D4851" i="7"/>
  <c r="E4851" i="7" s="1"/>
  <c r="D4787" i="7"/>
  <c r="E4787" i="7" s="1"/>
  <c r="D4723" i="7"/>
  <c r="E4723" i="7" s="1"/>
  <c r="D4659" i="7"/>
  <c r="F4659" i="7" s="1"/>
  <c r="D4595" i="7"/>
  <c r="E4595" i="7" s="1"/>
  <c r="D4531" i="7"/>
  <c r="E4531" i="7" s="1"/>
  <c r="D4467" i="7"/>
  <c r="E4467" i="7" s="1"/>
  <c r="D4403" i="7"/>
  <c r="E4403" i="7" s="1"/>
  <c r="D4339" i="7"/>
  <c r="F4339" i="7" s="1"/>
  <c r="D4954" i="7"/>
  <c r="E4954" i="7" s="1"/>
  <c r="D4890" i="7"/>
  <c r="E4890" i="7" s="1"/>
  <c r="D4826" i="7"/>
  <c r="E4826" i="7" s="1"/>
  <c r="D4762" i="7"/>
  <c r="F4762" i="7" s="1"/>
  <c r="D4698" i="7"/>
  <c r="E4698" i="7" s="1"/>
  <c r="D4634" i="7"/>
  <c r="E4634" i="7" s="1"/>
  <c r="D4570" i="7"/>
  <c r="D4506" i="7"/>
  <c r="D4442" i="7"/>
  <c r="E4442" i="7" s="1"/>
  <c r="D4378" i="7"/>
  <c r="D4945" i="7"/>
  <c r="F4945" i="7" s="1"/>
  <c r="D4744" i="7"/>
  <c r="D4574" i="7"/>
  <c r="E4574" i="7" s="1"/>
  <c r="D4429" i="7"/>
  <c r="F4429" i="7" s="1"/>
  <c r="D4329" i="7"/>
  <c r="E4329" i="7" s="1"/>
  <c r="D4265" i="7"/>
  <c r="F4265" i="7" s="1"/>
  <c r="D4201" i="7"/>
  <c r="E4201" i="7" s="1"/>
  <c r="D4137" i="7"/>
  <c r="F4137" i="7" s="1"/>
  <c r="D4073" i="7"/>
  <c r="E4073" i="7" s="1"/>
  <c r="D4009" i="7"/>
  <c r="F4009" i="7" s="1"/>
  <c r="D3945" i="7"/>
  <c r="D4848" i="7"/>
  <c r="E4848" i="7" s="1"/>
  <c r="D4678" i="7"/>
  <c r="F4678" i="7" s="1"/>
  <c r="D4505" i="7"/>
  <c r="F4505" i="7" s="1"/>
  <c r="D4389" i="7"/>
  <c r="F4389" i="7" s="1"/>
  <c r="D4304" i="7"/>
  <c r="E4304" i="7" s="1"/>
  <c r="D4240" i="7"/>
  <c r="F4240" i="7" s="1"/>
  <c r="D4176" i="7"/>
  <c r="F4176" i="7" s="1"/>
  <c r="D4112" i="7"/>
  <c r="E4112" i="7" s="1"/>
  <c r="D4048" i="7"/>
  <c r="F4048" i="7" s="1"/>
  <c r="D3984" i="7"/>
  <c r="E3984" i="7" s="1"/>
  <c r="D5001" i="7"/>
  <c r="E5001" i="7" s="1"/>
  <c r="D4782" i="7"/>
  <c r="D4609" i="7"/>
  <c r="E4609" i="7" s="1"/>
  <c r="D4449" i="7"/>
  <c r="F4449" i="7" s="1"/>
  <c r="D4349" i="7"/>
  <c r="F4349" i="7" s="1"/>
  <c r="D4279" i="7"/>
  <c r="F4279" i="7" s="1"/>
  <c r="D4215" i="7"/>
  <c r="E4215" i="7" s="1"/>
  <c r="D4151" i="7"/>
  <c r="E4151" i="7" s="1"/>
  <c r="D4087" i="7"/>
  <c r="E4087" i="7" s="1"/>
  <c r="D4023" i="7"/>
  <c r="D3959" i="7"/>
  <c r="D4904" i="7"/>
  <c r="D4713" i="7"/>
  <c r="E4713" i="7" s="1"/>
  <c r="D4544" i="7"/>
  <c r="E4544" i="7" s="1"/>
  <c r="D4409" i="7"/>
  <c r="F4409" i="7" s="1"/>
  <c r="D4318" i="7"/>
  <c r="E4318" i="7" s="1"/>
  <c r="D4254" i="7"/>
  <c r="E4254" i="7" s="1"/>
  <c r="D4190" i="7"/>
  <c r="F4190" i="7" s="1"/>
  <c r="D4126" i="7"/>
  <c r="E4126" i="7" s="1"/>
  <c r="D4062" i="7"/>
  <c r="F4062" i="7" s="1"/>
  <c r="D3998" i="7"/>
  <c r="D3934" i="7"/>
  <c r="D4840" i="7"/>
  <c r="E4840" i="7" s="1"/>
  <c r="D4670" i="7"/>
  <c r="E4670" i="7" s="1"/>
  <c r="D4497" i="7"/>
  <c r="D4383" i="7"/>
  <c r="E4383" i="7" s="1"/>
  <c r="D4301" i="7"/>
  <c r="E4301" i="7" s="1"/>
  <c r="D4237" i="7"/>
  <c r="D4173" i="7"/>
  <c r="D4109" i="7"/>
  <c r="D4045" i="7"/>
  <c r="D3981" i="7"/>
  <c r="E3981" i="7" s="1"/>
  <c r="D3917" i="7"/>
  <c r="D4793" i="7"/>
  <c r="F4793" i="7" s="1"/>
  <c r="D4624" i="7"/>
  <c r="D4457" i="7"/>
  <c r="E4457" i="7" s="1"/>
  <c r="D4357" i="7"/>
  <c r="E4357" i="7" s="1"/>
  <c r="D4284" i="7"/>
  <c r="D4220" i="7"/>
  <c r="E4220" i="7" s="1"/>
  <c r="D4156" i="7"/>
  <c r="D4092" i="7"/>
  <c r="F4092" i="7" s="1"/>
  <c r="D4028" i="7"/>
  <c r="F4028" i="7" s="1"/>
  <c r="D3964" i="7"/>
  <c r="D4857" i="7"/>
  <c r="D4307" i="7"/>
  <c r="D4051" i="7"/>
  <c r="F4051" i="7" s="1"/>
  <c r="D3888" i="7"/>
  <c r="E3888" i="7" s="1"/>
  <c r="D3824" i="7"/>
  <c r="D3760" i="7"/>
  <c r="E3760" i="7" s="1"/>
  <c r="D3696" i="7"/>
  <c r="E3696" i="7" s="1"/>
  <c r="D3632" i="7"/>
  <c r="F3632" i="7" s="1"/>
  <c r="D3568" i="7"/>
  <c r="D3504" i="7"/>
  <c r="E3504" i="7" s="1"/>
  <c r="D3440" i="7"/>
  <c r="E3440" i="7" s="1"/>
  <c r="D3376" i="7"/>
  <c r="E3376" i="7" s="1"/>
  <c r="D3312" i="7"/>
  <c r="E3312" i="7" s="1"/>
  <c r="D3248" i="7"/>
  <c r="E3248" i="7" s="1"/>
  <c r="D3184" i="7"/>
  <c r="D3120" i="7"/>
  <c r="F3120" i="7" s="1"/>
  <c r="D3056" i="7"/>
  <c r="F3056" i="7" s="1"/>
  <c r="D2992" i="7"/>
  <c r="D2928" i="7"/>
  <c r="F2928" i="7" s="1"/>
  <c r="D2864" i="7"/>
  <c r="F2864" i="7" s="1"/>
  <c r="D2800" i="7"/>
  <c r="E2800" i="7" s="1"/>
  <c r="D4984" i="7"/>
  <c r="F4984" i="7" s="1"/>
  <c r="D4341" i="7"/>
  <c r="E4341" i="7" s="1"/>
  <c r="D4082" i="7"/>
  <c r="E4082" i="7" s="1"/>
  <c r="D3895" i="7"/>
  <c r="D3831" i="7"/>
  <c r="E3831" i="7" s="1"/>
  <c r="D3767" i="7"/>
  <c r="F3767" i="7" s="1"/>
  <c r="D3703" i="7"/>
  <c r="F3703" i="7" s="1"/>
  <c r="D3639" i="7"/>
  <c r="D3575" i="7"/>
  <c r="D3511" i="7"/>
  <c r="D3447" i="7"/>
  <c r="D3383" i="7"/>
  <c r="D3319" i="7"/>
  <c r="D3255" i="7"/>
  <c r="F3255" i="7" s="1"/>
  <c r="D3191" i="7"/>
  <c r="D3127" i="7"/>
  <c r="E3127" i="7" s="1"/>
  <c r="D3063" i="7"/>
  <c r="E3063" i="7" s="1"/>
  <c r="D2999" i="7"/>
  <c r="E2999" i="7" s="1"/>
  <c r="D2935" i="7"/>
  <c r="E2935" i="7" s="1"/>
  <c r="D2871" i="7"/>
  <c r="D4577" i="7"/>
  <c r="E4577" i="7" s="1"/>
  <c r="D4203" i="7"/>
  <c r="D3947" i="7"/>
  <c r="D3862" i="7"/>
  <c r="E3862" i="7" s="1"/>
  <c r="D3798" i="7"/>
  <c r="F3798" i="7" s="1"/>
  <c r="D3734" i="7"/>
  <c r="E3734" i="7" s="1"/>
  <c r="D3670" i="7"/>
  <c r="E3670" i="7" s="1"/>
  <c r="D3606" i="7"/>
  <c r="D3542" i="7"/>
  <c r="D3478" i="7"/>
  <c r="D3414" i="7"/>
  <c r="F3414" i="7" s="1"/>
  <c r="D3350" i="7"/>
  <c r="E3350" i="7" s="1"/>
  <c r="D5007" i="7"/>
  <c r="F5007" i="7" s="1"/>
  <c r="D4943" i="7"/>
  <c r="F4943" i="7" s="1"/>
  <c r="D4879" i="7"/>
  <c r="F4879" i="7" s="1"/>
  <c r="D4815" i="7"/>
  <c r="E4815" i="7" s="1"/>
  <c r="D4751" i="7"/>
  <c r="E4751" i="7" s="1"/>
  <c r="D4687" i="7"/>
  <c r="E4687" i="7" s="1"/>
  <c r="D4623" i="7"/>
  <c r="D4559" i="7"/>
  <c r="D4495" i="7"/>
  <c r="E4495" i="7" s="1"/>
  <c r="D4982" i="7"/>
  <c r="D4918" i="7"/>
  <c r="D4854" i="7"/>
  <c r="E4854" i="7" s="1"/>
  <c r="D4957" i="7"/>
  <c r="F4957" i="7" s="1"/>
  <c r="D4893" i="7"/>
  <c r="E4893" i="7" s="1"/>
  <c r="D4829" i="7"/>
  <c r="D4765" i="7"/>
  <c r="D4701" i="7"/>
  <c r="E4701" i="7" s="1"/>
  <c r="D4637" i="7"/>
  <c r="E4637" i="7" s="1"/>
  <c r="D4573" i="7"/>
  <c r="D4509" i="7"/>
  <c r="E4509" i="7" s="1"/>
  <c r="D4996" i="7"/>
  <c r="D4932" i="7"/>
  <c r="F4932" i="7" s="1"/>
  <c r="D4868" i="7"/>
  <c r="D4804" i="7"/>
  <c r="F4804" i="7" s="1"/>
  <c r="D4740" i="7"/>
  <c r="E4740" i="7" s="1"/>
  <c r="D4676" i="7"/>
  <c r="D4612" i="7"/>
  <c r="E4612" i="7" s="1"/>
  <c r="D4548" i="7"/>
  <c r="E4548" i="7" s="1"/>
  <c r="D4484" i="7"/>
  <c r="E4484" i="7" s="1"/>
  <c r="D4420" i="7"/>
  <c r="E4420" i="7" s="1"/>
  <c r="D4356" i="7"/>
  <c r="F4356" i="7" s="1"/>
  <c r="D4971" i="7"/>
  <c r="F4971" i="7" s="1"/>
  <c r="D4907" i="7"/>
  <c r="E4907" i="7" s="1"/>
  <c r="D4843" i="7"/>
  <c r="F4843" i="7" s="1"/>
  <c r="D4779" i="7"/>
  <c r="D4715" i="7"/>
  <c r="F4715" i="7" s="1"/>
  <c r="D4651" i="7"/>
  <c r="E4651" i="7" s="1"/>
  <c r="D4587" i="7"/>
  <c r="D4523" i="7"/>
  <c r="D4459" i="7"/>
  <c r="E4459" i="7" s="1"/>
  <c r="D4395" i="7"/>
  <c r="E4395" i="7" s="1"/>
  <c r="D5010" i="7"/>
  <c r="E5010" i="7" s="1"/>
  <c r="D4946" i="7"/>
  <c r="D4882" i="7"/>
  <c r="D4818" i="7"/>
  <c r="D4754" i="7"/>
  <c r="F4754" i="7" s="1"/>
  <c r="D4690" i="7"/>
  <c r="E4690" i="7" s="1"/>
  <c r="D4626" i="7"/>
  <c r="E4626" i="7" s="1"/>
  <c r="D4562" i="7"/>
  <c r="F4562" i="7" s="1"/>
  <c r="D4498" i="7"/>
  <c r="D4434" i="7"/>
  <c r="E4434" i="7" s="1"/>
  <c r="D4370" i="7"/>
  <c r="E4370" i="7" s="1"/>
  <c r="D4913" i="7"/>
  <c r="E4913" i="7" s="1"/>
  <c r="D4721" i="7"/>
  <c r="E4721" i="7" s="1"/>
  <c r="D4552" i="7"/>
  <c r="E4552" i="7" s="1"/>
  <c r="D4415" i="7"/>
  <c r="E4415" i="7" s="1"/>
  <c r="D4321" i="7"/>
  <c r="E4321" i="7" s="1"/>
  <c r="D4257" i="7"/>
  <c r="D4193" i="7"/>
  <c r="D4129" i="7"/>
  <c r="E4129" i="7" s="1"/>
  <c r="D4065" i="7"/>
  <c r="E4065" i="7" s="1"/>
  <c r="D4001" i="7"/>
  <c r="E4001" i="7" s="1"/>
  <c r="D3937" i="7"/>
  <c r="E3937" i="7" s="1"/>
  <c r="D4825" i="7"/>
  <c r="F4825" i="7" s="1"/>
  <c r="D4656" i="7"/>
  <c r="F4656" i="7" s="1"/>
  <c r="D4486" i="7"/>
  <c r="E4486" i="7" s="1"/>
  <c r="D4375" i="7"/>
  <c r="D4296" i="7"/>
  <c r="F4296" i="7" s="1"/>
  <c r="D4232" i="7"/>
  <c r="E4232" i="7" s="1"/>
  <c r="D4168" i="7"/>
  <c r="E4168" i="7" s="1"/>
  <c r="D4104" i="7"/>
  <c r="E4104" i="7" s="1"/>
  <c r="D4040" i="7"/>
  <c r="E4040" i="7" s="1"/>
  <c r="D3976" i="7"/>
  <c r="F3976" i="7" s="1"/>
  <c r="D4969" i="7"/>
  <c r="D4760" i="7"/>
  <c r="F4760" i="7" s="1"/>
  <c r="D4590" i="7"/>
  <c r="D4438" i="7"/>
  <c r="E4438" i="7" s="1"/>
  <c r="D4335" i="7"/>
  <c r="D4271" i="7"/>
  <c r="F4271" i="7" s="1"/>
  <c r="D4207" i="7"/>
  <c r="E4207" i="7" s="1"/>
  <c r="D4143" i="7"/>
  <c r="F4143" i="7" s="1"/>
  <c r="D4079" i="7"/>
  <c r="E4079" i="7" s="1"/>
  <c r="D4015" i="7"/>
  <c r="E4015" i="7" s="1"/>
  <c r="D3951" i="7"/>
  <c r="D4872" i="7"/>
  <c r="F4872" i="7" s="1"/>
  <c r="D4694" i="7"/>
  <c r="E4694" i="7" s="1"/>
  <c r="D4521" i="7"/>
  <c r="E4521" i="7" s="1"/>
  <c r="D4398" i="7"/>
  <c r="D4310" i="7"/>
  <c r="E4310" i="7" s="1"/>
  <c r="D4246" i="7"/>
  <c r="F4246" i="7" s="1"/>
  <c r="D4182" i="7"/>
  <c r="E4182" i="7" s="1"/>
  <c r="D4118" i="7"/>
  <c r="E4118" i="7" s="1"/>
  <c r="D4054" i="7"/>
  <c r="D3990" i="7"/>
  <c r="E3990" i="7" s="1"/>
  <c r="D3926" i="7"/>
  <c r="D4817" i="7"/>
  <c r="F4817" i="7" s="1"/>
  <c r="D4648" i="7"/>
  <c r="F4648" i="7" s="1"/>
  <c r="D4478" i="7"/>
  <c r="E4478" i="7" s="1"/>
  <c r="D4369" i="7"/>
  <c r="D4293" i="7"/>
  <c r="E4293" i="7" s="1"/>
  <c r="D4229" i="7"/>
  <c r="F4229" i="7" s="1"/>
  <c r="D4165" i="7"/>
  <c r="E4165" i="7" s="1"/>
  <c r="D4101" i="7"/>
  <c r="E4101" i="7" s="1"/>
  <c r="D4037" i="7"/>
  <c r="D3973" i="7"/>
  <c r="E3973" i="7" s="1"/>
  <c r="D4992" i="7"/>
  <c r="E4992" i="7" s="1"/>
  <c r="D4774" i="7"/>
  <c r="D4601" i="7"/>
  <c r="D4446" i="7"/>
  <c r="D4343" i="7"/>
  <c r="D4276" i="7"/>
  <c r="E4276" i="7" s="1"/>
  <c r="D4212" i="7"/>
  <c r="E4212" i="7" s="1"/>
  <c r="D4148" i="7"/>
  <c r="F4148" i="7" s="1"/>
  <c r="D4084" i="7"/>
  <c r="E4084" i="7" s="1"/>
  <c r="D4020" i="7"/>
  <c r="D3956" i="7"/>
  <c r="E3956" i="7" s="1"/>
  <c r="D4769" i="7"/>
  <c r="F4769" i="7" s="1"/>
  <c r="D4999" i="7"/>
  <c r="F4999" i="7" s="1"/>
  <c r="D4935" i="7"/>
  <c r="E4935" i="7" s="1"/>
  <c r="D4871" i="7"/>
  <c r="D4807" i="7"/>
  <c r="D4743" i="7"/>
  <c r="E4743" i="7" s="1"/>
  <c r="D4679" i="7"/>
  <c r="E4679" i="7" s="1"/>
  <c r="D4615" i="7"/>
  <c r="E4615" i="7" s="1"/>
  <c r="D4551" i="7"/>
  <c r="E4551" i="7" s="1"/>
  <c r="D4487" i="7"/>
  <c r="F4487" i="7" s="1"/>
  <c r="D4974" i="7"/>
  <c r="E4974" i="7" s="1"/>
  <c r="D4910" i="7"/>
  <c r="D5013" i="7"/>
  <c r="F5013" i="7" s="1"/>
  <c r="D4949" i="7"/>
  <c r="E4949" i="7" s="1"/>
  <c r="D4885" i="7"/>
  <c r="D4821" i="7"/>
  <c r="D4757" i="7"/>
  <c r="F4757" i="7" s="1"/>
  <c r="D4693" i="7"/>
  <c r="F4693" i="7" s="1"/>
  <c r="D4629" i="7"/>
  <c r="E4629" i="7" s="1"/>
  <c r="D4565" i="7"/>
  <c r="E4565" i="7" s="1"/>
  <c r="D4501" i="7"/>
  <c r="F4501" i="7" s="1"/>
  <c r="D4988" i="7"/>
  <c r="D4924" i="7"/>
  <c r="E4924" i="7" s="1"/>
  <c r="D4860" i="7"/>
  <c r="D4796" i="7"/>
  <c r="F4796" i="7" s="1"/>
  <c r="D4732" i="7"/>
  <c r="E4732" i="7" s="1"/>
  <c r="D4668" i="7"/>
  <c r="E4668" i="7" s="1"/>
  <c r="D4604" i="7"/>
  <c r="E4604" i="7" s="1"/>
  <c r="D4540" i="7"/>
  <c r="F4540" i="7" s="1"/>
  <c r="D4476" i="7"/>
  <c r="D4412" i="7"/>
  <c r="E4412" i="7" s="1"/>
  <c r="D4348" i="7"/>
  <c r="D4963" i="7"/>
  <c r="F4963" i="7" s="1"/>
  <c r="D4899" i="7"/>
  <c r="F4899" i="7" s="1"/>
  <c r="D4835" i="7"/>
  <c r="E4835" i="7" s="1"/>
  <c r="D4771" i="7"/>
  <c r="F4771" i="7" s="1"/>
  <c r="D4707" i="7"/>
  <c r="E4707" i="7" s="1"/>
  <c r="D4643" i="7"/>
  <c r="D4579" i="7"/>
  <c r="D4515" i="7"/>
  <c r="E4515" i="7" s="1"/>
  <c r="D4451" i="7"/>
  <c r="E4451" i="7" s="1"/>
  <c r="D4387" i="7"/>
  <c r="F4387" i="7" s="1"/>
  <c r="D5002" i="7"/>
  <c r="D4938" i="7"/>
  <c r="E4938" i="7" s="1"/>
  <c r="D4874" i="7"/>
  <c r="E4874" i="7" s="1"/>
  <c r="D4810" i="7"/>
  <c r="D4746" i="7"/>
  <c r="D4682" i="7"/>
  <c r="D4618" i="7"/>
  <c r="F4618" i="7" s="1"/>
  <c r="D4554" i="7"/>
  <c r="E4554" i="7" s="1"/>
  <c r="D4490" i="7"/>
  <c r="D4426" i="7"/>
  <c r="E4426" i="7" s="1"/>
  <c r="D4362" i="7"/>
  <c r="E4362" i="7" s="1"/>
  <c r="D4881" i="7"/>
  <c r="E4881" i="7" s="1"/>
  <c r="D4702" i="7"/>
  <c r="D4529" i="7"/>
  <c r="E4529" i="7" s="1"/>
  <c r="D4401" i="7"/>
  <c r="F4401" i="7" s="1"/>
  <c r="D4313" i="7"/>
  <c r="D4249" i="7"/>
  <c r="E4249" i="7" s="1"/>
  <c r="D4185" i="7"/>
  <c r="D4121" i="7"/>
  <c r="D4057" i="7"/>
  <c r="E4057" i="7" s="1"/>
  <c r="D3993" i="7"/>
  <c r="F3993" i="7" s="1"/>
  <c r="D3929" i="7"/>
  <c r="E3929" i="7" s="1"/>
  <c r="D4806" i="7"/>
  <c r="D4633" i="7"/>
  <c r="E4633" i="7" s="1"/>
  <c r="D4464" i="7"/>
  <c r="D4361" i="7"/>
  <c r="E4361" i="7" s="1"/>
  <c r="D4288" i="7"/>
  <c r="F4288" i="7" s="1"/>
  <c r="D4224" i="7"/>
  <c r="D4160" i="7"/>
  <c r="D4096" i="7"/>
  <c r="E4096" i="7" s="1"/>
  <c r="D4032" i="7"/>
  <c r="D3968" i="7"/>
  <c r="F3968" i="7" s="1"/>
  <c r="D4937" i="7"/>
  <c r="D4737" i="7"/>
  <c r="F4737" i="7" s="1"/>
  <c r="D4568" i="7"/>
  <c r="E4568" i="7" s="1"/>
  <c r="D4424" i="7"/>
  <c r="E4424" i="7" s="1"/>
  <c r="D4327" i="7"/>
  <c r="D4263" i="7"/>
  <c r="E4263" i="7" s="1"/>
  <c r="D4199" i="7"/>
  <c r="D4135" i="7"/>
  <c r="F4135" i="7" s="1"/>
  <c r="D4071" i="7"/>
  <c r="E4071" i="7" s="1"/>
  <c r="D4007" i="7"/>
  <c r="E4007" i="7" s="1"/>
  <c r="D3943" i="7"/>
  <c r="E3943" i="7" s="1"/>
  <c r="D4841" i="7"/>
  <c r="D4672" i="7"/>
  <c r="E4672" i="7" s="1"/>
  <c r="D4502" i="7"/>
  <c r="F4502" i="7" s="1"/>
  <c r="D4384" i="7"/>
  <c r="D4302" i="7"/>
  <c r="F4302" i="7" s="1"/>
  <c r="D4238" i="7"/>
  <c r="D4174" i="7"/>
  <c r="F4174" i="7" s="1"/>
  <c r="D4110" i="7"/>
  <c r="F4110" i="7" s="1"/>
  <c r="D4046" i="7"/>
  <c r="E4046" i="7" s="1"/>
  <c r="D3982" i="7"/>
  <c r="E3982" i="7" s="1"/>
  <c r="D3918" i="7"/>
  <c r="D4798" i="7"/>
  <c r="E4798" i="7" s="1"/>
  <c r="D4625" i="7"/>
  <c r="D4461" i="7"/>
  <c r="E4461" i="7" s="1"/>
  <c r="D4358" i="7"/>
  <c r="D4285" i="7"/>
  <c r="E4285" i="7" s="1"/>
  <c r="D4221" i="7"/>
  <c r="E4221" i="7" s="1"/>
  <c r="D4157" i="7"/>
  <c r="D4093" i="7"/>
  <c r="D4029" i="7"/>
  <c r="D3965" i="7"/>
  <c r="E3965" i="7" s="1"/>
  <c r="D4960" i="7"/>
  <c r="E4960" i="7" s="1"/>
  <c r="D4752" i="7"/>
  <c r="E4752" i="7" s="1"/>
  <c r="D4582" i="7"/>
  <c r="E4582" i="7" s="1"/>
  <c r="D4432" i="7"/>
  <c r="F4432" i="7" s="1"/>
  <c r="D4332" i="7"/>
  <c r="D4268" i="7"/>
  <c r="E4268" i="7" s="1"/>
  <c r="D4204" i="7"/>
  <c r="D4140" i="7"/>
  <c r="D4076" i="7"/>
  <c r="F4076" i="7" s="1"/>
  <c r="D4012" i="7"/>
  <c r="E4012" i="7" s="1"/>
  <c r="D3948" i="7"/>
  <c r="E3948" i="7" s="1"/>
  <c r="D4686" i="7"/>
  <c r="E4686" i="7" s="1"/>
  <c r="D4243" i="7"/>
  <c r="F4243" i="7" s="1"/>
  <c r="D3987" i="7"/>
  <c r="D3872" i="7"/>
  <c r="E3872" i="7" s="1"/>
  <c r="D3808" i="7"/>
  <c r="E3808" i="7" s="1"/>
  <c r="D3744" i="7"/>
  <c r="F3744" i="7" s="1"/>
  <c r="D3680" i="7"/>
  <c r="F3680" i="7" s="1"/>
  <c r="D3616" i="7"/>
  <c r="D3552" i="7"/>
  <c r="F3552" i="7" s="1"/>
  <c r="D3488" i="7"/>
  <c r="E3488" i="7" s="1"/>
  <c r="D3424" i="7"/>
  <c r="D3360" i="7"/>
  <c r="F3360" i="7" s="1"/>
  <c r="D3296" i="7"/>
  <c r="D3232" i="7"/>
  <c r="E3232" i="7" s="1"/>
  <c r="D3168" i="7"/>
  <c r="E3168" i="7" s="1"/>
  <c r="D3104" i="7"/>
  <c r="D3040" i="7"/>
  <c r="E3040" i="7" s="1"/>
  <c r="D2976" i="7"/>
  <c r="E2976" i="7" s="1"/>
  <c r="D2912" i="7"/>
  <c r="E2912" i="7" s="1"/>
  <c r="D2848" i="7"/>
  <c r="E2848" i="7" s="1"/>
  <c r="D2784" i="7"/>
  <c r="D4768" i="7"/>
  <c r="D4274" i="7"/>
  <c r="D4018" i="7"/>
  <c r="D3879" i="7"/>
  <c r="F3879" i="7" s="1"/>
  <c r="D3815" i="7"/>
  <c r="E3815" i="7" s="1"/>
  <c r="D3751" i="7"/>
  <c r="F3751" i="7" s="1"/>
  <c r="D3687" i="7"/>
  <c r="E3687" i="7" s="1"/>
  <c r="D3623" i="7"/>
  <c r="D3559" i="7"/>
  <c r="D3495" i="7"/>
  <c r="F3495" i="7" s="1"/>
  <c r="D3431" i="7"/>
  <c r="E3431" i="7" s="1"/>
  <c r="D3367" i="7"/>
  <c r="D3303" i="7"/>
  <c r="E3303" i="7" s="1"/>
  <c r="D3239" i="7"/>
  <c r="D3175" i="7"/>
  <c r="D3111" i="7"/>
  <c r="D3047" i="7"/>
  <c r="E3047" i="7" s="1"/>
  <c r="D2983" i="7"/>
  <c r="E2983" i="7" s="1"/>
  <c r="D2919" i="7"/>
  <c r="F2919" i="7" s="1"/>
  <c r="D2855" i="7"/>
  <c r="D4431" i="7"/>
  <c r="F4431" i="7" s="1"/>
  <c r="D4139" i="7"/>
  <c r="E4139" i="7" s="1"/>
  <c r="D3910" i="7"/>
  <c r="E3910" i="7" s="1"/>
  <c r="D3846" i="7"/>
  <c r="D3782" i="7"/>
  <c r="E3782" i="7" s="1"/>
  <c r="D3718" i="7"/>
  <c r="E3718" i="7" s="1"/>
  <c r="D3654" i="7"/>
  <c r="F3654" i="7" s="1"/>
  <c r="D3590" i="7"/>
  <c r="D3526" i="7"/>
  <c r="F3526" i="7" s="1"/>
  <c r="D3462" i="7"/>
  <c r="D3398" i="7"/>
  <c r="D3334" i="7"/>
  <c r="E3334" i="7" s="1"/>
  <c r="D4991" i="7"/>
  <c r="E4991" i="7" s="1"/>
  <c r="D4927" i="7"/>
  <c r="E4927" i="7" s="1"/>
  <c r="D4863" i="7"/>
  <c r="F4863" i="7" s="1"/>
  <c r="D4799" i="7"/>
  <c r="E4799" i="7" s="1"/>
  <c r="D4735" i="7"/>
  <c r="D4671" i="7"/>
  <c r="D4607" i="7"/>
  <c r="D4543" i="7"/>
  <c r="E4543" i="7" s="1"/>
  <c r="D4479" i="7"/>
  <c r="E4479" i="7" s="1"/>
  <c r="D4966" i="7"/>
  <c r="D4902" i="7"/>
  <c r="F4902" i="7" s="1"/>
  <c r="D5005" i="7"/>
  <c r="F5005" i="7" s="1"/>
  <c r="D4941" i="7"/>
  <c r="E4941" i="7" s="1"/>
  <c r="D4877" i="7"/>
  <c r="D4813" i="7"/>
  <c r="F4813" i="7" s="1"/>
  <c r="D4749" i="7"/>
  <c r="D4685" i="7"/>
  <c r="E4685" i="7" s="1"/>
  <c r="D4621" i="7"/>
  <c r="D4557" i="7"/>
  <c r="F4557" i="7" s="1"/>
  <c r="D4493" i="7"/>
  <c r="D4980" i="7"/>
  <c r="F4980" i="7" s="1"/>
  <c r="D4916" i="7"/>
  <c r="D4852" i="7"/>
  <c r="E4852" i="7" s="1"/>
  <c r="D4788" i="7"/>
  <c r="D4724" i="7"/>
  <c r="E4724" i="7" s="1"/>
  <c r="D4660" i="7"/>
  <c r="D4596" i="7"/>
  <c r="E4596" i="7" s="1"/>
  <c r="D4532" i="7"/>
  <c r="F4532" i="7" s="1"/>
  <c r="D4468" i="7"/>
  <c r="F4468" i="7" s="1"/>
  <c r="D4404" i="7"/>
  <c r="D4340" i="7"/>
  <c r="E4340" i="7" s="1"/>
  <c r="D4955" i="7"/>
  <c r="D4891" i="7"/>
  <c r="F4891" i="7" s="1"/>
  <c r="D4827" i="7"/>
  <c r="F4827" i="7" s="1"/>
  <c r="D4763" i="7"/>
  <c r="D4699" i="7"/>
  <c r="F4699" i="7" s="1"/>
  <c r="D4635" i="7"/>
  <c r="E4635" i="7" s="1"/>
  <c r="D4571" i="7"/>
  <c r="F4571" i="7" s="1"/>
  <c r="D4507" i="7"/>
  <c r="D4443" i="7"/>
  <c r="D4379" i="7"/>
  <c r="F4379" i="7" s="1"/>
  <c r="D4994" i="7"/>
  <c r="D4930" i="7"/>
  <c r="F4930" i="7" s="1"/>
  <c r="D4866" i="7"/>
  <c r="D4802" i="7"/>
  <c r="E4802" i="7" s="1"/>
  <c r="D4738" i="7"/>
  <c r="E4738" i="7" s="1"/>
  <c r="D4674" i="7"/>
  <c r="D4610" i="7"/>
  <c r="D4546" i="7"/>
  <c r="E4546" i="7" s="1"/>
  <c r="D4482" i="7"/>
  <c r="E4482" i="7" s="1"/>
  <c r="D4418" i="7"/>
  <c r="F4418" i="7" s="1"/>
  <c r="D4354" i="7"/>
  <c r="D4849" i="7"/>
  <c r="E4849" i="7" s="1"/>
  <c r="D4680" i="7"/>
  <c r="E4680" i="7" s="1"/>
  <c r="D4510" i="7"/>
  <c r="D4390" i="7"/>
  <c r="F4390" i="7" s="1"/>
  <c r="D4305" i="7"/>
  <c r="E4305" i="7" s="1"/>
  <c r="D4241" i="7"/>
  <c r="D4177" i="7"/>
  <c r="D4113" i="7"/>
  <c r="F4113" i="7" s="1"/>
  <c r="D4049" i="7"/>
  <c r="F4049" i="7" s="1"/>
  <c r="D3985" i="7"/>
  <c r="D5008" i="7"/>
  <c r="D4784" i="7"/>
  <c r="E4784" i="7" s="1"/>
  <c r="D4614" i="7"/>
  <c r="E4614" i="7" s="1"/>
  <c r="D4453" i="7"/>
  <c r="E4453" i="7" s="1"/>
  <c r="D4350" i="7"/>
  <c r="E4350" i="7" s="1"/>
  <c r="D4280" i="7"/>
  <c r="F4280" i="7" s="1"/>
  <c r="D4216" i="7"/>
  <c r="D4152" i="7"/>
  <c r="E4152" i="7" s="1"/>
  <c r="D4088" i="7"/>
  <c r="E4088" i="7" s="1"/>
  <c r="D4024" i="7"/>
  <c r="D3960" i="7"/>
  <c r="D4905" i="7"/>
  <c r="E4905" i="7" s="1"/>
  <c r="D4718" i="7"/>
  <c r="F4718" i="7" s="1"/>
  <c r="D4545" i="7"/>
  <c r="E4545" i="7" s="1"/>
  <c r="D4413" i="7"/>
  <c r="E4413" i="7" s="1"/>
  <c r="D4319" i="7"/>
  <c r="E4319" i="7" s="1"/>
  <c r="D4255" i="7"/>
  <c r="F4255" i="7" s="1"/>
  <c r="D4191" i="7"/>
  <c r="D4127" i="7"/>
  <c r="E4127" i="7" s="1"/>
  <c r="D4063" i="7"/>
  <c r="F4063" i="7" s="1"/>
  <c r="D3999" i="7"/>
  <c r="D3935" i="7"/>
  <c r="E3935" i="7" s="1"/>
  <c r="D4822" i="7"/>
  <c r="E4822" i="7" s="1"/>
  <c r="D4649" i="7"/>
  <c r="E4649" i="7" s="1"/>
  <c r="D4480" i="7"/>
  <c r="D4373" i="7"/>
  <c r="D4294" i="7"/>
  <c r="E4294" i="7" s="1"/>
  <c r="D4230" i="7"/>
  <c r="F4230" i="7" s="1"/>
  <c r="D4166" i="7"/>
  <c r="D4102" i="7"/>
  <c r="E4102" i="7" s="1"/>
  <c r="D4038" i="7"/>
  <c r="F4038" i="7" s="1"/>
  <c r="D3974" i="7"/>
  <c r="F3974" i="7" s="1"/>
  <c r="D4993" i="7"/>
  <c r="E4993" i="7" s="1"/>
  <c r="D4776" i="7"/>
  <c r="F4776" i="7" s="1"/>
  <c r="D4606" i="7"/>
  <c r="D4447" i="7"/>
  <c r="E4447" i="7" s="1"/>
  <c r="D4344" i="7"/>
  <c r="E4344" i="7" s="1"/>
  <c r="D4277" i="7"/>
  <c r="D4213" i="7"/>
  <c r="E4213" i="7" s="1"/>
  <c r="D4149" i="7"/>
  <c r="E4149" i="7" s="1"/>
  <c r="D4085" i="7"/>
  <c r="E4085" i="7" s="1"/>
  <c r="D4021" i="7"/>
  <c r="F4021" i="7" s="1"/>
  <c r="D3957" i="7"/>
  <c r="D4928" i="7"/>
  <c r="F4928" i="7" s="1"/>
  <c r="D4729" i="7"/>
  <c r="D4560" i="7"/>
  <c r="E4560" i="7" s="1"/>
  <c r="D4421" i="7"/>
  <c r="F4421" i="7" s="1"/>
  <c r="D4324" i="7"/>
  <c r="F4324" i="7" s="1"/>
  <c r="D4260" i="7"/>
  <c r="E4260" i="7" s="1"/>
  <c r="D4196" i="7"/>
  <c r="F4196" i="7" s="1"/>
  <c r="D4132" i="7"/>
  <c r="F4132" i="7" s="1"/>
  <c r="D4068" i="7"/>
  <c r="F4068" i="7" s="1"/>
  <c r="D4004" i="7"/>
  <c r="F4004" i="7" s="1"/>
  <c r="D3940" i="7"/>
  <c r="D4600" i="7"/>
  <c r="E4600" i="7" s="1"/>
  <c r="D4983" i="7"/>
  <c r="D4919" i="7"/>
  <c r="E4919" i="7" s="1"/>
  <c r="D4855" i="7"/>
  <c r="E4855" i="7" s="1"/>
  <c r="D4791" i="7"/>
  <c r="E4791" i="7" s="1"/>
  <c r="D4727" i="7"/>
  <c r="E4727" i="7" s="1"/>
  <c r="D4663" i="7"/>
  <c r="D4599" i="7"/>
  <c r="D4535" i="7"/>
  <c r="D4471" i="7"/>
  <c r="D4958" i="7"/>
  <c r="D4894" i="7"/>
  <c r="E4894" i="7" s="1"/>
  <c r="D4997" i="7"/>
  <c r="D4933" i="7"/>
  <c r="E4933" i="7" s="1"/>
  <c r="D4869" i="7"/>
  <c r="F4869" i="7" s="1"/>
  <c r="D4805" i="7"/>
  <c r="F4805" i="7" s="1"/>
  <c r="D4741" i="7"/>
  <c r="D4677" i="7"/>
  <c r="E4677" i="7" s="1"/>
  <c r="D4613" i="7"/>
  <c r="F4613" i="7" s="1"/>
  <c r="D4549" i="7"/>
  <c r="F4549" i="7" s="1"/>
  <c r="D4485" i="7"/>
  <c r="F4485" i="7" s="1"/>
  <c r="D4972" i="7"/>
  <c r="F4972" i="7" s="1"/>
  <c r="D4908" i="7"/>
  <c r="D4844" i="7"/>
  <c r="E4844" i="7" s="1"/>
  <c r="D4780" i="7"/>
  <c r="F4780" i="7" s="1"/>
  <c r="D4716" i="7"/>
  <c r="E4716" i="7" s="1"/>
  <c r="D4652" i="7"/>
  <c r="D4588" i="7"/>
  <c r="F4588" i="7" s="1"/>
  <c r="D4524" i="7"/>
  <c r="F4524" i="7" s="1"/>
  <c r="D4460" i="7"/>
  <c r="F4460" i="7" s="1"/>
  <c r="D4396" i="7"/>
  <c r="E4396" i="7" s="1"/>
  <c r="D5011" i="7"/>
  <c r="E5011" i="7" s="1"/>
  <c r="D4947" i="7"/>
  <c r="E4947" i="7" s="1"/>
  <c r="D4883" i="7"/>
  <c r="E4883" i="7" s="1"/>
  <c r="D4819" i="7"/>
  <c r="D4755" i="7"/>
  <c r="E4755" i="7" s="1"/>
  <c r="D4691" i="7"/>
  <c r="F4691" i="7" s="1"/>
  <c r="D4627" i="7"/>
  <c r="F4627" i="7" s="1"/>
  <c r="D4563" i="7"/>
  <c r="F4563" i="7" s="1"/>
  <c r="D4499" i="7"/>
  <c r="E4499" i="7" s="1"/>
  <c r="D4435" i="7"/>
  <c r="D4371" i="7"/>
  <c r="D4986" i="7"/>
  <c r="D4922" i="7"/>
  <c r="F4922" i="7" s="1"/>
  <c r="D4858" i="7"/>
  <c r="E4858" i="7" s="1"/>
  <c r="D4794" i="7"/>
  <c r="F4794" i="7" s="1"/>
  <c r="D4730" i="7"/>
  <c r="F4730" i="7" s="1"/>
  <c r="D4666" i="7"/>
  <c r="F4666" i="7" s="1"/>
  <c r="D4602" i="7"/>
  <c r="D4538" i="7"/>
  <c r="E4538" i="7" s="1"/>
  <c r="D4474" i="7"/>
  <c r="D4410" i="7"/>
  <c r="D4346" i="7"/>
  <c r="E4346" i="7" s="1"/>
  <c r="D4830" i="7"/>
  <c r="D4657" i="7"/>
  <c r="E4657" i="7" s="1"/>
  <c r="D4488" i="7"/>
  <c r="E4488" i="7" s="1"/>
  <c r="D4376" i="7"/>
  <c r="F4376" i="7" s="1"/>
  <c r="D4297" i="7"/>
  <c r="E4297" i="7" s="1"/>
  <c r="D4233" i="7"/>
  <c r="D4169" i="7"/>
  <c r="D4105" i="7"/>
  <c r="E4105" i="7" s="1"/>
  <c r="D4041" i="7"/>
  <c r="F4041" i="7" s="1"/>
  <c r="D3977" i="7"/>
  <c r="F3977" i="7" s="1"/>
  <c r="D4976" i="7"/>
  <c r="E4976" i="7" s="1"/>
  <c r="D4761" i="7"/>
  <c r="E4761" i="7" s="1"/>
  <c r="D4592" i="7"/>
  <c r="E4592" i="7" s="1"/>
  <c r="D4439" i="7"/>
  <c r="E4439" i="7" s="1"/>
  <c r="D4336" i="7"/>
  <c r="E4336" i="7" s="1"/>
  <c r="D4272" i="7"/>
  <c r="E4272" i="7" s="1"/>
  <c r="D4208" i="7"/>
  <c r="E4208" i="7" s="1"/>
  <c r="D4144" i="7"/>
  <c r="F4144" i="7" s="1"/>
  <c r="D4080" i="7"/>
  <c r="D4016" i="7"/>
  <c r="D3952" i="7"/>
  <c r="F3952" i="7" s="1"/>
  <c r="D4873" i="7"/>
  <c r="D4696" i="7"/>
  <c r="E4696" i="7" s="1"/>
  <c r="D4526" i="7"/>
  <c r="E4526" i="7" s="1"/>
  <c r="D4399" i="7"/>
  <c r="D4311" i="7"/>
  <c r="F4311" i="7" s="1"/>
  <c r="D4247" i="7"/>
  <c r="E4247" i="7" s="1"/>
  <c r="D4183" i="7"/>
  <c r="E4183" i="7" s="1"/>
  <c r="D4119" i="7"/>
  <c r="E4119" i="7" s="1"/>
  <c r="D4055" i="7"/>
  <c r="E4055" i="7" s="1"/>
  <c r="D3991" i="7"/>
  <c r="E3991" i="7" s="1"/>
  <c r="D3927" i="7"/>
  <c r="E3927" i="7" s="1"/>
  <c r="D4800" i="7"/>
  <c r="E4800" i="7" s="1"/>
  <c r="D4630" i="7"/>
  <c r="F4630" i="7" s="1"/>
  <c r="D4462" i="7"/>
  <c r="E4462" i="7" s="1"/>
  <c r="D4359" i="7"/>
  <c r="D4286" i="7"/>
  <c r="E4286" i="7" s="1"/>
  <c r="D4222" i="7"/>
  <c r="D4158" i="7"/>
  <c r="D4094" i="7"/>
  <c r="F4094" i="7" s="1"/>
  <c r="D4030" i="7"/>
  <c r="F4030" i="7" s="1"/>
  <c r="D3966" i="7"/>
  <c r="F3966" i="7" s="1"/>
  <c r="D4961" i="7"/>
  <c r="E4961" i="7" s="1"/>
  <c r="D4753" i="7"/>
  <c r="E4753" i="7" s="1"/>
  <c r="D4584" i="7"/>
  <c r="D4433" i="7"/>
  <c r="E4433" i="7" s="1"/>
  <c r="D4333" i="7"/>
  <c r="F4333" i="7" s="1"/>
  <c r="D4269" i="7"/>
  <c r="D4205" i="7"/>
  <c r="E4205" i="7" s="1"/>
  <c r="D4141" i="7"/>
  <c r="E4141" i="7" s="1"/>
  <c r="D4077" i="7"/>
  <c r="F4077" i="7" s="1"/>
  <c r="D4013" i="7"/>
  <c r="D3949" i="7"/>
  <c r="F3949" i="7" s="1"/>
  <c r="D4896" i="7"/>
  <c r="E4896" i="7" s="1"/>
  <c r="D4710" i="7"/>
  <c r="D4537" i="7"/>
  <c r="E4537" i="7" s="1"/>
  <c r="D4407" i="7"/>
  <c r="F4407" i="7" s="1"/>
  <c r="D4316" i="7"/>
  <c r="D4252" i="7"/>
  <c r="E4252" i="7" s="1"/>
  <c r="D4188" i="7"/>
  <c r="D4124" i="7"/>
  <c r="F4124" i="7" s="1"/>
  <c r="D4060" i="7"/>
  <c r="E4060" i="7" s="1"/>
  <c r="D3996" i="7"/>
  <c r="F3996" i="7" s="1"/>
  <c r="D3932" i="7"/>
  <c r="F3932" i="7" s="1"/>
  <c r="D4513" i="7"/>
  <c r="D4179" i="7"/>
  <c r="E4179" i="7" s="1"/>
  <c r="D3923" i="7"/>
  <c r="F3923" i="7" s="1"/>
  <c r="D3856" i="7"/>
  <c r="D3792" i="7"/>
  <c r="E3792" i="7" s="1"/>
  <c r="D3728" i="7"/>
  <c r="E3728" i="7" s="1"/>
  <c r="D3664" i="7"/>
  <c r="F3664" i="7" s="1"/>
  <c r="D3600" i="7"/>
  <c r="D3536" i="7"/>
  <c r="F3536" i="7" s="1"/>
  <c r="D3472" i="7"/>
  <c r="E3472" i="7" s="1"/>
  <c r="D3408" i="7"/>
  <c r="D3344" i="7"/>
  <c r="E3344" i="7" s="1"/>
  <c r="D3280" i="7"/>
  <c r="D3216" i="7"/>
  <c r="D3152" i="7"/>
  <c r="D3088" i="7"/>
  <c r="D3024" i="7"/>
  <c r="F3024" i="7" s="1"/>
  <c r="D2960" i="7"/>
  <c r="F2960" i="7" s="1"/>
  <c r="D2896" i="7"/>
  <c r="D2832" i="7"/>
  <c r="E2832" i="7" s="1"/>
  <c r="D2768" i="7"/>
  <c r="F2768" i="7" s="1"/>
  <c r="D4598" i="7"/>
  <c r="E4598" i="7" s="1"/>
  <c r="D4210" i="7"/>
  <c r="D3954" i="7"/>
  <c r="D3863" i="7"/>
  <c r="E3863" i="7" s="1"/>
  <c r="D3799" i="7"/>
  <c r="F3799" i="7" s="1"/>
  <c r="D3735" i="7"/>
  <c r="D3671" i="7"/>
  <c r="E3671" i="7" s="1"/>
  <c r="D3607" i="7"/>
  <c r="D3543" i="7"/>
  <c r="D3479" i="7"/>
  <c r="F3479" i="7" s="1"/>
  <c r="D3415" i="7"/>
  <c r="D3351" i="7"/>
  <c r="E3351" i="7" s="1"/>
  <c r="D3287" i="7"/>
  <c r="D3223" i="7"/>
  <c r="E3223" i="7" s="1"/>
  <c r="D3159" i="7"/>
  <c r="E3159" i="7" s="1"/>
  <c r="D3095" i="7"/>
  <c r="D3031" i="7"/>
  <c r="D2967" i="7"/>
  <c r="F2967" i="7" s="1"/>
  <c r="D2903" i="7"/>
  <c r="E2903" i="7" s="1"/>
  <c r="D4953" i="7"/>
  <c r="E4953" i="7" s="1"/>
  <c r="D4331" i="7"/>
  <c r="E4331" i="7" s="1"/>
  <c r="D4075" i="7"/>
  <c r="E4075" i="7" s="1"/>
  <c r="D3894" i="7"/>
  <c r="E3894" i="7" s="1"/>
  <c r="D3830" i="7"/>
  <c r="E3830" i="7" s="1"/>
  <c r="D3766" i="7"/>
  <c r="E3766" i="7" s="1"/>
  <c r="D3702" i="7"/>
  <c r="E3702" i="7" s="1"/>
  <c r="D3638" i="7"/>
  <c r="F3638" i="7" s="1"/>
  <c r="D3574" i="7"/>
  <c r="E3574" i="7" s="1"/>
  <c r="D3510" i="7"/>
  <c r="E3510" i="7" s="1"/>
  <c r="D3446" i="7"/>
  <c r="E3446" i="7" s="1"/>
  <c r="D3382" i="7"/>
  <c r="E3382" i="7" s="1"/>
  <c r="D3318" i="7"/>
  <c r="D4975" i="7"/>
  <c r="D4911" i="7"/>
  <c r="D4847" i="7"/>
  <c r="D4783" i="7"/>
  <c r="E4783" i="7" s="1"/>
  <c r="D4719" i="7"/>
  <c r="D4655" i="7"/>
  <c r="E4655" i="7" s="1"/>
  <c r="D4591" i="7"/>
  <c r="F4591" i="7" s="1"/>
  <c r="D4527" i="7"/>
  <c r="D5014" i="7"/>
  <c r="F5014" i="7" s="1"/>
  <c r="D4950" i="7"/>
  <c r="E4950" i="7" s="1"/>
  <c r="D4886" i="7"/>
  <c r="D4989" i="7"/>
  <c r="E4989" i="7" s="1"/>
  <c r="D4925" i="7"/>
  <c r="E4925" i="7" s="1"/>
  <c r="D4861" i="7"/>
  <c r="F4861" i="7" s="1"/>
  <c r="D4797" i="7"/>
  <c r="E4797" i="7" s="1"/>
  <c r="D4733" i="7"/>
  <c r="F4733" i="7" s="1"/>
  <c r="D4669" i="7"/>
  <c r="D4605" i="7"/>
  <c r="D4541" i="7"/>
  <c r="E4541" i="7" s="1"/>
  <c r="D4477" i="7"/>
  <c r="E4477" i="7" s="1"/>
  <c r="D4964" i="7"/>
  <c r="D4900" i="7"/>
  <c r="F4900" i="7" s="1"/>
  <c r="D4836" i="7"/>
  <c r="D4772" i="7"/>
  <c r="D4708" i="7"/>
  <c r="F4708" i="7" s="1"/>
  <c r="D4644" i="7"/>
  <c r="F4644" i="7" s="1"/>
  <c r="D4580" i="7"/>
  <c r="D4516" i="7"/>
  <c r="F4516" i="7" s="1"/>
  <c r="D4452" i="7"/>
  <c r="F4452" i="7" s="1"/>
  <c r="D4388" i="7"/>
  <c r="E4388" i="7" s="1"/>
  <c r="D5003" i="7"/>
  <c r="E5003" i="7" s="1"/>
  <c r="D4939" i="7"/>
  <c r="F4939" i="7" s="1"/>
  <c r="D4875" i="7"/>
  <c r="D4811" i="7"/>
  <c r="E4811" i="7" s="1"/>
  <c r="D4747" i="7"/>
  <c r="D4683" i="7"/>
  <c r="D4619" i="7"/>
  <c r="E4619" i="7" s="1"/>
  <c r="D4555" i="7"/>
  <c r="E4555" i="7" s="1"/>
  <c r="D4491" i="7"/>
  <c r="F4491" i="7" s="1"/>
  <c r="D4427" i="7"/>
  <c r="E4427" i="7" s="1"/>
  <c r="D4363" i="7"/>
  <c r="E4363" i="7" s="1"/>
  <c r="D4978" i="7"/>
  <c r="E4978" i="7" s="1"/>
  <c r="D4914" i="7"/>
  <c r="E4914" i="7" s="1"/>
  <c r="D4850" i="7"/>
  <c r="E4850" i="7" s="1"/>
  <c r="D4786" i="7"/>
  <c r="D4722" i="7"/>
  <c r="D4658" i="7"/>
  <c r="E4658" i="7" s="1"/>
  <c r="D4594" i="7"/>
  <c r="D4530" i="7"/>
  <c r="E4530" i="7" s="1"/>
  <c r="D4466" i="7"/>
  <c r="D4402" i="7"/>
  <c r="E4402" i="7" s="1"/>
  <c r="D4338" i="7"/>
  <c r="D4808" i="7"/>
  <c r="F4808" i="7" s="1"/>
  <c r="D4638" i="7"/>
  <c r="D4465" i="7"/>
  <c r="F4465" i="7" s="1"/>
  <c r="D4365" i="7"/>
  <c r="E4365" i="7" s="1"/>
  <c r="D4289" i="7"/>
  <c r="D4225" i="7"/>
  <c r="D4161" i="7"/>
  <c r="F4161" i="7" s="1"/>
  <c r="D4097" i="7"/>
  <c r="D4033" i="7"/>
  <c r="E4033" i="7" s="1"/>
  <c r="D3969" i="7"/>
  <c r="D4944" i="7"/>
  <c r="F4944" i="7" s="1"/>
  <c r="D4742" i="7"/>
  <c r="D4569" i="7"/>
  <c r="E4569" i="7" s="1"/>
  <c r="D4425" i="7"/>
  <c r="D4328" i="7"/>
  <c r="D4264" i="7"/>
  <c r="E4264" i="7" s="1"/>
  <c r="D4200" i="7"/>
  <c r="E4200" i="7" s="1"/>
  <c r="D4136" i="7"/>
  <c r="F4136" i="7" s="1"/>
  <c r="D4072" i="7"/>
  <c r="F4072" i="7" s="1"/>
  <c r="D4008" i="7"/>
  <c r="D3944" i="7"/>
  <c r="D4846" i="7"/>
  <c r="D4673" i="7"/>
  <c r="E4673" i="7" s="1"/>
  <c r="D4504" i="7"/>
  <c r="D4385" i="7"/>
  <c r="F4385" i="7" s="1"/>
  <c r="D4303" i="7"/>
  <c r="F4303" i="7" s="1"/>
  <c r="D4239" i="7"/>
  <c r="F4239" i="7" s="1"/>
  <c r="D4175" i="7"/>
  <c r="E4175" i="7" s="1"/>
  <c r="D4111" i="7"/>
  <c r="E4111" i="7" s="1"/>
  <c r="D4047" i="7"/>
  <c r="D3983" i="7"/>
  <c r="E3983" i="7" s="1"/>
  <c r="D5000" i="7"/>
  <c r="E5000" i="7" s="1"/>
  <c r="D4777" i="7"/>
  <c r="E4777" i="7" s="1"/>
  <c r="D4608" i="7"/>
  <c r="D4448" i="7"/>
  <c r="E4448" i="7" s="1"/>
  <c r="D4345" i="7"/>
  <c r="D4278" i="7"/>
  <c r="E4278" i="7" s="1"/>
  <c r="D4214" i="7"/>
  <c r="D4150" i="7"/>
  <c r="E4150" i="7" s="1"/>
  <c r="D4086" i="7"/>
  <c r="D4022" i="7"/>
  <c r="F4022" i="7" s="1"/>
  <c r="D3958" i="7"/>
  <c r="D4929" i="7"/>
  <c r="D4734" i="7"/>
  <c r="D4561" i="7"/>
  <c r="D4422" i="7"/>
  <c r="E4422" i="7" s="1"/>
  <c r="D4325" i="7"/>
  <c r="E4325" i="7" s="1"/>
  <c r="D4261" i="7"/>
  <c r="E4261" i="7" s="1"/>
  <c r="D4197" i="7"/>
  <c r="D4133" i="7"/>
  <c r="D4069" i="7"/>
  <c r="E4069" i="7" s="1"/>
  <c r="D4005" i="7"/>
  <c r="E4005" i="7" s="1"/>
  <c r="D3941" i="7"/>
  <c r="E3941" i="7" s="1"/>
  <c r="D4864" i="7"/>
  <c r="F4864" i="7" s="1"/>
  <c r="D4688" i="7"/>
  <c r="E4688" i="7" s="1"/>
  <c r="D4518" i="7"/>
  <c r="E4518" i="7" s="1"/>
  <c r="D4393" i="7"/>
  <c r="E4393" i="7" s="1"/>
  <c r="D4308" i="7"/>
  <c r="D4244" i="7"/>
  <c r="E4244" i="7" s="1"/>
  <c r="D4180" i="7"/>
  <c r="D4116" i="7"/>
  <c r="E4116" i="7" s="1"/>
  <c r="D4052" i="7"/>
  <c r="D3988" i="7"/>
  <c r="F3988" i="7" s="1"/>
  <c r="D3924" i="7"/>
  <c r="F3924" i="7" s="1"/>
  <c r="D4445" i="7"/>
  <c r="E4445" i="7" s="1"/>
  <c r="D4147" i="7"/>
  <c r="E4147" i="7" s="1"/>
  <c r="D3912" i="7"/>
  <c r="D3848" i="7"/>
  <c r="E3848" i="7" s="1"/>
  <c r="D3784" i="7"/>
  <c r="E3784" i="7" s="1"/>
  <c r="D3720" i="7"/>
  <c r="D3656" i="7"/>
  <c r="F3656" i="7" s="1"/>
  <c r="D3592" i="7"/>
  <c r="F3592" i="7" s="1"/>
  <c r="D3528" i="7"/>
  <c r="E3528" i="7" s="1"/>
  <c r="D3464" i="7"/>
  <c r="E3464" i="7" s="1"/>
  <c r="D3400" i="7"/>
  <c r="D3336" i="7"/>
  <c r="D3272" i="7"/>
  <c r="D3208" i="7"/>
  <c r="D3144" i="7"/>
  <c r="F3144" i="7" s="1"/>
  <c r="D3080" i="7"/>
  <c r="F3080" i="7" s="1"/>
  <c r="D3016" i="7"/>
  <c r="D2952" i="7"/>
  <c r="F2952" i="7" s="1"/>
  <c r="D2888" i="7"/>
  <c r="E2888" i="7" s="1"/>
  <c r="D2824" i="7"/>
  <c r="E2824" i="7" s="1"/>
  <c r="D2760" i="7"/>
  <c r="D4512" i="7"/>
  <c r="E4512" i="7" s="1"/>
  <c r="D4178" i="7"/>
  <c r="E4178" i="7" s="1"/>
  <c r="D3922" i="7"/>
  <c r="D3855" i="7"/>
  <c r="E3855" i="7" s="1"/>
  <c r="D3791" i="7"/>
  <c r="F3791" i="7" s="1"/>
  <c r="D3727" i="7"/>
  <c r="E3727" i="7" s="1"/>
  <c r="D3663" i="7"/>
  <c r="D3599" i="7"/>
  <c r="E3599" i="7" s="1"/>
  <c r="D3535" i="7"/>
  <c r="E3535" i="7" s="1"/>
  <c r="D3471" i="7"/>
  <c r="D3407" i="7"/>
  <c r="F3407" i="7" s="1"/>
  <c r="D3343" i="7"/>
  <c r="E3343" i="7" s="1"/>
  <c r="D3279" i="7"/>
  <c r="F3279" i="7" s="1"/>
  <c r="D3215" i="7"/>
  <c r="D3151" i="7"/>
  <c r="E3151" i="7" s="1"/>
  <c r="D3087" i="7"/>
  <c r="F3087" i="7" s="1"/>
  <c r="D3023" i="7"/>
  <c r="D2959" i="7"/>
  <c r="D2895" i="7"/>
  <c r="F2895" i="7" s="1"/>
  <c r="D4833" i="7"/>
  <c r="E4833" i="7" s="1"/>
  <c r="D4299" i="7"/>
  <c r="F4299" i="7" s="1"/>
  <c r="D4043" i="7"/>
  <c r="F4043" i="7" s="1"/>
  <c r="D3886" i="7"/>
  <c r="D3822" i="7"/>
  <c r="E3822" i="7" s="1"/>
  <c r="D3758" i="7"/>
  <c r="D3694" i="7"/>
  <c r="F3694" i="7" s="1"/>
  <c r="D3630" i="7"/>
  <c r="E3630" i="7" s="1"/>
  <c r="D3566" i="7"/>
  <c r="E3566" i="7" s="1"/>
  <c r="D3502" i="7"/>
  <c r="D3438" i="7"/>
  <c r="E3438" i="7" s="1"/>
  <c r="D3374" i="7"/>
  <c r="D3310" i="7"/>
  <c r="D3246" i="7"/>
  <c r="E3246" i="7" s="1"/>
  <c r="D4967" i="7"/>
  <c r="D4903" i="7"/>
  <c r="E4903" i="7" s="1"/>
  <c r="D4839" i="7"/>
  <c r="E4839" i="7" s="1"/>
  <c r="D4775" i="7"/>
  <c r="D4711" i="7"/>
  <c r="D4647" i="7"/>
  <c r="D4583" i="7"/>
  <c r="F4583" i="7" s="1"/>
  <c r="D4519" i="7"/>
  <c r="E4519" i="7" s="1"/>
  <c r="D5006" i="7"/>
  <c r="D4942" i="7"/>
  <c r="E4942" i="7" s="1"/>
  <c r="D4878" i="7"/>
  <c r="E4878" i="7" s="1"/>
  <c r="D4981" i="7"/>
  <c r="E4981" i="7" s="1"/>
  <c r="D4917" i="7"/>
  <c r="D4853" i="7"/>
  <c r="E4853" i="7" s="1"/>
  <c r="D4789" i="7"/>
  <c r="F4789" i="7" s="1"/>
  <c r="D4725" i="7"/>
  <c r="E4725" i="7" s="1"/>
  <c r="D4661" i="7"/>
  <c r="E4661" i="7" s="1"/>
  <c r="D4597" i="7"/>
  <c r="E4597" i="7" s="1"/>
  <c r="D4533" i="7"/>
  <c r="D4469" i="7"/>
  <c r="D4956" i="7"/>
  <c r="D4892" i="7"/>
  <c r="E4892" i="7" s="1"/>
  <c r="D4828" i="7"/>
  <c r="E4828" i="7" s="1"/>
  <c r="D4764" i="7"/>
  <c r="D4700" i="7"/>
  <c r="E4700" i="7" s="1"/>
  <c r="D4636" i="7"/>
  <c r="D4572" i="7"/>
  <c r="E4572" i="7" s="1"/>
  <c r="D4508" i="7"/>
  <c r="F4508" i="7" s="1"/>
  <c r="D4444" i="7"/>
  <c r="D4380" i="7"/>
  <c r="E4380" i="7" s="1"/>
  <c r="D4995" i="7"/>
  <c r="D4931" i="7"/>
  <c r="D4867" i="7"/>
  <c r="E4867" i="7" s="1"/>
  <c r="D4803" i="7"/>
  <c r="D4739" i="7"/>
  <c r="F4739" i="7" s="1"/>
  <c r="D4675" i="7"/>
  <c r="E4675" i="7" s="1"/>
  <c r="D4611" i="7"/>
  <c r="E4611" i="7" s="1"/>
  <c r="D4547" i="7"/>
  <c r="D4483" i="7"/>
  <c r="D4419" i="7"/>
  <c r="D4355" i="7"/>
  <c r="D4970" i="7"/>
  <c r="F4970" i="7" s="1"/>
  <c r="D4906" i="7"/>
  <c r="F4906" i="7" s="1"/>
  <c r="D4842" i="7"/>
  <c r="E4842" i="7" s="1"/>
  <c r="D4778" i="7"/>
  <c r="E4778" i="7" s="1"/>
  <c r="D4714" i="7"/>
  <c r="E4714" i="7" s="1"/>
  <c r="D4650" i="7"/>
  <c r="E4650" i="7" s="1"/>
  <c r="D4586" i="7"/>
  <c r="F4586" i="7" s="1"/>
  <c r="D4522" i="7"/>
  <c r="E4522" i="7" s="1"/>
  <c r="D4458" i="7"/>
  <c r="E4458" i="7" s="1"/>
  <c r="D4394" i="7"/>
  <c r="E4394" i="7" s="1"/>
  <c r="D5009" i="7"/>
  <c r="E5009" i="7" s="1"/>
  <c r="D4785" i="7"/>
  <c r="E4785" i="7" s="1"/>
  <c r="D4616" i="7"/>
  <c r="E4616" i="7" s="1"/>
  <c r="D4454" i="7"/>
  <c r="E4454" i="7" s="1"/>
  <c r="D4351" i="7"/>
  <c r="E4351" i="7" s="1"/>
  <c r="D4281" i="7"/>
  <c r="F4281" i="7" s="1"/>
  <c r="D4217" i="7"/>
  <c r="F4217" i="7" s="1"/>
  <c r="D4153" i="7"/>
  <c r="E4153" i="7" s="1"/>
  <c r="D4089" i="7"/>
  <c r="F4089" i="7" s="1"/>
  <c r="D4025" i="7"/>
  <c r="D3961" i="7"/>
  <c r="E3961" i="7" s="1"/>
  <c r="D4912" i="7"/>
  <c r="E4912" i="7" s="1"/>
  <c r="D4720" i="7"/>
  <c r="D4550" i="7"/>
  <c r="F4550" i="7" s="1"/>
  <c r="D4414" i="7"/>
  <c r="F4414" i="7" s="1"/>
  <c r="D4320" i="7"/>
  <c r="E4320" i="7" s="1"/>
  <c r="D4256" i="7"/>
  <c r="D4192" i="7"/>
  <c r="E4192" i="7" s="1"/>
  <c r="D4128" i="7"/>
  <c r="E4128" i="7" s="1"/>
  <c r="D4064" i="7"/>
  <c r="E4064" i="7" s="1"/>
  <c r="D4000" i="7"/>
  <c r="E4000" i="7" s="1"/>
  <c r="D3936" i="7"/>
  <c r="D4824" i="7"/>
  <c r="E4824" i="7" s="1"/>
  <c r="D4654" i="7"/>
  <c r="F4654" i="7" s="1"/>
  <c r="D4481" i="7"/>
  <c r="E4481" i="7" s="1"/>
  <c r="D4374" i="7"/>
  <c r="D4295" i="7"/>
  <c r="E4295" i="7" s="1"/>
  <c r="D4231" i="7"/>
  <c r="E4231" i="7" s="1"/>
  <c r="D4167" i="7"/>
  <c r="F4167" i="7" s="1"/>
  <c r="D4103" i="7"/>
  <c r="E4103" i="7" s="1"/>
  <c r="D4039" i="7"/>
  <c r="E4039" i="7" s="1"/>
  <c r="D3975" i="7"/>
  <c r="F3975" i="7" s="1"/>
  <c r="D4968" i="7"/>
  <c r="F4968" i="7" s="1"/>
  <c r="D4758" i="7"/>
  <c r="E4758" i="7" s="1"/>
  <c r="D4585" i="7"/>
  <c r="E4585" i="7" s="1"/>
  <c r="D4437" i="7"/>
  <c r="E4437" i="7" s="1"/>
  <c r="D4334" i="7"/>
  <c r="D4270" i="7"/>
  <c r="D4206" i="7"/>
  <c r="E4206" i="7" s="1"/>
  <c r="D4142" i="7"/>
  <c r="E4142" i="7" s="1"/>
  <c r="D4078" i="7"/>
  <c r="E4078" i="7" s="1"/>
  <c r="D4014" i="7"/>
  <c r="E4014" i="7" s="1"/>
  <c r="D3950" i="7"/>
  <c r="D4897" i="7"/>
  <c r="D4712" i="7"/>
  <c r="F4712" i="7" s="1"/>
  <c r="D4542" i="7"/>
  <c r="E4542" i="7" s="1"/>
  <c r="D4408" i="7"/>
  <c r="F4408" i="7" s="1"/>
  <c r="D4317" i="7"/>
  <c r="E4317" i="7" s="1"/>
  <c r="D4253" i="7"/>
  <c r="E4253" i="7" s="1"/>
  <c r="D4189" i="7"/>
  <c r="E4189" i="7" s="1"/>
  <c r="D4125" i="7"/>
  <c r="E4125" i="7" s="1"/>
  <c r="D4061" i="7"/>
  <c r="D3997" i="7"/>
  <c r="D3933" i="7"/>
  <c r="E3933" i="7" s="1"/>
  <c r="D4838" i="7"/>
  <c r="E4838" i="7" s="1"/>
  <c r="D4665" i="7"/>
  <c r="E4665" i="7" s="1"/>
  <c r="D4496" i="7"/>
  <c r="F4496" i="7" s="1"/>
  <c r="D4382" i="7"/>
  <c r="F4382" i="7" s="1"/>
  <c r="D4300" i="7"/>
  <c r="E4300" i="7" s="1"/>
  <c r="D4236" i="7"/>
  <c r="E4236" i="7" s="1"/>
  <c r="D4172" i="7"/>
  <c r="F4172" i="7" s="1"/>
  <c r="D4108" i="7"/>
  <c r="D4044" i="7"/>
  <c r="E4044" i="7" s="1"/>
  <c r="D3980" i="7"/>
  <c r="D3916" i="7"/>
  <c r="E3916" i="7" s="1"/>
  <c r="D4392" i="7"/>
  <c r="E4392" i="7" s="1"/>
  <c r="D4115" i="7"/>
  <c r="D3904" i="7"/>
  <c r="E3904" i="7" s="1"/>
  <c r="D3840" i="7"/>
  <c r="E3840" i="7" s="1"/>
  <c r="D3776" i="7"/>
  <c r="E3776" i="7" s="1"/>
  <c r="D3712" i="7"/>
  <c r="F3712" i="7" s="1"/>
  <c r="D3648" i="7"/>
  <c r="D3584" i="7"/>
  <c r="F3584" i="7" s="1"/>
  <c r="D3520" i="7"/>
  <c r="F3520" i="7" s="1"/>
  <c r="D3456" i="7"/>
  <c r="F3456" i="7" s="1"/>
  <c r="D3392" i="7"/>
  <c r="D3328" i="7"/>
  <c r="E3328" i="7" s="1"/>
  <c r="D3264" i="7"/>
  <c r="D3200" i="7"/>
  <c r="E3200" i="7" s="1"/>
  <c r="D3136" i="7"/>
  <c r="D3072" i="7"/>
  <c r="F3072" i="7" s="1"/>
  <c r="D3008" i="7"/>
  <c r="E3008" i="7" s="1"/>
  <c r="D2944" i="7"/>
  <c r="F2944" i="7" s="1"/>
  <c r="D2880" i="7"/>
  <c r="D2816" i="7"/>
  <c r="D2752" i="7"/>
  <c r="D4441" i="7"/>
  <c r="D4146" i="7"/>
  <c r="F4146" i="7" s="1"/>
  <c r="D3911" i="7"/>
  <c r="F3911" i="7" s="1"/>
  <c r="D3847" i="7"/>
  <c r="D3783" i="7"/>
  <c r="D3719" i="7"/>
  <c r="F3719" i="7" s="1"/>
  <c r="D3655" i="7"/>
  <c r="E3655" i="7" s="1"/>
  <c r="D3591" i="7"/>
  <c r="F3591" i="7" s="1"/>
  <c r="D3527" i="7"/>
  <c r="D3463" i="7"/>
  <c r="F3463" i="7" s="1"/>
  <c r="D3399" i="7"/>
  <c r="D3335" i="7"/>
  <c r="E3335" i="7" s="1"/>
  <c r="D3271" i="7"/>
  <c r="F3271" i="7" s="1"/>
  <c r="D3207" i="7"/>
  <c r="E3207" i="7" s="1"/>
  <c r="D3143" i="7"/>
  <c r="E3143" i="7" s="1"/>
  <c r="D3079" i="7"/>
  <c r="D3015" i="7"/>
  <c r="D2951" i="7"/>
  <c r="F2951" i="7" s="1"/>
  <c r="D2887" i="7"/>
  <c r="D4750" i="7"/>
  <c r="D4267" i="7"/>
  <c r="D4011" i="7"/>
  <c r="E4011" i="7" s="1"/>
  <c r="D3878" i="7"/>
  <c r="F3878" i="7" s="1"/>
  <c r="D3814" i="7"/>
  <c r="D3750" i="7"/>
  <c r="D3686" i="7"/>
  <c r="F3686" i="7" s="1"/>
  <c r="D3622" i="7"/>
  <c r="D3558" i="7"/>
  <c r="E3558" i="7" s="1"/>
  <c r="D3494" i="7"/>
  <c r="E3494" i="7" s="1"/>
  <c r="D3430" i="7"/>
  <c r="F3430" i="7" s="1"/>
  <c r="D3366" i="7"/>
  <c r="D3302" i="7"/>
  <c r="F3302" i="7" s="1"/>
  <c r="D4959" i="7"/>
  <c r="F4959" i="7" s="1"/>
  <c r="D4998" i="7"/>
  <c r="F4998" i="7" s="1"/>
  <c r="D4653" i="7"/>
  <c r="E4653" i="7" s="1"/>
  <c r="D4692" i="7"/>
  <c r="F4692" i="7" s="1"/>
  <c r="D4859" i="7"/>
  <c r="F4859" i="7" s="1"/>
  <c r="D4347" i="7"/>
  <c r="D4514" i="7"/>
  <c r="F4514" i="7" s="1"/>
  <c r="D4273" i="7"/>
  <c r="E4273" i="7" s="1"/>
  <c r="D4528" i="7"/>
  <c r="E4528" i="7" s="1"/>
  <c r="D3928" i="7"/>
  <c r="E3928" i="7" s="1"/>
  <c r="D4095" i="7"/>
  <c r="E4095" i="7" s="1"/>
  <c r="D4262" i="7"/>
  <c r="E4262" i="7" s="1"/>
  <c r="D4520" i="7"/>
  <c r="E4520" i="7" s="1"/>
  <c r="D3925" i="7"/>
  <c r="D4100" i="7"/>
  <c r="F4100" i="7" s="1"/>
  <c r="D4019" i="7"/>
  <c r="D3768" i="7"/>
  <c r="E3768" i="7" s="1"/>
  <c r="D3608" i="7"/>
  <c r="E3608" i="7" s="1"/>
  <c r="D3432" i="7"/>
  <c r="E3432" i="7" s="1"/>
  <c r="D3256" i="7"/>
  <c r="D3096" i="7"/>
  <c r="E3096" i="7" s="1"/>
  <c r="D2920" i="7"/>
  <c r="F2920" i="7" s="1"/>
  <c r="D2744" i="7"/>
  <c r="D3986" i="7"/>
  <c r="E3986" i="7" s="1"/>
  <c r="D3759" i="7"/>
  <c r="D3583" i="7"/>
  <c r="E3583" i="7" s="1"/>
  <c r="D3423" i="7"/>
  <c r="D3247" i="7"/>
  <c r="E3247" i="7" s="1"/>
  <c r="D3071" i="7"/>
  <c r="F3071" i="7" s="1"/>
  <c r="D2911" i="7"/>
  <c r="F2911" i="7" s="1"/>
  <c r="D4171" i="7"/>
  <c r="D3806" i="7"/>
  <c r="D3646" i="7"/>
  <c r="D3470" i="7"/>
  <c r="D3294" i="7"/>
  <c r="E3294" i="7" s="1"/>
  <c r="D3222" i="7"/>
  <c r="F3222" i="7" s="1"/>
  <c r="D3158" i="7"/>
  <c r="D3094" i="7"/>
  <c r="E3094" i="7" s="1"/>
  <c r="D3030" i="7"/>
  <c r="E3030" i="7" s="1"/>
  <c r="D2966" i="7"/>
  <c r="E2966" i="7" s="1"/>
  <c r="D2902" i="7"/>
  <c r="D2838" i="7"/>
  <c r="E2838" i="7" s="1"/>
  <c r="D2774" i="7"/>
  <c r="E2774" i="7" s="1"/>
  <c r="D4745" i="7"/>
  <c r="F4745" i="7" s="1"/>
  <c r="D4266" i="7"/>
  <c r="D4010" i="7"/>
  <c r="E4010" i="7" s="1"/>
  <c r="D3877" i="7"/>
  <c r="E3877" i="7" s="1"/>
  <c r="D3813" i="7"/>
  <c r="E3813" i="7" s="1"/>
  <c r="D3749" i="7"/>
  <c r="D3685" i="7"/>
  <c r="E3685" i="7" s="1"/>
  <c r="D3621" i="7"/>
  <c r="D3557" i="7"/>
  <c r="F3557" i="7" s="1"/>
  <c r="D3493" i="7"/>
  <c r="E3493" i="7" s="1"/>
  <c r="D3429" i="7"/>
  <c r="D3365" i="7"/>
  <c r="F3365" i="7" s="1"/>
  <c r="D3301" i="7"/>
  <c r="E3301" i="7" s="1"/>
  <c r="D3237" i="7"/>
  <c r="F3237" i="7" s="1"/>
  <c r="D3173" i="7"/>
  <c r="E3173" i="7" s="1"/>
  <c r="D3109" i="7"/>
  <c r="D3045" i="7"/>
  <c r="D2981" i="7"/>
  <c r="E2981" i="7" s="1"/>
  <c r="D2917" i="7"/>
  <c r="E2917" i="7" s="1"/>
  <c r="D2853" i="7"/>
  <c r="D2789" i="7"/>
  <c r="E2789" i="7" s="1"/>
  <c r="D4921" i="7"/>
  <c r="F4921" i="7" s="1"/>
  <c r="D4323" i="7"/>
  <c r="D4067" i="7"/>
  <c r="D3892" i="7"/>
  <c r="F3892" i="7" s="1"/>
  <c r="D3828" i="7"/>
  <c r="E3828" i="7" s="1"/>
  <c r="D3764" i="7"/>
  <c r="F3764" i="7" s="1"/>
  <c r="D3700" i="7"/>
  <c r="D3636" i="7"/>
  <c r="F3636" i="7" s="1"/>
  <c r="D3572" i="7"/>
  <c r="F3572" i="7" s="1"/>
  <c r="D3508" i="7"/>
  <c r="D3444" i="7"/>
  <c r="D3380" i="7"/>
  <c r="F3380" i="7" s="1"/>
  <c r="D3316" i="7"/>
  <c r="E3316" i="7" s="1"/>
  <c r="D3252" i="7"/>
  <c r="E3252" i="7" s="1"/>
  <c r="D3188" i="7"/>
  <c r="D3124" i="7"/>
  <c r="D3060" i="7"/>
  <c r="D2996" i="7"/>
  <c r="E2996" i="7" s="1"/>
  <c r="D2932" i="7"/>
  <c r="E2932" i="7" s="1"/>
  <c r="D2868" i="7"/>
  <c r="E2868" i="7" s="1"/>
  <c r="D2804" i="7"/>
  <c r="D2740" i="7"/>
  <c r="E2740" i="7" s="1"/>
  <c r="D4416" i="7"/>
  <c r="E4416" i="7" s="1"/>
  <c r="D4130" i="7"/>
  <c r="E4130" i="7" s="1"/>
  <c r="D3907" i="7"/>
  <c r="D3843" i="7"/>
  <c r="D3779" i="7"/>
  <c r="E3779" i="7" s="1"/>
  <c r="D3715" i="7"/>
  <c r="D3651" i="7"/>
  <c r="D3587" i="7"/>
  <c r="F3587" i="7" s="1"/>
  <c r="D3523" i="7"/>
  <c r="D3459" i="7"/>
  <c r="E3459" i="7" s="1"/>
  <c r="D3395" i="7"/>
  <c r="D3331" i="7"/>
  <c r="D3267" i="7"/>
  <c r="E3267" i="7" s="1"/>
  <c r="D3203" i="7"/>
  <c r="E3203" i="7" s="1"/>
  <c r="D3139" i="7"/>
  <c r="D3075" i="7"/>
  <c r="E3075" i="7" s="1"/>
  <c r="D3011" i="7"/>
  <c r="D2947" i="7"/>
  <c r="D2883" i="7"/>
  <c r="D2819" i="7"/>
  <c r="D2755" i="7"/>
  <c r="F2755" i="7" s="1"/>
  <c r="D4536" i="7"/>
  <c r="F4536" i="7" s="1"/>
  <c r="D4187" i="7"/>
  <c r="D3931" i="7"/>
  <c r="D3858" i="7"/>
  <c r="D3794" i="7"/>
  <c r="E3794" i="7" s="1"/>
  <c r="D3730" i="7"/>
  <c r="D3666" i="7"/>
  <c r="D3602" i="7"/>
  <c r="E3602" i="7" s="1"/>
  <c r="D3538" i="7"/>
  <c r="F3538" i="7" s="1"/>
  <c r="D3633" i="7"/>
  <c r="F3633" i="7" s="1"/>
  <c r="D3329" i="7"/>
  <c r="D3073" i="7"/>
  <c r="D2825" i="7"/>
  <c r="E2825" i="7" s="1"/>
  <c r="D2702" i="7"/>
  <c r="F2702" i="7" s="1"/>
  <c r="D2638" i="7"/>
  <c r="E2638" i="7" s="1"/>
  <c r="D2574" i="7"/>
  <c r="E2574" i="7" s="1"/>
  <c r="D4790" i="7"/>
  <c r="F4790" i="7" s="1"/>
  <c r="D3561" i="7"/>
  <c r="E3561" i="7" s="1"/>
  <c r="D3290" i="7"/>
  <c r="E3290" i="7" s="1"/>
  <c r="D3034" i="7"/>
  <c r="E3034" i="7" s="1"/>
  <c r="D2801" i="7"/>
  <c r="D2693" i="7"/>
  <c r="F2693" i="7" s="1"/>
  <c r="D2629" i="7"/>
  <c r="F2629" i="7" s="1"/>
  <c r="D4895" i="7"/>
  <c r="F4895" i="7" s="1"/>
  <c r="D4934" i="7"/>
  <c r="E4934" i="7" s="1"/>
  <c r="D4589" i="7"/>
  <c r="F4589" i="7" s="1"/>
  <c r="D4628" i="7"/>
  <c r="E4628" i="7" s="1"/>
  <c r="D4795" i="7"/>
  <c r="F4795" i="7" s="1"/>
  <c r="D4962" i="7"/>
  <c r="F4962" i="7" s="1"/>
  <c r="D4450" i="7"/>
  <c r="F4450" i="7" s="1"/>
  <c r="D4209" i="7"/>
  <c r="E4209" i="7" s="1"/>
  <c r="D4400" i="7"/>
  <c r="F4400" i="7" s="1"/>
  <c r="D4801" i="7"/>
  <c r="D4031" i="7"/>
  <c r="E4031" i="7" s="1"/>
  <c r="D4198" i="7"/>
  <c r="D4397" i="7"/>
  <c r="D4816" i="7"/>
  <c r="E4816" i="7" s="1"/>
  <c r="D4036" i="7"/>
  <c r="F4036" i="7" s="1"/>
  <c r="D3955" i="7"/>
  <c r="E3955" i="7" s="1"/>
  <c r="D3752" i="7"/>
  <c r="E3752" i="7" s="1"/>
  <c r="D3576" i="7"/>
  <c r="D3416" i="7"/>
  <c r="F3416" i="7" s="1"/>
  <c r="D3240" i="7"/>
  <c r="E3240" i="7" s="1"/>
  <c r="D3064" i="7"/>
  <c r="E3064" i="7" s="1"/>
  <c r="D2904" i="7"/>
  <c r="E2904" i="7" s="1"/>
  <c r="D4856" i="7"/>
  <c r="D3903" i="7"/>
  <c r="E3903" i="7" s="1"/>
  <c r="D3743" i="7"/>
  <c r="F3743" i="7" s="1"/>
  <c r="D3567" i="7"/>
  <c r="E3567" i="7" s="1"/>
  <c r="D3391" i="7"/>
  <c r="E3391" i="7" s="1"/>
  <c r="D3231" i="7"/>
  <c r="E3231" i="7" s="1"/>
  <c r="D3055" i="7"/>
  <c r="D2879" i="7"/>
  <c r="E2879" i="7" s="1"/>
  <c r="D4107" i="7"/>
  <c r="D3790" i="7"/>
  <c r="E3790" i="7" s="1"/>
  <c r="D3614" i="7"/>
  <c r="E3614" i="7" s="1"/>
  <c r="D3454" i="7"/>
  <c r="D3286" i="7"/>
  <c r="E3286" i="7" s="1"/>
  <c r="D3214" i="7"/>
  <c r="E3214" i="7" s="1"/>
  <c r="D3150" i="7"/>
  <c r="E3150" i="7" s="1"/>
  <c r="D3086" i="7"/>
  <c r="E3086" i="7" s="1"/>
  <c r="D3022" i="7"/>
  <c r="D2958" i="7"/>
  <c r="E2958" i="7" s="1"/>
  <c r="D2894" i="7"/>
  <c r="D2830" i="7"/>
  <c r="E2830" i="7" s="1"/>
  <c r="D2766" i="7"/>
  <c r="D4662" i="7"/>
  <c r="E4662" i="7" s="1"/>
  <c r="D4234" i="7"/>
  <c r="D3978" i="7"/>
  <c r="D3869" i="7"/>
  <c r="E3869" i="7" s="1"/>
  <c r="D3805" i="7"/>
  <c r="E3805" i="7" s="1"/>
  <c r="D3741" i="7"/>
  <c r="E3741" i="7" s="1"/>
  <c r="D3677" i="7"/>
  <c r="F3677" i="7" s="1"/>
  <c r="D3613" i="7"/>
  <c r="D3549" i="7"/>
  <c r="D3485" i="7"/>
  <c r="D3421" i="7"/>
  <c r="E3421" i="7" s="1"/>
  <c r="D3357" i="7"/>
  <c r="E3357" i="7" s="1"/>
  <c r="D3293" i="7"/>
  <c r="F3293" i="7" s="1"/>
  <c r="D3229" i="7"/>
  <c r="F3229" i="7" s="1"/>
  <c r="D3165" i="7"/>
  <c r="E3165" i="7" s="1"/>
  <c r="D3101" i="7"/>
  <c r="F3101" i="7" s="1"/>
  <c r="D3037" i="7"/>
  <c r="D2973" i="7"/>
  <c r="D2909" i="7"/>
  <c r="D2845" i="7"/>
  <c r="E2845" i="7" s="1"/>
  <c r="D2781" i="7"/>
  <c r="F2781" i="7" s="1"/>
  <c r="D4814" i="7"/>
  <c r="E4814" i="7" s="1"/>
  <c r="D4291" i="7"/>
  <c r="F4291" i="7" s="1"/>
  <c r="D4035" i="7"/>
  <c r="D3884" i="7"/>
  <c r="E3884" i="7" s="1"/>
  <c r="D3820" i="7"/>
  <c r="D3756" i="7"/>
  <c r="E3756" i="7" s="1"/>
  <c r="D3692" i="7"/>
  <c r="D3628" i="7"/>
  <c r="E3628" i="7" s="1"/>
  <c r="D3564" i="7"/>
  <c r="F3564" i="7" s="1"/>
  <c r="D3500" i="7"/>
  <c r="D3436" i="7"/>
  <c r="E3436" i="7" s="1"/>
  <c r="D3372" i="7"/>
  <c r="E3372" i="7" s="1"/>
  <c r="D3308" i="7"/>
  <c r="E3308" i="7" s="1"/>
  <c r="D3244" i="7"/>
  <c r="E3244" i="7" s="1"/>
  <c r="D3180" i="7"/>
  <c r="F3180" i="7" s="1"/>
  <c r="D3116" i="7"/>
  <c r="E3116" i="7" s="1"/>
  <c r="D3052" i="7"/>
  <c r="E3052" i="7" s="1"/>
  <c r="D2988" i="7"/>
  <c r="D2924" i="7"/>
  <c r="D2860" i="7"/>
  <c r="D2796" i="7"/>
  <c r="E2796" i="7" s="1"/>
  <c r="D2732" i="7"/>
  <c r="D4366" i="7"/>
  <c r="E4366" i="7" s="1"/>
  <c r="D4098" i="7"/>
  <c r="E4098" i="7" s="1"/>
  <c r="D3899" i="7"/>
  <c r="F3899" i="7" s="1"/>
  <c r="D3835" i="7"/>
  <c r="D3771" i="7"/>
  <c r="D3707" i="7"/>
  <c r="E3707" i="7" s="1"/>
  <c r="D3643" i="7"/>
  <c r="F3643" i="7" s="1"/>
  <c r="D3579" i="7"/>
  <c r="D3515" i="7"/>
  <c r="E3515" i="7" s="1"/>
  <c r="D3451" i="7"/>
  <c r="D3387" i="7"/>
  <c r="D3323" i="7"/>
  <c r="E3323" i="7" s="1"/>
  <c r="D3259" i="7"/>
  <c r="E3259" i="7" s="1"/>
  <c r="D3195" i="7"/>
  <c r="D3131" i="7"/>
  <c r="E3131" i="7" s="1"/>
  <c r="D3067" i="7"/>
  <c r="E3067" i="7" s="1"/>
  <c r="D3003" i="7"/>
  <c r="E3003" i="7" s="1"/>
  <c r="D2939" i="7"/>
  <c r="E2939" i="7" s="1"/>
  <c r="D2875" i="7"/>
  <c r="D2811" i="7"/>
  <c r="E2811" i="7" s="1"/>
  <c r="D2747" i="7"/>
  <c r="E2747" i="7" s="1"/>
  <c r="D4456" i="7"/>
  <c r="E4456" i="7" s="1"/>
  <c r="D4155" i="7"/>
  <c r="E4155" i="7" s="1"/>
  <c r="D3914" i="7"/>
  <c r="F3914" i="7" s="1"/>
  <c r="D3850" i="7"/>
  <c r="D3786" i="7"/>
  <c r="D3722" i="7"/>
  <c r="E3722" i="7" s="1"/>
  <c r="D3658" i="7"/>
  <c r="D3594" i="7"/>
  <c r="E3594" i="7" s="1"/>
  <c r="D4888" i="7"/>
  <c r="E4888" i="7" s="1"/>
  <c r="D3569" i="7"/>
  <c r="D3297" i="7"/>
  <c r="F3297" i="7" s="1"/>
  <c r="D3041" i="7"/>
  <c r="E3041" i="7" s="1"/>
  <c r="D2802" i="7"/>
  <c r="F2802" i="7" s="1"/>
  <c r="D2694" i="7"/>
  <c r="E2694" i="7" s="1"/>
  <c r="D2630" i="7"/>
  <c r="E2630" i="7" s="1"/>
  <c r="D2566" i="7"/>
  <c r="F2566" i="7" s="1"/>
  <c r="D4282" i="7"/>
  <c r="F4282" i="7" s="1"/>
  <c r="D3514" i="7"/>
  <c r="F3514" i="7" s="1"/>
  <c r="D3258" i="7"/>
  <c r="E3258" i="7" s="1"/>
  <c r="D3002" i="7"/>
  <c r="D2778" i="7"/>
  <c r="E2778" i="7" s="1"/>
  <c r="D2685" i="7"/>
  <c r="E2685" i="7" s="1"/>
  <c r="D2621" i="7"/>
  <c r="F2621" i="7" s="1"/>
  <c r="D4831" i="7"/>
  <c r="D4870" i="7"/>
  <c r="D4525" i="7"/>
  <c r="D4564" i="7"/>
  <c r="D4731" i="7"/>
  <c r="E4731" i="7" s="1"/>
  <c r="D4898" i="7"/>
  <c r="F4898" i="7" s="1"/>
  <c r="D4386" i="7"/>
  <c r="F4386" i="7" s="1"/>
  <c r="D4145" i="7"/>
  <c r="F4145" i="7" s="1"/>
  <c r="D4312" i="7"/>
  <c r="E4312" i="7" s="1"/>
  <c r="D4632" i="7"/>
  <c r="E4632" i="7" s="1"/>
  <c r="D3967" i="7"/>
  <c r="F3967" i="7" s="1"/>
  <c r="D4134" i="7"/>
  <c r="E4134" i="7" s="1"/>
  <c r="D4309" i="7"/>
  <c r="D4646" i="7"/>
  <c r="F4646" i="7" s="1"/>
  <c r="D3972" i="7"/>
  <c r="E3972" i="7" s="1"/>
  <c r="D3896" i="7"/>
  <c r="E3896" i="7" s="1"/>
  <c r="D3736" i="7"/>
  <c r="E3736" i="7" s="1"/>
  <c r="D3560" i="7"/>
  <c r="E3560" i="7" s="1"/>
  <c r="D3384" i="7"/>
  <c r="D3224" i="7"/>
  <c r="E3224" i="7" s="1"/>
  <c r="D3048" i="7"/>
  <c r="D2872" i="7"/>
  <c r="D4681" i="7"/>
  <c r="D3887" i="7"/>
  <c r="F3887" i="7" s="1"/>
  <c r="D3711" i="7"/>
  <c r="E3711" i="7" s="1"/>
  <c r="D3551" i="7"/>
  <c r="E3551" i="7" s="1"/>
  <c r="D3375" i="7"/>
  <c r="E3375" i="7" s="1"/>
  <c r="D3199" i="7"/>
  <c r="D3039" i="7"/>
  <c r="F3039" i="7" s="1"/>
  <c r="D2863" i="7"/>
  <c r="F2863" i="7" s="1"/>
  <c r="D3979" i="7"/>
  <c r="E3979" i="7" s="1"/>
  <c r="D3774" i="7"/>
  <c r="F3774" i="7" s="1"/>
  <c r="D3598" i="7"/>
  <c r="E3598" i="7" s="1"/>
  <c r="D3422" i="7"/>
  <c r="F3422" i="7" s="1"/>
  <c r="D3278" i="7"/>
  <c r="D3206" i="7"/>
  <c r="D3142" i="7"/>
  <c r="F3142" i="7" s="1"/>
  <c r="D3078" i="7"/>
  <c r="E3078" i="7" s="1"/>
  <c r="D3014" i="7"/>
  <c r="F3014" i="7" s="1"/>
  <c r="D2950" i="7"/>
  <c r="E2950" i="7" s="1"/>
  <c r="D2886" i="7"/>
  <c r="D2822" i="7"/>
  <c r="E2822" i="7" s="1"/>
  <c r="D2758" i="7"/>
  <c r="E2758" i="7" s="1"/>
  <c r="D4576" i="7"/>
  <c r="E4576" i="7" s="1"/>
  <c r="D4202" i="7"/>
  <c r="E4202" i="7" s="1"/>
  <c r="D3946" i="7"/>
  <c r="F3946" i="7" s="1"/>
  <c r="D3861" i="7"/>
  <c r="E3861" i="7" s="1"/>
  <c r="D3797" i="7"/>
  <c r="E3797" i="7" s="1"/>
  <c r="D3733" i="7"/>
  <c r="F3733" i="7" s="1"/>
  <c r="D3669" i="7"/>
  <c r="D3605" i="7"/>
  <c r="E3605" i="7" s="1"/>
  <c r="D3541" i="7"/>
  <c r="F3541" i="7" s="1"/>
  <c r="D3477" i="7"/>
  <c r="F3477" i="7" s="1"/>
  <c r="D3413" i="7"/>
  <c r="D3349" i="7"/>
  <c r="E3349" i="7" s="1"/>
  <c r="D3285" i="7"/>
  <c r="E3285" i="7" s="1"/>
  <c r="D3221" i="7"/>
  <c r="D3157" i="7"/>
  <c r="E3157" i="7" s="1"/>
  <c r="D3093" i="7"/>
  <c r="F3093" i="7" s="1"/>
  <c r="D3029" i="7"/>
  <c r="D2965" i="7"/>
  <c r="E2965" i="7" s="1"/>
  <c r="D2901" i="7"/>
  <c r="D2837" i="7"/>
  <c r="D2773" i="7"/>
  <c r="F2773" i="7" s="1"/>
  <c r="D4728" i="7"/>
  <c r="D4259" i="7"/>
  <c r="E4259" i="7" s="1"/>
  <c r="D4003" i="7"/>
  <c r="D3876" i="7"/>
  <c r="F3876" i="7" s="1"/>
  <c r="D3812" i="7"/>
  <c r="D3748" i="7"/>
  <c r="D3684" i="7"/>
  <c r="E3684" i="7" s="1"/>
  <c r="D3620" i="7"/>
  <c r="D3556" i="7"/>
  <c r="D3492" i="7"/>
  <c r="E3492" i="7" s="1"/>
  <c r="D3428" i="7"/>
  <c r="D3364" i="7"/>
  <c r="E3364" i="7" s="1"/>
  <c r="D3300" i="7"/>
  <c r="E3300" i="7" s="1"/>
  <c r="D3236" i="7"/>
  <c r="E3236" i="7" s="1"/>
  <c r="D3172" i="7"/>
  <c r="D3108" i="7"/>
  <c r="E3108" i="7" s="1"/>
  <c r="D3044" i="7"/>
  <c r="D2980" i="7"/>
  <c r="D2916" i="7"/>
  <c r="D2852" i="7"/>
  <c r="E2852" i="7" s="1"/>
  <c r="D2788" i="7"/>
  <c r="E2788" i="7" s="1"/>
  <c r="D4920" i="7"/>
  <c r="E4920" i="7" s="1"/>
  <c r="D4322" i="7"/>
  <c r="E4322" i="7" s="1"/>
  <c r="D4066" i="7"/>
  <c r="E4066" i="7" s="1"/>
  <c r="D3891" i="7"/>
  <c r="D3827" i="7"/>
  <c r="E3827" i="7" s="1"/>
  <c r="D3763" i="7"/>
  <c r="E3763" i="7" s="1"/>
  <c r="D3699" i="7"/>
  <c r="D3635" i="7"/>
  <c r="E3635" i="7" s="1"/>
  <c r="D3571" i="7"/>
  <c r="D3507" i="7"/>
  <c r="D3443" i="7"/>
  <c r="E3443" i="7" s="1"/>
  <c r="D3379" i="7"/>
  <c r="E3379" i="7" s="1"/>
  <c r="D3315" i="7"/>
  <c r="E3315" i="7" s="1"/>
  <c r="D3251" i="7"/>
  <c r="E3251" i="7" s="1"/>
  <c r="D3187" i="7"/>
  <c r="D3123" i="7"/>
  <c r="E3123" i="7" s="1"/>
  <c r="D3059" i="7"/>
  <c r="E3059" i="7" s="1"/>
  <c r="D2995" i="7"/>
  <c r="E2995" i="7" s="1"/>
  <c r="D2931" i="7"/>
  <c r="D2867" i="7"/>
  <c r="F2867" i="7" s="1"/>
  <c r="D2803" i="7"/>
  <c r="D2739" i="7"/>
  <c r="D4406" i="7"/>
  <c r="E4406" i="7" s="1"/>
  <c r="D4123" i="7"/>
  <c r="E4123" i="7" s="1"/>
  <c r="D3906" i="7"/>
  <c r="F3906" i="7" s="1"/>
  <c r="D3842" i="7"/>
  <c r="E3842" i="7" s="1"/>
  <c r="D3778" i="7"/>
  <c r="D3714" i="7"/>
  <c r="D3650" i="7"/>
  <c r="D3586" i="7"/>
  <c r="E3586" i="7" s="1"/>
  <c r="D4314" i="7"/>
  <c r="E4314" i="7" s="1"/>
  <c r="D3521" i="7"/>
  <c r="E3521" i="7" s="1"/>
  <c r="D3265" i="7"/>
  <c r="E3265" i="7" s="1"/>
  <c r="D3009" i="7"/>
  <c r="E3009" i="7" s="1"/>
  <c r="D2783" i="7"/>
  <c r="D2686" i="7"/>
  <c r="E2686" i="7" s="1"/>
  <c r="D2622" i="7"/>
  <c r="D2558" i="7"/>
  <c r="D4767" i="7"/>
  <c r="D4973" i="7"/>
  <c r="E4973" i="7" s="1"/>
  <c r="D5012" i="7"/>
  <c r="E5012" i="7" s="1"/>
  <c r="D4500" i="7"/>
  <c r="E4500" i="7" s="1"/>
  <c r="D4667" i="7"/>
  <c r="E4667" i="7" s="1"/>
  <c r="D4834" i="7"/>
  <c r="E4834" i="7" s="1"/>
  <c r="D4977" i="7"/>
  <c r="F4977" i="7" s="1"/>
  <c r="D4081" i="7"/>
  <c r="D4248" i="7"/>
  <c r="E4248" i="7" s="1"/>
  <c r="D4463" i="7"/>
  <c r="D4936" i="7"/>
  <c r="F4936" i="7" s="1"/>
  <c r="D4070" i="7"/>
  <c r="E4070" i="7" s="1"/>
  <c r="D4245" i="7"/>
  <c r="E4245" i="7" s="1"/>
  <c r="D4473" i="7"/>
  <c r="F4473" i="7" s="1"/>
  <c r="D4985" i="7"/>
  <c r="D3880" i="7"/>
  <c r="E3880" i="7" s="1"/>
  <c r="D3704" i="7"/>
  <c r="D3544" i="7"/>
  <c r="E3544" i="7" s="1"/>
  <c r="D3368" i="7"/>
  <c r="E3368" i="7" s="1"/>
  <c r="D3192" i="7"/>
  <c r="E3192" i="7" s="1"/>
  <c r="D3032" i="7"/>
  <c r="F3032" i="7" s="1"/>
  <c r="D2856" i="7"/>
  <c r="F2856" i="7" s="1"/>
  <c r="D4391" i="7"/>
  <c r="E4391" i="7" s="1"/>
  <c r="D3871" i="7"/>
  <c r="E3871" i="7" s="1"/>
  <c r="D3695" i="7"/>
  <c r="E3695" i="7" s="1"/>
  <c r="D3519" i="7"/>
  <c r="F3519" i="7" s="1"/>
  <c r="D3359" i="7"/>
  <c r="E3359" i="7" s="1"/>
  <c r="D3183" i="7"/>
  <c r="E3183" i="7" s="1"/>
  <c r="D3007" i="7"/>
  <c r="D2847" i="7"/>
  <c r="E2847" i="7" s="1"/>
  <c r="D3921" i="7"/>
  <c r="D3742" i="7"/>
  <c r="E3742" i="7" s="1"/>
  <c r="D3582" i="7"/>
  <c r="D3406" i="7"/>
  <c r="E3406" i="7" s="1"/>
  <c r="D3270" i="7"/>
  <c r="E3270" i="7" s="1"/>
  <c r="D3198" i="7"/>
  <c r="E3198" i="7" s="1"/>
  <c r="D3134" i="7"/>
  <c r="F3134" i="7" s="1"/>
  <c r="D3070" i="7"/>
  <c r="D3006" i="7"/>
  <c r="D2942" i="7"/>
  <c r="D2878" i="7"/>
  <c r="E2878" i="7" s="1"/>
  <c r="D2814" i="7"/>
  <c r="E2814" i="7" s="1"/>
  <c r="D2750" i="7"/>
  <c r="E2750" i="7" s="1"/>
  <c r="D4489" i="7"/>
  <c r="F4489" i="7" s="1"/>
  <c r="D4170" i="7"/>
  <c r="E4170" i="7" s="1"/>
  <c r="D3920" i="7"/>
  <c r="D3853" i="7"/>
  <c r="D3789" i="7"/>
  <c r="F3789" i="7" s="1"/>
  <c r="D3725" i="7"/>
  <c r="D3661" i="7"/>
  <c r="E3661" i="7" s="1"/>
  <c r="D3597" i="7"/>
  <c r="E3597" i="7" s="1"/>
  <c r="D3533" i="7"/>
  <c r="E3533" i="7" s="1"/>
  <c r="D3469" i="7"/>
  <c r="E3469" i="7" s="1"/>
  <c r="D3405" i="7"/>
  <c r="E3405" i="7" s="1"/>
  <c r="D3341" i="7"/>
  <c r="F3341" i="7" s="1"/>
  <c r="D3277" i="7"/>
  <c r="F3277" i="7" s="1"/>
  <c r="D3213" i="7"/>
  <c r="F3213" i="7" s="1"/>
  <c r="D3149" i="7"/>
  <c r="F3149" i="7" s="1"/>
  <c r="D3085" i="7"/>
  <c r="E3085" i="7" s="1"/>
  <c r="D3021" i="7"/>
  <c r="D2957" i="7"/>
  <c r="E2957" i="7" s="1"/>
  <c r="D2893" i="7"/>
  <c r="D2829" i="7"/>
  <c r="E2829" i="7" s="1"/>
  <c r="D2765" i="7"/>
  <c r="F2765" i="7" s="1"/>
  <c r="D4641" i="7"/>
  <c r="D4227" i="7"/>
  <c r="D3971" i="7"/>
  <c r="D3868" i="7"/>
  <c r="F3868" i="7" s="1"/>
  <c r="D3804" i="7"/>
  <c r="E3804" i="7" s="1"/>
  <c r="D3740" i="7"/>
  <c r="E3740" i="7" s="1"/>
  <c r="D3676" i="7"/>
  <c r="E3676" i="7" s="1"/>
  <c r="D3612" i="7"/>
  <c r="E3612" i="7" s="1"/>
  <c r="D3548" i="7"/>
  <c r="D3484" i="7"/>
  <c r="D3420" i="7"/>
  <c r="E3420" i="7" s="1"/>
  <c r="D3356" i="7"/>
  <c r="E3356" i="7" s="1"/>
  <c r="D3292" i="7"/>
  <c r="D3228" i="7"/>
  <c r="E3228" i="7" s="1"/>
  <c r="D3164" i="7"/>
  <c r="F3164" i="7" s="1"/>
  <c r="D3100" i="7"/>
  <c r="D3036" i="7"/>
  <c r="E3036" i="7" s="1"/>
  <c r="D2972" i="7"/>
  <c r="F2972" i="7" s="1"/>
  <c r="D2908" i="7"/>
  <c r="D2844" i="7"/>
  <c r="E2844" i="7" s="1"/>
  <c r="D2780" i="7"/>
  <c r="F2780" i="7" s="1"/>
  <c r="D4809" i="7"/>
  <c r="D4703" i="7"/>
  <c r="E4703" i="7" s="1"/>
  <c r="D4909" i="7"/>
  <c r="E4909" i="7" s="1"/>
  <c r="D4948" i="7"/>
  <c r="F4948" i="7" s="1"/>
  <c r="D4436" i="7"/>
  <c r="F4436" i="7" s="1"/>
  <c r="D4603" i="7"/>
  <c r="F4603" i="7" s="1"/>
  <c r="D4770" i="7"/>
  <c r="D4766" i="7"/>
  <c r="E4766" i="7" s="1"/>
  <c r="D4017" i="7"/>
  <c r="E4017" i="7" s="1"/>
  <c r="D4184" i="7"/>
  <c r="E4184" i="7" s="1"/>
  <c r="D4360" i="7"/>
  <c r="F4360" i="7" s="1"/>
  <c r="D4736" i="7"/>
  <c r="F4736" i="7" s="1"/>
  <c r="D4006" i="7"/>
  <c r="E4006" i="7" s="1"/>
  <c r="D4181" i="7"/>
  <c r="F4181" i="7" s="1"/>
  <c r="D4368" i="7"/>
  <c r="F4368" i="7" s="1"/>
  <c r="D4342" i="7"/>
  <c r="E4342" i="7" s="1"/>
  <c r="D3864" i="7"/>
  <c r="E3864" i="7" s="1"/>
  <c r="D3688" i="7"/>
  <c r="F3688" i="7" s="1"/>
  <c r="D3512" i="7"/>
  <c r="D3352" i="7"/>
  <c r="E3352" i="7" s="1"/>
  <c r="D3176" i="7"/>
  <c r="E3176" i="7" s="1"/>
  <c r="D3000" i="7"/>
  <c r="F3000" i="7" s="1"/>
  <c r="D2840" i="7"/>
  <c r="E2840" i="7" s="1"/>
  <c r="D4306" i="7"/>
  <c r="E4306" i="7" s="1"/>
  <c r="D3839" i="7"/>
  <c r="E3839" i="7" s="1"/>
  <c r="D3679" i="7"/>
  <c r="E3679" i="7" s="1"/>
  <c r="D3503" i="7"/>
  <c r="F3503" i="7" s="1"/>
  <c r="D3327" i="7"/>
  <c r="D3167" i="7"/>
  <c r="D2991" i="7"/>
  <c r="F2991" i="7" s="1"/>
  <c r="D4664" i="7"/>
  <c r="E4664" i="7" s="1"/>
  <c r="D3902" i="7"/>
  <c r="E3902" i="7" s="1"/>
  <c r="D3726" i="7"/>
  <c r="F3726" i="7" s="1"/>
  <c r="D3550" i="7"/>
  <c r="E3550" i="7" s="1"/>
  <c r="D3390" i="7"/>
  <c r="E3390" i="7" s="1"/>
  <c r="D3262" i="7"/>
  <c r="E3262" i="7" s="1"/>
  <c r="D3190" i="7"/>
  <c r="D3126" i="7"/>
  <c r="F3126" i="7" s="1"/>
  <c r="D3062" i="7"/>
  <c r="E3062" i="7" s="1"/>
  <c r="D2998" i="7"/>
  <c r="E2998" i="7" s="1"/>
  <c r="D2934" i="7"/>
  <c r="E2934" i="7" s="1"/>
  <c r="D2870" i="7"/>
  <c r="E2870" i="7" s="1"/>
  <c r="D2806" i="7"/>
  <c r="E2806" i="7" s="1"/>
  <c r="D2742" i="7"/>
  <c r="E2742" i="7" s="1"/>
  <c r="D4430" i="7"/>
  <c r="F4430" i="7" s="1"/>
  <c r="D4138" i="7"/>
  <c r="F4138" i="7" s="1"/>
  <c r="D3909" i="7"/>
  <c r="E3909" i="7" s="1"/>
  <c r="D3845" i="7"/>
  <c r="D3781" i="7"/>
  <c r="F3781" i="7" s="1"/>
  <c r="D3717" i="7"/>
  <c r="F3717" i="7" s="1"/>
  <c r="D3653" i="7"/>
  <c r="E3653" i="7" s="1"/>
  <c r="D3589" i="7"/>
  <c r="F3589" i="7" s="1"/>
  <c r="D3525" i="7"/>
  <c r="E3525" i="7" s="1"/>
  <c r="D3461" i="7"/>
  <c r="D3397" i="7"/>
  <c r="E3397" i="7" s="1"/>
  <c r="D3333" i="7"/>
  <c r="D3269" i="7"/>
  <c r="F3269" i="7" s="1"/>
  <c r="D3205" i="7"/>
  <c r="F3205" i="7" s="1"/>
  <c r="D3141" i="7"/>
  <c r="D3077" i="7"/>
  <c r="E3077" i="7" s="1"/>
  <c r="D3013" i="7"/>
  <c r="D2949" i="7"/>
  <c r="D2885" i="7"/>
  <c r="D2821" i="7"/>
  <c r="E2821" i="7" s="1"/>
  <c r="D2757" i="7"/>
  <c r="E2757" i="7" s="1"/>
  <c r="D4558" i="7"/>
  <c r="E4558" i="7" s="1"/>
  <c r="D4195" i="7"/>
  <c r="E4195" i="7" s="1"/>
  <c r="D3939" i="7"/>
  <c r="E3939" i="7" s="1"/>
  <c r="D3860" i="7"/>
  <c r="F3860" i="7" s="1"/>
  <c r="D3796" i="7"/>
  <c r="D3732" i="7"/>
  <c r="D3668" i="7"/>
  <c r="F3668" i="7" s="1"/>
  <c r="D3604" i="7"/>
  <c r="D3540" i="7"/>
  <c r="E3540" i="7" s="1"/>
  <c r="D3476" i="7"/>
  <c r="D3412" i="7"/>
  <c r="E3412" i="7" s="1"/>
  <c r="D3348" i="7"/>
  <c r="D3284" i="7"/>
  <c r="D3220" i="7"/>
  <c r="D3156" i="7"/>
  <c r="E3156" i="7" s="1"/>
  <c r="D3092" i="7"/>
  <c r="E3092" i="7" s="1"/>
  <c r="D3028" i="7"/>
  <c r="D2964" i="7"/>
  <c r="F2964" i="7" s="1"/>
  <c r="D2900" i="7"/>
  <c r="D2836" i="7"/>
  <c r="E2836" i="7" s="1"/>
  <c r="D2772" i="7"/>
  <c r="F2772" i="7" s="1"/>
  <c r="D4726" i="7"/>
  <c r="D4258" i="7"/>
  <c r="D4002" i="7"/>
  <c r="E4002" i="7" s="1"/>
  <c r="D3875" i="7"/>
  <c r="F3875" i="7" s="1"/>
  <c r="D3811" i="7"/>
  <c r="F3811" i="7" s="1"/>
  <c r="D3747" i="7"/>
  <c r="D3683" i="7"/>
  <c r="D3619" i="7"/>
  <c r="E3619" i="7" s="1"/>
  <c r="D3555" i="7"/>
  <c r="F3555" i="7" s="1"/>
  <c r="D3491" i="7"/>
  <c r="E3491" i="7" s="1"/>
  <c r="D3427" i="7"/>
  <c r="D3363" i="7"/>
  <c r="E3363" i="7" s="1"/>
  <c r="D3299" i="7"/>
  <c r="D3235" i="7"/>
  <c r="E3235" i="7" s="1"/>
  <c r="D3171" i="7"/>
  <c r="F3171" i="7" s="1"/>
  <c r="D3107" i="7"/>
  <c r="D3043" i="7"/>
  <c r="F3043" i="7" s="1"/>
  <c r="D2979" i="7"/>
  <c r="E2979" i="7" s="1"/>
  <c r="D2915" i="7"/>
  <c r="D2851" i="7"/>
  <c r="F2851" i="7" s="1"/>
  <c r="D2787" i="7"/>
  <c r="E2787" i="7" s="1"/>
  <c r="D4889" i="7"/>
  <c r="E4889" i="7" s="1"/>
  <c r="D4315" i="7"/>
  <c r="E4315" i="7" s="1"/>
  <c r="D4059" i="7"/>
  <c r="E4059" i="7" s="1"/>
  <c r="D3890" i="7"/>
  <c r="F3890" i="7" s="1"/>
  <c r="D3826" i="7"/>
  <c r="E3826" i="7" s="1"/>
  <c r="D3762" i="7"/>
  <c r="F3762" i="7" s="1"/>
  <c r="D3698" i="7"/>
  <c r="E3698" i="7" s="1"/>
  <c r="D3634" i="7"/>
  <c r="E3634" i="7" s="1"/>
  <c r="D3570" i="7"/>
  <c r="E3570" i="7" s="1"/>
  <c r="D3889" i="7"/>
  <c r="E3889" i="7" s="1"/>
  <c r="D3457" i="7"/>
  <c r="E3457" i="7" s="1"/>
  <c r="D3201" i="7"/>
  <c r="F3201" i="7" s="1"/>
  <c r="D2945" i="7"/>
  <c r="D2738" i="7"/>
  <c r="E2738" i="7" s="1"/>
  <c r="D2670" i="7"/>
  <c r="E2670" i="7" s="1"/>
  <c r="D2606" i="7"/>
  <c r="D2542" i="7"/>
  <c r="E2542" i="7" s="1"/>
  <c r="D3817" i="7"/>
  <c r="D3418" i="7"/>
  <c r="D3162" i="7"/>
  <c r="D2906" i="7"/>
  <c r="D4575" i="7"/>
  <c r="D4781" i="7"/>
  <c r="D4820" i="7"/>
  <c r="D4987" i="7"/>
  <c r="F4987" i="7" s="1"/>
  <c r="D4475" i="7"/>
  <c r="E4475" i="7" s="1"/>
  <c r="D4642" i="7"/>
  <c r="D4440" i="7"/>
  <c r="D4880" i="7"/>
  <c r="D4056" i="7"/>
  <c r="D4223" i="7"/>
  <c r="D4423" i="7"/>
  <c r="E4423" i="7" s="1"/>
  <c r="D4865" i="7"/>
  <c r="F4865" i="7" s="1"/>
  <c r="D4053" i="7"/>
  <c r="F4053" i="7" s="1"/>
  <c r="D4228" i="7"/>
  <c r="E4228" i="7" s="1"/>
  <c r="D4211" i="7"/>
  <c r="E4211" i="7" s="1"/>
  <c r="D3816" i="7"/>
  <c r="E3816" i="7" s="1"/>
  <c r="D3640" i="7"/>
  <c r="E3640" i="7" s="1"/>
  <c r="D3480" i="7"/>
  <c r="F3480" i="7" s="1"/>
  <c r="D3304" i="7"/>
  <c r="D3128" i="7"/>
  <c r="E3128" i="7" s="1"/>
  <c r="D2968" i="7"/>
  <c r="D2792" i="7"/>
  <c r="D4114" i="7"/>
  <c r="D3807" i="7"/>
  <c r="E3807" i="7" s="1"/>
  <c r="D3631" i="7"/>
  <c r="E3631" i="7" s="1"/>
  <c r="D3455" i="7"/>
  <c r="D3295" i="7"/>
  <c r="F3295" i="7" s="1"/>
  <c r="D3119" i="7"/>
  <c r="D2943" i="7"/>
  <c r="D4381" i="7"/>
  <c r="E4381" i="7" s="1"/>
  <c r="D3854" i="7"/>
  <c r="F3854" i="7" s="1"/>
  <c r="D3678" i="7"/>
  <c r="D3518" i="7"/>
  <c r="E3518" i="7" s="1"/>
  <c r="D3342" i="7"/>
  <c r="E3342" i="7" s="1"/>
  <c r="D3238" i="7"/>
  <c r="E3238" i="7" s="1"/>
  <c r="D3174" i="7"/>
  <c r="E3174" i="7" s="1"/>
  <c r="D3110" i="7"/>
  <c r="F3110" i="7" s="1"/>
  <c r="D3046" i="7"/>
  <c r="D2982" i="7"/>
  <c r="E2982" i="7" s="1"/>
  <c r="D2918" i="7"/>
  <c r="E2918" i="7" s="1"/>
  <c r="D2854" i="7"/>
  <c r="D2790" i="7"/>
  <c r="E2790" i="7" s="1"/>
  <c r="D4952" i="7"/>
  <c r="E4952" i="7" s="1"/>
  <c r="D4330" i="7"/>
  <c r="E4330" i="7" s="1"/>
  <c r="D4074" i="7"/>
  <c r="E4074" i="7" s="1"/>
  <c r="D3893" i="7"/>
  <c r="E3893" i="7" s="1"/>
  <c r="D3829" i="7"/>
  <c r="D3765" i="7"/>
  <c r="F3765" i="7" s="1"/>
  <c r="D3701" i="7"/>
  <c r="E3701" i="7" s="1"/>
  <c r="D3637" i="7"/>
  <c r="D3573" i="7"/>
  <c r="E3573" i="7" s="1"/>
  <c r="D3509" i="7"/>
  <c r="D3445" i="7"/>
  <c r="E3445" i="7" s="1"/>
  <c r="D3381" i="7"/>
  <c r="D3317" i="7"/>
  <c r="D3253" i="7"/>
  <c r="F3253" i="7" s="1"/>
  <c r="D3189" i="7"/>
  <c r="D3125" i="7"/>
  <c r="F3125" i="7" s="1"/>
  <c r="D3061" i="7"/>
  <c r="D2997" i="7"/>
  <c r="D2933" i="7"/>
  <c r="F2933" i="7" s="1"/>
  <c r="D2869" i="7"/>
  <c r="E2869" i="7" s="1"/>
  <c r="D2805" i="7"/>
  <c r="D2741" i="7"/>
  <c r="E2741" i="7" s="1"/>
  <c r="D4417" i="7"/>
  <c r="D4131" i="7"/>
  <c r="D3908" i="7"/>
  <c r="E3908" i="7" s="1"/>
  <c r="D3844" i="7"/>
  <c r="D3780" i="7"/>
  <c r="E3780" i="7" s="1"/>
  <c r="D3716" i="7"/>
  <c r="D3652" i="7"/>
  <c r="F3652" i="7" s="1"/>
  <c r="D3588" i="7"/>
  <c r="D3524" i="7"/>
  <c r="E3524" i="7" s="1"/>
  <c r="D3460" i="7"/>
  <c r="F3460" i="7" s="1"/>
  <c r="D3396" i="7"/>
  <c r="E3396" i="7" s="1"/>
  <c r="D3332" i="7"/>
  <c r="E3332" i="7" s="1"/>
  <c r="D3268" i="7"/>
  <c r="F3268" i="7" s="1"/>
  <c r="D3204" i="7"/>
  <c r="E3204" i="7" s="1"/>
  <c r="D3140" i="7"/>
  <c r="D3076" i="7"/>
  <c r="D3012" i="7"/>
  <c r="D2948" i="7"/>
  <c r="F2948" i="7" s="1"/>
  <c r="D2884" i="7"/>
  <c r="E2884" i="7" s="1"/>
  <c r="D2820" i="7"/>
  <c r="F2820" i="7" s="1"/>
  <c r="D2756" i="7"/>
  <c r="E2756" i="7" s="1"/>
  <c r="D4553" i="7"/>
  <c r="D4194" i="7"/>
  <c r="D3938" i="7"/>
  <c r="E3938" i="7" s="1"/>
  <c r="D3859" i="7"/>
  <c r="E3859" i="7" s="1"/>
  <c r="D3795" i="7"/>
  <c r="D3731" i="7"/>
  <c r="D3667" i="7"/>
  <c r="D3603" i="7"/>
  <c r="E3603" i="7" s="1"/>
  <c r="D3539" i="7"/>
  <c r="E3539" i="7" s="1"/>
  <c r="D3475" i="7"/>
  <c r="D3411" i="7"/>
  <c r="E3411" i="7" s="1"/>
  <c r="D3347" i="7"/>
  <c r="D3283" i="7"/>
  <c r="E3283" i="7" s="1"/>
  <c r="D3219" i="7"/>
  <c r="E3219" i="7" s="1"/>
  <c r="D3155" i="7"/>
  <c r="D3091" i="7"/>
  <c r="E3091" i="7" s="1"/>
  <c r="D3027" i="7"/>
  <c r="E3027" i="7" s="1"/>
  <c r="D2963" i="7"/>
  <c r="E2963" i="7" s="1"/>
  <c r="D2899" i="7"/>
  <c r="D2835" i="7"/>
  <c r="D2771" i="7"/>
  <c r="E2771" i="7" s="1"/>
  <c r="D4705" i="7"/>
  <c r="F4705" i="7" s="1"/>
  <c r="D4251" i="7"/>
  <c r="F4251" i="7" s="1"/>
  <c r="D3995" i="7"/>
  <c r="D3874" i="7"/>
  <c r="F3874" i="7" s="1"/>
  <c r="D3810" i="7"/>
  <c r="E3810" i="7" s="1"/>
  <c r="D3746" i="7"/>
  <c r="D3682" i="7"/>
  <c r="F3682" i="7" s="1"/>
  <c r="D3618" i="7"/>
  <c r="E3618" i="7" s="1"/>
  <c r="D3554" i="7"/>
  <c r="D3761" i="7"/>
  <c r="E3761" i="7" s="1"/>
  <c r="D3393" i="7"/>
  <c r="E3393" i="7" s="1"/>
  <c r="D3137" i="7"/>
  <c r="D2881" i="7"/>
  <c r="D2718" i="7"/>
  <c r="E2718" i="7" s="1"/>
  <c r="D2654" i="7"/>
  <c r="D2590" i="7"/>
  <c r="D2526" i="7"/>
  <c r="F2526" i="7" s="1"/>
  <c r="D3689" i="7"/>
  <c r="E3689" i="7" s="1"/>
  <c r="D3354" i="7"/>
  <c r="D3098" i="7"/>
  <c r="F3098" i="7" s="1"/>
  <c r="D2842" i="7"/>
  <c r="E2842" i="7" s="1"/>
  <c r="D2709" i="7"/>
  <c r="D2645" i="7"/>
  <c r="F2645" i="7" s="1"/>
  <c r="D4511" i="7"/>
  <c r="D4717" i="7"/>
  <c r="E4717" i="7" s="1"/>
  <c r="D4756" i="7"/>
  <c r="E4756" i="7" s="1"/>
  <c r="D4923" i="7"/>
  <c r="F4923" i="7" s="1"/>
  <c r="D4411" i="7"/>
  <c r="E4411" i="7" s="1"/>
  <c r="D4578" i="7"/>
  <c r="E4578" i="7" s="1"/>
  <c r="D4337" i="7"/>
  <c r="D4697" i="7"/>
  <c r="E4697" i="7" s="1"/>
  <c r="D3992" i="7"/>
  <c r="F3992" i="7" s="1"/>
  <c r="D4159" i="7"/>
  <c r="E4159" i="7" s="1"/>
  <c r="D4326" i="7"/>
  <c r="D4689" i="7"/>
  <c r="F4689" i="7" s="1"/>
  <c r="D3989" i="7"/>
  <c r="E3989" i="7" s="1"/>
  <c r="D4164" i="7"/>
  <c r="E4164" i="7" s="1"/>
  <c r="D4083" i="7"/>
  <c r="E4083" i="7" s="1"/>
  <c r="D3800" i="7"/>
  <c r="D3624" i="7"/>
  <c r="E3624" i="7" s="1"/>
  <c r="D3448" i="7"/>
  <c r="E3448" i="7" s="1"/>
  <c r="D3288" i="7"/>
  <c r="E3288" i="7" s="1"/>
  <c r="D3112" i="7"/>
  <c r="F3112" i="7" s="1"/>
  <c r="D2936" i="7"/>
  <c r="D2776" i="7"/>
  <c r="F2776" i="7" s="1"/>
  <c r="D4050" i="7"/>
  <c r="E4050" i="7" s="1"/>
  <c r="D3775" i="7"/>
  <c r="E3775" i="7" s="1"/>
  <c r="D3615" i="7"/>
  <c r="E3615" i="7" s="1"/>
  <c r="D3439" i="7"/>
  <c r="D3263" i="7"/>
  <c r="F3263" i="7" s="1"/>
  <c r="D3103" i="7"/>
  <c r="D2927" i="7"/>
  <c r="E2927" i="7" s="1"/>
  <c r="D4235" i="7"/>
  <c r="E4235" i="7" s="1"/>
  <c r="D3838" i="7"/>
  <c r="E3838" i="7" s="1"/>
  <c r="D3662" i="7"/>
  <c r="F3662" i="7" s="1"/>
  <c r="D3486" i="7"/>
  <c r="F3486" i="7" s="1"/>
  <c r="D3326" i="7"/>
  <c r="D3230" i="7"/>
  <c r="D3166" i="7"/>
  <c r="D3102" i="7"/>
  <c r="F3102" i="7" s="1"/>
  <c r="D3038" i="7"/>
  <c r="E3038" i="7" s="1"/>
  <c r="D2974" i="7"/>
  <c r="D2910" i="7"/>
  <c r="F2910" i="7" s="1"/>
  <c r="D2846" i="7"/>
  <c r="E2846" i="7" s="1"/>
  <c r="D2782" i="7"/>
  <c r="E2782" i="7" s="1"/>
  <c r="D4832" i="7"/>
  <c r="E4832" i="7" s="1"/>
  <c r="D4298" i="7"/>
  <c r="D4042" i="7"/>
  <c r="F4042" i="7" s="1"/>
  <c r="D3885" i="7"/>
  <c r="E3885" i="7" s="1"/>
  <c r="D3821" i="7"/>
  <c r="D3757" i="7"/>
  <c r="E3757" i="7" s="1"/>
  <c r="D3693" i="7"/>
  <c r="E3693" i="7" s="1"/>
  <c r="D3629" i="7"/>
  <c r="E3629" i="7" s="1"/>
  <c r="D3565" i="7"/>
  <c r="D3501" i="7"/>
  <c r="F3501" i="7" s="1"/>
  <c r="D3437" i="7"/>
  <c r="D3373" i="7"/>
  <c r="E3373" i="7" s="1"/>
  <c r="D3309" i="7"/>
  <c r="E3309" i="7" s="1"/>
  <c r="D3245" i="7"/>
  <c r="E3245" i="7" s="1"/>
  <c r="D3181" i="7"/>
  <c r="E3181" i="7" s="1"/>
  <c r="D3117" i="7"/>
  <c r="F3117" i="7" s="1"/>
  <c r="D3053" i="7"/>
  <c r="D2989" i="7"/>
  <c r="E2989" i="7" s="1"/>
  <c r="D2925" i="7"/>
  <c r="F2925" i="7" s="1"/>
  <c r="D2861" i="7"/>
  <c r="E2861" i="7" s="1"/>
  <c r="D2797" i="7"/>
  <c r="F2797" i="7" s="1"/>
  <c r="D2733" i="7"/>
  <c r="D4367" i="7"/>
  <c r="E4367" i="7" s="1"/>
  <c r="D4099" i="7"/>
  <c r="F4099" i="7" s="1"/>
  <c r="D3900" i="7"/>
  <c r="E3900" i="7" s="1"/>
  <c r="D3836" i="7"/>
  <c r="D3772" i="7"/>
  <c r="E3772" i="7" s="1"/>
  <c r="D3708" i="7"/>
  <c r="E3708" i="7" s="1"/>
  <c r="D3644" i="7"/>
  <c r="D3580" i="7"/>
  <c r="D3516" i="7"/>
  <c r="E3516" i="7" s="1"/>
  <c r="D3452" i="7"/>
  <c r="F3452" i="7" s="1"/>
  <c r="D3388" i="7"/>
  <c r="E3388" i="7" s="1"/>
  <c r="D3324" i="7"/>
  <c r="E3324" i="7" s="1"/>
  <c r="D3260" i="7"/>
  <c r="D3196" i="7"/>
  <c r="E3196" i="7" s="1"/>
  <c r="D3132" i="7"/>
  <c r="D3068" i="7"/>
  <c r="E3068" i="7" s="1"/>
  <c r="D3004" i="7"/>
  <c r="E3004" i="7" s="1"/>
  <c r="D2940" i="7"/>
  <c r="D2876" i="7"/>
  <c r="F2876" i="7" s="1"/>
  <c r="D2812" i="7"/>
  <c r="D2748" i="7"/>
  <c r="D2807" i="7"/>
  <c r="D3074" i="7"/>
  <c r="D3106" i="7"/>
  <c r="D3138" i="7"/>
  <c r="F3138" i="7" s="1"/>
  <c r="D3170" i="7"/>
  <c r="F3170" i="7" s="1"/>
  <c r="D3202" i="7"/>
  <c r="D3234" i="7"/>
  <c r="D3266" i="7"/>
  <c r="E3266" i="7" s="1"/>
  <c r="D2560" i="7"/>
  <c r="F2560" i="7" s="1"/>
  <c r="D2624" i="7"/>
  <c r="D2688" i="7"/>
  <c r="E2688" i="7" s="1"/>
  <c r="D2786" i="7"/>
  <c r="E2786" i="7" s="1"/>
  <c r="D3017" i="7"/>
  <c r="F3017" i="7" s="1"/>
  <c r="D3273" i="7"/>
  <c r="D3529" i="7"/>
  <c r="F3529" i="7" s="1"/>
  <c r="D4405" i="7"/>
  <c r="D2577" i="7"/>
  <c r="F2577" i="7" s="1"/>
  <c r="D2641" i="7"/>
  <c r="F2641" i="7" s="1"/>
  <c r="D2705" i="7"/>
  <c r="D2833" i="7"/>
  <c r="E2833" i="7" s="1"/>
  <c r="D3082" i="7"/>
  <c r="F3082" i="7" s="1"/>
  <c r="D3338" i="7"/>
  <c r="E3338" i="7" s="1"/>
  <c r="D3657" i="7"/>
  <c r="D2530" i="7"/>
  <c r="E2530" i="7" s="1"/>
  <c r="D2594" i="7"/>
  <c r="E2594" i="7" s="1"/>
  <c r="D2658" i="7"/>
  <c r="F2658" i="7" s="1"/>
  <c r="D2722" i="7"/>
  <c r="D2897" i="7"/>
  <c r="E2897" i="7" s="1"/>
  <c r="D3153" i="7"/>
  <c r="E3153" i="7" s="1"/>
  <c r="D3409" i="7"/>
  <c r="D3793" i="7"/>
  <c r="F3793" i="7" s="1"/>
  <c r="D2547" i="7"/>
  <c r="E2547" i="7" s="1"/>
  <c r="D2611" i="7"/>
  <c r="E2611" i="7" s="1"/>
  <c r="D2675" i="7"/>
  <c r="E2675" i="7" s="1"/>
  <c r="D2753" i="7"/>
  <c r="D2962" i="7"/>
  <c r="D3218" i="7"/>
  <c r="D3474" i="7"/>
  <c r="D3962" i="7"/>
  <c r="D2564" i="7"/>
  <c r="E2564" i="7" s="1"/>
  <c r="D2628" i="7"/>
  <c r="E2628" i="7" s="1"/>
  <c r="D2692" i="7"/>
  <c r="E2692" i="7" s="1"/>
  <c r="D2799" i="7"/>
  <c r="E2799" i="7" s="1"/>
  <c r="D3033" i="7"/>
  <c r="F3033" i="7" s="1"/>
  <c r="D3289" i="7"/>
  <c r="E3289" i="7" s="1"/>
  <c r="D3553" i="7"/>
  <c r="D4704" i="7"/>
  <c r="E4704" i="7" s="1"/>
  <c r="D2573" i="7"/>
  <c r="F2573" i="7" s="1"/>
  <c r="D2661" i="7"/>
  <c r="E2661" i="7" s="1"/>
  <c r="D2823" i="7"/>
  <c r="E2823" i="7" s="1"/>
  <c r="D3322" i="7"/>
  <c r="E3322" i="7" s="1"/>
  <c r="D2518" i="7"/>
  <c r="E2518" i="7" s="1"/>
  <c r="D2678" i="7"/>
  <c r="F2678" i="7" s="1"/>
  <c r="D3169" i="7"/>
  <c r="E3169" i="7" s="1"/>
  <c r="D3546" i="7"/>
  <c r="F3546" i="7" s="1"/>
  <c r="D3706" i="7"/>
  <c r="E3706" i="7" s="1"/>
  <c r="D3882" i="7"/>
  <c r="E3882" i="7" s="1"/>
  <c r="D4622" i="7"/>
  <c r="F4622" i="7" s="1"/>
  <c r="D2859" i="7"/>
  <c r="D3035" i="7"/>
  <c r="E3035" i="7" s="1"/>
  <c r="D3211" i="7"/>
  <c r="E3211" i="7" s="1"/>
  <c r="D3371" i="7"/>
  <c r="D3547" i="7"/>
  <c r="D3723" i="7"/>
  <c r="E3723" i="7" s="1"/>
  <c r="D3883" i="7"/>
  <c r="E3883" i="7" s="1"/>
  <c r="D4640" i="7"/>
  <c r="D3212" i="7"/>
  <c r="E3212" i="7" s="1"/>
  <c r="D3724" i="7"/>
  <c r="E3724" i="7" s="1"/>
  <c r="D2877" i="7"/>
  <c r="F2877" i="7" s="1"/>
  <c r="D3389" i="7"/>
  <c r="E3389" i="7" s="1"/>
  <c r="D3901" i="7"/>
  <c r="E3901" i="7" s="1"/>
  <c r="D3054" i="7"/>
  <c r="D4494" i="7"/>
  <c r="F4494" i="7" s="1"/>
  <c r="D2808" i="7"/>
  <c r="E2808" i="7" s="1"/>
  <c r="D4292" i="7"/>
  <c r="E4292" i="7" s="1"/>
  <c r="D4706" i="7"/>
  <c r="D2978" i="7"/>
  <c r="E2978" i="7" s="1"/>
  <c r="D2552" i="7"/>
  <c r="E2552" i="7" s="1"/>
  <c r="D2680" i="7"/>
  <c r="F2680" i="7" s="1"/>
  <c r="D2985" i="7"/>
  <c r="E2985" i="7" s="1"/>
  <c r="D3497" i="7"/>
  <c r="D2569" i="7"/>
  <c r="D2697" i="7"/>
  <c r="E2697" i="7" s="1"/>
  <c r="D3306" i="7"/>
  <c r="E3306" i="7" s="1"/>
  <c r="D2516" i="7"/>
  <c r="E2516" i="7" s="1"/>
  <c r="D3042" i="7"/>
  <c r="E3042" i="7" s="1"/>
  <c r="D3330" i="7"/>
  <c r="E3330" i="7" s="1"/>
  <c r="D3362" i="7"/>
  <c r="F3362" i="7" s="1"/>
  <c r="D3394" i="7"/>
  <c r="D3426" i="7"/>
  <c r="F3426" i="7" s="1"/>
  <c r="D3458" i="7"/>
  <c r="D3490" i="7"/>
  <c r="F3490" i="7" s="1"/>
  <c r="D3522" i="7"/>
  <c r="F3522" i="7" s="1"/>
  <c r="D2568" i="7"/>
  <c r="E2568" i="7" s="1"/>
  <c r="D2632" i="7"/>
  <c r="E2632" i="7" s="1"/>
  <c r="D2696" i="7"/>
  <c r="D2809" i="7"/>
  <c r="D3049" i="7"/>
  <c r="E3049" i="7" s="1"/>
  <c r="D3305" i="7"/>
  <c r="F3305" i="7" s="1"/>
  <c r="D3585" i="7"/>
  <c r="E3585" i="7" s="1"/>
  <c r="D2521" i="7"/>
  <c r="E2521" i="7" s="1"/>
  <c r="D2585" i="7"/>
  <c r="F2585" i="7" s="1"/>
  <c r="D2649" i="7"/>
  <c r="D2713" i="7"/>
  <c r="F2713" i="7" s="1"/>
  <c r="D2858" i="7"/>
  <c r="D3114" i="7"/>
  <c r="E3114" i="7" s="1"/>
  <c r="D3370" i="7"/>
  <c r="D3721" i="7"/>
  <c r="F3721" i="7" s="1"/>
  <c r="D2538" i="7"/>
  <c r="E2538" i="7" s="1"/>
  <c r="D2602" i="7"/>
  <c r="D2666" i="7"/>
  <c r="E2666" i="7" s="1"/>
  <c r="D2730" i="7"/>
  <c r="D2929" i="7"/>
  <c r="D3185" i="7"/>
  <c r="F3185" i="7" s="1"/>
  <c r="D3441" i="7"/>
  <c r="D3857" i="7"/>
  <c r="E3857" i="7" s="1"/>
  <c r="D2555" i="7"/>
  <c r="D2619" i="7"/>
  <c r="E2619" i="7" s="1"/>
  <c r="D2683" i="7"/>
  <c r="D2775" i="7"/>
  <c r="E2775" i="7" s="1"/>
  <c r="D2994" i="7"/>
  <c r="D3250" i="7"/>
  <c r="F3250" i="7" s="1"/>
  <c r="D3506" i="7"/>
  <c r="E3506" i="7" s="1"/>
  <c r="D4218" i="7"/>
  <c r="E4218" i="7" s="1"/>
  <c r="D2572" i="7"/>
  <c r="F2572" i="7" s="1"/>
  <c r="D2636" i="7"/>
  <c r="E2636" i="7" s="1"/>
  <c r="D2700" i="7"/>
  <c r="E2700" i="7" s="1"/>
  <c r="D2818" i="7"/>
  <c r="F2818" i="7" s="1"/>
  <c r="D3065" i="7"/>
  <c r="E3065" i="7" s="1"/>
  <c r="D3321" i="7"/>
  <c r="E3321" i="7" s="1"/>
  <c r="D3617" i="7"/>
  <c r="F3617" i="7" s="1"/>
  <c r="D2517" i="7"/>
  <c r="E2517" i="7" s="1"/>
  <c r="D2581" i="7"/>
  <c r="E2581" i="7" s="1"/>
  <c r="D2669" i="7"/>
  <c r="D2874" i="7"/>
  <c r="F2874" i="7" s="1"/>
  <c r="D3386" i="7"/>
  <c r="F3386" i="7" s="1"/>
  <c r="D2534" i="7"/>
  <c r="F2534" i="7" s="1"/>
  <c r="D2710" i="7"/>
  <c r="E2710" i="7" s="1"/>
  <c r="D3233" i="7"/>
  <c r="D3562" i="7"/>
  <c r="F3562" i="7" s="1"/>
  <c r="D3738" i="7"/>
  <c r="D3898" i="7"/>
  <c r="D4792" i="7"/>
  <c r="E4792" i="7" s="1"/>
  <c r="D2891" i="7"/>
  <c r="E2891" i="7" s="1"/>
  <c r="D3051" i="7"/>
  <c r="D3227" i="7"/>
  <c r="D3403" i="7"/>
  <c r="D3563" i="7"/>
  <c r="E3563" i="7" s="1"/>
  <c r="D3739" i="7"/>
  <c r="E3739" i="7" s="1"/>
  <c r="D3915" i="7"/>
  <c r="E3915" i="7" s="1"/>
  <c r="D2764" i="7"/>
  <c r="E2764" i="7" s="1"/>
  <c r="D3276" i="7"/>
  <c r="E3276" i="7" s="1"/>
  <c r="D3788" i="7"/>
  <c r="D2941" i="7"/>
  <c r="E2941" i="7" s="1"/>
  <c r="D3453" i="7"/>
  <c r="E3453" i="7" s="1"/>
  <c r="D4106" i="7"/>
  <c r="F4106" i="7" s="1"/>
  <c r="D3118" i="7"/>
  <c r="F3118" i="7" s="1"/>
  <c r="D2975" i="7"/>
  <c r="E2975" i="7" s="1"/>
  <c r="D2984" i="7"/>
  <c r="E2984" i="7" s="1"/>
  <c r="D4117" i="7"/>
  <c r="D4539" i="7"/>
  <c r="F4539" i="7" s="1"/>
  <c r="D3769" i="7"/>
  <c r="E3769" i="7" s="1"/>
  <c r="D4090" i="7"/>
  <c r="F4090" i="7" s="1"/>
  <c r="D2640" i="7"/>
  <c r="D3081" i="7"/>
  <c r="F3081" i="7" s="1"/>
  <c r="D3649" i="7"/>
  <c r="F3649" i="7" s="1"/>
  <c r="D2657" i="7"/>
  <c r="D2890" i="7"/>
  <c r="D3402" i="7"/>
  <c r="E3402" i="7" s="1"/>
  <c r="D3785" i="7"/>
  <c r="E3785" i="7" s="1"/>
  <c r="D2546" i="7"/>
  <c r="D2610" i="7"/>
  <c r="D2674" i="7"/>
  <c r="D2751" i="7"/>
  <c r="F2751" i="7" s="1"/>
  <c r="D2961" i="7"/>
  <c r="E2961" i="7" s="1"/>
  <c r="D3217" i="7"/>
  <c r="D3473" i="7"/>
  <c r="D3930" i="7"/>
  <c r="E3930" i="7" s="1"/>
  <c r="D2563" i="7"/>
  <c r="E2563" i="7" s="1"/>
  <c r="D2627" i="7"/>
  <c r="F2627" i="7" s="1"/>
  <c r="D2691" i="7"/>
  <c r="E2691" i="7" s="1"/>
  <c r="D2794" i="7"/>
  <c r="D3026" i="7"/>
  <c r="D3282" i="7"/>
  <c r="D3545" i="7"/>
  <c r="E3545" i="7" s="1"/>
  <c r="D4617" i="7"/>
  <c r="F4617" i="7" s="1"/>
  <c r="D2580" i="7"/>
  <c r="E2580" i="7" s="1"/>
  <c r="D2644" i="7"/>
  <c r="F2644" i="7" s="1"/>
  <c r="D2708" i="7"/>
  <c r="F2708" i="7" s="1"/>
  <c r="D2841" i="7"/>
  <c r="D3097" i="7"/>
  <c r="F3097" i="7" s="1"/>
  <c r="D3353" i="7"/>
  <c r="D3681" i="7"/>
  <c r="E3681" i="7" s="1"/>
  <c r="D2525" i="7"/>
  <c r="E2525" i="7" s="1"/>
  <c r="D2589" i="7"/>
  <c r="E2589" i="7" s="1"/>
  <c r="D2677" i="7"/>
  <c r="D2938" i="7"/>
  <c r="D3450" i="7"/>
  <c r="E3450" i="7" s="1"/>
  <c r="D2550" i="7"/>
  <c r="D2726" i="7"/>
  <c r="D3361" i="7"/>
  <c r="D3578" i="7"/>
  <c r="F3578" i="7" s="1"/>
  <c r="D3754" i="7"/>
  <c r="D3963" i="7"/>
  <c r="F3963" i="7" s="1"/>
  <c r="D2731" i="7"/>
  <c r="D2907" i="7"/>
  <c r="D3083" i="7"/>
  <c r="E3083" i="7" s="1"/>
  <c r="D3243" i="7"/>
  <c r="F3243" i="7" s="1"/>
  <c r="D3419" i="7"/>
  <c r="E3419" i="7" s="1"/>
  <c r="D3595" i="7"/>
  <c r="F3595" i="7" s="1"/>
  <c r="D3755" i="7"/>
  <c r="E3755" i="7" s="1"/>
  <c r="D3970" i="7"/>
  <c r="E3970" i="7" s="1"/>
  <c r="D2828" i="7"/>
  <c r="E2828" i="7" s="1"/>
  <c r="D3340" i="7"/>
  <c r="F3340" i="7" s="1"/>
  <c r="D3852" i="7"/>
  <c r="E3852" i="7" s="1"/>
  <c r="D3005" i="7"/>
  <c r="D3517" i="7"/>
  <c r="E3517" i="7" s="1"/>
  <c r="D4377" i="7"/>
  <c r="E4377" i="7" s="1"/>
  <c r="D3182" i="7"/>
  <c r="D3135" i="7"/>
  <c r="E3135" i="7" s="1"/>
  <c r="D3160" i="7"/>
  <c r="F3160" i="7" s="1"/>
  <c r="D3942" i="7"/>
  <c r="E3942" i="7" s="1"/>
  <c r="D4372" i="7"/>
  <c r="E4372" i="7" s="1"/>
  <c r="D3577" i="7"/>
  <c r="E3577" i="7" s="1"/>
  <c r="D2519" i="7"/>
  <c r="E2519" i="7" s="1"/>
  <c r="D2527" i="7"/>
  <c r="E2527" i="7" s="1"/>
  <c r="D2535" i="7"/>
  <c r="D2543" i="7"/>
  <c r="D2551" i="7"/>
  <c r="F2551" i="7" s="1"/>
  <c r="D2559" i="7"/>
  <c r="E2559" i="7" s="1"/>
  <c r="D2520" i="7"/>
  <c r="E2520" i="7" s="1"/>
  <c r="D2584" i="7"/>
  <c r="D2648" i="7"/>
  <c r="E2648" i="7" s="1"/>
  <c r="D2712" i="7"/>
  <c r="E2712" i="7" s="1"/>
  <c r="D2857" i="7"/>
  <c r="E2857" i="7" s="1"/>
  <c r="D3113" i="7"/>
  <c r="F3113" i="7" s="1"/>
  <c r="D3369" i="7"/>
  <c r="F3369" i="7" s="1"/>
  <c r="D3713" i="7"/>
  <c r="E3713" i="7" s="1"/>
  <c r="D2537" i="7"/>
  <c r="D2601" i="7"/>
  <c r="D2665" i="7"/>
  <c r="E2665" i="7" s="1"/>
  <c r="D2729" i="7"/>
  <c r="E2729" i="7" s="1"/>
  <c r="D2922" i="7"/>
  <c r="D3178" i="7"/>
  <c r="E3178" i="7" s="1"/>
  <c r="D3434" i="7"/>
  <c r="F3434" i="7" s="1"/>
  <c r="D3849" i="7"/>
  <c r="D2554" i="7"/>
  <c r="E2554" i="7" s="1"/>
  <c r="D2618" i="7"/>
  <c r="D2682" i="7"/>
  <c r="E2682" i="7" s="1"/>
  <c r="D2770" i="7"/>
  <c r="D2993" i="7"/>
  <c r="E2993" i="7" s="1"/>
  <c r="D3249" i="7"/>
  <c r="E3249" i="7" s="1"/>
  <c r="D3505" i="7"/>
  <c r="F3505" i="7" s="1"/>
  <c r="D4186" i="7"/>
  <c r="E4186" i="7" s="1"/>
  <c r="D2571" i="7"/>
  <c r="D2635" i="7"/>
  <c r="E2635" i="7" s="1"/>
  <c r="D2699" i="7"/>
  <c r="E2699" i="7" s="1"/>
  <c r="D2817" i="7"/>
  <c r="F2817" i="7" s="1"/>
  <c r="D3058" i="7"/>
  <c r="F3058" i="7" s="1"/>
  <c r="D3314" i="7"/>
  <c r="F3314" i="7" s="1"/>
  <c r="D3609" i="7"/>
  <c r="E3609" i="7" s="1"/>
  <c r="D2524" i="7"/>
  <c r="F2524" i="7" s="1"/>
  <c r="D2588" i="7"/>
  <c r="D2652" i="7"/>
  <c r="D2716" i="7"/>
  <c r="D2873" i="7"/>
  <c r="E2873" i="7" s="1"/>
  <c r="D3129" i="7"/>
  <c r="E3129" i="7" s="1"/>
  <c r="D3385" i="7"/>
  <c r="F3385" i="7" s="1"/>
  <c r="D3745" i="7"/>
  <c r="D2533" i="7"/>
  <c r="E2533" i="7" s="1"/>
  <c r="D2597" i="7"/>
  <c r="D2701" i="7"/>
  <c r="D2970" i="7"/>
  <c r="D3482" i="7"/>
  <c r="D2582" i="7"/>
  <c r="F2582" i="7" s="1"/>
  <c r="D2761" i="7"/>
  <c r="D3425" i="7"/>
  <c r="D3610" i="7"/>
  <c r="E3610" i="7" s="1"/>
  <c r="D3770" i="7"/>
  <c r="F3770" i="7" s="1"/>
  <c r="D4027" i="7"/>
  <c r="E4027" i="7" s="1"/>
  <c r="D2763" i="7"/>
  <c r="D2923" i="7"/>
  <c r="D3099" i="7"/>
  <c r="E3099" i="7" s="1"/>
  <c r="D3275" i="7"/>
  <c r="F3275" i="7" s="1"/>
  <c r="D3435" i="7"/>
  <c r="E3435" i="7" s="1"/>
  <c r="D3611" i="7"/>
  <c r="F3611" i="7" s="1"/>
  <c r="D3787" i="7"/>
  <c r="D4034" i="7"/>
  <c r="D2892" i="7"/>
  <c r="E2892" i="7" s="1"/>
  <c r="D3404" i="7"/>
  <c r="D3919" i="7"/>
  <c r="E3919" i="7" s="1"/>
  <c r="D3069" i="7"/>
  <c r="F3069" i="7" s="1"/>
  <c r="D3581" i="7"/>
  <c r="F3581" i="7" s="1"/>
  <c r="D2734" i="7"/>
  <c r="E2734" i="7" s="1"/>
  <c r="D3254" i="7"/>
  <c r="E3254" i="7" s="1"/>
  <c r="D3311" i="7"/>
  <c r="E3311" i="7" s="1"/>
  <c r="D3320" i="7"/>
  <c r="D4566" i="7"/>
  <c r="D4884" i="7"/>
  <c r="E4884" i="7" s="1"/>
  <c r="D3641" i="7"/>
  <c r="F3641" i="7" s="1"/>
  <c r="D3833" i="7"/>
  <c r="F3833" i="7" s="1"/>
  <c r="D4352" i="7"/>
  <c r="E4352" i="7" s="1"/>
  <c r="D2704" i="7"/>
  <c r="E2704" i="7" s="1"/>
  <c r="D2529" i="7"/>
  <c r="L10" i="3"/>
  <c r="D2575" i="7"/>
  <c r="E2575" i="7" s="1"/>
  <c r="D2583" i="7"/>
  <c r="E2583" i="7" s="1"/>
  <c r="D2591" i="7"/>
  <c r="E2591" i="7" s="1"/>
  <c r="D2599" i="7"/>
  <c r="D2607" i="7"/>
  <c r="E2607" i="7" s="1"/>
  <c r="D2615" i="7"/>
  <c r="F2615" i="7" s="1"/>
  <c r="D2623" i="7"/>
  <c r="E2623" i="7" s="1"/>
  <c r="D2528" i="7"/>
  <c r="F2528" i="7" s="1"/>
  <c r="D2592" i="7"/>
  <c r="E2592" i="7" s="1"/>
  <c r="D2656" i="7"/>
  <c r="E2656" i="7" s="1"/>
  <c r="D2720" i="7"/>
  <c r="D2889" i="7"/>
  <c r="E2889" i="7" s="1"/>
  <c r="D3145" i="7"/>
  <c r="E3145" i="7" s="1"/>
  <c r="D3401" i="7"/>
  <c r="F3401" i="7" s="1"/>
  <c r="D3777" i="7"/>
  <c r="D2545" i="7"/>
  <c r="F2545" i="7" s="1"/>
  <c r="D2609" i="7"/>
  <c r="D2673" i="7"/>
  <c r="E2673" i="7" s="1"/>
  <c r="D2746" i="7"/>
  <c r="E2746" i="7" s="1"/>
  <c r="D2954" i="7"/>
  <c r="D3210" i="7"/>
  <c r="E3210" i="7" s="1"/>
  <c r="D3466" i="7"/>
  <c r="E3466" i="7" s="1"/>
  <c r="D3913" i="7"/>
  <c r="E3913" i="7" s="1"/>
  <c r="D2562" i="7"/>
  <c r="D2626" i="7"/>
  <c r="E2626" i="7" s="1"/>
  <c r="D2690" i="7"/>
  <c r="E2690" i="7" s="1"/>
  <c r="D2793" i="7"/>
  <c r="E2793" i="7" s="1"/>
  <c r="D3025" i="7"/>
  <c r="D3281" i="7"/>
  <c r="F3281" i="7" s="1"/>
  <c r="D3537" i="7"/>
  <c r="E3537" i="7" s="1"/>
  <c r="D4534" i="7"/>
  <c r="E4534" i="7" s="1"/>
  <c r="D2579" i="7"/>
  <c r="E2579" i="7" s="1"/>
  <c r="D2643" i="7"/>
  <c r="E2643" i="7" s="1"/>
  <c r="D2707" i="7"/>
  <c r="D2839" i="7"/>
  <c r="E2839" i="7" s="1"/>
  <c r="D3090" i="7"/>
  <c r="E3090" i="7" s="1"/>
  <c r="D3346" i="7"/>
  <c r="E3346" i="7" s="1"/>
  <c r="D3673" i="7"/>
  <c r="F3673" i="7" s="1"/>
  <c r="D2532" i="7"/>
  <c r="E2532" i="7" s="1"/>
  <c r="D2596" i="7"/>
  <c r="F2596" i="7" s="1"/>
  <c r="D2660" i="7"/>
  <c r="E2660" i="7" s="1"/>
  <c r="D2724" i="7"/>
  <c r="E2724" i="7" s="1"/>
  <c r="D2905" i="7"/>
  <c r="E2905" i="7" s="1"/>
  <c r="D3161" i="7"/>
  <c r="D3417" i="7"/>
  <c r="F3417" i="7" s="1"/>
  <c r="D3809" i="7"/>
  <c r="F3809" i="7" s="1"/>
  <c r="D2541" i="7"/>
  <c r="D2605" i="7"/>
  <c r="E2605" i="7" s="1"/>
  <c r="D2717" i="7"/>
  <c r="D3066" i="7"/>
  <c r="D3625" i="7"/>
  <c r="D2598" i="7"/>
  <c r="D2849" i="7"/>
  <c r="F2849" i="7" s="1"/>
  <c r="D3489" i="7"/>
  <c r="E3489" i="7" s="1"/>
  <c r="D3626" i="7"/>
  <c r="E3626" i="7" s="1"/>
  <c r="D3802" i="7"/>
  <c r="E3802" i="7" s="1"/>
  <c r="D4091" i="7"/>
  <c r="E4091" i="7" s="1"/>
  <c r="D2779" i="7"/>
  <c r="D2955" i="7"/>
  <c r="F2955" i="7" s="1"/>
  <c r="D3115" i="7"/>
  <c r="F3115" i="7" s="1"/>
  <c r="D3291" i="7"/>
  <c r="D3467" i="7"/>
  <c r="E3467" i="7" s="1"/>
  <c r="D3627" i="7"/>
  <c r="E3627" i="7" s="1"/>
  <c r="D3803" i="7"/>
  <c r="D4162" i="7"/>
  <c r="E4162" i="7" s="1"/>
  <c r="D2956" i="7"/>
  <c r="D3468" i="7"/>
  <c r="F3468" i="7" s="1"/>
  <c r="D4163" i="7"/>
  <c r="D3133" i="7"/>
  <c r="E3133" i="7" s="1"/>
  <c r="D3645" i="7"/>
  <c r="E3645" i="7" s="1"/>
  <c r="D2798" i="7"/>
  <c r="D3358" i="7"/>
  <c r="D3487" i="7"/>
  <c r="E3487" i="7" s="1"/>
  <c r="D3496" i="7"/>
  <c r="D4287" i="7"/>
  <c r="E4287" i="7" s="1"/>
  <c r="D4845" i="7"/>
  <c r="D3705" i="7"/>
  <c r="D3897" i="7"/>
  <c r="D2576" i="7"/>
  <c r="E2576" i="7" s="1"/>
  <c r="D2831" i="7"/>
  <c r="D3337" i="7"/>
  <c r="E3337" i="7" s="1"/>
  <c r="D2593" i="7"/>
  <c r="D2721" i="7"/>
  <c r="D3146" i="7"/>
  <c r="D2567" i="7"/>
  <c r="D2639" i="7"/>
  <c r="D2647" i="7"/>
  <c r="E2647" i="7" s="1"/>
  <c r="D2655" i="7"/>
  <c r="E2655" i="7" s="1"/>
  <c r="D2663" i="7"/>
  <c r="D2671" i="7"/>
  <c r="F2671" i="7" s="1"/>
  <c r="D2679" i="7"/>
  <c r="F2679" i="7" s="1"/>
  <c r="D2687" i="7"/>
  <c r="F2687" i="7" s="1"/>
  <c r="D2536" i="7"/>
  <c r="D2600" i="7"/>
  <c r="F2600" i="7" s="1"/>
  <c r="D2664" i="7"/>
  <c r="D2728" i="7"/>
  <c r="E2728" i="7" s="1"/>
  <c r="D2921" i="7"/>
  <c r="E2921" i="7" s="1"/>
  <c r="D3177" i="7"/>
  <c r="E3177" i="7" s="1"/>
  <c r="D3433" i="7"/>
  <c r="D3841" i="7"/>
  <c r="E3841" i="7" s="1"/>
  <c r="D2553" i="7"/>
  <c r="F2553" i="7" s="1"/>
  <c r="D2617" i="7"/>
  <c r="D2681" i="7"/>
  <c r="D2769" i="7"/>
  <c r="E2769" i="7" s="1"/>
  <c r="D2986" i="7"/>
  <c r="D3242" i="7"/>
  <c r="E3242" i="7" s="1"/>
  <c r="D3498" i="7"/>
  <c r="D4154" i="7"/>
  <c r="F4154" i="7" s="1"/>
  <c r="D2570" i="7"/>
  <c r="E2570" i="7" s="1"/>
  <c r="D2634" i="7"/>
  <c r="E2634" i="7" s="1"/>
  <c r="D2698" i="7"/>
  <c r="F2698" i="7" s="1"/>
  <c r="D2815" i="7"/>
  <c r="E2815" i="7" s="1"/>
  <c r="D3057" i="7"/>
  <c r="F3057" i="7" s="1"/>
  <c r="D3313" i="7"/>
  <c r="D3601" i="7"/>
  <c r="E3601" i="7" s="1"/>
  <c r="D2523" i="7"/>
  <c r="F2523" i="7" s="1"/>
  <c r="D2587" i="7"/>
  <c r="F2587" i="7" s="1"/>
  <c r="D2651" i="7"/>
  <c r="E2651" i="7" s="1"/>
  <c r="D2715" i="7"/>
  <c r="E2715" i="7" s="1"/>
  <c r="D2866" i="7"/>
  <c r="E2866" i="7" s="1"/>
  <c r="D3122" i="7"/>
  <c r="D3378" i="7"/>
  <c r="E3378" i="7" s="1"/>
  <c r="D3737" i="7"/>
  <c r="D2540" i="7"/>
  <c r="E2540" i="7" s="1"/>
  <c r="D2604" i="7"/>
  <c r="F2604" i="7" s="1"/>
  <c r="D2668" i="7"/>
  <c r="E2668" i="7" s="1"/>
  <c r="D2736" i="7"/>
  <c r="E2736" i="7" s="1"/>
  <c r="D2937" i="7"/>
  <c r="D3193" i="7"/>
  <c r="E3193" i="7" s="1"/>
  <c r="D3449" i="7"/>
  <c r="E3449" i="7" s="1"/>
  <c r="D3873" i="7"/>
  <c r="E3873" i="7" s="1"/>
  <c r="D2549" i="7"/>
  <c r="F2549" i="7" s="1"/>
  <c r="D2613" i="7"/>
  <c r="D2725" i="7"/>
  <c r="E2725" i="7" s="1"/>
  <c r="D3130" i="7"/>
  <c r="F3130" i="7" s="1"/>
  <c r="D3753" i="7"/>
  <c r="D2614" i="7"/>
  <c r="F2614" i="7" s="1"/>
  <c r="D2913" i="7"/>
  <c r="D3697" i="7"/>
  <c r="F3697" i="7" s="1"/>
  <c r="D3642" i="7"/>
  <c r="D3818" i="7"/>
  <c r="E3818" i="7" s="1"/>
  <c r="D4219" i="7"/>
  <c r="F4219" i="7" s="1"/>
  <c r="D2795" i="7"/>
  <c r="F2795" i="7" s="1"/>
  <c r="D2971" i="7"/>
  <c r="F2971" i="7" s="1"/>
  <c r="D3147" i="7"/>
  <c r="E3147" i="7" s="1"/>
  <c r="D3307" i="7"/>
  <c r="E3307" i="7" s="1"/>
  <c r="D3483" i="7"/>
  <c r="E3483" i="7" s="1"/>
  <c r="D3659" i="7"/>
  <c r="D3819" i="7"/>
  <c r="F3819" i="7" s="1"/>
  <c r="D4226" i="7"/>
  <c r="D3020" i="7"/>
  <c r="D3532" i="7"/>
  <c r="E3532" i="7" s="1"/>
  <c r="D4472" i="7"/>
  <c r="D3197" i="7"/>
  <c r="E3197" i="7" s="1"/>
  <c r="D3709" i="7"/>
  <c r="D2862" i="7"/>
  <c r="E2862" i="7" s="1"/>
  <c r="D3534" i="7"/>
  <c r="E3534" i="7" s="1"/>
  <c r="D3647" i="7"/>
  <c r="D3672" i="7"/>
  <c r="D4120" i="7"/>
  <c r="F4120" i="7" s="1"/>
  <c r="D4639" i="7"/>
  <c r="E4639" i="7" s="1"/>
  <c r="G21" i="3"/>
  <c r="G37" i="3" s="1"/>
  <c r="G39" i="3" s="1"/>
  <c r="G40" i="3" s="1"/>
  <c r="L21" i="3" s="1"/>
  <c r="L8" i="7" s="1"/>
  <c r="L10" i="7" s="1"/>
  <c r="E171" i="7"/>
  <c r="E3010" i="7"/>
  <c r="F2633" i="7"/>
  <c r="C15" i="7"/>
  <c r="E354" i="7" l="1"/>
  <c r="F363" i="7"/>
  <c r="F2011" i="7"/>
  <c r="F1027" i="7"/>
  <c r="F1107" i="7"/>
  <c r="E1459" i="7"/>
  <c r="E2313" i="7"/>
  <c r="F360" i="7"/>
  <c r="F1379" i="7"/>
  <c r="F835" i="7"/>
  <c r="F201" i="7"/>
  <c r="E1011" i="7"/>
  <c r="E2201" i="7"/>
  <c r="F770" i="7"/>
  <c r="F2903" i="7"/>
  <c r="E1651" i="7"/>
  <c r="E4281" i="7"/>
  <c r="F954" i="7"/>
  <c r="E1503" i="7"/>
  <c r="F2129" i="7"/>
  <c r="F384" i="7"/>
  <c r="F4232" i="7"/>
  <c r="F2161" i="7"/>
  <c r="F4357" i="7"/>
  <c r="E696" i="7"/>
  <c r="F1049" i="7"/>
  <c r="E4524" i="7"/>
  <c r="E2177" i="7"/>
  <c r="F90" i="7"/>
  <c r="F840" i="7"/>
  <c r="E691" i="7"/>
  <c r="E2361" i="7"/>
  <c r="E571" i="7"/>
  <c r="E4353" i="7"/>
  <c r="E3854" i="7"/>
  <c r="F1712" i="7"/>
  <c r="F163" i="7"/>
  <c r="F2513" i="7"/>
  <c r="F2700" i="7"/>
  <c r="E4219" i="7"/>
  <c r="E1867" i="7"/>
  <c r="E2113" i="7"/>
  <c r="E4869" i="7"/>
  <c r="E2145" i="7"/>
  <c r="E3946" i="7"/>
  <c r="F635" i="7"/>
  <c r="F4933" i="7"/>
  <c r="F4458" i="7"/>
  <c r="F465" i="7"/>
  <c r="E1163" i="7"/>
  <c r="F4942" i="7"/>
  <c r="F2209" i="7"/>
  <c r="F4475" i="7"/>
  <c r="F4366" i="7"/>
  <c r="E1104" i="7"/>
  <c r="E139" i="7"/>
  <c r="F139" i="7"/>
  <c r="E4025" i="7"/>
  <c r="F4025" i="7"/>
  <c r="E4823" i="7"/>
  <c r="E3774" i="7"/>
  <c r="F1751" i="7"/>
  <c r="F3896" i="7"/>
  <c r="F3982" i="7"/>
  <c r="F1352" i="7"/>
  <c r="E4539" i="7"/>
  <c r="F281" i="7"/>
  <c r="E376" i="7"/>
  <c r="E2417" i="7"/>
  <c r="F1003" i="7"/>
  <c r="E2797" i="7"/>
  <c r="F1219" i="7"/>
  <c r="F2257" i="7"/>
  <c r="E217" i="7"/>
  <c r="F4695" i="7"/>
  <c r="G28" i="3"/>
  <c r="L12" i="3" s="1"/>
  <c r="E3963" i="7"/>
  <c r="F1976" i="7"/>
  <c r="F419" i="7"/>
  <c r="F2457" i="7"/>
  <c r="F2846" i="7"/>
  <c r="F2409" i="7"/>
  <c r="D15" i="7"/>
  <c r="E2380" i="7"/>
  <c r="F1394" i="7"/>
  <c r="E2169" i="7"/>
  <c r="F4609" i="7"/>
  <c r="E2081" i="7"/>
  <c r="E2452" i="7"/>
  <c r="E530" i="7"/>
  <c r="E418" i="7"/>
  <c r="F1113" i="7"/>
  <c r="F154" i="7"/>
  <c r="F979" i="7"/>
  <c r="F1611" i="7"/>
  <c r="F1729" i="7"/>
  <c r="E1331" i="7"/>
  <c r="E969" i="7"/>
  <c r="F1817" i="7"/>
  <c r="F584" i="7"/>
  <c r="F337" i="7"/>
  <c r="F1600" i="7"/>
  <c r="E1233" i="7"/>
  <c r="F826" i="7"/>
  <c r="E986" i="7"/>
  <c r="F200" i="7"/>
  <c r="F2393" i="7"/>
  <c r="F802" i="7"/>
  <c r="E1560" i="7"/>
  <c r="F248" i="7"/>
  <c r="E4793" i="7"/>
  <c r="F1034" i="7"/>
  <c r="F617" i="7"/>
  <c r="F2057" i="7"/>
  <c r="F440" i="7"/>
  <c r="F4667" i="7"/>
  <c r="F195" i="7"/>
  <c r="E1129" i="7"/>
  <c r="F1555" i="7"/>
  <c r="F2198" i="7"/>
  <c r="E4430" i="7"/>
  <c r="F1168" i="7"/>
  <c r="F434" i="7"/>
  <c r="E1217" i="7"/>
  <c r="F1497" i="7"/>
  <c r="E761" i="7"/>
  <c r="F2983" i="7"/>
  <c r="E1386" i="7"/>
  <c r="E2278" i="7"/>
  <c r="F313" i="7"/>
  <c r="E849" i="7"/>
  <c r="E1507" i="7"/>
  <c r="E2472" i="7"/>
  <c r="F1659" i="7"/>
  <c r="F1883" i="7"/>
  <c r="E2118" i="7"/>
  <c r="F2757" i="7"/>
  <c r="E2338" i="7"/>
  <c r="E1602" i="7"/>
  <c r="F2020" i="7"/>
  <c r="F3389" i="7"/>
  <c r="E2390" i="7"/>
  <c r="F2330" i="7"/>
  <c r="E1770" i="7"/>
  <c r="F3309" i="7"/>
  <c r="F4119" i="7"/>
  <c r="F961" i="7"/>
  <c r="E3654" i="7"/>
  <c r="E1467" i="7"/>
  <c r="E4970" i="7"/>
  <c r="F531" i="7"/>
  <c r="E1650" i="7"/>
  <c r="E4311" i="7"/>
  <c r="F3805" i="7"/>
  <c r="E4805" i="7"/>
  <c r="F4091" i="7"/>
  <c r="F1850" i="7"/>
  <c r="F2351" i="7"/>
  <c r="E257" i="7"/>
  <c r="E2755" i="7"/>
  <c r="E2135" i="7"/>
  <c r="F3059" i="7"/>
  <c r="F3179" i="7"/>
  <c r="E3578" i="7"/>
  <c r="F4182" i="7"/>
  <c r="F2977" i="7"/>
  <c r="F2686" i="7"/>
  <c r="F3235" i="7"/>
  <c r="E2641" i="7"/>
  <c r="F2547" i="7"/>
  <c r="F3577" i="7"/>
  <c r="F2723" i="7"/>
  <c r="E3269" i="7"/>
  <c r="F3728" i="7"/>
  <c r="E3186" i="7"/>
  <c r="F2354" i="7"/>
  <c r="F4569" i="7"/>
  <c r="F937" i="7"/>
  <c r="F1273" i="7"/>
  <c r="F1937" i="7"/>
  <c r="F1346" i="7"/>
  <c r="F232" i="7"/>
  <c r="F73" i="7"/>
  <c r="E4865" i="7"/>
  <c r="E2180" i="7"/>
  <c r="F1857" i="7"/>
  <c r="E474" i="7"/>
  <c r="E2310" i="7"/>
  <c r="E921" i="7"/>
  <c r="F4731" i="7"/>
  <c r="E2336" i="7"/>
  <c r="F2370" i="7"/>
  <c r="E3703" i="7"/>
  <c r="E2508" i="7"/>
  <c r="E1257" i="7"/>
  <c r="E2497" i="7"/>
  <c r="F89" i="7"/>
  <c r="F3276" i="7"/>
  <c r="F1744" i="7"/>
  <c r="F203" i="7"/>
  <c r="F897" i="7"/>
  <c r="E49" i="7"/>
  <c r="F224" i="7"/>
  <c r="F128" i="7"/>
  <c r="F1283" i="7"/>
  <c r="E2428" i="7"/>
  <c r="F976" i="7"/>
  <c r="F379" i="7"/>
  <c r="F2299" i="7"/>
  <c r="F4055" i="7"/>
  <c r="F1537" i="7"/>
  <c r="F2445" i="7"/>
  <c r="F2365" i="7"/>
  <c r="F2495" i="7"/>
  <c r="F1059" i="7"/>
  <c r="E1737" i="7"/>
  <c r="F2152" i="7"/>
  <c r="F2347" i="7"/>
  <c r="F1090" i="7"/>
  <c r="F4064" i="7"/>
  <c r="F842" i="7"/>
  <c r="F1632" i="7"/>
  <c r="F594" i="7"/>
  <c r="E1035" i="7"/>
  <c r="E992" i="7"/>
  <c r="F56" i="7"/>
  <c r="E416" i="7"/>
  <c r="F872" i="7"/>
  <c r="F4631" i="7"/>
  <c r="F4183" i="7"/>
  <c r="F3841" i="7"/>
  <c r="F1081" i="7"/>
  <c r="F226" i="7"/>
  <c r="F2441" i="7"/>
  <c r="F2470" i="7"/>
  <c r="F387" i="7"/>
  <c r="F275" i="7"/>
  <c r="F1785" i="7"/>
  <c r="F490" i="7"/>
  <c r="F874" i="7"/>
  <c r="F1240" i="7"/>
  <c r="E673" i="7"/>
  <c r="F2163" i="7"/>
  <c r="E242" i="7"/>
  <c r="F4046" i="7"/>
  <c r="E2311" i="7"/>
  <c r="F1200" i="7"/>
  <c r="E1864" i="7"/>
  <c r="F2250" i="7"/>
  <c r="F233" i="7"/>
  <c r="F1715" i="7"/>
  <c r="F122" i="7"/>
  <c r="F578" i="7"/>
  <c r="E427" i="7"/>
  <c r="F1679" i="7"/>
  <c r="F1783" i="7"/>
  <c r="F522" i="7"/>
  <c r="E2587" i="7"/>
  <c r="F219" i="7"/>
  <c r="F2273" i="7"/>
  <c r="F1305" i="7"/>
  <c r="F450" i="7"/>
  <c r="F1272" i="7"/>
  <c r="F1242" i="7"/>
  <c r="F2197" i="7"/>
  <c r="F1106" i="7"/>
  <c r="F4664" i="7"/>
  <c r="F1530" i="7"/>
  <c r="F4155" i="7"/>
  <c r="F2353" i="7"/>
  <c r="F561" i="7"/>
  <c r="E1584" i="7"/>
  <c r="F1599" i="7"/>
  <c r="F2961" i="7"/>
  <c r="E2348" i="7"/>
  <c r="F859" i="7"/>
  <c r="E689" i="7"/>
  <c r="E1848" i="7"/>
  <c r="E728" i="7"/>
  <c r="E353" i="7"/>
  <c r="F192" i="7"/>
  <c r="F216" i="7"/>
  <c r="F1224" i="7"/>
  <c r="F2142" i="7"/>
  <c r="E2511" i="7"/>
  <c r="F2036" i="7"/>
  <c r="F2192" i="7"/>
  <c r="F3635" i="7"/>
  <c r="E2072" i="7"/>
  <c r="F2083" i="7"/>
  <c r="F2790" i="7"/>
  <c r="E1730" i="7"/>
  <c r="F2514" i="7"/>
  <c r="E2082" i="7"/>
  <c r="F2504" i="7"/>
  <c r="F1513" i="7"/>
  <c r="F3671" i="7"/>
  <c r="F2791" i="7"/>
  <c r="F2847" i="7"/>
  <c r="F1481" i="7"/>
  <c r="F593" i="7"/>
  <c r="F3956" i="7"/>
  <c r="F1570" i="7"/>
  <c r="F2053" i="7"/>
  <c r="E4421" i="7"/>
  <c r="E4583" i="7"/>
  <c r="F3008" i="7"/>
  <c r="F3775" i="7"/>
  <c r="F2518" i="7"/>
  <c r="E2397" i="7"/>
  <c r="E1114" i="7"/>
  <c r="E250" i="7"/>
  <c r="F1935" i="7"/>
  <c r="F4596" i="7"/>
  <c r="E602" i="7"/>
  <c r="E2317" i="7"/>
  <c r="F361" i="7"/>
  <c r="F106" i="7"/>
  <c r="E4540" i="7"/>
  <c r="E1992" i="7"/>
  <c r="E3305" i="7"/>
  <c r="F970" i="7"/>
  <c r="F66" i="7"/>
  <c r="F2995" i="7"/>
  <c r="F2146" i="7"/>
  <c r="E1361" i="7"/>
  <c r="F706" i="7"/>
  <c r="F1368" i="7"/>
  <c r="F801" i="7"/>
  <c r="F697" i="7"/>
  <c r="E2386" i="7"/>
  <c r="F1065" i="7"/>
  <c r="E3799" i="7"/>
  <c r="F1819" i="7"/>
  <c r="F1464" i="7"/>
  <c r="E2300" i="7"/>
  <c r="F2405" i="7"/>
  <c r="E249" i="7"/>
  <c r="F930" i="7"/>
  <c r="E856" i="7"/>
  <c r="F2399" i="7"/>
  <c r="F3420" i="7"/>
  <c r="E3503" i="7"/>
  <c r="F3254" i="7"/>
  <c r="F4812" i="7"/>
  <c r="F2396" i="7"/>
  <c r="E2874" i="7"/>
  <c r="F2352" i="7"/>
  <c r="E2342" i="7"/>
  <c r="F3711" i="7"/>
  <c r="F1010" i="7"/>
  <c r="F2420" i="7"/>
  <c r="E3033" i="7"/>
  <c r="F3311" i="7"/>
  <c r="F2251" i="7"/>
  <c r="F4084" i="7"/>
  <c r="E2418" i="7"/>
  <c r="E2182" i="7"/>
  <c r="F4628" i="7"/>
  <c r="E2658" i="7"/>
  <c r="F2691" i="7"/>
  <c r="E3643" i="7"/>
  <c r="E4932" i="7"/>
  <c r="F1743" i="7"/>
  <c r="E4028" i="7"/>
  <c r="F3204" i="7"/>
  <c r="E2387" i="7"/>
  <c r="F2852" i="7"/>
  <c r="F1250" i="7"/>
  <c r="F2869" i="7"/>
  <c r="E3430" i="7"/>
  <c r="F2918" i="7"/>
  <c r="F2064" i="7"/>
  <c r="E3664" i="7"/>
  <c r="F2793" i="7"/>
  <c r="F2358" i="7"/>
  <c r="E3115" i="7"/>
  <c r="F3248" i="7"/>
  <c r="F2075" i="7"/>
  <c r="F4696" i="7"/>
  <c r="F3001" i="7"/>
  <c r="E2679" i="7"/>
  <c r="F2552" i="7"/>
  <c r="E3572" i="7"/>
  <c r="F4300" i="7"/>
  <c r="F3306" i="7"/>
  <c r="F2460" i="7"/>
  <c r="E2002" i="7"/>
  <c r="F2912" i="7"/>
  <c r="F2128" i="7"/>
  <c r="E2561" i="7"/>
  <c r="E1587" i="7"/>
  <c r="F1881" i="7"/>
  <c r="F4878" i="7"/>
  <c r="E1923" i="7"/>
  <c r="E4465" i="7"/>
  <c r="E2596" i="7"/>
  <c r="E2025" i="7"/>
  <c r="E1707" i="7"/>
  <c r="F187" i="7"/>
  <c r="F3335" i="7"/>
  <c r="F1001" i="7"/>
  <c r="F417" i="7"/>
  <c r="E2431" i="7"/>
  <c r="E985" i="7"/>
  <c r="F2595" i="7"/>
  <c r="F171" i="7"/>
  <c r="E1601" i="7"/>
  <c r="F235" i="7"/>
  <c r="E1755" i="7"/>
  <c r="F3593" i="7"/>
  <c r="F1387" i="7"/>
  <c r="E131" i="7"/>
  <c r="E2104" i="7"/>
  <c r="F2425" i="7"/>
  <c r="F906" i="7"/>
  <c r="E2381" i="7"/>
  <c r="E306" i="7"/>
  <c r="F1288" i="7"/>
  <c r="F4522" i="7"/>
  <c r="F1595" i="7"/>
  <c r="E538" i="7"/>
  <c r="F1427" i="7"/>
  <c r="F955" i="7"/>
  <c r="E3253" i="7"/>
  <c r="E3719" i="7"/>
  <c r="F2978" i="7"/>
  <c r="F2728" i="7"/>
  <c r="E2327" i="7"/>
  <c r="E3302" i="7"/>
  <c r="E2671" i="7"/>
  <c r="F3900" i="7"/>
  <c r="F2368" i="7"/>
  <c r="F2848" i="7"/>
  <c r="F2029" i="7"/>
  <c r="E4980" i="7"/>
  <c r="F2741" i="7"/>
  <c r="F2179" i="7"/>
  <c r="F2836" i="7"/>
  <c r="E2168" i="7"/>
  <c r="F2346" i="7"/>
  <c r="F3359" i="7"/>
  <c r="E2170" i="7"/>
  <c r="E3564" i="7"/>
  <c r="F785" i="7"/>
  <c r="E2773" i="7"/>
  <c r="F2564" i="7"/>
  <c r="F2850" i="7"/>
  <c r="E3043" i="7"/>
  <c r="F2212" i="7"/>
  <c r="E3988" i="7"/>
  <c r="E3460" i="7"/>
  <c r="F3063" i="7"/>
  <c r="F3196" i="7"/>
  <c r="E2867" i="7"/>
  <c r="E2274" i="7"/>
  <c r="F2196" i="7"/>
  <c r="E1754" i="7"/>
  <c r="F1769" i="7"/>
  <c r="E1074" i="7"/>
  <c r="F3391" i="7"/>
  <c r="F3303" i="7"/>
  <c r="F2904" i="7"/>
  <c r="F2879" i="7"/>
  <c r="F3356" i="7"/>
  <c r="F4903" i="7"/>
  <c r="E3726" i="7"/>
  <c r="E2759" i="7"/>
  <c r="E3879" i="7"/>
  <c r="E3271" i="7"/>
  <c r="F4184" i="7"/>
  <c r="E4076" i="7"/>
  <c r="F4629" i="7"/>
  <c r="F4611" i="7"/>
  <c r="E2895" i="7"/>
  <c r="E4110" i="7"/>
  <c r="F3099" i="7"/>
  <c r="E4977" i="7"/>
  <c r="E4602" i="7"/>
  <c r="F4602" i="7"/>
  <c r="F4702" i="7"/>
  <c r="E4702" i="7"/>
  <c r="E3482" i="7"/>
  <c r="F3482" i="7"/>
  <c r="E4313" i="7"/>
  <c r="F4313" i="7"/>
  <c r="F3615" i="7"/>
  <c r="E4591" i="7"/>
  <c r="F3308" i="7"/>
  <c r="E3360" i="7"/>
  <c r="E3868" i="7"/>
  <c r="E3314" i="7"/>
  <c r="F3861" i="7"/>
  <c r="E2608" i="7"/>
  <c r="E4090" i="7"/>
  <c r="E4804" i="7"/>
  <c r="F3981" i="7"/>
  <c r="F3723" i="7"/>
  <c r="E3385" i="7"/>
  <c r="F3177" i="7"/>
  <c r="F1986" i="7"/>
  <c r="F2203" i="7"/>
  <c r="E2952" i="7"/>
  <c r="E4390" i="7"/>
  <c r="E3120" i="7"/>
  <c r="F2905" i="7"/>
  <c r="F3515" i="7"/>
  <c r="E3407" i="7"/>
  <c r="E3126" i="7"/>
  <c r="F2510" i="7"/>
  <c r="F3772" i="7"/>
  <c r="F3240" i="7"/>
  <c r="F280" i="7"/>
  <c r="F1967" i="7"/>
  <c r="E2936" i="7"/>
  <c r="F2936" i="7"/>
  <c r="E4190" i="7"/>
  <c r="E2785" i="7"/>
  <c r="F3755" i="7"/>
  <c r="E3536" i="7"/>
  <c r="F2957" i="7"/>
  <c r="F2379" i="7"/>
  <c r="F2538" i="7"/>
  <c r="F4753" i="7"/>
  <c r="F3740" i="7"/>
  <c r="F2579" i="7"/>
  <c r="E2551" i="7"/>
  <c r="F2032" i="7"/>
  <c r="F4701" i="7"/>
  <c r="F3880" i="7"/>
  <c r="F2756" i="7"/>
  <c r="E4468" i="7"/>
  <c r="F2828" i="7"/>
  <c r="E2955" i="7"/>
  <c r="F3194" i="7"/>
  <c r="E3717" i="7"/>
  <c r="E3297" i="7"/>
  <c r="F2822" i="7"/>
  <c r="F3075" i="7"/>
  <c r="F1298" i="7"/>
  <c r="F3197" i="7"/>
  <c r="F4380" i="7"/>
  <c r="F3990" i="7"/>
  <c r="E3386" i="7"/>
  <c r="E4265" i="7"/>
  <c r="F3684" i="7"/>
  <c r="F2842" i="7"/>
  <c r="E3592" i="7"/>
  <c r="F3052" i="7"/>
  <c r="F2747" i="7"/>
  <c r="E2231" i="7"/>
  <c r="F3285" i="7"/>
  <c r="F3602" i="7"/>
  <c r="E2515" i="7"/>
  <c r="F3042" i="7"/>
  <c r="F4391" i="7"/>
  <c r="F3448" i="7"/>
  <c r="F3077" i="7"/>
  <c r="E2910" i="7"/>
  <c r="E3416" i="7"/>
  <c r="F3334" i="7"/>
  <c r="E2229" i="7"/>
  <c r="E4813" i="7"/>
  <c r="F3624" i="7"/>
  <c r="F3214" i="7"/>
  <c r="F2653" i="7"/>
  <c r="E3505" i="7"/>
  <c r="F4684" i="7"/>
  <c r="F3810" i="7"/>
  <c r="F3521" i="7"/>
  <c r="F3163" i="7"/>
  <c r="E3788" i="7"/>
  <c r="F3788" i="7"/>
  <c r="F4592" i="7"/>
  <c r="F3640" i="7"/>
  <c r="E4872" i="7"/>
  <c r="F3583" i="7"/>
  <c r="F3350" i="7"/>
  <c r="F2626" i="7"/>
  <c r="F3301" i="7"/>
  <c r="E4385" i="7"/>
  <c r="E4172" i="7"/>
  <c r="F3183" i="7"/>
  <c r="E2964" i="7"/>
  <c r="F4301" i="7"/>
  <c r="F4402" i="7"/>
  <c r="F2563" i="7"/>
  <c r="F4703" i="7"/>
  <c r="F4189" i="7"/>
  <c r="F4292" i="7"/>
  <c r="F3154" i="7"/>
  <c r="F2987" i="7"/>
  <c r="F2838" i="7"/>
  <c r="F3315" i="7"/>
  <c r="E3652" i="7"/>
  <c r="F2576" i="7"/>
  <c r="F2734" i="7"/>
  <c r="F2789" i="7"/>
  <c r="F3722" i="7"/>
  <c r="E3006" i="7"/>
  <c r="F3006" i="7"/>
  <c r="F2796" i="7"/>
  <c r="E3878" i="7"/>
  <c r="F4811" i="7"/>
  <c r="F3504" i="7"/>
  <c r="F3328" i="7"/>
  <c r="F2993" i="7"/>
  <c r="E4501" i="7"/>
  <c r="E3417" i="7"/>
  <c r="E4502" i="7"/>
  <c r="F3246" i="7"/>
  <c r="F3689" i="7"/>
  <c r="F3259" i="7"/>
  <c r="E2565" i="7"/>
  <c r="F3469" i="7"/>
  <c r="E2816" i="7"/>
  <c r="F2816" i="7"/>
  <c r="E3495" i="7"/>
  <c r="F4500" i="7"/>
  <c r="F3701" i="7"/>
  <c r="F3165" i="7"/>
  <c r="F2844" i="7"/>
  <c r="F3091" i="7"/>
  <c r="E4984" i="7"/>
  <c r="F2873" i="7"/>
  <c r="F2685" i="7"/>
  <c r="F4924" i="7"/>
  <c r="E3890" i="7"/>
  <c r="F2665" i="7"/>
  <c r="F3009" i="7"/>
  <c r="F4412" i="7"/>
  <c r="F3464" i="7"/>
  <c r="E2614" i="7"/>
  <c r="E2702" i="7"/>
  <c r="F3209" i="7"/>
  <c r="F4914" i="7"/>
  <c r="E3809" i="7"/>
  <c r="E3102" i="7"/>
  <c r="F3813" i="7"/>
  <c r="E2972" i="7"/>
  <c r="F2692" i="7"/>
  <c r="E4516" i="7"/>
  <c r="E4099" i="7"/>
  <c r="E4004" i="7"/>
  <c r="E2826" i="7"/>
  <c r="F768" i="7"/>
  <c r="F3987" i="7"/>
  <c r="E3987" i="7"/>
  <c r="E4191" i="7"/>
  <c r="F4191" i="7"/>
  <c r="E2531" i="7"/>
  <c r="F2531" i="7"/>
  <c r="E1841" i="7"/>
  <c r="F1841" i="7"/>
  <c r="E2486" i="7"/>
  <c r="F2486" i="7"/>
  <c r="E2034" i="7"/>
  <c r="F2034" i="7"/>
  <c r="E2174" i="7"/>
  <c r="F2174" i="7"/>
  <c r="E2151" i="7"/>
  <c r="F2151" i="7"/>
  <c r="E2277" i="7"/>
  <c r="F2277" i="7"/>
  <c r="E1529" i="7"/>
  <c r="F1529" i="7"/>
  <c r="E121" i="7"/>
  <c r="F121" i="7"/>
  <c r="F4323" i="7"/>
  <c r="E4323" i="7"/>
  <c r="E3428" i="7"/>
  <c r="F3428" i="7"/>
  <c r="F3050" i="7"/>
  <c r="E3050" i="7"/>
  <c r="F4580" i="7"/>
  <c r="E4580" i="7"/>
  <c r="E3012" i="7"/>
  <c r="F3012" i="7"/>
  <c r="E3073" i="7"/>
  <c r="F3073" i="7"/>
  <c r="E2902" i="7"/>
  <c r="F2902" i="7"/>
  <c r="F3647" i="7"/>
  <c r="E3647" i="7"/>
  <c r="E3019" i="7"/>
  <c r="F3019" i="7"/>
  <c r="E4564" i="7"/>
  <c r="F4564" i="7"/>
  <c r="E3234" i="7"/>
  <c r="F3234" i="7"/>
  <c r="E2886" i="7"/>
  <c r="F2886" i="7"/>
  <c r="E3753" i="7"/>
  <c r="F3753" i="7"/>
  <c r="E3070" i="7"/>
  <c r="F3070" i="7"/>
  <c r="E3475" i="7"/>
  <c r="F3475" i="7"/>
  <c r="E2748" i="7"/>
  <c r="F2748" i="7"/>
  <c r="F3304" i="7"/>
  <c r="E3304" i="7"/>
  <c r="F2969" i="7"/>
  <c r="E2969" i="7"/>
  <c r="E2798" i="7"/>
  <c r="F2798" i="7"/>
  <c r="E4020" i="7"/>
  <c r="F4020" i="7"/>
  <c r="E2968" i="7"/>
  <c r="F2968" i="7"/>
  <c r="E2805" i="7"/>
  <c r="F2805" i="7"/>
  <c r="F2106" i="7"/>
  <c r="E2106" i="7"/>
  <c r="E2087" i="7"/>
  <c r="F2087" i="7"/>
  <c r="F146" i="7"/>
  <c r="E146" i="7"/>
  <c r="E3298" i="7"/>
  <c r="F3942" i="7"/>
  <c r="E2526" i="7"/>
  <c r="F2115" i="7"/>
  <c r="F4791" i="7"/>
  <c r="F3943" i="7"/>
  <c r="E4051" i="7"/>
  <c r="E2078" i="7"/>
  <c r="F4655" i="7"/>
  <c r="F4363" i="7"/>
  <c r="F3585" i="7"/>
  <c r="E2629" i="7"/>
  <c r="F4039" i="7"/>
  <c r="F2110" i="7"/>
  <c r="F4675" i="7"/>
  <c r="E3414" i="7"/>
  <c r="E2672" i="7"/>
  <c r="E3656" i="7"/>
  <c r="F1322" i="7"/>
  <c r="F1640" i="7"/>
  <c r="F4328" i="7"/>
  <c r="E4328" i="7"/>
  <c r="F4525" i="7"/>
  <c r="E4525" i="7"/>
  <c r="E4187" i="7"/>
  <c r="F4187" i="7"/>
  <c r="F4765" i="7"/>
  <c r="E4765" i="7"/>
  <c r="E3817" i="7"/>
  <c r="F3817" i="7"/>
  <c r="E3851" i="7"/>
  <c r="F3851" i="7"/>
  <c r="F4455" i="7"/>
  <c r="E4455" i="7"/>
  <c r="E3299" i="7"/>
  <c r="F3299" i="7"/>
  <c r="E4608" i="7"/>
  <c r="F4608" i="7"/>
  <c r="E4566" i="7"/>
  <c r="F4566" i="7"/>
  <c r="F4365" i="7"/>
  <c r="F4626" i="7"/>
  <c r="F4254" i="7"/>
  <c r="E4255" i="7"/>
  <c r="F4552" i="7"/>
  <c r="F3628" i="7"/>
  <c r="E4536" i="7"/>
  <c r="E2306" i="7"/>
  <c r="F4901" i="7"/>
  <c r="E2063" i="7"/>
  <c r="F1633" i="7"/>
  <c r="F4766" i="7"/>
  <c r="E3932" i="7"/>
  <c r="E2849" i="7"/>
  <c r="E1618" i="7"/>
  <c r="E3947" i="7"/>
  <c r="F3947" i="7"/>
  <c r="E2669" i="7"/>
  <c r="F2669" i="7"/>
  <c r="F4214" i="7"/>
  <c r="E4214" i="7"/>
  <c r="E4490" i="7"/>
  <c r="F4490" i="7"/>
  <c r="E4121" i="7"/>
  <c r="F4121" i="7"/>
  <c r="E4875" i="7"/>
  <c r="F4875" i="7"/>
  <c r="E4967" i="7"/>
  <c r="F4967" i="7"/>
  <c r="E4029" i="7"/>
  <c r="F4029" i="7"/>
  <c r="F4641" i="7"/>
  <c r="E4641" i="7"/>
  <c r="E4466" i="7"/>
  <c r="F4466" i="7"/>
  <c r="E4054" i="7"/>
  <c r="F4054" i="7"/>
  <c r="E3606" i="7"/>
  <c r="F3606" i="7"/>
  <c r="E2853" i="7"/>
  <c r="F2853" i="7"/>
  <c r="E2717" i="7"/>
  <c r="F2717" i="7"/>
  <c r="F2674" i="7"/>
  <c r="E2674" i="7"/>
  <c r="E3139" i="7"/>
  <c r="F3139" i="7"/>
  <c r="E2943" i="7"/>
  <c r="F2943" i="7"/>
  <c r="E3579" i="7"/>
  <c r="F3579" i="7"/>
  <c r="F2558" i="7"/>
  <c r="E2558" i="7"/>
  <c r="E3844" i="7"/>
  <c r="F3844" i="7"/>
  <c r="F3786" i="7"/>
  <c r="E3786" i="7"/>
  <c r="E4988" i="7"/>
  <c r="F4988" i="7"/>
  <c r="E3748" i="7"/>
  <c r="F3748" i="7"/>
  <c r="E2539" i="7"/>
  <c r="F2539" i="7"/>
  <c r="E3310" i="7"/>
  <c r="F3310" i="7"/>
  <c r="E3423" i="7"/>
  <c r="F3423" i="7"/>
  <c r="E1905" i="7"/>
  <c r="F1905" i="7"/>
  <c r="F1818" i="7"/>
  <c r="E1818" i="7"/>
  <c r="E2319" i="7"/>
  <c r="F2319" i="7"/>
  <c r="E2148" i="7"/>
  <c r="F2148" i="7"/>
  <c r="E2304" i="7"/>
  <c r="F2304" i="7"/>
  <c r="E2301" i="7"/>
  <c r="F2301" i="7"/>
  <c r="E1698" i="7"/>
  <c r="E3057" i="7"/>
  <c r="E2948" i="7"/>
  <c r="E3241" i="7"/>
  <c r="F297" i="7"/>
  <c r="F4748" i="7"/>
  <c r="E4699" i="7"/>
  <c r="F3449" i="7"/>
  <c r="F4236" i="7"/>
  <c r="E3688" i="7"/>
  <c r="F2811" i="7"/>
  <c r="E2735" i="7"/>
  <c r="E4068" i="7"/>
  <c r="F3550" i="7"/>
  <c r="F1921" i="7"/>
  <c r="E1170" i="7"/>
  <c r="F3247" i="7"/>
  <c r="E2911" i="7"/>
  <c r="F4565" i="7"/>
  <c r="E4143" i="7"/>
  <c r="F3396" i="7"/>
  <c r="F2738" i="7"/>
  <c r="E4590" i="7"/>
  <c r="F4590" i="7"/>
  <c r="F4561" i="7"/>
  <c r="E4561" i="7"/>
  <c r="E2779" i="7"/>
  <c r="F2779" i="7"/>
  <c r="F3590" i="7"/>
  <c r="E3590" i="7"/>
  <c r="F3088" i="7"/>
  <c r="E3088" i="7"/>
  <c r="F4440" i="7"/>
  <c r="E4440" i="7"/>
  <c r="E3704" i="7"/>
  <c r="F3704" i="7"/>
  <c r="E3498" i="7"/>
  <c r="F3498" i="7"/>
  <c r="E3016" i="7"/>
  <c r="F3016" i="7"/>
  <c r="E3716" i="7"/>
  <c r="F3716" i="7"/>
  <c r="E4052" i="7"/>
  <c r="F4052" i="7"/>
  <c r="F3666" i="7"/>
  <c r="E3666" i="7"/>
  <c r="F4045" i="7"/>
  <c r="E4045" i="7"/>
  <c r="F3559" i="7"/>
  <c r="E3559" i="7"/>
  <c r="E2931" i="7"/>
  <c r="F2931" i="7"/>
  <c r="E4476" i="7"/>
  <c r="F4476" i="7"/>
  <c r="F3424" i="7"/>
  <c r="E3424" i="7"/>
  <c r="E3261" i="7"/>
  <c r="F3261" i="7"/>
  <c r="E3317" i="7"/>
  <c r="F3317" i="7"/>
  <c r="E2287" i="7"/>
  <c r="F2287" i="7"/>
  <c r="F4253" i="7"/>
  <c r="E3422" i="7"/>
  <c r="F3893" i="7"/>
  <c r="F2026" i="7"/>
  <c r="F3785" i="7"/>
  <c r="F2282" i="7"/>
  <c r="E3229" i="7"/>
  <c r="E2820" i="7"/>
  <c r="F2427" i="7"/>
  <c r="E3098" i="7"/>
  <c r="F1585" i="7"/>
  <c r="F1808" i="7"/>
  <c r="E4841" i="7"/>
  <c r="F4841" i="7"/>
  <c r="F4726" i="7"/>
  <c r="E4726" i="7"/>
  <c r="F4160" i="7"/>
  <c r="E4160" i="7"/>
  <c r="F4354" i="7"/>
  <c r="E4354" i="7"/>
  <c r="E4996" i="7"/>
  <c r="F4996" i="7"/>
  <c r="E4163" i="7"/>
  <c r="F4163" i="7"/>
  <c r="E3954" i="7"/>
  <c r="F3954" i="7"/>
  <c r="E4877" i="7"/>
  <c r="F4877" i="7"/>
  <c r="F2754" i="7"/>
  <c r="E2754" i="7"/>
  <c r="E3392" i="7"/>
  <c r="F3392" i="7"/>
  <c r="F2766" i="7"/>
  <c r="E2766" i="7"/>
  <c r="F3569" i="7"/>
  <c r="E3569" i="7"/>
  <c r="F3455" i="7"/>
  <c r="E3455" i="7"/>
  <c r="F3925" i="7"/>
  <c r="E3925" i="7"/>
  <c r="E3508" i="7"/>
  <c r="F3508" i="7"/>
  <c r="E4868" i="7"/>
  <c r="F4868" i="7"/>
  <c r="E3699" i="7"/>
  <c r="F3699" i="7"/>
  <c r="E3361" i="7"/>
  <c r="F3361" i="7"/>
  <c r="F3051" i="7"/>
  <c r="E3051" i="7"/>
  <c r="E2855" i="7"/>
  <c r="F2855" i="7"/>
  <c r="F3106" i="7"/>
  <c r="E3106" i="7"/>
  <c r="F3025" i="7"/>
  <c r="E3025" i="7"/>
  <c r="F2854" i="7"/>
  <c r="E2854" i="7"/>
  <c r="E2422" i="7"/>
  <c r="F2422" i="7"/>
  <c r="E2315" i="7"/>
  <c r="F2315" i="7"/>
  <c r="E1914" i="7"/>
  <c r="F1914" i="7"/>
  <c r="E2246" i="7"/>
  <c r="F2246" i="7"/>
  <c r="F1377" i="7"/>
  <c r="E1377" i="7"/>
  <c r="F3679" i="7"/>
  <c r="E4154" i="7"/>
  <c r="E4666" i="7"/>
  <c r="E4356" i="7"/>
  <c r="E2283" i="7"/>
  <c r="E2545" i="7"/>
  <c r="F2764" i="7"/>
  <c r="F4978" i="7"/>
  <c r="F3533" i="7"/>
  <c r="F3228" i="7"/>
  <c r="F2823" i="7"/>
  <c r="E2019" i="7"/>
  <c r="E2167" i="7"/>
  <c r="F4704" i="7"/>
  <c r="E3000" i="7"/>
  <c r="E1050" i="7"/>
  <c r="E3480" i="7"/>
  <c r="F3402" i="7"/>
  <c r="E2627" i="7"/>
  <c r="F2477" i="7"/>
  <c r="F1834" i="7"/>
  <c r="F3127" i="7"/>
  <c r="F3349" i="7"/>
  <c r="E2678" i="7"/>
  <c r="F2729" i="7"/>
  <c r="F2388" i="7"/>
  <c r="E4532" i="7"/>
  <c r="E3646" i="7"/>
  <c r="F3646" i="7"/>
  <c r="F4966" i="7"/>
  <c r="E4966" i="7"/>
  <c r="E3549" i="7"/>
  <c r="F3549" i="7"/>
  <c r="E3783" i="7"/>
  <c r="F3783" i="7"/>
  <c r="E3471" i="7"/>
  <c r="F3471" i="7"/>
  <c r="E3568" i="7"/>
  <c r="F3568" i="7"/>
  <c r="F3787" i="7"/>
  <c r="E3787" i="7"/>
  <c r="E2937" i="7"/>
  <c r="F2937" i="7"/>
  <c r="E3278" i="7"/>
  <c r="F3278" i="7"/>
  <c r="E3398" i="7"/>
  <c r="F3398" i="7"/>
  <c r="E2792" i="7"/>
  <c r="F2792" i="7"/>
  <c r="E3141" i="7"/>
  <c r="F3141" i="7"/>
  <c r="E3600" i="7"/>
  <c r="F3600" i="7"/>
  <c r="E3476" i="7"/>
  <c r="F3476" i="7"/>
  <c r="E3367" i="7"/>
  <c r="F3367" i="7"/>
  <c r="E2749" i="7"/>
  <c r="F2749" i="7"/>
  <c r="F3735" i="7"/>
  <c r="E3735" i="7"/>
  <c r="E3366" i="7"/>
  <c r="F3366" i="7"/>
  <c r="E2263" i="7"/>
  <c r="F2263" i="7"/>
  <c r="E2482" i="7"/>
  <c r="F2482" i="7"/>
  <c r="F2463" i="7"/>
  <c r="E2463" i="7"/>
  <c r="E2284" i="7"/>
  <c r="F2284" i="7"/>
  <c r="E2440" i="7"/>
  <c r="F2440" i="7"/>
  <c r="E1105" i="7"/>
  <c r="F1105" i="7"/>
  <c r="E2446" i="7"/>
  <c r="F2446" i="7"/>
  <c r="F1794" i="7"/>
  <c r="E1794" i="7"/>
  <c r="E595" i="7"/>
  <c r="F595" i="7"/>
  <c r="E1280" i="7"/>
  <c r="F1280" i="7"/>
  <c r="E2450" i="7"/>
  <c r="F2450" i="7"/>
  <c r="E2116" i="7"/>
  <c r="F2116" i="7"/>
  <c r="F2133" i="7"/>
  <c r="E2133" i="7"/>
  <c r="F2272" i="7"/>
  <c r="E2272" i="7"/>
  <c r="E2266" i="7"/>
  <c r="F2266" i="7"/>
  <c r="F2099" i="7"/>
  <c r="E2099" i="7"/>
  <c r="E2444" i="7"/>
  <c r="F2444" i="7"/>
  <c r="E2406" i="7"/>
  <c r="F2406" i="7"/>
  <c r="F1218" i="7"/>
  <c r="E1218" i="7"/>
  <c r="F1226" i="7"/>
  <c r="E1226" i="7"/>
  <c r="F1696" i="7"/>
  <c r="E1696" i="7"/>
  <c r="E938" i="7"/>
  <c r="F938" i="7"/>
  <c r="E1336" i="7"/>
  <c r="F1336" i="7"/>
  <c r="E74" i="7"/>
  <c r="F74" i="7"/>
  <c r="E352" i="7"/>
  <c r="F352" i="7"/>
  <c r="E1297" i="7"/>
  <c r="F1297" i="7"/>
  <c r="E1663" i="7"/>
  <c r="F1663" i="7"/>
  <c r="E866" i="7"/>
  <c r="F866" i="7"/>
  <c r="E1264" i="7"/>
  <c r="F1264" i="7"/>
  <c r="F514" i="7"/>
  <c r="E514" i="7"/>
  <c r="F264" i="7"/>
  <c r="E264" i="7"/>
  <c r="E707" i="7"/>
  <c r="F707" i="7"/>
  <c r="F1847" i="7"/>
  <c r="E1847" i="7"/>
  <c r="E1145" i="7"/>
  <c r="F1145" i="7"/>
  <c r="E633" i="7"/>
  <c r="F633" i="7"/>
  <c r="E936" i="7"/>
  <c r="F936" i="7"/>
  <c r="E186" i="7"/>
  <c r="F186" i="7"/>
  <c r="E512" i="7"/>
  <c r="F512" i="7"/>
  <c r="E1458" i="7"/>
  <c r="F1458" i="7"/>
  <c r="E1928" i="7"/>
  <c r="F1928" i="7"/>
  <c r="E1416" i="7"/>
  <c r="F1416" i="7"/>
  <c r="E658" i="7"/>
  <c r="F658" i="7"/>
  <c r="E753" i="7"/>
  <c r="F753" i="7"/>
  <c r="E1056" i="7"/>
  <c r="F1056" i="7"/>
  <c r="E648" i="7"/>
  <c r="F648" i="7"/>
  <c r="E1337" i="7"/>
  <c r="F1337" i="7"/>
  <c r="E1664" i="7"/>
  <c r="F1664" i="7"/>
  <c r="E1304" i="7"/>
  <c r="F1304" i="7"/>
  <c r="E792" i="7"/>
  <c r="F792" i="7"/>
  <c r="E554" i="7"/>
  <c r="F554" i="7"/>
  <c r="E4114" i="7"/>
  <c r="F4114" i="7"/>
  <c r="F3978" i="7"/>
  <c r="E3978" i="7"/>
  <c r="E4193" i="7"/>
  <c r="F4193" i="7"/>
  <c r="E4866" i="7"/>
  <c r="F4866" i="7"/>
  <c r="E3622" i="7"/>
  <c r="F3622" i="7"/>
  <c r="F4767" i="7"/>
  <c r="E4767" i="7"/>
  <c r="E3155" i="7"/>
  <c r="F3155" i="7"/>
  <c r="E2959" i="7"/>
  <c r="F2959" i="7"/>
  <c r="E4444" i="7"/>
  <c r="F4444" i="7"/>
  <c r="E3100" i="7"/>
  <c r="F3100" i="7"/>
  <c r="E2880" i="7"/>
  <c r="F2880" i="7"/>
  <c r="E3542" i="7"/>
  <c r="F3542" i="7"/>
  <c r="E3481" i="7"/>
  <c r="F3481" i="7"/>
  <c r="E2837" i="7"/>
  <c r="F2837" i="7"/>
  <c r="E3371" i="7"/>
  <c r="F3371" i="7"/>
  <c r="F2618" i="7"/>
  <c r="E2618" i="7"/>
  <c r="F3184" i="7"/>
  <c r="E3184" i="7"/>
  <c r="E3021" i="7"/>
  <c r="F3021" i="7"/>
  <c r="E3190" i="7"/>
  <c r="F3190" i="7"/>
  <c r="E3964" i="7"/>
  <c r="F3964" i="7"/>
  <c r="F2882" i="7"/>
  <c r="E2882" i="7"/>
  <c r="E2546" i="7"/>
  <c r="F2546" i="7"/>
  <c r="E3107" i="7"/>
  <c r="F3107" i="7"/>
  <c r="E2350" i="7"/>
  <c r="F2350" i="7"/>
  <c r="F1194" i="7"/>
  <c r="E1194" i="7"/>
  <c r="E2165" i="7"/>
  <c r="F2165" i="7"/>
  <c r="E2451" i="7"/>
  <c r="F2451" i="7"/>
  <c r="E1434" i="7"/>
  <c r="F1434" i="7"/>
  <c r="F1378" i="7"/>
  <c r="E1378" i="7"/>
  <c r="E2139" i="7"/>
  <c r="F2139" i="7"/>
  <c r="F2501" i="7"/>
  <c r="E2501" i="7"/>
  <c r="F1825" i="7"/>
  <c r="E1825" i="7"/>
  <c r="F2186" i="7"/>
  <c r="E2186" i="7"/>
  <c r="F2001" i="7"/>
  <c r="E2001" i="7"/>
  <c r="E2364" i="7"/>
  <c r="F2364" i="7"/>
  <c r="E2326" i="7"/>
  <c r="F2326" i="7"/>
  <c r="E129" i="7"/>
  <c r="F129" i="7"/>
  <c r="E2222" i="7"/>
  <c r="F2222" i="7"/>
  <c r="E2461" i="7"/>
  <c r="F2461" i="7"/>
  <c r="F2247" i="7"/>
  <c r="E2247" i="7"/>
  <c r="F1369" i="7"/>
  <c r="E1369" i="7"/>
  <c r="E1033" i="7"/>
  <c r="F1033" i="7"/>
  <c r="F824" i="7"/>
  <c r="E824" i="7"/>
  <c r="E185" i="7"/>
  <c r="F185" i="7"/>
  <c r="E147" i="7"/>
  <c r="F147" i="7"/>
  <c r="F1624" i="7"/>
  <c r="E1624" i="7"/>
  <c r="F752" i="7"/>
  <c r="E752" i="7"/>
  <c r="E32" i="7"/>
  <c r="F32" i="7"/>
  <c r="E113" i="7"/>
  <c r="F113" i="7"/>
  <c r="F4350" i="7"/>
  <c r="E3365" i="7"/>
  <c r="F3092" i="7"/>
  <c r="E2484" i="7"/>
  <c r="E2088" i="7"/>
  <c r="E3767" i="7"/>
  <c r="E2615" i="7"/>
  <c r="E3468" i="7"/>
  <c r="F3537" i="7"/>
  <c r="F2643" i="7"/>
  <c r="F611" i="7"/>
  <c r="F642" i="7"/>
  <c r="F890" i="7"/>
  <c r="F1912" i="7"/>
  <c r="F632" i="7"/>
  <c r="E296" i="7"/>
  <c r="E401" i="7"/>
  <c r="F737" i="7"/>
  <c r="F1040" i="7"/>
  <c r="E1040" i="7"/>
  <c r="E290" i="7"/>
  <c r="F290" i="7"/>
  <c r="E1687" i="7"/>
  <c r="F1687" i="7"/>
  <c r="E776" i="7"/>
  <c r="F776" i="7"/>
  <c r="E288" i="7"/>
  <c r="F288" i="7"/>
  <c r="E259" i="7"/>
  <c r="F259" i="7"/>
  <c r="E851" i="7"/>
  <c r="F851" i="7"/>
  <c r="F747" i="7"/>
  <c r="E747" i="7"/>
  <c r="E320" i="7"/>
  <c r="F320" i="7"/>
  <c r="E499" i="7"/>
  <c r="F499" i="7"/>
  <c r="E1400" i="7"/>
  <c r="F1400" i="7"/>
  <c r="F137" i="7"/>
  <c r="E153" i="7"/>
  <c r="E1154" i="7"/>
  <c r="E403" i="7"/>
  <c r="E1321" i="7"/>
  <c r="E1648" i="7"/>
  <c r="F312" i="7"/>
  <c r="F4352" i="7"/>
  <c r="E4376" i="7"/>
  <c r="E4944" i="7"/>
  <c r="E3557" i="7"/>
  <c r="E4563" i="7"/>
  <c r="F3842" i="7"/>
  <c r="F4700" i="7"/>
  <c r="E3686" i="7"/>
  <c r="F2724" i="7"/>
  <c r="F4415" i="7"/>
  <c r="E4349" i="7"/>
  <c r="E2768" i="7"/>
  <c r="E4737" i="7"/>
  <c r="F4661" i="7"/>
  <c r="F2647" i="7"/>
  <c r="F4927" i="7"/>
  <c r="E4400" i="7"/>
  <c r="F4848" i="7"/>
  <c r="F3599" i="7"/>
  <c r="F4905" i="7"/>
  <c r="F4078" i="7"/>
  <c r="E3992" i="7"/>
  <c r="F4454" i="7"/>
  <c r="E4588" i="7"/>
  <c r="E4144" i="7"/>
  <c r="E4389" i="7"/>
  <c r="F2989" i="7"/>
  <c r="E3486" i="7"/>
  <c r="E4550" i="7"/>
  <c r="F4264" i="7"/>
  <c r="E3811" i="7"/>
  <c r="F4835" i="7"/>
  <c r="F4105" i="7"/>
  <c r="E4279" i="7"/>
  <c r="E4962" i="7"/>
  <c r="E4038" i="7"/>
  <c r="E4861" i="7"/>
  <c r="E4450" i="7"/>
  <c r="F4147" i="7"/>
  <c r="F3294" i="7"/>
  <c r="F3984" i="7"/>
  <c r="E5013" i="7"/>
  <c r="E2967" i="7"/>
  <c r="E2930" i="7"/>
  <c r="E4617" i="7"/>
  <c r="E4429" i="7"/>
  <c r="E4508" i="7"/>
  <c r="F4319" i="7"/>
  <c r="F3768" i="7"/>
  <c r="F3038" i="7"/>
  <c r="E3633" i="7"/>
  <c r="E4627" i="7"/>
  <c r="F4006" i="7"/>
  <c r="F3804" i="7"/>
  <c r="F4544" i="7"/>
  <c r="F3915" i="7"/>
  <c r="E4174" i="7"/>
  <c r="E4145" i="7"/>
  <c r="F4149" i="7"/>
  <c r="E4939" i="7"/>
  <c r="E4299" i="7"/>
  <c r="E4945" i="7"/>
  <c r="E4302" i="7"/>
  <c r="E4659" i="7"/>
  <c r="F3713" i="7"/>
  <c r="F3266" i="7"/>
  <c r="E4491" i="7"/>
  <c r="E3250" i="7"/>
  <c r="E4708" i="7"/>
  <c r="F4517" i="7"/>
  <c r="E4693" i="7"/>
  <c r="E4603" i="7"/>
  <c r="F4010" i="7"/>
  <c r="F4560" i="7"/>
  <c r="F4152" i="7"/>
  <c r="F5011" i="7"/>
  <c r="E4494" i="7"/>
  <c r="F4293" i="7"/>
  <c r="F4071" i="7"/>
  <c r="E4181" i="7"/>
  <c r="E4622" i="7"/>
  <c r="E4048" i="7"/>
  <c r="E4825" i="7"/>
  <c r="F4317" i="7"/>
  <c r="F4377" i="7"/>
  <c r="F3379" i="7"/>
  <c r="F4537" i="7"/>
  <c r="F4816" i="7"/>
  <c r="F3882" i="7"/>
  <c r="F4320" i="7"/>
  <c r="E4906" i="7"/>
  <c r="E4987" i="7"/>
  <c r="F4832" i="7"/>
  <c r="E4408" i="7"/>
  <c r="F4394" i="7"/>
  <c r="F4576" i="7"/>
  <c r="F4209" i="7"/>
  <c r="F4828" i="7"/>
  <c r="F4012" i="7"/>
  <c r="F4721" i="7"/>
  <c r="E3611" i="7"/>
  <c r="F4168" i="7"/>
  <c r="F4112" i="7"/>
  <c r="F2689" i="7"/>
  <c r="F3972" i="7"/>
  <c r="E3071" i="7"/>
  <c r="E2176" i="7"/>
  <c r="F4572" i="7"/>
  <c r="F2857" i="7"/>
  <c r="E2144" i="7"/>
  <c r="F1866" i="7"/>
  <c r="F4482" i="7"/>
  <c r="F4912" i="7"/>
  <c r="F2483" i="7"/>
  <c r="F2253" i="7"/>
  <c r="F3322" i="7"/>
  <c r="E425" i="7"/>
  <c r="E202" i="7"/>
  <c r="F4952" i="7"/>
  <c r="E4148" i="7"/>
  <c r="E2616" i="7"/>
  <c r="F3609" i="7"/>
  <c r="F3030" i="7"/>
  <c r="F2575" i="7"/>
  <c r="F2015" i="7"/>
  <c r="E2187" i="7"/>
  <c r="E4072" i="7"/>
  <c r="E2926" i="7"/>
  <c r="F2527" i="7"/>
  <c r="F2771" i="7"/>
  <c r="E4692" i="7"/>
  <c r="E3665" i="7"/>
  <c r="F3096" i="7"/>
  <c r="E2303" i="7"/>
  <c r="F3283" i="7"/>
  <c r="E2920" i="7"/>
  <c r="F1201" i="7"/>
  <c r="F3147" i="7"/>
  <c r="F2058" i="7"/>
  <c r="F1370" i="7"/>
  <c r="F923" i="7"/>
  <c r="F251" i="7"/>
  <c r="E994" i="7"/>
  <c r="F904" i="7"/>
  <c r="E1064" i="7"/>
  <c r="F2322" i="7"/>
  <c r="E3014" i="7"/>
  <c r="E2553" i="7"/>
  <c r="E2294" i="7"/>
  <c r="F3707" i="7"/>
  <c r="E3201" i="7"/>
  <c r="F1211" i="7"/>
  <c r="F179" i="7"/>
  <c r="F882" i="7"/>
  <c r="F2965" i="7"/>
  <c r="E51" i="7"/>
  <c r="E1776" i="7"/>
  <c r="E529" i="7"/>
  <c r="F1567" i="7"/>
  <c r="F3608" i="7"/>
  <c r="F4060" i="7"/>
  <c r="E3636" i="7"/>
  <c r="F3316" i="7"/>
  <c r="E3185" i="7"/>
  <c r="E2780" i="7"/>
  <c r="F2403" i="7"/>
  <c r="E2323" i="7"/>
  <c r="F4273" i="7"/>
  <c r="E1882" i="7"/>
  <c r="F130" i="7"/>
  <c r="F4604" i="7"/>
  <c r="E3501" i="7"/>
  <c r="E1865" i="7"/>
  <c r="E4648" i="7"/>
  <c r="E3721" i="7"/>
  <c r="F3198" i="7"/>
  <c r="F307" i="7"/>
  <c r="F920" i="7"/>
  <c r="F91" i="7"/>
  <c r="E1147" i="7"/>
  <c r="E2154" i="7"/>
  <c r="E2951" i="7"/>
  <c r="E2933" i="7"/>
  <c r="F4179" i="7"/>
  <c r="F3491" i="7"/>
  <c r="F3489" i="7"/>
  <c r="E3130" i="7"/>
  <c r="F2500" i="7"/>
  <c r="E3479" i="7"/>
  <c r="E3522" i="7"/>
  <c r="F3312" i="7"/>
  <c r="E2178" i="7"/>
  <c r="E3694" i="7"/>
  <c r="F2039" i="7"/>
  <c r="F2673" i="7"/>
  <c r="F4649" i="7"/>
  <c r="E4364" i="7"/>
  <c r="E2925" i="7"/>
  <c r="F3784" i="7"/>
  <c r="E2698" i="7"/>
  <c r="E2318" i="7"/>
  <c r="E3833" i="7"/>
  <c r="E2305" i="7"/>
  <c r="E1577" i="7"/>
  <c r="F881" i="7"/>
  <c r="F75" i="7"/>
  <c r="F1259" i="7"/>
  <c r="F3830" i="7"/>
  <c r="F3244" i="7"/>
  <c r="F3442" i="7"/>
  <c r="F2718" i="7"/>
  <c r="E3082" i="7"/>
  <c r="F3790" i="7"/>
  <c r="F3872" i="7"/>
  <c r="F3970" i="7"/>
  <c r="F3626" i="7"/>
  <c r="E3490" i="7"/>
  <c r="E3144" i="7"/>
  <c r="F4653" i="7"/>
  <c r="F4890" i="7"/>
  <c r="E4691" i="7"/>
  <c r="F4451" i="7"/>
  <c r="E2708" i="7"/>
  <c r="E4618" i="7"/>
  <c r="F4027" i="7"/>
  <c r="F3535" i="7"/>
  <c r="F4854" i="7"/>
  <c r="E4271" i="7"/>
  <c r="E3952" i="7"/>
  <c r="E4460" i="7"/>
  <c r="E4106" i="7"/>
  <c r="F4031" i="7"/>
  <c r="F4989" i="7"/>
  <c r="E3084" i="7"/>
  <c r="F4213" i="7"/>
  <c r="E3529" i="7"/>
  <c r="F1267" i="7"/>
  <c r="F3558" i="7"/>
  <c r="F1875" i="7"/>
  <c r="F4778" i="7"/>
  <c r="F4677" i="7"/>
  <c r="F4787" i="7"/>
  <c r="E4963" i="7"/>
  <c r="E3966" i="7"/>
  <c r="E4990" i="7"/>
  <c r="E4613" i="7"/>
  <c r="E4239" i="7"/>
  <c r="F4283" i="7"/>
  <c r="F2788" i="7"/>
  <c r="F3210" i="7"/>
  <c r="F4862" i="7"/>
  <c r="E4505" i="7"/>
  <c r="E4971" i="7"/>
  <c r="F3675" i="7"/>
  <c r="F683" i="7"/>
  <c r="F2648" i="7"/>
  <c r="F266" i="7"/>
  <c r="E1578" i="7"/>
  <c r="E665" i="7"/>
  <c r="F329" i="7"/>
  <c r="E4930" i="7"/>
  <c r="F4919" i="7"/>
  <c r="F4381" i="7"/>
  <c r="F4141" i="7"/>
  <c r="F3145" i="7"/>
  <c r="F4894" i="7"/>
  <c r="F3979" i="7"/>
  <c r="F3128" i="7"/>
  <c r="F3267" i="7"/>
  <c r="F2981" i="7"/>
  <c r="F2982" i="7"/>
  <c r="F2800" i="7"/>
  <c r="F2155" i="7"/>
  <c r="F3357" i="7"/>
  <c r="F2373" i="7"/>
  <c r="E5005" i="7"/>
  <c r="F3450" i="7"/>
  <c r="F2825" i="7"/>
  <c r="F1066" i="7"/>
  <c r="F1746" i="7"/>
  <c r="F4342" i="7"/>
  <c r="F3756" i="7"/>
  <c r="F4893" i="7"/>
  <c r="F3661" i="7"/>
  <c r="E4196" i="7"/>
  <c r="F3610" i="7"/>
  <c r="F3153" i="7"/>
  <c r="E2914" i="7"/>
  <c r="F2939" i="7"/>
  <c r="F2490" i="7"/>
  <c r="F1498" i="7"/>
  <c r="E4827" i="7"/>
  <c r="F3687" i="7"/>
  <c r="F2316" i="7"/>
  <c r="F2119" i="7"/>
  <c r="E2138" i="7"/>
  <c r="F4315" i="7"/>
  <c r="E2159" i="7"/>
  <c r="F2156" i="7"/>
  <c r="F2806" i="7"/>
  <c r="E4113" i="7"/>
  <c r="F3438" i="7"/>
  <c r="E1801" i="7"/>
  <c r="E2471" i="7"/>
  <c r="F1018" i="7"/>
  <c r="E3149" i="7"/>
  <c r="F4082" i="7"/>
  <c r="E3697" i="7"/>
  <c r="F3881" i="7"/>
  <c r="F3040" i="7"/>
  <c r="E2743" i="7"/>
  <c r="F2158" i="7"/>
  <c r="F3702" i="7"/>
  <c r="E4705" i="7"/>
  <c r="E2585" i="7"/>
  <c r="E4794" i="7"/>
  <c r="E3837" i="7"/>
  <c r="F2932" i="7"/>
  <c r="E5014" i="7"/>
  <c r="E3463" i="7"/>
  <c r="F2312" i="7"/>
  <c r="F1791" i="7"/>
  <c r="E4289" i="7"/>
  <c r="F4289" i="7"/>
  <c r="E4803" i="7"/>
  <c r="F4803" i="7"/>
  <c r="E2980" i="7"/>
  <c r="F2980" i="7"/>
  <c r="E3404" i="7"/>
  <c r="F3404" i="7"/>
  <c r="E2499" i="7"/>
  <c r="F2499" i="7"/>
  <c r="E1983" i="7"/>
  <c r="F1983" i="7"/>
  <c r="E513" i="7"/>
  <c r="F513" i="7"/>
  <c r="E1089" i="7"/>
  <c r="F1089" i="7"/>
  <c r="F1392" i="7"/>
  <c r="E1392" i="7"/>
  <c r="F880" i="7"/>
  <c r="E880" i="7"/>
  <c r="E432" i="7"/>
  <c r="F432" i="7"/>
  <c r="E1936" i="7"/>
  <c r="F1936" i="7"/>
  <c r="E1424" i="7"/>
  <c r="F1424" i="7"/>
  <c r="E666" i="7"/>
  <c r="F666" i="7"/>
  <c r="E314" i="7"/>
  <c r="F314" i="7"/>
  <c r="E656" i="7"/>
  <c r="F656" i="7"/>
  <c r="E1586" i="7"/>
  <c r="F1586" i="7"/>
  <c r="E1544" i="7"/>
  <c r="F1544" i="7"/>
  <c r="F1792" i="7"/>
  <c r="E1792" i="7"/>
  <c r="E1528" i="7"/>
  <c r="F1528" i="7"/>
  <c r="F865" i="7"/>
  <c r="E865" i="7"/>
  <c r="E1815" i="7"/>
  <c r="F1815" i="7"/>
  <c r="E601" i="7"/>
  <c r="F601" i="7"/>
  <c r="E265" i="7"/>
  <c r="F265" i="7"/>
  <c r="E267" i="7"/>
  <c r="F267" i="7"/>
  <c r="F4166" i="7"/>
  <c r="E4166" i="7"/>
  <c r="E4587" i="7"/>
  <c r="F4587" i="7"/>
  <c r="E4277" i="7"/>
  <c r="F4277" i="7"/>
  <c r="E4242" i="7"/>
  <c r="F4242" i="7"/>
  <c r="E3895" i="7"/>
  <c r="F3895" i="7"/>
  <c r="E3905" i="7"/>
  <c r="F3905" i="7"/>
  <c r="E4180" i="7"/>
  <c r="F4180" i="7"/>
  <c r="E3523" i="7"/>
  <c r="F3523" i="7"/>
  <c r="E3318" i="7"/>
  <c r="F3318" i="7"/>
  <c r="E2834" i="7"/>
  <c r="F2834" i="7"/>
  <c r="E4660" i="7"/>
  <c r="F4660" i="7"/>
  <c r="E2584" i="7"/>
  <c r="F2584" i="7"/>
  <c r="E721" i="7"/>
  <c r="F721" i="7"/>
  <c r="E2335" i="7"/>
  <c r="F2335" i="7"/>
  <c r="E193" i="7"/>
  <c r="F193" i="7"/>
  <c r="E1210" i="7"/>
  <c r="F1210" i="7"/>
  <c r="E1185" i="7"/>
  <c r="F1185" i="7"/>
  <c r="E649" i="7"/>
  <c r="F649" i="7"/>
  <c r="F952" i="7"/>
  <c r="E952" i="7"/>
  <c r="F5012" i="7"/>
  <c r="F3696" i="7"/>
  <c r="F3539" i="7"/>
  <c r="F2333" i="7"/>
  <c r="F3807" i="7"/>
  <c r="F3852" i="7"/>
  <c r="F3445" i="7"/>
  <c r="F4070" i="7"/>
  <c r="E3638" i="7"/>
  <c r="F3885" i="7"/>
  <c r="E3255" i="7"/>
  <c r="E2667" i="7"/>
  <c r="F2488" i="7"/>
  <c r="F2149" i="7"/>
  <c r="F4783" i="7"/>
  <c r="F4633" i="7"/>
  <c r="E4053" i="7"/>
  <c r="F3870" i="7"/>
  <c r="F2635" i="7"/>
  <c r="F1962" i="7"/>
  <c r="F786" i="7"/>
  <c r="F4679" i="7"/>
  <c r="E4282" i="7"/>
  <c r="E3362" i="7"/>
  <c r="F3869" i="7"/>
  <c r="F2605" i="7"/>
  <c r="E2288" i="7"/>
  <c r="E3039" i="7"/>
  <c r="F2512" i="7"/>
  <c r="F2236" i="7"/>
  <c r="E4092" i="7"/>
  <c r="F3871" i="7"/>
  <c r="F2628" i="7"/>
  <c r="F3432" i="7"/>
  <c r="F3375" i="7"/>
  <c r="F2037" i="7"/>
  <c r="F690" i="7"/>
  <c r="F2559" i="7"/>
  <c r="E4382" i="7"/>
  <c r="F1184" i="7"/>
  <c r="F1752" i="7"/>
  <c r="E545" i="7"/>
  <c r="E2986" i="7"/>
  <c r="F2986" i="7"/>
  <c r="E2706" i="7"/>
  <c r="F2706" i="7"/>
  <c r="E3260" i="7"/>
  <c r="F3260" i="7"/>
  <c r="E1609" i="7"/>
  <c r="F1609" i="7"/>
  <c r="E2332" i="7"/>
  <c r="F2332" i="7"/>
  <c r="E1761" i="7"/>
  <c r="F1761" i="7"/>
  <c r="E1344" i="7"/>
  <c r="F1344" i="7"/>
  <c r="E1449" i="7"/>
  <c r="F1449" i="7"/>
  <c r="E1354" i="7"/>
  <c r="F1354" i="7"/>
  <c r="F3108" i="7"/>
  <c r="F2636" i="7"/>
  <c r="F2632" i="7"/>
  <c r="F2469" i="7"/>
  <c r="F2356" i="7"/>
  <c r="F2462" i="7"/>
  <c r="F3884" i="7"/>
  <c r="F3614" i="7"/>
  <c r="E2877" i="7"/>
  <c r="F2666" i="7"/>
  <c r="F2494" i="7"/>
  <c r="F2009" i="7"/>
  <c r="F1178" i="7"/>
  <c r="F3939" i="7"/>
  <c r="E4895" i="7"/>
  <c r="F3488" i="7"/>
  <c r="F4088" i="7"/>
  <c r="E3369" i="7"/>
  <c r="E3097" i="7"/>
  <c r="F3065" i="7"/>
  <c r="F2583" i="7"/>
  <c r="F3794" i="7"/>
  <c r="E4485" i="7"/>
  <c r="F3242" i="7"/>
  <c r="F4582" i="7"/>
  <c r="F4206" i="7"/>
  <c r="E2863" i="7"/>
  <c r="E3058" i="7"/>
  <c r="F2540" i="7"/>
  <c r="F1842" i="7"/>
  <c r="E4754" i="7"/>
  <c r="F2845" i="7"/>
  <c r="F4876" i="7"/>
  <c r="F3406" i="7"/>
  <c r="F4383" i="7"/>
  <c r="F241" i="7"/>
  <c r="F480" i="7"/>
  <c r="E4256" i="7"/>
  <c r="F4256" i="7"/>
  <c r="F4378" i="7"/>
  <c r="E4378" i="7"/>
  <c r="E2732" i="7"/>
  <c r="F2732" i="7"/>
  <c r="E4504" i="7"/>
  <c r="F4504" i="7"/>
  <c r="E4652" i="7"/>
  <c r="F4652" i="7"/>
  <c r="E4594" i="7"/>
  <c r="F4594" i="7"/>
  <c r="E4493" i="7"/>
  <c r="F4493" i="7"/>
  <c r="E2922" i="7"/>
  <c r="F2922" i="7"/>
  <c r="E2894" i="7"/>
  <c r="F2894" i="7"/>
  <c r="E2173" i="7"/>
  <c r="F2173" i="7"/>
  <c r="E2235" i="7"/>
  <c r="F2235" i="7"/>
  <c r="F1704" i="7"/>
  <c r="E1704" i="7"/>
  <c r="E2392" i="7"/>
  <c r="F2392" i="7"/>
  <c r="F1824" i="7"/>
  <c r="E1824" i="7"/>
  <c r="F4073" i="7"/>
  <c r="F2868" i="7"/>
  <c r="F4484" i="7"/>
  <c r="F3877" i="7"/>
  <c r="E4789" i="7"/>
  <c r="E4291" i="7"/>
  <c r="E1338" i="7"/>
  <c r="F4672" i="7"/>
  <c r="E4407" i="7"/>
  <c r="F3567" i="7"/>
  <c r="E3180" i="7"/>
  <c r="F2637" i="7"/>
  <c r="E1778" i="7"/>
  <c r="E2349" i="7"/>
  <c r="E4718" i="7"/>
  <c r="E2971" i="7"/>
  <c r="F2740" i="7"/>
  <c r="E2528" i="7"/>
  <c r="F4694" i="7"/>
  <c r="E3477" i="7"/>
  <c r="E3087" i="7"/>
  <c r="E1161" i="7"/>
  <c r="F1425" i="7"/>
  <c r="F170" i="7"/>
  <c r="F385" i="7"/>
  <c r="E424" i="7"/>
  <c r="F2049" i="7"/>
  <c r="F2097" i="7"/>
  <c r="F123" i="7"/>
  <c r="E4240" i="7"/>
  <c r="F3693" i="7"/>
  <c r="E4487" i="7"/>
  <c r="E4288" i="7"/>
  <c r="E4902" i="7"/>
  <c r="F4461" i="7"/>
  <c r="E4923" i="7"/>
  <c r="E3975" i="7"/>
  <c r="F4079" i="7"/>
  <c r="F4290" i="7"/>
  <c r="F3525" i="7"/>
  <c r="F2746" i="7"/>
  <c r="F3937" i="7"/>
  <c r="F4305" i="7"/>
  <c r="F4259" i="7"/>
  <c r="F4802" i="7"/>
  <c r="E3914" i="7"/>
  <c r="F3904" i="7"/>
  <c r="F4597" i="7"/>
  <c r="E4562" i="7"/>
  <c r="F4499" i="7"/>
  <c r="F4325" i="7"/>
  <c r="F4123" i="7"/>
  <c r="F4727" i="7"/>
  <c r="F3865" i="7"/>
  <c r="F4268" i="7"/>
  <c r="E4387" i="7"/>
  <c r="F2521" i="7"/>
  <c r="F3752" i="7"/>
  <c r="F3601" i="7"/>
  <c r="F2975" i="7"/>
  <c r="E2802" i="7"/>
  <c r="F4416" i="7"/>
  <c r="E2693" i="7"/>
  <c r="F2437" i="7"/>
  <c r="E3138" i="7"/>
  <c r="E4132" i="7"/>
  <c r="F4427" i="7"/>
  <c r="E4251" i="7"/>
  <c r="E1762" i="7"/>
  <c r="F3203" i="7"/>
  <c r="F2736" i="7"/>
  <c r="E1097" i="7"/>
  <c r="F4116" i="7"/>
  <c r="E3562" i="7"/>
  <c r="E3632" i="7"/>
  <c r="E2024" i="7"/>
  <c r="F4392" i="7"/>
  <c r="E2042" i="7"/>
  <c r="F2813" i="7"/>
  <c r="E1874" i="7"/>
  <c r="F3431" i="7"/>
  <c r="F5010" i="7"/>
  <c r="E3456" i="7"/>
  <c r="F3670" i="7"/>
  <c r="E2286" i="7"/>
  <c r="F2220" i="7"/>
  <c r="F585" i="7"/>
  <c r="E4418" i="7"/>
  <c r="F3388" i="7"/>
  <c r="E2103" i="7"/>
  <c r="F3368" i="7"/>
  <c r="F3545" i="7"/>
  <c r="E2367" i="7"/>
  <c r="F1290" i="7"/>
  <c r="F4248" i="7"/>
  <c r="F3085" i="7"/>
  <c r="F2950" i="7"/>
  <c r="E1313" i="7"/>
  <c r="F1282" i="7"/>
  <c r="E3032" i="7"/>
  <c r="E4077" i="7"/>
  <c r="E2046" i="7"/>
  <c r="F2413" i="7"/>
  <c r="E4730" i="7"/>
  <c r="F3089" i="7"/>
  <c r="E3589" i="7"/>
  <c r="E3743" i="7"/>
  <c r="F3332" i="7"/>
  <c r="F3338" i="7"/>
  <c r="E3339" i="7"/>
  <c r="E2240" i="7"/>
  <c r="F2052" i="7"/>
  <c r="F1673" i="7"/>
  <c r="F3908" i="7"/>
  <c r="F1410" i="7"/>
  <c r="F177" i="7"/>
  <c r="F3544" i="7"/>
  <c r="F2862" i="7"/>
  <c r="E2208" i="7"/>
  <c r="F3004" i="7"/>
  <c r="E2633" i="7"/>
  <c r="F2830" i="7"/>
  <c r="E2659" i="7"/>
  <c r="E1714" i="7"/>
  <c r="F2799" i="7"/>
  <c r="F3325" i="7"/>
  <c r="F2966" i="7"/>
  <c r="F1945" i="7"/>
  <c r="E4644" i="7"/>
  <c r="F3121" i="7"/>
  <c r="E4864" i="7"/>
  <c r="F4218" i="7"/>
  <c r="F4844" i="7"/>
  <c r="F2742" i="7"/>
  <c r="F4530" i="7"/>
  <c r="F3780" i="7"/>
  <c r="E2612" i="7"/>
  <c r="E2376" i="7"/>
  <c r="E3996" i="7"/>
  <c r="F2237" i="7"/>
  <c r="E3798" i="7"/>
  <c r="E2524" i="7"/>
  <c r="E2262" i="7"/>
  <c r="F1306" i="7"/>
  <c r="E3546" i="7"/>
  <c r="E3514" i="7"/>
  <c r="E816" i="7"/>
  <c r="F888" i="7"/>
  <c r="E368" i="7"/>
  <c r="F4719" i="7"/>
  <c r="E4719" i="7"/>
  <c r="E3291" i="7"/>
  <c r="F3291" i="7"/>
  <c r="F3856" i="7"/>
  <c r="E3856" i="7"/>
  <c r="E4830" i="7"/>
  <c r="F4830" i="7"/>
  <c r="E3821" i="7"/>
  <c r="F3821" i="7"/>
  <c r="E2994" i="7"/>
  <c r="F2994" i="7"/>
  <c r="E2707" i="7"/>
  <c r="F2707" i="7"/>
  <c r="E2625" i="7"/>
  <c r="F2625" i="7"/>
  <c r="E3023" i="7"/>
  <c r="F3023" i="7"/>
  <c r="E3429" i="7"/>
  <c r="F3429" i="7"/>
  <c r="E2571" i="7"/>
  <c r="F2571" i="7"/>
  <c r="E2887" i="7"/>
  <c r="F2887" i="7"/>
  <c r="E2901" i="7"/>
  <c r="F2901" i="7"/>
  <c r="E3331" i="7"/>
  <c r="F3331" i="7"/>
  <c r="E3623" i="7"/>
  <c r="F3623" i="7"/>
  <c r="E3692" i="7"/>
  <c r="F3692" i="7"/>
  <c r="E3425" i="7"/>
  <c r="F3425" i="7"/>
  <c r="E3720" i="7"/>
  <c r="F3720" i="7"/>
  <c r="E1512" i="7"/>
  <c r="F1512" i="7"/>
  <c r="E1433" i="7"/>
  <c r="F1433" i="7"/>
  <c r="E1760" i="7"/>
  <c r="F1760" i="7"/>
  <c r="F138" i="7"/>
  <c r="E138" i="7"/>
  <c r="E448" i="7"/>
  <c r="F448" i="7"/>
  <c r="F1688" i="7"/>
  <c r="E1688" i="7"/>
  <c r="F1025" i="7"/>
  <c r="E1025" i="7"/>
  <c r="E1328" i="7"/>
  <c r="F1328" i="7"/>
  <c r="E344" i="7"/>
  <c r="F344" i="7"/>
  <c r="E1872" i="7"/>
  <c r="F1872" i="7"/>
  <c r="E1911" i="7"/>
  <c r="F1911" i="7"/>
  <c r="F592" i="7"/>
  <c r="E592" i="7"/>
  <c r="E1522" i="7"/>
  <c r="F1522" i="7"/>
  <c r="E1665" i="7"/>
  <c r="F1665" i="7"/>
  <c r="E1480" i="7"/>
  <c r="F1480" i="7"/>
  <c r="E722" i="7"/>
  <c r="F722" i="7"/>
  <c r="F817" i="7"/>
  <c r="E817" i="7"/>
  <c r="E1120" i="7"/>
  <c r="F1120" i="7"/>
  <c r="E370" i="7"/>
  <c r="F370" i="7"/>
  <c r="E481" i="7"/>
  <c r="F481" i="7"/>
  <c r="E712" i="7"/>
  <c r="F712" i="7"/>
  <c r="E1728" i="7"/>
  <c r="F1728" i="7"/>
  <c r="F4523" i="7"/>
  <c r="E4523" i="7"/>
  <c r="E3604" i="7"/>
  <c r="F3604" i="7"/>
  <c r="F4763" i="7"/>
  <c r="E4763" i="7"/>
  <c r="F4965" i="7"/>
  <c r="E4965" i="7"/>
  <c r="E4956" i="7"/>
  <c r="F4956" i="7"/>
  <c r="F4115" i="7"/>
  <c r="E4115" i="7"/>
  <c r="E4204" i="7"/>
  <c r="F4204" i="7"/>
  <c r="E4809" i="7"/>
  <c r="F4809" i="7"/>
  <c r="E4117" i="7"/>
  <c r="F4117" i="7"/>
  <c r="E4897" i="7"/>
  <c r="F4897" i="7"/>
  <c r="F4227" i="7"/>
  <c r="E4227" i="7"/>
  <c r="E4018" i="7"/>
  <c r="F4018" i="7"/>
  <c r="E3137" i="7"/>
  <c r="F3137" i="7"/>
  <c r="E3478" i="7"/>
  <c r="F3478" i="7"/>
  <c r="E3399" i="7"/>
  <c r="F3399" i="7"/>
  <c r="E2609" i="7"/>
  <c r="F2609" i="7"/>
  <c r="E3007" i="7"/>
  <c r="F3007" i="7"/>
  <c r="E3191" i="7"/>
  <c r="F3191" i="7"/>
  <c r="E2622" i="7"/>
  <c r="F2622" i="7"/>
  <c r="E1999" i="7"/>
  <c r="F1999" i="7"/>
  <c r="E2218" i="7"/>
  <c r="F2218" i="7"/>
  <c r="E1969" i="7"/>
  <c r="F1969" i="7"/>
  <c r="E2040" i="7"/>
  <c r="F2040" i="7"/>
  <c r="E1024" i="7"/>
  <c r="F1024" i="7"/>
  <c r="E2023" i="7"/>
  <c r="F2023" i="7"/>
  <c r="E1465" i="7"/>
  <c r="F1465" i="7"/>
  <c r="E2242" i="7"/>
  <c r="F2242" i="7"/>
  <c r="F977" i="7"/>
  <c r="E977" i="7"/>
  <c r="E2219" i="7"/>
  <c r="F2219" i="7"/>
  <c r="E2069" i="7"/>
  <c r="F2069" i="7"/>
  <c r="E1713" i="7"/>
  <c r="F1713" i="7"/>
  <c r="E2202" i="7"/>
  <c r="F2202" i="7"/>
  <c r="E2035" i="7"/>
  <c r="F2035" i="7"/>
  <c r="E1152" i="7"/>
  <c r="F1152" i="7"/>
  <c r="F4318" i="7"/>
  <c r="E3293" i="7"/>
  <c r="E4899" i="7"/>
  <c r="F4690" i="7"/>
  <c r="E4630" i="7"/>
  <c r="F3763" i="7"/>
  <c r="E2467" i="7"/>
  <c r="F2183" i="7"/>
  <c r="E3649" i="7"/>
  <c r="F3064" i="7"/>
  <c r="E2223" i="7"/>
  <c r="F1898" i="7"/>
  <c r="E3080" i="7"/>
  <c r="F4007" i="7"/>
  <c r="F4017" i="7"/>
  <c r="E2084" i="7"/>
  <c r="E2382" i="7"/>
  <c r="E4739" i="7"/>
  <c r="E3426" i="7"/>
  <c r="E3205" i="7"/>
  <c r="E1985" i="7"/>
  <c r="F3989" i="7"/>
  <c r="F2520" i="7"/>
  <c r="F4420" i="7"/>
  <c r="E3733" i="7"/>
  <c r="F3219" i="7"/>
  <c r="F3010" i="7"/>
  <c r="E2577" i="7"/>
  <c r="F1002" i="7"/>
  <c r="F1727" i="7"/>
  <c r="E3280" i="7"/>
  <c r="F3280" i="7"/>
  <c r="E4343" i="7"/>
  <c r="F4343" i="7"/>
  <c r="F4829" i="7"/>
  <c r="E4829" i="7"/>
  <c r="F3803" i="7"/>
  <c r="E3803" i="7"/>
  <c r="E3026" i="7"/>
  <c r="F3026" i="7"/>
  <c r="E3370" i="7"/>
  <c r="F3370" i="7"/>
  <c r="E4831" i="7"/>
  <c r="F4831" i="7"/>
  <c r="E3513" i="7"/>
  <c r="F3513" i="7"/>
  <c r="E3462" i="7"/>
  <c r="F3462" i="7"/>
  <c r="E3413" i="7"/>
  <c r="F3413" i="7"/>
  <c r="E3730" i="7"/>
  <c r="F3730" i="7"/>
  <c r="E2875" i="7"/>
  <c r="F2875" i="7"/>
  <c r="E2913" i="7"/>
  <c r="F2913" i="7"/>
  <c r="E2578" i="7"/>
  <c r="F2578" i="7"/>
  <c r="E2603" i="7"/>
  <c r="F2603" i="7"/>
  <c r="E3374" i="7"/>
  <c r="F3374" i="7"/>
  <c r="E3076" i="7"/>
  <c r="F3076" i="7"/>
  <c r="E3381" i="7"/>
  <c r="F3381" i="7"/>
  <c r="E2051" i="7"/>
  <c r="F2051" i="7"/>
  <c r="E2199" i="7"/>
  <c r="F2199" i="7"/>
  <c r="E2101" i="7"/>
  <c r="F2101" i="7"/>
  <c r="E1978" i="7"/>
  <c r="F1978" i="7"/>
  <c r="E1514" i="7"/>
  <c r="F1514" i="7"/>
  <c r="E832" i="7"/>
  <c r="F832" i="7"/>
  <c r="E2456" i="7"/>
  <c r="F2456" i="7"/>
  <c r="E2781" i="7"/>
  <c r="F3083" i="7"/>
  <c r="F3466" i="7"/>
  <c r="E2856" i="7"/>
  <c r="F4518" i="7"/>
  <c r="E3906" i="7"/>
  <c r="E2944" i="7"/>
  <c r="F4519" i="7"/>
  <c r="F4118" i="7"/>
  <c r="E3274" i="7"/>
  <c r="F2122" i="7"/>
  <c r="F4941" i="7"/>
  <c r="F3506" i="7"/>
  <c r="E3171" i="7"/>
  <c r="F2568" i="7"/>
  <c r="E4921" i="7"/>
  <c r="F3342" i="7"/>
  <c r="E3134" i="7"/>
  <c r="F2917" i="7"/>
  <c r="E3268" i="7"/>
  <c r="F1682" i="7"/>
  <c r="F2676" i="7"/>
  <c r="E2573" i="7"/>
  <c r="E1849" i="7"/>
  <c r="E2919" i="7"/>
  <c r="F2976" i="7"/>
  <c r="E2105" i="7"/>
  <c r="E4229" i="7"/>
  <c r="F4304" i="7"/>
  <c r="F3727" i="7"/>
  <c r="F2489" i="7"/>
  <c r="F1643" i="7"/>
  <c r="F323" i="7"/>
  <c r="F825" i="7"/>
  <c r="F1016" i="7"/>
  <c r="E1265" i="7"/>
  <c r="F1891" i="7"/>
  <c r="F1091" i="7"/>
  <c r="F2260" i="7"/>
  <c r="E739" i="7"/>
  <c r="E2114" i="7"/>
  <c r="E4360" i="7"/>
  <c r="F1082" i="7"/>
  <c r="F944" i="7"/>
  <c r="E3662" i="7"/>
  <c r="E4401" i="7"/>
  <c r="E4449" i="7"/>
  <c r="F4207" i="7"/>
  <c r="E2960" i="7"/>
  <c r="E4926" i="7"/>
  <c r="E3148" i="7"/>
  <c r="F4907" i="7"/>
  <c r="E1275" i="7"/>
  <c r="E4138" i="7"/>
  <c r="E4795" i="7"/>
  <c r="F4186" i="7"/>
  <c r="F2704" i="7"/>
  <c r="E4678" i="7"/>
  <c r="F4478" i="7"/>
  <c r="E4879" i="7"/>
  <c r="F3913" i="7"/>
  <c r="F4367" i="7"/>
  <c r="F4543" i="7"/>
  <c r="E4496" i="7"/>
  <c r="E3866" i="7"/>
  <c r="F4075" i="7"/>
  <c r="F3346" i="7"/>
  <c r="E4167" i="7"/>
  <c r="F4662" i="7"/>
  <c r="E4689" i="7"/>
  <c r="F4797" i="7"/>
  <c r="E4972" i="7"/>
  <c r="E3974" i="7"/>
  <c r="F3223" i="7"/>
  <c r="F4688" i="7"/>
  <c r="F4215" i="7"/>
  <c r="F4351" i="7"/>
  <c r="E4120" i="7"/>
  <c r="E4771" i="7"/>
  <c r="E3677" i="7"/>
  <c r="E3762" i="7"/>
  <c r="E4712" i="7"/>
  <c r="F4849" i="7"/>
  <c r="F4686" i="7"/>
  <c r="F4175" i="7"/>
  <c r="F3839" i="7"/>
  <c r="F3883" i="7"/>
  <c r="F2782" i="7"/>
  <c r="F4687" i="7"/>
  <c r="F4824" i="7"/>
  <c r="F4837" i="7"/>
  <c r="F4321" i="7"/>
  <c r="F4329" i="7"/>
  <c r="F4085" i="7"/>
  <c r="F2516" i="7"/>
  <c r="F4050" i="7"/>
  <c r="F4635" i="7"/>
  <c r="F3566" i="7"/>
  <c r="E3874" i="7"/>
  <c r="F4150" i="7"/>
  <c r="F4991" i="7"/>
  <c r="E4863" i="7"/>
  <c r="F4585" i="7"/>
  <c r="F4448" i="7"/>
  <c r="E3977" i="7"/>
  <c r="F4286" i="7"/>
  <c r="F3889" i="7"/>
  <c r="F4486" i="7"/>
  <c r="E2572" i="7"/>
  <c r="F4426" i="7"/>
  <c r="F4014" i="7"/>
  <c r="F3212" i="7"/>
  <c r="F4953" i="7"/>
  <c r="F4814" i="7"/>
  <c r="F4798" i="7"/>
  <c r="F4526" i="7"/>
  <c r="F2762" i="7"/>
  <c r="F4973" i="7"/>
  <c r="F3718" i="7"/>
  <c r="F3035" i="7"/>
  <c r="F4938" i="7"/>
  <c r="F4528" i="7"/>
  <c r="F4481" i="7"/>
  <c r="E4042" i="7"/>
  <c r="E3401" i="7"/>
  <c r="E3789" i="7"/>
  <c r="E3434" i="7"/>
  <c r="E3164" i="7"/>
  <c r="F4800" i="7"/>
  <c r="F4211" i="7"/>
  <c r="E4654" i="7"/>
  <c r="F3961" i="7"/>
  <c r="E3875" i="7"/>
  <c r="F2634" i="7"/>
  <c r="F4615" i="7"/>
  <c r="E4817" i="7"/>
  <c r="E4414" i="7"/>
  <c r="E4656" i="7"/>
  <c r="F3831" i="7"/>
  <c r="F3832" i="7"/>
  <c r="F3181" i="7"/>
  <c r="F4992" i="7"/>
  <c r="F3645" i="7"/>
  <c r="F4314" i="7"/>
  <c r="F4826" i="7"/>
  <c r="E4137" i="7"/>
  <c r="F4725" i="7"/>
  <c r="F4000" i="7"/>
  <c r="F4792" i="7"/>
  <c r="F4554" i="7"/>
  <c r="F4178" i="7"/>
  <c r="F3698" i="7"/>
  <c r="F3159" i="7"/>
  <c r="F4614" i="7"/>
  <c r="F4453" i="7"/>
  <c r="F4033" i="7"/>
  <c r="F4855" i="7"/>
  <c r="F3741" i="7"/>
  <c r="F3534" i="7"/>
  <c r="F4925" i="7"/>
  <c r="F4278" i="7"/>
  <c r="F4520" i="7"/>
  <c r="F4142" i="7"/>
  <c r="F3902" i="7"/>
  <c r="F4102" i="7"/>
  <c r="F4413" i="7"/>
  <c r="E3967" i="7"/>
  <c r="E4589" i="7"/>
  <c r="F4815" i="7"/>
  <c r="F4439" i="7"/>
  <c r="F4960" i="7"/>
  <c r="F4040" i="7"/>
  <c r="F3114" i="7"/>
  <c r="F4833" i="7"/>
  <c r="F4011" i="7"/>
  <c r="F3742" i="7"/>
  <c r="F2839" i="7"/>
  <c r="F4201" i="7"/>
  <c r="F5003" i="7"/>
  <c r="F4002" i="7"/>
  <c r="E3117" i="7"/>
  <c r="F4396" i="7"/>
  <c r="E3024" i="7"/>
  <c r="E402" i="7"/>
  <c r="F1426" i="7"/>
  <c r="E2339" i="7"/>
  <c r="F4445" i="7"/>
  <c r="F2292" i="7"/>
  <c r="F2271" i="7"/>
  <c r="F2485" i="7"/>
  <c r="E2123" i="7"/>
  <c r="F2189" i="7"/>
  <c r="E2254" i="7"/>
  <c r="E3160" i="7"/>
  <c r="F2453" i="7"/>
  <c r="E2487" i="7"/>
  <c r="F2591" i="7"/>
  <c r="F2074" i="7"/>
  <c r="F3757" i="7"/>
  <c r="F2750" i="7"/>
  <c r="E4041" i="7"/>
  <c r="E4968" i="7"/>
  <c r="F2715" i="7"/>
  <c r="F2737" i="7"/>
  <c r="E4745" i="7"/>
  <c r="E4760" i="7"/>
  <c r="F4095" i="7"/>
  <c r="F3090" i="7"/>
  <c r="E3949" i="7"/>
  <c r="E3072" i="7"/>
  <c r="F3151" i="7"/>
  <c r="E3781" i="7"/>
  <c r="F3540" i="7"/>
  <c r="E4146" i="7"/>
  <c r="E2582" i="7"/>
  <c r="E4043" i="7"/>
  <c r="F4346" i="7"/>
  <c r="E4161" i="7"/>
  <c r="F2690" i="7"/>
  <c r="F4529" i="7"/>
  <c r="E4646" i="7"/>
  <c r="F4758" i="7"/>
  <c r="F2941" i="7"/>
  <c r="F3916" i="7"/>
  <c r="E3213" i="7"/>
  <c r="F3421" i="7"/>
  <c r="E4891" i="7"/>
  <c r="E2493" i="7"/>
  <c r="E2089" i="7"/>
  <c r="F3597" i="7"/>
  <c r="E457" i="7"/>
  <c r="F1699" i="7"/>
  <c r="E809" i="7"/>
  <c r="F3518" i="7"/>
  <c r="F4330" i="7"/>
  <c r="F858" i="7"/>
  <c r="E2121" i="7"/>
  <c r="F899" i="7"/>
  <c r="E105" i="7"/>
  <c r="F120" i="7"/>
  <c r="F155" i="7"/>
  <c r="F793" i="7"/>
  <c r="E2377" i="7"/>
  <c r="F473" i="7"/>
  <c r="F651" i="7"/>
  <c r="F2233" i="7"/>
  <c r="F1763" i="7"/>
  <c r="F547" i="7"/>
  <c r="F346" i="7"/>
  <c r="F2433" i="7"/>
  <c r="E2337" i="7"/>
  <c r="F2479" i="7"/>
  <c r="F674" i="7"/>
  <c r="E2153" i="7"/>
  <c r="E339" i="7"/>
  <c r="F3825" i="7"/>
  <c r="E3170" i="7"/>
  <c r="F2623" i="7"/>
  <c r="E2534" i="7"/>
  <c r="E626" i="7"/>
  <c r="E3340" i="7"/>
  <c r="E2864" i="7"/>
  <c r="E1793" i="7"/>
  <c r="E2021" i="7"/>
  <c r="F3135" i="7"/>
  <c r="F1466" i="7"/>
  <c r="E4959" i="7"/>
  <c r="F4913" i="7"/>
  <c r="E2080" i="7"/>
  <c r="F515" i="7"/>
  <c r="E1913" i="7"/>
  <c r="F4961" i="7"/>
  <c r="F3435" i="7"/>
  <c r="E2248" i="7"/>
  <c r="F2592" i="7"/>
  <c r="F3776" i="7"/>
  <c r="F3901" i="7"/>
  <c r="F3262" i="7"/>
  <c r="E4030" i="7"/>
  <c r="F2398" i="7"/>
  <c r="F1810" i="7"/>
  <c r="F713" i="7"/>
  <c r="F3123" i="7"/>
  <c r="E2644" i="7"/>
  <c r="E2560" i="7"/>
  <c r="F2341" i="7"/>
  <c r="F2054" i="7"/>
  <c r="F3516" i="7"/>
  <c r="F3517" i="7"/>
  <c r="F3129" i="7"/>
  <c r="E2407" i="7"/>
  <c r="F2055" i="7"/>
  <c r="E1186" i="7"/>
  <c r="F498" i="7"/>
  <c r="F4306" i="7"/>
  <c r="E4379" i="7"/>
  <c r="F4406" i="7"/>
  <c r="F4867" i="7"/>
  <c r="E3641" i="7"/>
  <c r="E1058" i="7"/>
  <c r="E4586" i="7"/>
  <c r="F2990" i="7"/>
  <c r="F4714" i="7"/>
  <c r="F3211" i="7"/>
  <c r="F2505" i="7"/>
  <c r="E4089" i="7"/>
  <c r="F4993" i="7"/>
  <c r="E3552" i="7"/>
  <c r="E3587" i="7"/>
  <c r="E2468" i="7"/>
  <c r="F3453" i="7"/>
  <c r="F4555" i="7"/>
  <c r="F4069" i="7"/>
  <c r="F730" i="7"/>
  <c r="E3751" i="7"/>
  <c r="E2566" i="7"/>
  <c r="F2481" i="7"/>
  <c r="E3867" i="7"/>
  <c r="F1417" i="7"/>
  <c r="F3729" i="7"/>
  <c r="E4557" i="7"/>
  <c r="F4756" i="7"/>
  <c r="F3047" i="7"/>
  <c r="F2522" i="7"/>
  <c r="F4888" i="7"/>
  <c r="F945" i="7"/>
  <c r="E4124" i="7"/>
  <c r="E1561" i="7"/>
  <c r="E4936" i="7"/>
  <c r="F3382" i="7"/>
  <c r="F2984" i="7"/>
  <c r="F3443" i="7"/>
  <c r="E4928" i="7"/>
  <c r="F2466" i="7"/>
  <c r="E4757" i="7"/>
  <c r="F2369" i="7"/>
  <c r="E4009" i="7"/>
  <c r="E3243" i="7"/>
  <c r="F4761" i="7"/>
  <c r="F4632" i="7"/>
  <c r="F3627" i="7"/>
  <c r="F4577" i="7"/>
  <c r="E4898" i="7"/>
  <c r="E4409" i="7"/>
  <c r="E4280" i="7"/>
  <c r="F4556" i="7"/>
  <c r="F3938" i="7"/>
  <c r="F5000" i="7"/>
  <c r="F4551" i="7"/>
  <c r="E3668" i="7"/>
  <c r="F2889" i="7"/>
  <c r="E4762" i="7"/>
  <c r="F4751" i="7"/>
  <c r="F3231" i="7"/>
  <c r="E2164" i="7"/>
  <c r="E2302" i="7"/>
  <c r="F2684" i="7"/>
  <c r="E2359" i="7"/>
  <c r="F2160" i="7"/>
  <c r="E2141" i="7"/>
  <c r="F841" i="7"/>
  <c r="E2085" i="7"/>
  <c r="F2439" i="7"/>
  <c r="F505" i="7"/>
  <c r="E2474" i="7"/>
  <c r="E322" i="7"/>
  <c r="F2280" i="7"/>
  <c r="F4044" i="7"/>
  <c r="E3801" i="7"/>
  <c r="F3973" i="7"/>
  <c r="E2061" i="7"/>
  <c r="F283" i="7"/>
  <c r="F953" i="7"/>
  <c r="F2340" i="7"/>
  <c r="F2998" i="7"/>
  <c r="F1642" i="7"/>
  <c r="F1402" i="7"/>
  <c r="E3069" i="7"/>
  <c r="F1722" i="7"/>
  <c r="F2363" i="7"/>
  <c r="F3412" i="7"/>
  <c r="F1249" i="7"/>
  <c r="E1889" i="7"/>
  <c r="E1177" i="7"/>
  <c r="E3770" i="7"/>
  <c r="E3125" i="7"/>
  <c r="F211" i="7"/>
  <c r="E1371" i="7"/>
  <c r="F4657" i="7"/>
  <c r="E4217" i="7"/>
  <c r="E4136" i="7"/>
  <c r="F4275" i="7"/>
  <c r="F4066" i="7"/>
  <c r="E5007" i="7"/>
  <c r="F4578" i="7"/>
  <c r="E2818" i="7"/>
  <c r="F3953" i="7"/>
  <c r="F3927" i="7"/>
  <c r="F5009" i="7"/>
  <c r="F4200" i="7"/>
  <c r="F3855" i="7"/>
  <c r="F3351" i="7"/>
  <c r="F4477" i="7"/>
  <c r="F3630" i="7"/>
  <c r="E4998" i="7"/>
  <c r="F3802" i="7"/>
  <c r="E3526" i="7"/>
  <c r="E2455" i="7"/>
  <c r="E1593" i="7"/>
  <c r="F2682" i="7"/>
  <c r="E4243" i="7"/>
  <c r="E1546" i="7"/>
  <c r="E4780" i="7"/>
  <c r="E4135" i="7"/>
  <c r="F2140" i="7"/>
  <c r="E1826" i="7"/>
  <c r="E3899" i="7"/>
  <c r="E3660" i="7"/>
  <c r="F2833" i="7"/>
  <c r="F4881" i="7"/>
  <c r="F2532" i="7"/>
  <c r="E4303" i="7"/>
  <c r="F5001" i="7"/>
  <c r="F98" i="7"/>
  <c r="E4176" i="7"/>
  <c r="E2600" i="7"/>
  <c r="F2827" i="7"/>
  <c r="F3173" i="7"/>
  <c r="F4852" i="7"/>
  <c r="E3968" i="7"/>
  <c r="F2307" i="7"/>
  <c r="F3034" i="7"/>
  <c r="E4859" i="7"/>
  <c r="E2776" i="7"/>
  <c r="E3263" i="7"/>
  <c r="F225" i="7"/>
  <c r="F3493" i="7"/>
  <c r="F4005" i="7"/>
  <c r="F3948" i="7"/>
  <c r="F4249" i="7"/>
  <c r="F4285" i="7"/>
  <c r="E4386" i="7"/>
  <c r="F4889" i="7"/>
  <c r="F4851" i="7"/>
  <c r="F4341" i="7"/>
  <c r="E2268" i="7"/>
  <c r="E3555" i="7"/>
  <c r="F4858" i="7"/>
  <c r="F2927" i="7"/>
  <c r="E4296" i="7"/>
  <c r="F378" i="7"/>
  <c r="E586" i="7"/>
  <c r="F2226" i="7"/>
  <c r="E2226" i="7"/>
  <c r="F3749" i="7"/>
  <c r="E3749" i="7"/>
  <c r="E4742" i="7"/>
  <c r="F4742" i="7"/>
  <c r="E3230" i="7"/>
  <c r="F3230" i="7"/>
  <c r="E4918" i="7"/>
  <c r="F4918" i="7"/>
  <c r="E3418" i="7"/>
  <c r="F3418" i="7"/>
  <c r="E4682" i="7"/>
  <c r="F4682" i="7"/>
  <c r="E4782" i="7"/>
  <c r="F4782" i="7"/>
  <c r="E4034" i="7"/>
  <c r="F4034" i="7"/>
  <c r="E3960" i="7"/>
  <c r="F3960" i="7"/>
  <c r="E4647" i="7"/>
  <c r="F4647" i="7"/>
  <c r="E3437" i="7"/>
  <c r="F3437" i="7"/>
  <c r="E2835" i="7"/>
  <c r="F2835" i="7"/>
  <c r="F2696" i="7"/>
  <c r="E2696" i="7"/>
  <c r="E3554" i="7"/>
  <c r="F3554" i="7"/>
  <c r="F2909" i="7"/>
  <c r="E2909" i="7"/>
  <c r="F3124" i="7"/>
  <c r="E3124" i="7"/>
  <c r="E3029" i="7"/>
  <c r="F3029" i="7"/>
  <c r="E3771" i="7"/>
  <c r="F3771" i="7"/>
  <c r="E3355" i="7"/>
  <c r="F3355" i="7"/>
  <c r="E3333" i="7"/>
  <c r="F3333" i="7"/>
  <c r="F3161" i="7"/>
  <c r="E3161" i="7"/>
  <c r="F3217" i="7"/>
  <c r="E3217" i="7"/>
  <c r="E3046" i="7"/>
  <c r="F3046" i="7"/>
  <c r="E2090" i="7"/>
  <c r="F2090" i="7"/>
  <c r="F2071" i="7"/>
  <c r="E2071" i="7"/>
  <c r="F1393" i="7"/>
  <c r="E1393" i="7"/>
  <c r="E2191" i="7"/>
  <c r="F2191" i="7"/>
  <c r="E2259" i="7"/>
  <c r="F2259" i="7"/>
  <c r="E82" i="7"/>
  <c r="F82" i="7"/>
  <c r="F2328" i="7"/>
  <c r="E2328" i="7"/>
  <c r="F2258" i="7"/>
  <c r="E2258" i="7"/>
  <c r="E1929" i="7"/>
  <c r="F1929" i="7"/>
  <c r="E2239" i="7"/>
  <c r="F2239" i="7"/>
  <c r="E1234" i="7"/>
  <c r="F1234" i="7"/>
  <c r="E2252" i="7"/>
  <c r="F2252" i="7"/>
  <c r="F618" i="7"/>
  <c r="E618" i="7"/>
  <c r="E608" i="7"/>
  <c r="F608" i="7"/>
  <c r="E1855" i="7"/>
  <c r="F1855" i="7"/>
  <c r="E641" i="7"/>
  <c r="F641" i="7"/>
  <c r="E1488" i="7"/>
  <c r="F1488" i="7"/>
  <c r="E489" i="7"/>
  <c r="F489" i="7"/>
  <c r="E1608" i="7"/>
  <c r="F1608" i="7"/>
  <c r="E1647" i="7"/>
  <c r="F1647" i="7"/>
  <c r="E850" i="7"/>
  <c r="F850" i="7"/>
  <c r="E97" i="7"/>
  <c r="F97" i="7"/>
  <c r="E2385" i="7"/>
  <c r="F2385" i="7"/>
  <c r="E1856" i="7"/>
  <c r="F1856" i="7"/>
  <c r="F1895" i="7"/>
  <c r="E1895" i="7"/>
  <c r="F1098" i="7"/>
  <c r="E1098" i="7"/>
  <c r="F681" i="7"/>
  <c r="E681" i="7"/>
  <c r="F984" i="7"/>
  <c r="E984" i="7"/>
  <c r="E234" i="7"/>
  <c r="F234" i="7"/>
  <c r="E345" i="7"/>
  <c r="F345" i="7"/>
  <c r="E576" i="7"/>
  <c r="F576" i="7"/>
  <c r="F1631" i="7"/>
  <c r="E1631" i="7"/>
  <c r="E834" i="7"/>
  <c r="F834" i="7"/>
  <c r="E929" i="7"/>
  <c r="F929" i="7"/>
  <c r="E1232" i="7"/>
  <c r="F1232" i="7"/>
  <c r="E720" i="7"/>
  <c r="F720" i="7"/>
  <c r="E482" i="7"/>
  <c r="F482" i="7"/>
  <c r="E176" i="7"/>
  <c r="F176" i="7"/>
  <c r="F1840" i="7"/>
  <c r="E1840" i="7"/>
  <c r="E1879" i="7"/>
  <c r="F1879" i="7"/>
  <c r="F570" i="7"/>
  <c r="E570" i="7"/>
  <c r="E544" i="7"/>
  <c r="F544" i="7"/>
  <c r="E2449" i="7"/>
  <c r="F2449" i="7"/>
  <c r="E1523" i="7"/>
  <c r="F1523" i="7"/>
  <c r="E59" i="7"/>
  <c r="F59" i="7"/>
  <c r="E795" i="7"/>
  <c r="F795" i="7"/>
  <c r="E1803" i="7"/>
  <c r="F1803" i="7"/>
  <c r="E1979" i="7"/>
  <c r="F1979" i="7"/>
  <c r="F459" i="7"/>
  <c r="E459" i="7"/>
  <c r="E1315" i="7"/>
  <c r="F1315" i="7"/>
  <c r="E1931" i="7"/>
  <c r="F1931" i="7"/>
  <c r="E555" i="7"/>
  <c r="F555" i="7"/>
  <c r="E355" i="7"/>
  <c r="F355" i="7"/>
  <c r="F1171" i="7"/>
  <c r="E1171" i="7"/>
  <c r="E3918" i="7"/>
  <c r="F3918" i="7"/>
  <c r="E4759" i="7"/>
  <c r="F4759" i="7"/>
  <c r="E4750" i="7"/>
  <c r="F4750" i="7"/>
  <c r="E3957" i="7"/>
  <c r="F3957" i="7"/>
  <c r="E4818" i="7"/>
  <c r="F4818" i="7"/>
  <c r="E4270" i="7"/>
  <c r="F4270" i="7"/>
  <c r="E4335" i="7"/>
  <c r="F4335" i="7"/>
  <c r="E3843" i="7"/>
  <c r="F3843" i="7"/>
  <c r="E3690" i="7"/>
  <c r="F3690" i="7"/>
  <c r="E2753" i="7"/>
  <c r="F2753" i="7"/>
  <c r="E3444" i="7"/>
  <c r="F3444" i="7"/>
  <c r="E3470" i="7"/>
  <c r="F3470" i="7"/>
  <c r="F2650" i="7"/>
  <c r="E2650" i="7"/>
  <c r="F3433" i="7"/>
  <c r="E3433" i="7"/>
  <c r="E2807" i="7"/>
  <c r="F2807" i="7"/>
  <c r="F3473" i="7"/>
  <c r="E3473" i="7"/>
  <c r="E3672" i="7"/>
  <c r="F3672" i="7"/>
  <c r="E3553" i="7"/>
  <c r="F3553" i="7"/>
  <c r="F3845" i="7"/>
  <c r="E3845" i="7"/>
  <c r="E2731" i="7"/>
  <c r="F2731" i="7"/>
  <c r="E3104" i="7"/>
  <c r="F3104" i="7"/>
  <c r="E2705" i="7"/>
  <c r="F2705" i="7"/>
  <c r="E3103" i="7"/>
  <c r="F3103" i="7"/>
  <c r="E2285" i="7"/>
  <c r="F2285" i="7"/>
  <c r="E1450" i="7"/>
  <c r="F1450" i="7"/>
  <c r="E274" i="7"/>
  <c r="F274" i="7"/>
  <c r="E2112" i="7"/>
  <c r="F2112" i="7"/>
  <c r="E2426" i="7"/>
  <c r="F2426" i="7"/>
  <c r="E2095" i="7"/>
  <c r="F2095" i="7"/>
  <c r="F1634" i="7"/>
  <c r="E1634" i="7"/>
  <c r="E2214" i="7"/>
  <c r="F2214" i="7"/>
  <c r="E2408" i="7"/>
  <c r="F2408" i="7"/>
  <c r="E1418" i="7"/>
  <c r="F1418" i="7"/>
  <c r="E377" i="7"/>
  <c r="F377" i="7"/>
  <c r="E1489" i="7"/>
  <c r="F1489" i="7"/>
  <c r="F1153" i="7"/>
  <c r="E1153" i="7"/>
  <c r="E305" i="7"/>
  <c r="F305" i="7"/>
  <c r="E520" i="7"/>
  <c r="F520" i="7"/>
  <c r="E736" i="7"/>
  <c r="F736" i="7"/>
  <c r="E4230" i="7"/>
  <c r="F3178" i="7"/>
  <c r="F3036" i="7"/>
  <c r="F4546" i="7"/>
  <c r="E4431" i="7"/>
  <c r="E2166" i="7"/>
  <c r="F2430" i="7"/>
  <c r="F1353" i="7"/>
  <c r="F4940" i="7"/>
  <c r="F4245" i="7"/>
  <c r="F3674" i="7"/>
  <c r="F2821" i="7"/>
  <c r="E2680" i="7"/>
  <c r="F2611" i="7"/>
  <c r="F2459" i="7"/>
  <c r="F1130" i="7"/>
  <c r="F4548" i="7"/>
  <c r="E3673" i="7"/>
  <c r="F2996" i="7"/>
  <c r="F4260" i="7"/>
  <c r="F2958" i="7"/>
  <c r="F194" i="7"/>
  <c r="F1248" i="7"/>
  <c r="F81" i="7"/>
  <c r="E4003" i="7"/>
  <c r="F4003" i="7"/>
  <c r="E3959" i="7"/>
  <c r="F3959" i="7"/>
  <c r="E3502" i="7"/>
  <c r="F3502" i="7"/>
  <c r="E3823" i="7"/>
  <c r="F3823" i="7"/>
  <c r="E4908" i="7"/>
  <c r="F4908" i="7"/>
  <c r="F4958" i="7"/>
  <c r="E4958" i="7"/>
  <c r="E3044" i="7"/>
  <c r="F3044" i="7"/>
  <c r="E3777" i="7"/>
  <c r="F3777" i="7"/>
  <c r="E3208" i="7"/>
  <c r="F3208" i="7"/>
  <c r="E3015" i="7"/>
  <c r="F3015" i="7"/>
  <c r="F3394" i="7"/>
  <c r="E3394" i="7"/>
  <c r="E4428" i="7"/>
  <c r="F4428" i="7"/>
  <c r="E3700" i="7"/>
  <c r="F3700" i="7"/>
  <c r="E3319" i="7"/>
  <c r="F3319" i="7"/>
  <c r="E2701" i="7"/>
  <c r="F2701" i="7"/>
  <c r="E2610" i="7"/>
  <c r="F2610" i="7"/>
  <c r="E2529" i="7"/>
  <c r="F2529" i="7"/>
  <c r="E3439" i="7"/>
  <c r="F3439" i="7"/>
  <c r="E4156" i="7"/>
  <c r="F4156" i="7"/>
  <c r="F2649" i="7"/>
  <c r="E2649" i="7"/>
  <c r="E3642" i="7"/>
  <c r="F3642" i="7"/>
  <c r="E2997" i="7"/>
  <c r="F2997" i="7"/>
  <c r="E2230" i="7"/>
  <c r="F2230" i="7"/>
  <c r="E2424" i="7"/>
  <c r="F2424" i="7"/>
  <c r="F1448" i="7"/>
  <c r="E1448" i="7"/>
  <c r="E2109" i="7"/>
  <c r="F2109" i="7"/>
  <c r="F2448" i="7"/>
  <c r="E2448" i="7"/>
  <c r="E1041" i="7"/>
  <c r="F1041" i="7"/>
  <c r="E2506" i="7"/>
  <c r="F2506" i="7"/>
  <c r="E1545" i="7"/>
  <c r="F1545" i="7"/>
  <c r="F2091" i="7"/>
  <c r="E2091" i="7"/>
  <c r="E2269" i="7"/>
  <c r="F2269" i="7"/>
  <c r="E1474" i="7"/>
  <c r="F1474" i="7"/>
  <c r="E1888" i="7"/>
  <c r="F1888" i="7"/>
  <c r="F1816" i="7"/>
  <c r="E1816" i="7"/>
  <c r="F4724" i="7"/>
  <c r="F3760" i="7"/>
  <c r="F3236" i="7"/>
  <c r="F3376" i="7"/>
  <c r="F3573" i="7"/>
  <c r="F2884" i="7"/>
  <c r="F2533" i="7"/>
  <c r="F4658" i="7"/>
  <c r="F4668" i="7"/>
  <c r="F4134" i="7"/>
  <c r="F3933" i="7"/>
  <c r="F3792" i="7"/>
  <c r="F3634" i="7"/>
  <c r="F3935" i="7"/>
  <c r="F3532" i="7"/>
  <c r="F3494" i="7"/>
  <c r="F3265" i="7"/>
  <c r="F2870" i="7"/>
  <c r="F2309" i="7"/>
  <c r="F3603" i="7"/>
  <c r="F2921" i="7"/>
  <c r="F4244" i="7"/>
  <c r="F4344" i="7"/>
  <c r="F2714" i="7"/>
  <c r="F1946" i="7"/>
  <c r="F2172" i="7"/>
  <c r="F2134" i="7"/>
  <c r="E2772" i="7"/>
  <c r="F3041" i="7"/>
  <c r="F4717" i="7"/>
  <c r="F3192" i="7"/>
  <c r="F1674" i="7"/>
  <c r="F4128" i="7"/>
  <c r="F2419" i="7"/>
  <c r="F2000" i="7"/>
  <c r="F488" i="7"/>
  <c r="F4915" i="7"/>
  <c r="E4642" i="7"/>
  <c r="F4642" i="7"/>
  <c r="E4607" i="7"/>
  <c r="F4607" i="7"/>
  <c r="E4983" i="7"/>
  <c r="F4983" i="7"/>
  <c r="F3613" i="7"/>
  <c r="E3613" i="7"/>
  <c r="E3216" i="7"/>
  <c r="F3216" i="7"/>
  <c r="E4847" i="7"/>
  <c r="F4847" i="7"/>
  <c r="E3095" i="7"/>
  <c r="F3095" i="7"/>
  <c r="E3934" i="7"/>
  <c r="F3934" i="7"/>
  <c r="E4772" i="7"/>
  <c r="F4772" i="7"/>
  <c r="F2639" i="7"/>
  <c r="E2639" i="7"/>
  <c r="E2962" i="7"/>
  <c r="F2962" i="7"/>
  <c r="E3509" i="7"/>
  <c r="F3509" i="7"/>
  <c r="E2535" i="7"/>
  <c r="F2535" i="7"/>
  <c r="E4943" i="7"/>
  <c r="F2787" i="7"/>
  <c r="F2092" i="7"/>
  <c r="F4170" i="7"/>
  <c r="F2290" i="7"/>
  <c r="F4755" i="7"/>
  <c r="F4212" i="7"/>
  <c r="F3003" i="7"/>
  <c r="F3078" i="7"/>
  <c r="E754" i="7"/>
  <c r="F1906" i="7"/>
  <c r="F4447" i="7"/>
  <c r="F2517" i="7"/>
  <c r="F1897" i="7"/>
  <c r="E4021" i="7"/>
  <c r="E4246" i="7"/>
  <c r="F2699" i="7"/>
  <c r="F1592" i="7"/>
  <c r="F504" i="7"/>
  <c r="F2896" i="7"/>
  <c r="E2896" i="7"/>
  <c r="E4369" i="7"/>
  <c r="F4369" i="7"/>
  <c r="F2602" i="7"/>
  <c r="E2602" i="7"/>
  <c r="E4471" i="7"/>
  <c r="F4471" i="7"/>
  <c r="E4581" i="7"/>
  <c r="F4581" i="7"/>
  <c r="E3834" i="7"/>
  <c r="F3834" i="7"/>
  <c r="E4446" i="7"/>
  <c r="F4446" i="7"/>
  <c r="F4355" i="7"/>
  <c r="E4355" i="7"/>
  <c r="F3188" i="7"/>
  <c r="E3188" i="7"/>
  <c r="E3045" i="7"/>
  <c r="F3045" i="7"/>
  <c r="E2617" i="7"/>
  <c r="F2617" i="7"/>
  <c r="E2819" i="7"/>
  <c r="F2819" i="7"/>
  <c r="F3499" i="7"/>
  <c r="F3249" i="7"/>
  <c r="F3307" i="7"/>
  <c r="F3337" i="7"/>
  <c r="F4074" i="7"/>
  <c r="F3411" i="7"/>
  <c r="F3483" i="7"/>
  <c r="F3094" i="7"/>
  <c r="F4205" i="7"/>
  <c r="F4139" i="7"/>
  <c r="F3631" i="7"/>
  <c r="F3761" i="7"/>
  <c r="E2604" i="7"/>
  <c r="F2435" i="7"/>
  <c r="E4957" i="7"/>
  <c r="F4101" i="7"/>
  <c r="F3574" i="7"/>
  <c r="E1281" i="7"/>
  <c r="E1930" i="7"/>
  <c r="F1657" i="7"/>
  <c r="F218" i="7"/>
  <c r="E4776" i="7"/>
  <c r="E4368" i="7"/>
  <c r="E4036" i="7"/>
  <c r="F3894" i="7"/>
  <c r="F3586" i="7"/>
  <c r="E2436" i="7"/>
  <c r="E2205" i="7"/>
  <c r="E1993" i="7"/>
  <c r="F2423" i="7"/>
  <c r="E2241" i="7"/>
  <c r="E1195" i="7"/>
  <c r="E2329" i="7"/>
  <c r="E1521" i="7"/>
  <c r="E1553" i="7"/>
  <c r="F867" i="7"/>
  <c r="F2675" i="7"/>
  <c r="F4395" i="7"/>
  <c r="F3965" i="7"/>
  <c r="F3067" i="7"/>
  <c r="F4247" i="7"/>
  <c r="E2188" i="7"/>
  <c r="E2851" i="7"/>
  <c r="E3887" i="7"/>
  <c r="F4361" i="7"/>
  <c r="F1457" i="7"/>
  <c r="F4083" i="7"/>
  <c r="E2442" i="7"/>
  <c r="F777" i="7"/>
  <c r="E41" i="7"/>
  <c r="E2548" i="7"/>
  <c r="F2366" i="7"/>
  <c r="F4842" i="7"/>
  <c r="F4595" i="7"/>
  <c r="F1880" i="7"/>
  <c r="E2027" i="7"/>
  <c r="F258" i="7"/>
  <c r="E4790" i="7"/>
  <c r="E4514" i="7"/>
  <c r="F4723" i="7"/>
  <c r="F4840" i="7"/>
  <c r="F2570" i="7"/>
  <c r="F3857" i="7"/>
  <c r="F2557" i="7"/>
  <c r="F3612" i="7"/>
  <c r="E3541" i="7"/>
  <c r="E3222" i="7"/>
  <c r="F2296" i="7"/>
  <c r="E3680" i="7"/>
  <c r="F2642" i="7"/>
  <c r="F3653" i="7"/>
  <c r="F3390" i="7"/>
  <c r="F3487" i="7"/>
  <c r="F3363" i="7"/>
  <c r="F2044" i="7"/>
  <c r="F3049" i="7"/>
  <c r="E2498" i="7"/>
  <c r="F2438" i="7"/>
  <c r="F3594" i="7"/>
  <c r="F2210" i="7"/>
  <c r="F4784" i="7"/>
  <c r="F2111" i="7"/>
  <c r="F3838" i="7"/>
  <c r="F4665" i="7"/>
  <c r="F4884" i="7"/>
  <c r="F2719" i="7"/>
  <c r="F2357" i="7"/>
  <c r="F4670" i="7"/>
  <c r="F3288" i="7"/>
  <c r="F3561" i="7"/>
  <c r="F3393" i="7"/>
  <c r="F2414" i="7"/>
  <c r="E3595" i="7"/>
  <c r="F3685" i="7"/>
  <c r="F2325" i="7"/>
  <c r="F4388" i="7"/>
  <c r="F4411" i="7"/>
  <c r="E4808" i="7"/>
  <c r="F4951" i="7"/>
  <c r="F3903" i="7"/>
  <c r="F362" i="7"/>
  <c r="F1504" i="7"/>
  <c r="F3436" i="7"/>
  <c r="F2824" i="7"/>
  <c r="E4333" i="7"/>
  <c r="F4340" i="7"/>
  <c r="E3876" i="7"/>
  <c r="E3279" i="7"/>
  <c r="F2829" i="7"/>
  <c r="E4796" i="7"/>
  <c r="F2211" i="7"/>
  <c r="F4673" i="7"/>
  <c r="E4900" i="7"/>
  <c r="F2688" i="7"/>
  <c r="F2574" i="7"/>
  <c r="E3682" i="7"/>
  <c r="F4164" i="7"/>
  <c r="F3840" i="7"/>
  <c r="E2751" i="7"/>
  <c r="F4981" i="7"/>
  <c r="E3591" i="7"/>
  <c r="E2496" i="7"/>
  <c r="F3251" i="7"/>
  <c r="F2878" i="7"/>
  <c r="E3112" i="7"/>
  <c r="F2525" i="7"/>
  <c r="F3598" i="7"/>
  <c r="E4473" i="7"/>
  <c r="F4785" i="7"/>
  <c r="F3618" i="7"/>
  <c r="F4103" i="7"/>
  <c r="F4479" i="7"/>
  <c r="F4713" i="7"/>
  <c r="E3380" i="7"/>
  <c r="E3093" i="7"/>
  <c r="F4310" i="7"/>
  <c r="E2946" i="7"/>
  <c r="F2985" i="7"/>
  <c r="F3492" i="7"/>
  <c r="E3275" i="7"/>
  <c r="E3520" i="7"/>
  <c r="F3930" i="7"/>
  <c r="F4130" i="7"/>
  <c r="F4680" i="7"/>
  <c r="F4208" i="7"/>
  <c r="F4001" i="7"/>
  <c r="F4616" i="7"/>
  <c r="F3929" i="7"/>
  <c r="E3410" i="7"/>
  <c r="F4202" i="7"/>
  <c r="F3919" i="7"/>
  <c r="F4545" i="7"/>
  <c r="F4752" i="7"/>
  <c r="F4512" i="7"/>
  <c r="F4231" i="7"/>
  <c r="F4651" i="7"/>
  <c r="F4424" i="7"/>
  <c r="F4743" i="7"/>
  <c r="F3258" i="7"/>
  <c r="F4954" i="7"/>
  <c r="F4393" i="7"/>
  <c r="F4542" i="7"/>
  <c r="F4853" i="7"/>
  <c r="F4442" i="7"/>
  <c r="F4541" i="7"/>
  <c r="E3976" i="7"/>
  <c r="E4339" i="7"/>
  <c r="E4238" i="7"/>
  <c r="F4238" i="7"/>
  <c r="F3921" i="7"/>
  <c r="E3921" i="7"/>
  <c r="E3891" i="7"/>
  <c r="F3891" i="7"/>
  <c r="E4995" i="7"/>
  <c r="F4995" i="7"/>
  <c r="E4203" i="7"/>
  <c r="F4203" i="7"/>
  <c r="E3710" i="7"/>
  <c r="F3710" i="7"/>
  <c r="E2908" i="7"/>
  <c r="F2908" i="7"/>
  <c r="E4185" i="7"/>
  <c r="F4185" i="7"/>
  <c r="E2654" i="7"/>
  <c r="F2654" i="7"/>
  <c r="E4443" i="7"/>
  <c r="F4443" i="7"/>
  <c r="E4023" i="7"/>
  <c r="F4023" i="7"/>
  <c r="E2541" i="7"/>
  <c r="F2541" i="7"/>
  <c r="F4819" i="7"/>
  <c r="E4819" i="7"/>
  <c r="E4399" i="7"/>
  <c r="F4399" i="7"/>
  <c r="F4384" i="7"/>
  <c r="E4384" i="7"/>
  <c r="F4410" i="7"/>
  <c r="E4410" i="7"/>
  <c r="E4821" i="7"/>
  <c r="F4821" i="7"/>
  <c r="E3824" i="7"/>
  <c r="F3824" i="7"/>
  <c r="E3907" i="7"/>
  <c r="F3907" i="7"/>
  <c r="E3999" i="7"/>
  <c r="F3999" i="7"/>
  <c r="F4822" i="7"/>
  <c r="E3765" i="7"/>
  <c r="F4457" i="7"/>
  <c r="E4715" i="7"/>
  <c r="E4887" i="7"/>
  <c r="F4887" i="7"/>
  <c r="F3018" i="7"/>
  <c r="E3018" i="7"/>
  <c r="E4425" i="7"/>
  <c r="F4425" i="7"/>
  <c r="E2890" i="7"/>
  <c r="F2890" i="7"/>
  <c r="E4093" i="7"/>
  <c r="F4093" i="7"/>
  <c r="E4067" i="7"/>
  <c r="F4067" i="7"/>
  <c r="E2907" i="7"/>
  <c r="F2907" i="7"/>
  <c r="E4937" i="7"/>
  <c r="F4937" i="7"/>
  <c r="E3451" i="7"/>
  <c r="F3451" i="7"/>
  <c r="E4645" i="7"/>
  <c r="F4645" i="7"/>
  <c r="E3944" i="7"/>
  <c r="F3944" i="7"/>
  <c r="E4610" i="7"/>
  <c r="F4610" i="7"/>
  <c r="E4198" i="7"/>
  <c r="F4198" i="7"/>
  <c r="E3547" i="7"/>
  <c r="F3547" i="7"/>
  <c r="E4199" i="7"/>
  <c r="F4199" i="7"/>
  <c r="F4140" i="7"/>
  <c r="E4140" i="7"/>
  <c r="E4873" i="7"/>
  <c r="F4873" i="7"/>
  <c r="E4511" i="7"/>
  <c r="F4511" i="7"/>
  <c r="E3596" i="7"/>
  <c r="F3596" i="7"/>
  <c r="F4521" i="7"/>
  <c r="F4159" i="7"/>
  <c r="F3193" i="7"/>
  <c r="F4294" i="7"/>
  <c r="E4094" i="7"/>
  <c r="E3796" i="7"/>
  <c r="F3796" i="7"/>
  <c r="E3732" i="7"/>
  <c r="F3732" i="7"/>
  <c r="E4768" i="7"/>
  <c r="F4768" i="7"/>
  <c r="F3994" i="7"/>
  <c r="E3994" i="7"/>
  <c r="E4917" i="7"/>
  <c r="F4917" i="7"/>
  <c r="E4464" i="7"/>
  <c r="F4464" i="7"/>
  <c r="E3958" i="7"/>
  <c r="F3958" i="7"/>
  <c r="E3920" i="7"/>
  <c r="F3920" i="7"/>
  <c r="E4955" i="7"/>
  <c r="F4955" i="7"/>
  <c r="F4535" i="7"/>
  <c r="E4535" i="7"/>
  <c r="E4133" i="7"/>
  <c r="F4133" i="7"/>
  <c r="E2988" i="7"/>
  <c r="F2988" i="7"/>
  <c r="E3758" i="7"/>
  <c r="F3758" i="7"/>
  <c r="E4710" i="7"/>
  <c r="F4710" i="7"/>
  <c r="E4216" i="7"/>
  <c r="F4216" i="7"/>
  <c r="F4711" i="7"/>
  <c r="E4711" i="7"/>
  <c r="F3998" i="7"/>
  <c r="E3998" i="7"/>
  <c r="E3985" i="7"/>
  <c r="F3985" i="7"/>
  <c r="E4419" i="7"/>
  <c r="F4419" i="7"/>
  <c r="E3146" i="7"/>
  <c r="F3146" i="7"/>
  <c r="E3773" i="7"/>
  <c r="F3773" i="7"/>
  <c r="F2569" i="7"/>
  <c r="E2569" i="7"/>
  <c r="E3812" i="7"/>
  <c r="F3812" i="7"/>
  <c r="F3754" i="7"/>
  <c r="E3754" i="7"/>
  <c r="E3158" i="7"/>
  <c r="F3158" i="7"/>
  <c r="F4188" i="7"/>
  <c r="E4188" i="7"/>
  <c r="E3427" i="7"/>
  <c r="F3427" i="7"/>
  <c r="F3136" i="7"/>
  <c r="E3136" i="7"/>
  <c r="E2567" i="7"/>
  <c r="F2567" i="7"/>
  <c r="E3997" i="7"/>
  <c r="F3997" i="7"/>
  <c r="E3738" i="7"/>
  <c r="F3738" i="7"/>
  <c r="E4489" i="7"/>
  <c r="E3074" i="7"/>
  <c r="F3074" i="7"/>
  <c r="F4706" i="7"/>
  <c r="E4706" i="7"/>
  <c r="E4806" i="7"/>
  <c r="F4806" i="7"/>
  <c r="F3408" i="7"/>
  <c r="E3408" i="7"/>
  <c r="E4729" i="7"/>
  <c r="F4729" i="7"/>
  <c r="E4807" i="7"/>
  <c r="F4807" i="7"/>
  <c r="E4405" i="7"/>
  <c r="F4405" i="7"/>
  <c r="E4257" i="7"/>
  <c r="F4257" i="7"/>
  <c r="E4882" i="7"/>
  <c r="F4882" i="7"/>
  <c r="E4982" i="7"/>
  <c r="F4982" i="7"/>
  <c r="E4081" i="7"/>
  <c r="F4081" i="7"/>
  <c r="F3931" i="7"/>
  <c r="E3931" i="7"/>
  <c r="F4846" i="7"/>
  <c r="E4846" i="7"/>
  <c r="F3458" i="7"/>
  <c r="E3458" i="7"/>
  <c r="F4997" i="7"/>
  <c r="E4997" i="7"/>
  <c r="E3829" i="7"/>
  <c r="F3829" i="7"/>
  <c r="E4417" i="7"/>
  <c r="F4417" i="7"/>
  <c r="E3898" i="7"/>
  <c r="F3898" i="7"/>
  <c r="E4309" i="7"/>
  <c r="F4309" i="7"/>
  <c r="E4210" i="7"/>
  <c r="F4210" i="7"/>
  <c r="E4621" i="7"/>
  <c r="F4621" i="7"/>
  <c r="E4836" i="7"/>
  <c r="F4836" i="7"/>
  <c r="E3667" i="7"/>
  <c r="F3667" i="7"/>
  <c r="E2899" i="7"/>
  <c r="F2899" i="7"/>
  <c r="E3215" i="7"/>
  <c r="F3215" i="7"/>
  <c r="E3109" i="7"/>
  <c r="F3109" i="7"/>
  <c r="E2900" i="7"/>
  <c r="F2900" i="7"/>
  <c r="E3705" i="7"/>
  <c r="F3705" i="7"/>
  <c r="E2681" i="7"/>
  <c r="F2681" i="7"/>
  <c r="E3022" i="7"/>
  <c r="F3022" i="7"/>
  <c r="E4308" i="7"/>
  <c r="F4308" i="7"/>
  <c r="E3511" i="7"/>
  <c r="F3511" i="7"/>
  <c r="E3651" i="7"/>
  <c r="F3651" i="7"/>
  <c r="E3313" i="7"/>
  <c r="F3313" i="7"/>
  <c r="E2744" i="7"/>
  <c r="F2744" i="7"/>
  <c r="F4509" i="7"/>
  <c r="E2817" i="7"/>
  <c r="E4922" i="7"/>
  <c r="F4403" i="7"/>
  <c r="F2703" i="7"/>
  <c r="E3142" i="7"/>
  <c r="F4619" i="7"/>
  <c r="E5015" i="7"/>
  <c r="F5015" i="7"/>
  <c r="F4681" i="7"/>
  <c r="E4681" i="7"/>
  <c r="E4169" i="7"/>
  <c r="F4169" i="7"/>
  <c r="E4194" i="7"/>
  <c r="F4194" i="7"/>
  <c r="E4605" i="7"/>
  <c r="F4605" i="7"/>
  <c r="E4801" i="7"/>
  <c r="F4801" i="7"/>
  <c r="E3020" i="7"/>
  <c r="F3020" i="7"/>
  <c r="E4625" i="7"/>
  <c r="F4625" i="7"/>
  <c r="E4056" i="7"/>
  <c r="F4056" i="7"/>
  <c r="E4671" i="7"/>
  <c r="F4671" i="7"/>
  <c r="F4269" i="7"/>
  <c r="E4269" i="7"/>
  <c r="E3347" i="7"/>
  <c r="F3347" i="7"/>
  <c r="F4746" i="7"/>
  <c r="E4746" i="7"/>
  <c r="F4334" i="7"/>
  <c r="E4334" i="7"/>
  <c r="F4624" i="7"/>
  <c r="E4624" i="7"/>
  <c r="E4107" i="7"/>
  <c r="F4107" i="7"/>
  <c r="F2956" i="7"/>
  <c r="E2956" i="7"/>
  <c r="E2974" i="7"/>
  <c r="F2974" i="7"/>
  <c r="E4931" i="7"/>
  <c r="F4931" i="7"/>
  <c r="E2770" i="7"/>
  <c r="F2770" i="7"/>
  <c r="E3395" i="7"/>
  <c r="F3395" i="7"/>
  <c r="E2970" i="7"/>
  <c r="F2970" i="7"/>
  <c r="E3272" i="7"/>
  <c r="F3272" i="7"/>
  <c r="E2597" i="7"/>
  <c r="F2597" i="7"/>
  <c r="F3531" i="7"/>
  <c r="E3531" i="7"/>
  <c r="E2763" i="7"/>
  <c r="F2763" i="7"/>
  <c r="E3079" i="7"/>
  <c r="F3079" i="7"/>
  <c r="E2973" i="7"/>
  <c r="F2973" i="7"/>
  <c r="E3354" i="7"/>
  <c r="F3354" i="7"/>
  <c r="E2556" i="7"/>
  <c r="F2556" i="7"/>
  <c r="E2801" i="7"/>
  <c r="F2801" i="7"/>
  <c r="E3199" i="7"/>
  <c r="F3199" i="7"/>
  <c r="F4098" i="7"/>
  <c r="E4324" i="7"/>
  <c r="E4347" i="7"/>
  <c r="F4347" i="7"/>
  <c r="F3621" i="7"/>
  <c r="E3621" i="7"/>
  <c r="E3709" i="7"/>
  <c r="F3709" i="7"/>
  <c r="F3912" i="7"/>
  <c r="E3912" i="7"/>
  <c r="F4506" i="7"/>
  <c r="E4506" i="7"/>
  <c r="E4606" i="7"/>
  <c r="F4606" i="7"/>
  <c r="F4764" i="7"/>
  <c r="E4764" i="7"/>
  <c r="E4224" i="7"/>
  <c r="F4224" i="7"/>
  <c r="E4579" i="7"/>
  <c r="F4579" i="7"/>
  <c r="E3858" i="7"/>
  <c r="F3858" i="7"/>
  <c r="E4781" i="7"/>
  <c r="F4781" i="7"/>
  <c r="E3820" i="7"/>
  <c r="F3820" i="7"/>
  <c r="E2858" i="7"/>
  <c r="F2858" i="7"/>
  <c r="E4234" i="7"/>
  <c r="F4234" i="7"/>
  <c r="E2761" i="7"/>
  <c r="F2761" i="7"/>
  <c r="F4008" i="7"/>
  <c r="E4008" i="7"/>
  <c r="E4307" i="7"/>
  <c r="F4307" i="7"/>
  <c r="F4911" i="7"/>
  <c r="E4911" i="7"/>
  <c r="E2954" i="7"/>
  <c r="F2954" i="7"/>
  <c r="E2640" i="7"/>
  <c r="F2640" i="7"/>
  <c r="E4345" i="7"/>
  <c r="F4345" i="7"/>
  <c r="E4510" i="7"/>
  <c r="F4510" i="7"/>
  <c r="E3227" i="7"/>
  <c r="F3227" i="7"/>
  <c r="E4722" i="7"/>
  <c r="F4722" i="7"/>
  <c r="E4109" i="7"/>
  <c r="F4109" i="7"/>
  <c r="E4013" i="7"/>
  <c r="F4013" i="7"/>
  <c r="E3527" i="7"/>
  <c r="F3527" i="7"/>
  <c r="F2620" i="7"/>
  <c r="E2620" i="7"/>
  <c r="E3329" i="7"/>
  <c r="F3329" i="7"/>
  <c r="E2760" i="7"/>
  <c r="F2760" i="7"/>
  <c r="E2646" i="7"/>
  <c r="F2646" i="7"/>
  <c r="E2794" i="7"/>
  <c r="F2794" i="7"/>
  <c r="E3218" i="7"/>
  <c r="F3218" i="7"/>
  <c r="E2624" i="7"/>
  <c r="F2624" i="7"/>
  <c r="E3485" i="7"/>
  <c r="F3485" i="7"/>
  <c r="E4820" i="7"/>
  <c r="F4820" i="7"/>
  <c r="E3580" i="7"/>
  <c r="F3580" i="7"/>
  <c r="E2906" i="7"/>
  <c r="F2906" i="7"/>
  <c r="E2883" i="7"/>
  <c r="F2883" i="7"/>
  <c r="F3256" i="7"/>
  <c r="E3256" i="7"/>
  <c r="F3983" i="7"/>
  <c r="F4495" i="7"/>
  <c r="F4470" i="7"/>
  <c r="E3980" i="7"/>
  <c r="F3980" i="7"/>
  <c r="E3497" i="7"/>
  <c r="F3497" i="7"/>
  <c r="E3737" i="7"/>
  <c r="F3737" i="7"/>
  <c r="E3054" i="7"/>
  <c r="F3054" i="7"/>
  <c r="E3061" i="7"/>
  <c r="F3061" i="7"/>
  <c r="E1088" i="7"/>
  <c r="F1088" i="7"/>
  <c r="E2343" i="7"/>
  <c r="F2343" i="7"/>
  <c r="E2127" i="7"/>
  <c r="F2127" i="7"/>
  <c r="E2334" i="7"/>
  <c r="F2334" i="7"/>
  <c r="E65" i="7"/>
  <c r="F65" i="7"/>
  <c r="E1225" i="7"/>
  <c r="F1225" i="7"/>
  <c r="E794" i="7"/>
  <c r="F794" i="7"/>
  <c r="F442" i="7"/>
  <c r="E442" i="7"/>
  <c r="E745" i="7"/>
  <c r="F745" i="7"/>
  <c r="E624" i="7"/>
  <c r="F624" i="7"/>
  <c r="E2185" i="7"/>
  <c r="F2185" i="7"/>
  <c r="E4741" i="7"/>
  <c r="F4741" i="7"/>
  <c r="F441" i="7"/>
  <c r="E3617" i="7"/>
  <c r="F3300" i="7"/>
  <c r="E2344" i="7"/>
  <c r="E2228" i="7"/>
  <c r="E1443" i="7"/>
  <c r="E729" i="7"/>
  <c r="F4612" i="7"/>
  <c r="E3281" i="7"/>
  <c r="F3168" i="7"/>
  <c r="F2554" i="7"/>
  <c r="E2765" i="7"/>
  <c r="E1146" i="7"/>
  <c r="F4732" i="7"/>
  <c r="F2866" i="7"/>
  <c r="F2421" i="7"/>
  <c r="E2059" i="7"/>
  <c r="E2362" i="7"/>
  <c r="F2384" i="7"/>
  <c r="E2028" i="7"/>
  <c r="F3330" i="7"/>
  <c r="E2549" i="7"/>
  <c r="F1329" i="7"/>
  <c r="F2264" i="7"/>
  <c r="E2795" i="7"/>
  <c r="F2324" i="7"/>
  <c r="F4220" i="7"/>
  <c r="F2656" i="7"/>
  <c r="E3530" i="7"/>
  <c r="F2503" i="7"/>
  <c r="F4276" i="7"/>
  <c r="F1745" i="7"/>
  <c r="E3105" i="7"/>
  <c r="F3105" i="7"/>
  <c r="E2195" i="7"/>
  <c r="F2195" i="7"/>
  <c r="E2395" i="7"/>
  <c r="F2395" i="7"/>
  <c r="E2194" i="7"/>
  <c r="F2194" i="7"/>
  <c r="E1952" i="7"/>
  <c r="F1952" i="7"/>
  <c r="E610" i="7"/>
  <c r="F610" i="7"/>
  <c r="E1552" i="7"/>
  <c r="F1552" i="7"/>
  <c r="E889" i="7"/>
  <c r="F889" i="7"/>
  <c r="E1345" i="7"/>
  <c r="F1345" i="7"/>
  <c r="E1162" i="7"/>
  <c r="F1162" i="7"/>
  <c r="E1656" i="7"/>
  <c r="F1656" i="7"/>
  <c r="E1296" i="7"/>
  <c r="F1296" i="7"/>
  <c r="E282" i="7"/>
  <c r="F282" i="7"/>
  <c r="E1947" i="7"/>
  <c r="F1947" i="7"/>
  <c r="E2073" i="7"/>
  <c r="F2073" i="7"/>
  <c r="F2630" i="7"/>
  <c r="E2687" i="7"/>
  <c r="F2245" i="7"/>
  <c r="F1506" i="7"/>
  <c r="E3277" i="7"/>
  <c r="F2150" i="7"/>
  <c r="E3140" i="7"/>
  <c r="F3140" i="7"/>
  <c r="E2593" i="7"/>
  <c r="F2593" i="7"/>
  <c r="E2599" i="7"/>
  <c r="F2599" i="7"/>
  <c r="E3637" i="7"/>
  <c r="F3637" i="7"/>
  <c r="E960" i="7"/>
  <c r="F960" i="7"/>
  <c r="E946" i="7"/>
  <c r="F946" i="7"/>
  <c r="E2125" i="7"/>
  <c r="F2125" i="7"/>
  <c r="E1641" i="7"/>
  <c r="F1641" i="7"/>
  <c r="E2355" i="7"/>
  <c r="F2355" i="7"/>
  <c r="E1919" i="7"/>
  <c r="F1919" i="7"/>
  <c r="E1122" i="7"/>
  <c r="F1122" i="7"/>
  <c r="E1312" i="7"/>
  <c r="F1312" i="7"/>
  <c r="E562" i="7"/>
  <c r="F562" i="7"/>
  <c r="E784" i="7"/>
  <c r="F784" i="7"/>
  <c r="E568" i="7"/>
  <c r="F568" i="7"/>
  <c r="F227" i="7"/>
  <c r="E227" i="7"/>
  <c r="E2225" i="7"/>
  <c r="F2225" i="7"/>
  <c r="E3358" i="7"/>
  <c r="F3358" i="7"/>
  <c r="F2221" i="7"/>
  <c r="F2814" i="7"/>
  <c r="F2542" i="7"/>
  <c r="F2404" i="7"/>
  <c r="F2016" i="7"/>
  <c r="F1505" i="7"/>
  <c r="F1777" i="7"/>
  <c r="F1658" i="7"/>
  <c r="F4165" i="7"/>
  <c r="F3224" i="7"/>
  <c r="F3252" i="7"/>
  <c r="F2031" i="7"/>
  <c r="F2297" i="7"/>
  <c r="F1625" i="7"/>
  <c r="F2190" i="7"/>
  <c r="F1138" i="7"/>
  <c r="E2713" i="7"/>
  <c r="E328" i="7"/>
  <c r="E3616" i="7"/>
  <c r="F3616" i="7"/>
  <c r="E3187" i="7"/>
  <c r="F3187" i="7"/>
  <c r="E3028" i="7"/>
  <c r="F3028" i="7"/>
  <c r="E3005" i="7"/>
  <c r="F3005" i="7"/>
  <c r="E3548" i="7"/>
  <c r="F3548" i="7"/>
  <c r="F1871" i="7"/>
  <c r="E1871" i="7"/>
  <c r="E682" i="7"/>
  <c r="F682" i="7"/>
  <c r="F330" i="7"/>
  <c r="E330" i="7"/>
  <c r="F1008" i="7"/>
  <c r="E1008" i="7"/>
  <c r="E600" i="7"/>
  <c r="F600" i="7"/>
  <c r="E1202" i="7"/>
  <c r="F1202" i="7"/>
  <c r="E1920" i="7"/>
  <c r="F1920" i="7"/>
  <c r="E640" i="7"/>
  <c r="F640" i="7"/>
  <c r="E546" i="7"/>
  <c r="F546" i="7"/>
  <c r="E1032" i="7"/>
  <c r="F1032" i="7"/>
  <c r="E393" i="7"/>
  <c r="F393" i="7"/>
  <c r="E2217" i="7"/>
  <c r="F2217" i="7"/>
  <c r="F2581" i="7"/>
  <c r="F2108" i="7"/>
  <c r="F3440" i="7"/>
  <c r="F2712" i="7"/>
  <c r="F1738" i="7"/>
  <c r="F650" i="7"/>
  <c r="F2769" i="7"/>
  <c r="E1961" i="7"/>
  <c r="F2265" i="7"/>
  <c r="F2668" i="7"/>
  <c r="F2175" i="7"/>
  <c r="F298" i="7"/>
  <c r="E2018" i="7"/>
  <c r="F1083" i="7"/>
  <c r="F634" i="7"/>
  <c r="F1216" i="7"/>
  <c r="E3326" i="7"/>
  <c r="F3326" i="7"/>
  <c r="E2598" i="7"/>
  <c r="F2598" i="7"/>
  <c r="E2204" i="7"/>
  <c r="F2204" i="7"/>
  <c r="E1538" i="7"/>
  <c r="F1538" i="7"/>
  <c r="E1274" i="7"/>
  <c r="F1274" i="7"/>
  <c r="E2070" i="7"/>
  <c r="F2070" i="7"/>
  <c r="E2372" i="7"/>
  <c r="F2372" i="7"/>
  <c r="E1576" i="7"/>
  <c r="F1576" i="7"/>
  <c r="E1192" i="7"/>
  <c r="F1192" i="7"/>
  <c r="E1711" i="7"/>
  <c r="F1711" i="7"/>
  <c r="E800" i="7"/>
  <c r="F800" i="7"/>
  <c r="E898" i="7"/>
  <c r="F898" i="7"/>
  <c r="E1904" i="7"/>
  <c r="F1904" i="7"/>
  <c r="E1067" i="7"/>
  <c r="F1067" i="7"/>
  <c r="E915" i="7"/>
  <c r="F915" i="7"/>
  <c r="E4266" i="7"/>
  <c r="F4266" i="7"/>
  <c r="F2041" i="7"/>
  <c r="F2360" i="7"/>
  <c r="F4492" i="7"/>
  <c r="F3909" i="7"/>
  <c r="F2778" i="7"/>
  <c r="F1970" i="7"/>
  <c r="F1314" i="7"/>
  <c r="F3736" i="7"/>
  <c r="F3734" i="7"/>
  <c r="F3695" i="7"/>
  <c r="F3446" i="7"/>
  <c r="F2416" i="7"/>
  <c r="F2048" i="7"/>
  <c r="F2934" i="7"/>
  <c r="F3619" i="7"/>
  <c r="E2184" i="7"/>
  <c r="E1562" i="7"/>
  <c r="F2043" i="7"/>
  <c r="F1482" i="7"/>
  <c r="F705" i="7"/>
  <c r="E2555" i="7"/>
  <c r="F2555" i="7"/>
  <c r="E2871" i="7"/>
  <c r="F2871" i="7"/>
  <c r="E2536" i="7"/>
  <c r="F2536" i="7"/>
  <c r="E2885" i="7"/>
  <c r="F2885" i="7"/>
  <c r="E3650" i="7"/>
  <c r="F3650" i="7"/>
  <c r="E3111" i="7"/>
  <c r="F3111" i="7"/>
  <c r="E4788" i="7"/>
  <c r="F4788" i="7"/>
  <c r="E3474" i="7"/>
  <c r="F3474" i="7"/>
  <c r="E3167" i="7"/>
  <c r="F3167" i="7"/>
  <c r="E2491" i="7"/>
  <c r="F2491" i="7"/>
  <c r="E2371" i="7"/>
  <c r="F2371" i="7"/>
  <c r="E2207" i="7"/>
  <c r="F2207" i="7"/>
  <c r="E2502" i="7"/>
  <c r="F2502" i="7"/>
  <c r="E2255" i="7"/>
  <c r="F2255" i="7"/>
  <c r="E1440" i="7"/>
  <c r="F1440" i="7"/>
  <c r="F1672" i="7"/>
  <c r="E1672" i="7"/>
  <c r="E1009" i="7"/>
  <c r="F1009" i="7"/>
  <c r="E161" i="7"/>
  <c r="F161" i="7"/>
  <c r="E1048" i="7"/>
  <c r="F1048" i="7"/>
  <c r="E1695" i="7"/>
  <c r="F1695" i="7"/>
  <c r="E993" i="7"/>
  <c r="F993" i="7"/>
  <c r="E2065" i="7"/>
  <c r="F2065" i="7"/>
  <c r="E483" i="7"/>
  <c r="F483" i="7"/>
  <c r="F553" i="7"/>
  <c r="F3397" i="7"/>
  <c r="F2655" i="7"/>
  <c r="F914" i="7"/>
  <c r="F2275" i="7"/>
  <c r="E2991" i="7"/>
  <c r="F2010" i="7"/>
  <c r="F2281" i="7"/>
  <c r="F3563" i="7"/>
  <c r="F2050" i="7"/>
  <c r="E409" i="7"/>
  <c r="F1408" i="7"/>
  <c r="E3292" i="7"/>
  <c r="F3292" i="7"/>
  <c r="E3383" i="7"/>
  <c r="F3383" i="7"/>
  <c r="E3048" i="7"/>
  <c r="F3048" i="7"/>
  <c r="E1994" i="7"/>
  <c r="F1994" i="7"/>
  <c r="E1697" i="7"/>
  <c r="F1697" i="7"/>
  <c r="F536" i="7"/>
  <c r="E536" i="7"/>
  <c r="E2045" i="7"/>
  <c r="F2045" i="7"/>
  <c r="E2068" i="7"/>
  <c r="F2068" i="7"/>
  <c r="E2389" i="7"/>
  <c r="F2389" i="7"/>
  <c r="E672" i="7"/>
  <c r="F672" i="7"/>
  <c r="E369" i="7"/>
  <c r="F369" i="7"/>
  <c r="E145" i="7"/>
  <c r="F145" i="7"/>
  <c r="E1139" i="7"/>
  <c r="F1139" i="7"/>
  <c r="E819" i="7"/>
  <c r="F819" i="7"/>
  <c r="E763" i="7"/>
  <c r="F763" i="7"/>
  <c r="F3706" i="7"/>
  <c r="E2928" i="7"/>
  <c r="E3793" i="7"/>
  <c r="E4100" i="7"/>
  <c r="F2478" i="7"/>
  <c r="E3764" i="7"/>
  <c r="E3110" i="7"/>
  <c r="F2660" i="7"/>
  <c r="F3225" i="7"/>
  <c r="F67" i="7"/>
  <c r="F1080" i="7"/>
  <c r="F680" i="7"/>
  <c r="F3822" i="7"/>
  <c r="F2775" i="7"/>
  <c r="F4295" i="7"/>
  <c r="F4370" i="7"/>
  <c r="F4600" i="7"/>
  <c r="F3344" i="7"/>
  <c r="F4698" i="7"/>
  <c r="F2638" i="7"/>
  <c r="F4568" i="7"/>
  <c r="E4049" i="7"/>
  <c r="F4459" i="7"/>
  <c r="E3295" i="7"/>
  <c r="E3892" i="7"/>
  <c r="E3056" i="7"/>
  <c r="F3352" i="7"/>
  <c r="F4839" i="7"/>
  <c r="F3708" i="7"/>
  <c r="F4250" i="7"/>
  <c r="E4436" i="7"/>
  <c r="F2670" i="7"/>
  <c r="F2401" i="7"/>
  <c r="F1809" i="7"/>
  <c r="E2117" i="7"/>
  <c r="E3923" i="7"/>
  <c r="E4638" i="7"/>
  <c r="F4638" i="7"/>
  <c r="F3031" i="7"/>
  <c r="E3031" i="7"/>
  <c r="E3576" i="7"/>
  <c r="F3576" i="7"/>
  <c r="F2938" i="7"/>
  <c r="E2938" i="7"/>
  <c r="E3384" i="7"/>
  <c r="F3384" i="7"/>
  <c r="E2709" i="7"/>
  <c r="F2709" i="7"/>
  <c r="E3172" i="7"/>
  <c r="F3172" i="7"/>
  <c r="E2601" i="7"/>
  <c r="F2601" i="7"/>
  <c r="F2893" i="7"/>
  <c r="E2893" i="7"/>
  <c r="E4860" i="7"/>
  <c r="F4860" i="7"/>
  <c r="E466" i="7"/>
  <c r="F466" i="7"/>
  <c r="F4233" i="7"/>
  <c r="E4233" i="7"/>
  <c r="E4734" i="7"/>
  <c r="F4734" i="7"/>
  <c r="E3678" i="7"/>
  <c r="F3678" i="7"/>
  <c r="E2652" i="7"/>
  <c r="F2652" i="7"/>
  <c r="F4024" i="7"/>
  <c r="E4024" i="7"/>
  <c r="E4663" i="7"/>
  <c r="F4663" i="7"/>
  <c r="E4326" i="7"/>
  <c r="F4326" i="7"/>
  <c r="E4338" i="7"/>
  <c r="F4338" i="7"/>
  <c r="E3926" i="7"/>
  <c r="F3926" i="7"/>
  <c r="E4964" i="7"/>
  <c r="F4964" i="7"/>
  <c r="E3795" i="7"/>
  <c r="F3795" i="7"/>
  <c r="E2588" i="7"/>
  <c r="F2588" i="7"/>
  <c r="F2752" i="7"/>
  <c r="E2752" i="7"/>
  <c r="F2722" i="7"/>
  <c r="E2722" i="7"/>
  <c r="E4620" i="7"/>
  <c r="F4620" i="7"/>
  <c r="E3571" i="7"/>
  <c r="F3571" i="7"/>
  <c r="E2721" i="7"/>
  <c r="F2721" i="7"/>
  <c r="E2550" i="7"/>
  <c r="F2550" i="7"/>
  <c r="E3620" i="7"/>
  <c r="F3620" i="7"/>
  <c r="E3353" i="7"/>
  <c r="F3353" i="7"/>
  <c r="E2727" i="7"/>
  <c r="F2727" i="7"/>
  <c r="E4916" i="7"/>
  <c r="F4916" i="7"/>
  <c r="E2402" i="7"/>
  <c r="F2402" i="7"/>
  <c r="E2243" i="7"/>
  <c r="F2243" i="7"/>
  <c r="E1690" i="7"/>
  <c r="F1690" i="7"/>
  <c r="E2480" i="7"/>
  <c r="F2480" i="7"/>
  <c r="E1169" i="7"/>
  <c r="F1169" i="7"/>
  <c r="E2067" i="7"/>
  <c r="F2067" i="7"/>
  <c r="E2030" i="7"/>
  <c r="F2030" i="7"/>
  <c r="E2062" i="7"/>
  <c r="F2062" i="7"/>
  <c r="E1649" i="7"/>
  <c r="F1649" i="7"/>
  <c r="E2147" i="7"/>
  <c r="F2147" i="7"/>
  <c r="E2295" i="7"/>
  <c r="F2295" i="7"/>
  <c r="E1531" i="7"/>
  <c r="F1531" i="7"/>
  <c r="E2132" i="7"/>
  <c r="F2132" i="7"/>
  <c r="E2022" i="7"/>
  <c r="F2022" i="7"/>
  <c r="E1705" i="7"/>
  <c r="F1705" i="7"/>
  <c r="E1241" i="7"/>
  <c r="F1241" i="7"/>
  <c r="F833" i="7"/>
  <c r="E833" i="7"/>
  <c r="F1680" i="7"/>
  <c r="E1680" i="7"/>
  <c r="E169" i="7"/>
  <c r="F169" i="7"/>
  <c r="E1330" i="7"/>
  <c r="F1330" i="7"/>
  <c r="E928" i="7"/>
  <c r="F928" i="7"/>
  <c r="E72" i="7"/>
  <c r="F72" i="7"/>
  <c r="E1823" i="7"/>
  <c r="F1823" i="7"/>
  <c r="E1026" i="7"/>
  <c r="F1026" i="7"/>
  <c r="E521" i="7"/>
  <c r="F521" i="7"/>
  <c r="E99" i="7"/>
  <c r="F99" i="7"/>
  <c r="E2193" i="7"/>
  <c r="F2193" i="7"/>
  <c r="F2289" i="7"/>
  <c r="E2289" i="7"/>
  <c r="E1779" i="7"/>
  <c r="F1779" i="7"/>
  <c r="E1723" i="7"/>
  <c r="F1723" i="7"/>
  <c r="E136" i="7"/>
  <c r="F136" i="7"/>
  <c r="F3176" i="7"/>
  <c r="F4096" i="7"/>
  <c r="F1442" i="7"/>
  <c r="F1873" i="7"/>
  <c r="F1839" i="7"/>
  <c r="E4047" i="7"/>
  <c r="F4047" i="7"/>
  <c r="E4669" i="7"/>
  <c r="F4669" i="7"/>
  <c r="E4904" i="7"/>
  <c r="F4904" i="7"/>
  <c r="E4267" i="7"/>
  <c r="F4267" i="7"/>
  <c r="E3847" i="7"/>
  <c r="F3847" i="7"/>
  <c r="E2562" i="7"/>
  <c r="F2562" i="7"/>
  <c r="E4441" i="7"/>
  <c r="F4441" i="7"/>
  <c r="E4946" i="7"/>
  <c r="F4946" i="7"/>
  <c r="E3002" i="7"/>
  <c r="F3002" i="7"/>
  <c r="E4507" i="7"/>
  <c r="F4507" i="7"/>
  <c r="E4810" i="7"/>
  <c r="F4810" i="7"/>
  <c r="E4599" i="7"/>
  <c r="F4599" i="7"/>
  <c r="F4398" i="7"/>
  <c r="E4398" i="7"/>
  <c r="E3220" i="7"/>
  <c r="F3220" i="7"/>
  <c r="E3750" i="7"/>
  <c r="F3750" i="7"/>
  <c r="E4744" i="7"/>
  <c r="F4744" i="7"/>
  <c r="E4371" i="7"/>
  <c r="F4371" i="7"/>
  <c r="E3951" i="7"/>
  <c r="F3951" i="7"/>
  <c r="E4061" i="7"/>
  <c r="F4061" i="7"/>
  <c r="E5004" i="7"/>
  <c r="F5004" i="7"/>
  <c r="E4640" i="7"/>
  <c r="F4640" i="7"/>
  <c r="E4171" i="7"/>
  <c r="F4171" i="7"/>
  <c r="E3962" i="7"/>
  <c r="F3962" i="7"/>
  <c r="E3582" i="7"/>
  <c r="F3582" i="7"/>
  <c r="E4636" i="7"/>
  <c r="F4636" i="7"/>
  <c r="E4483" i="7"/>
  <c r="F4483" i="7"/>
  <c r="E4786" i="7"/>
  <c r="F4786" i="7"/>
  <c r="E4736" i="7"/>
  <c r="F3472" i="7"/>
  <c r="F2047" i="7"/>
  <c r="E2276" i="7"/>
  <c r="E4571" i="7"/>
  <c r="F3724" i="7"/>
  <c r="F3150" i="7"/>
  <c r="F2840" i="7"/>
  <c r="F2892" i="7"/>
  <c r="F4127" i="7"/>
  <c r="F3782" i="7"/>
  <c r="F2215" i="7"/>
  <c r="F1753" i="7"/>
  <c r="F1666" i="7"/>
  <c r="F4883" i="7"/>
  <c r="F3941" i="7"/>
  <c r="F778" i="7"/>
  <c r="E3538" i="7"/>
  <c r="E57" i="7"/>
  <c r="E1209" i="7"/>
  <c r="F1042" i="7"/>
  <c r="F4709" i="7"/>
  <c r="E3744" i="7"/>
  <c r="F2234" i="7"/>
  <c r="E210" i="7"/>
  <c r="F731" i="7"/>
  <c r="E4498" i="7"/>
  <c r="F4498" i="7"/>
  <c r="F4086" i="7"/>
  <c r="E4086" i="7"/>
  <c r="E4969" i="7"/>
  <c r="F4969" i="7"/>
  <c r="E4435" i="7"/>
  <c r="F4435" i="7"/>
  <c r="E4527" i="7"/>
  <c r="F4527" i="7"/>
  <c r="F4929" i="7"/>
  <c r="E4929" i="7"/>
  <c r="F4747" i="7"/>
  <c r="E4747" i="7"/>
  <c r="F4327" i="7"/>
  <c r="E4327" i="7"/>
  <c r="E4035" i="7"/>
  <c r="F4035" i="7"/>
  <c r="E3940" i="7"/>
  <c r="F3940" i="7"/>
  <c r="E3588" i="7"/>
  <c r="F3588" i="7"/>
  <c r="E2809" i="7"/>
  <c r="F2809" i="7"/>
  <c r="E2872" i="7"/>
  <c r="F2872" i="7"/>
  <c r="F3221" i="7"/>
  <c r="E3221" i="7"/>
  <c r="E3500" i="7"/>
  <c r="F3500" i="7"/>
  <c r="E3233" i="7"/>
  <c r="F3233" i="7"/>
  <c r="E2664" i="7"/>
  <c r="F2664" i="7"/>
  <c r="E3013" i="7"/>
  <c r="F3013" i="7"/>
  <c r="E3836" i="7"/>
  <c r="F3836" i="7"/>
  <c r="E3778" i="7"/>
  <c r="F3778" i="7"/>
  <c r="E3296" i="7"/>
  <c r="F3296" i="7"/>
  <c r="E3409" i="7"/>
  <c r="F3409" i="7"/>
  <c r="E2783" i="7"/>
  <c r="F2783" i="7"/>
  <c r="E2677" i="7"/>
  <c r="F2677" i="7"/>
  <c r="E1922" i="7"/>
  <c r="F1922" i="7"/>
  <c r="E2412" i="7"/>
  <c r="F2412" i="7"/>
  <c r="E2056" i="7"/>
  <c r="F2056" i="7"/>
  <c r="E456" i="7"/>
  <c r="F456" i="7"/>
  <c r="E2415" i="7"/>
  <c r="F2415" i="7"/>
  <c r="E2314" i="7"/>
  <c r="F2314" i="7"/>
  <c r="E2454" i="7"/>
  <c r="F2454" i="7"/>
  <c r="E2066" i="7"/>
  <c r="F2066" i="7"/>
  <c r="E2244" i="7"/>
  <c r="F2244" i="7"/>
  <c r="E2400" i="7"/>
  <c r="F2400" i="7"/>
  <c r="E2394" i="7"/>
  <c r="F2394" i="7"/>
  <c r="E2077" i="7"/>
  <c r="F2077" i="7"/>
  <c r="E2216" i="7"/>
  <c r="F2216" i="7"/>
  <c r="E905" i="7"/>
  <c r="F905" i="7"/>
  <c r="E40" i="7"/>
  <c r="F40" i="7"/>
  <c r="F1496" i="7"/>
  <c r="E1496" i="7"/>
  <c r="E1017" i="7"/>
  <c r="F1017" i="7"/>
  <c r="E2017" i="7"/>
  <c r="F2017" i="7"/>
  <c r="F1800" i="7"/>
  <c r="E1800" i="7"/>
  <c r="E625" i="7"/>
  <c r="F625" i="7"/>
  <c r="E426" i="7"/>
  <c r="F426" i="7"/>
  <c r="E609" i="7"/>
  <c r="F609" i="7"/>
  <c r="F162" i="7"/>
  <c r="E162" i="7"/>
  <c r="E1520" i="7"/>
  <c r="F1520" i="7"/>
  <c r="E1160" i="7"/>
  <c r="F1160" i="7"/>
  <c r="E24" i="7"/>
  <c r="F24" i="7"/>
  <c r="E1939" i="7"/>
  <c r="F1939" i="7"/>
  <c r="E2473" i="7"/>
  <c r="F2473" i="7"/>
  <c r="E168" i="7"/>
  <c r="F168" i="7"/>
  <c r="E587" i="7"/>
  <c r="F587" i="7"/>
  <c r="F152" i="7"/>
  <c r="E152" i="7"/>
  <c r="E4567" i="7"/>
  <c r="F4567" i="7"/>
  <c r="E3415" i="7"/>
  <c r="F3415" i="7"/>
  <c r="F3835" i="7"/>
  <c r="E3835" i="7"/>
  <c r="F4177" i="7"/>
  <c r="E4177" i="7"/>
  <c r="E3806" i="7"/>
  <c r="F3806" i="7"/>
  <c r="E3565" i="7"/>
  <c r="F3565" i="7"/>
  <c r="E4870" i="7"/>
  <c r="F4870" i="7"/>
  <c r="E3663" i="7"/>
  <c r="F3663" i="7"/>
  <c r="E5008" i="7"/>
  <c r="F5008" i="7"/>
  <c r="E4856" i="7"/>
  <c r="F4856" i="7"/>
  <c r="F4058" i="7"/>
  <c r="E4058" i="7"/>
  <c r="E4158" i="7"/>
  <c r="F4158" i="7"/>
  <c r="E3287" i="7"/>
  <c r="F3287" i="7"/>
  <c r="F3922" i="7"/>
  <c r="E3922" i="7"/>
  <c r="E4332" i="7"/>
  <c r="F4332" i="7"/>
  <c r="E4337" i="7"/>
  <c r="F4337" i="7"/>
  <c r="E3936" i="7"/>
  <c r="F3936" i="7"/>
  <c r="E3995" i="7"/>
  <c r="F3995" i="7"/>
  <c r="E4298" i="7"/>
  <c r="F4298" i="7"/>
  <c r="E4910" i="7"/>
  <c r="F4910" i="7"/>
  <c r="E3273" i="7"/>
  <c r="F3273" i="7"/>
  <c r="E5002" i="7"/>
  <c r="F5002" i="7"/>
  <c r="F3945" i="7"/>
  <c r="E3945" i="7"/>
  <c r="E4674" i="7"/>
  <c r="F4674" i="7"/>
  <c r="F4463" i="7"/>
  <c r="E4463" i="7"/>
  <c r="E4601" i="7"/>
  <c r="F4601" i="7"/>
  <c r="E4683" i="7"/>
  <c r="F4683" i="7"/>
  <c r="E4474" i="7"/>
  <c r="F4474" i="7"/>
  <c r="E4373" i="7"/>
  <c r="F4373" i="7"/>
  <c r="F3766" i="7"/>
  <c r="F3551" i="7"/>
  <c r="F3378" i="7"/>
  <c r="F2651" i="7"/>
  <c r="F2979" i="7"/>
  <c r="F2076" i="7"/>
  <c r="F451" i="7"/>
  <c r="F4650" i="7"/>
  <c r="F3528" i="7"/>
  <c r="F4125" i="7"/>
  <c r="F3570" i="7"/>
  <c r="F3290" i="7"/>
  <c r="F2519" i="7"/>
  <c r="F2432" i="7"/>
  <c r="F2375" i="7"/>
  <c r="F4773" i="7"/>
  <c r="F4949" i="7"/>
  <c r="E3101" i="7"/>
  <c r="F2079" i="7"/>
  <c r="F3405" i="7"/>
  <c r="F4740" i="7"/>
  <c r="F4574" i="7"/>
  <c r="F4019" i="7"/>
  <c r="E4019" i="7"/>
  <c r="F4994" i="7"/>
  <c r="E4994" i="7"/>
  <c r="F4533" i="7"/>
  <c r="E4533" i="7"/>
  <c r="E2711" i="7"/>
  <c r="F2711" i="7"/>
  <c r="E3950" i="7"/>
  <c r="F3950" i="7"/>
  <c r="E3282" i="7"/>
  <c r="F3282" i="7"/>
  <c r="E4728" i="7"/>
  <c r="F4728" i="7"/>
  <c r="E4237" i="7"/>
  <c r="F4237" i="7"/>
  <c r="F3400" i="7"/>
  <c r="E3400" i="7"/>
  <c r="E2929" i="7"/>
  <c r="F2929" i="7"/>
  <c r="E3403" i="7"/>
  <c r="F3403" i="7"/>
  <c r="F3917" i="7"/>
  <c r="E3917" i="7"/>
  <c r="E3658" i="7"/>
  <c r="F3658" i="7"/>
  <c r="E2923" i="7"/>
  <c r="F2923" i="7"/>
  <c r="E3239" i="7"/>
  <c r="F3239" i="7"/>
  <c r="E2293" i="7"/>
  <c r="F2293" i="7"/>
  <c r="E1385" i="7"/>
  <c r="F1385" i="7"/>
  <c r="E1193" i="7"/>
  <c r="F1193" i="7"/>
  <c r="E4985" i="7"/>
  <c r="F4985" i="7"/>
  <c r="F4538" i="7"/>
  <c r="F4534" i="7"/>
  <c r="F3467" i="7"/>
  <c r="F3238" i="7"/>
  <c r="F3321" i="7"/>
  <c r="F2033" i="7"/>
  <c r="F4434" i="7"/>
  <c r="F4634" i="7"/>
  <c r="F4228" i="7"/>
  <c r="F3955" i="7"/>
  <c r="F3324" i="7"/>
  <c r="F2594" i="7"/>
  <c r="E4948" i="7"/>
  <c r="E4022" i="7"/>
  <c r="F4262" i="7"/>
  <c r="F2465" i="7"/>
  <c r="E4593" i="7"/>
  <c r="F4593" i="7"/>
  <c r="F2860" i="7"/>
  <c r="E2860" i="7"/>
  <c r="E4226" i="7"/>
  <c r="F4226" i="7"/>
  <c r="F3814" i="7"/>
  <c r="E3814" i="7"/>
  <c r="E4584" i="7"/>
  <c r="F4584" i="7"/>
  <c r="E4497" i="7"/>
  <c r="F4497" i="7"/>
  <c r="F4547" i="7"/>
  <c r="E4547" i="7"/>
  <c r="E3132" i="7"/>
  <c r="F3132" i="7"/>
  <c r="F2945" i="7"/>
  <c r="E2945" i="7"/>
  <c r="E3659" i="7"/>
  <c r="F3659" i="7"/>
  <c r="E3264" i="7"/>
  <c r="F3264" i="7"/>
  <c r="E3639" i="7"/>
  <c r="F3639" i="7"/>
  <c r="E3441" i="7"/>
  <c r="F3441" i="7"/>
  <c r="E2683" i="7"/>
  <c r="F2683" i="7"/>
  <c r="F3348" i="7"/>
  <c r="E3348" i="7"/>
  <c r="E2586" i="7"/>
  <c r="F2586" i="7"/>
  <c r="F4348" i="7"/>
  <c r="E4348" i="7"/>
  <c r="E2716" i="7"/>
  <c r="F2716" i="7"/>
  <c r="E2784" i="7"/>
  <c r="F2784" i="7"/>
  <c r="E3747" i="7"/>
  <c r="F3747" i="7"/>
  <c r="F2726" i="7"/>
  <c r="E2726" i="7"/>
  <c r="E2232" i="7"/>
  <c r="F2232" i="7"/>
  <c r="F2238" i="7"/>
  <c r="E2238" i="7"/>
  <c r="F1953" i="7"/>
  <c r="E1953" i="7"/>
  <c r="F1258" i="7"/>
  <c r="E1258" i="7"/>
  <c r="E2434" i="7"/>
  <c r="F2434" i="7"/>
  <c r="E1938" i="7"/>
  <c r="F1938" i="7"/>
  <c r="E2492" i="7"/>
  <c r="F2492" i="7"/>
  <c r="E1786" i="7"/>
  <c r="F1786" i="7"/>
  <c r="E1954" i="7"/>
  <c r="F1954" i="7"/>
  <c r="F2206" i="7"/>
  <c r="E2206" i="7"/>
  <c r="E1568" i="7"/>
  <c r="F1568" i="7"/>
  <c r="E810" i="7"/>
  <c r="F810" i="7"/>
  <c r="E569" i="7"/>
  <c r="F569" i="7"/>
  <c r="F1535" i="7"/>
  <c r="E1535" i="7"/>
  <c r="E738" i="7"/>
  <c r="F738" i="7"/>
  <c r="E1320" i="7"/>
  <c r="F1320" i="7"/>
  <c r="E1473" i="7"/>
  <c r="F1473" i="7"/>
  <c r="E178" i="7"/>
  <c r="F178" i="7"/>
  <c r="E537" i="7"/>
  <c r="F537" i="7"/>
  <c r="E1121" i="7"/>
  <c r="F1121" i="7"/>
  <c r="E472" i="7"/>
  <c r="F472" i="7"/>
  <c r="F184" i="7"/>
  <c r="E184" i="7"/>
  <c r="E1835" i="7"/>
  <c r="F1835" i="7"/>
  <c r="F3648" i="7"/>
  <c r="E3648" i="7"/>
  <c r="E3484" i="7"/>
  <c r="F3484" i="7"/>
  <c r="E4016" i="7"/>
  <c r="F4016" i="7"/>
  <c r="E4979" i="7"/>
  <c r="F4979" i="7"/>
  <c r="E4559" i="7"/>
  <c r="F4559" i="7"/>
  <c r="E4157" i="7"/>
  <c r="F4157" i="7"/>
  <c r="E2733" i="7"/>
  <c r="F2733" i="7"/>
  <c r="E4779" i="7"/>
  <c r="F4779" i="7"/>
  <c r="E4871" i="7"/>
  <c r="F4871" i="7"/>
  <c r="E2924" i="7"/>
  <c r="F2924" i="7"/>
  <c r="E4480" i="7"/>
  <c r="F4480" i="7"/>
  <c r="E3166" i="7"/>
  <c r="F3166" i="7"/>
  <c r="E3725" i="7"/>
  <c r="F3725" i="7"/>
  <c r="E3886" i="7"/>
  <c r="F3886" i="7"/>
  <c r="E4197" i="7"/>
  <c r="F4197" i="7"/>
  <c r="E3053" i="7"/>
  <c r="F3053" i="7"/>
  <c r="E3849" i="7"/>
  <c r="F3849" i="7"/>
  <c r="E4975" i="7"/>
  <c r="F4975" i="7"/>
  <c r="E4774" i="7"/>
  <c r="F4774" i="7"/>
  <c r="E3152" i="7"/>
  <c r="F3152" i="7"/>
  <c r="E4880" i="7"/>
  <c r="F4880" i="7"/>
  <c r="E4472" i="7"/>
  <c r="F4472" i="7"/>
  <c r="E4986" i="7"/>
  <c r="F4986" i="7"/>
  <c r="E4775" i="7"/>
  <c r="F4775" i="7"/>
  <c r="E4885" i="7"/>
  <c r="F4885" i="7"/>
  <c r="E3657" i="7"/>
  <c r="F3657" i="7"/>
  <c r="E4241" i="7"/>
  <c r="F4241" i="7"/>
  <c r="E4080" i="7"/>
  <c r="F4080" i="7"/>
  <c r="E2730" i="7"/>
  <c r="F2730" i="7"/>
  <c r="E3971" i="7"/>
  <c r="F3971" i="7"/>
  <c r="F3986" i="7"/>
  <c r="F2093" i="7"/>
  <c r="F3739" i="7"/>
  <c r="F3779" i="7"/>
  <c r="F963" i="7"/>
  <c r="F4263" i="7"/>
  <c r="F4162" i="7"/>
  <c r="F3419" i="7"/>
  <c r="F58" i="7"/>
  <c r="F4057" i="7"/>
  <c r="F2249" i="7"/>
  <c r="F1610" i="7"/>
  <c r="F818" i="7"/>
  <c r="F4153" i="7"/>
  <c r="F3818" i="7"/>
  <c r="F3068" i="7"/>
  <c r="E3237" i="7"/>
  <c r="E2523" i="7"/>
  <c r="E4452" i="7"/>
  <c r="F4312" i="7"/>
  <c r="F857" i="7"/>
  <c r="E2443" i="7"/>
  <c r="E4623" i="7"/>
  <c r="F4623" i="7"/>
  <c r="F4397" i="7"/>
  <c r="E4397" i="7"/>
  <c r="F4225" i="7"/>
  <c r="E4225" i="7"/>
  <c r="E2590" i="7"/>
  <c r="F2590" i="7"/>
  <c r="E4857" i="7"/>
  <c r="F4857" i="7"/>
  <c r="F4749" i="7"/>
  <c r="E4749" i="7"/>
  <c r="F2831" i="7"/>
  <c r="E2831" i="7"/>
  <c r="F4316" i="7"/>
  <c r="E4316" i="7"/>
  <c r="E2695" i="7"/>
  <c r="F2695" i="7"/>
  <c r="E4108" i="7"/>
  <c r="F4108" i="7"/>
  <c r="E3625" i="7"/>
  <c r="F3625" i="7"/>
  <c r="E3454" i="7"/>
  <c r="F3454" i="7"/>
  <c r="F3060" i="7"/>
  <c r="E3060" i="7"/>
  <c r="E2803" i="7"/>
  <c r="F2803" i="7"/>
  <c r="E3119" i="7"/>
  <c r="F3119" i="7"/>
  <c r="E3066" i="7"/>
  <c r="F3066" i="7"/>
  <c r="E3607" i="7"/>
  <c r="F3607" i="7"/>
  <c r="E2447" i="7"/>
  <c r="F2447" i="7"/>
  <c r="E1681" i="7"/>
  <c r="F1681" i="7"/>
  <c r="E2213" i="7"/>
  <c r="F2213" i="7"/>
  <c r="E2374" i="7"/>
  <c r="F2374" i="7"/>
  <c r="E896" i="7"/>
  <c r="F896" i="7"/>
  <c r="E2100" i="7"/>
  <c r="F2100" i="7"/>
  <c r="E2256" i="7"/>
  <c r="F2256" i="7"/>
  <c r="F2224" i="7"/>
  <c r="E2224" i="7"/>
  <c r="E2509" i="7"/>
  <c r="F2509" i="7"/>
  <c r="E2383" i="7"/>
  <c r="F2383" i="7"/>
  <c r="E2261" i="7"/>
  <c r="F2261" i="7"/>
  <c r="E1441" i="7"/>
  <c r="F1441" i="7"/>
  <c r="E2060" i="7"/>
  <c r="F2060" i="7"/>
  <c r="E1706" i="7"/>
  <c r="F1706" i="7"/>
  <c r="E458" i="7"/>
  <c r="F458" i="7"/>
  <c r="F2008" i="7"/>
  <c r="E2008" i="7"/>
  <c r="E497" i="7"/>
  <c r="F497" i="7"/>
  <c r="E1719" i="7"/>
  <c r="F1719" i="7"/>
  <c r="E922" i="7"/>
  <c r="F922" i="7"/>
  <c r="E289" i="7"/>
  <c r="F289" i="7"/>
  <c r="E873" i="7"/>
  <c r="F873" i="7"/>
  <c r="E315" i="7"/>
  <c r="F315" i="7"/>
  <c r="F273" i="7"/>
  <c r="E273" i="7"/>
  <c r="E762" i="7"/>
  <c r="F762" i="7"/>
  <c r="E1667" i="7"/>
  <c r="F1667" i="7"/>
  <c r="E299" i="7"/>
  <c r="F299" i="7"/>
  <c r="F4097" i="7"/>
  <c r="E4097" i="7"/>
  <c r="F2038" i="7"/>
  <c r="E5006" i="7"/>
  <c r="F5006" i="7"/>
  <c r="E4553" i="7"/>
  <c r="F4553" i="7"/>
  <c r="F4258" i="7"/>
  <c r="E4258" i="7"/>
  <c r="E4358" i="7"/>
  <c r="F4358" i="7"/>
  <c r="E2953" i="7"/>
  <c r="F2953" i="7"/>
  <c r="E4359" i="7"/>
  <c r="F4359" i="7"/>
  <c r="E4469" i="7"/>
  <c r="F4469" i="7"/>
  <c r="E4720" i="7"/>
  <c r="F4720" i="7"/>
  <c r="E4131" i="7"/>
  <c r="F4131" i="7"/>
  <c r="E4735" i="7"/>
  <c r="F4735" i="7"/>
  <c r="E3897" i="7"/>
  <c r="F3897" i="7"/>
  <c r="E4573" i="7"/>
  <c r="F4573" i="7"/>
  <c r="F4697" i="7"/>
  <c r="F3560" i="7"/>
  <c r="F2786" i="7"/>
  <c r="F2999" i="7"/>
  <c r="F2774" i="7"/>
  <c r="F3133" i="7"/>
  <c r="F2897" i="7"/>
  <c r="F2832" i="7"/>
  <c r="F4087" i="7"/>
  <c r="F4322" i="7"/>
  <c r="F4065" i="7"/>
  <c r="F3863" i="7"/>
  <c r="F2098" i="7"/>
  <c r="E3924" i="7"/>
  <c r="F3676" i="7"/>
  <c r="F2758" i="7"/>
  <c r="E3017" i="7"/>
  <c r="F3859" i="7"/>
  <c r="F3873" i="7"/>
  <c r="E4062" i="7"/>
  <c r="E3581" i="7"/>
  <c r="F2391" i="7"/>
  <c r="F4032" i="7"/>
  <c r="E4032" i="7"/>
  <c r="F4222" i="7"/>
  <c r="E4222" i="7"/>
  <c r="E3850" i="7"/>
  <c r="F3850" i="7"/>
  <c r="F3746" i="7"/>
  <c r="E3746" i="7"/>
  <c r="E3011" i="7"/>
  <c r="F3011" i="7"/>
  <c r="E3327" i="7"/>
  <c r="F3327" i="7"/>
  <c r="E3195" i="7"/>
  <c r="F3195" i="7"/>
  <c r="E2942" i="7"/>
  <c r="F2942" i="7"/>
  <c r="E3387" i="7"/>
  <c r="F3387" i="7"/>
  <c r="E3745" i="7"/>
  <c r="F3745" i="7"/>
  <c r="E4037" i="7"/>
  <c r="F4037" i="7"/>
  <c r="F3691" i="7"/>
  <c r="E3691" i="7"/>
  <c r="E2841" i="7"/>
  <c r="F2841" i="7"/>
  <c r="F3182" i="7"/>
  <c r="E3182" i="7"/>
  <c r="F4404" i="7"/>
  <c r="E4404" i="7"/>
  <c r="F2940" i="7"/>
  <c r="E2940" i="7"/>
  <c r="F3189" i="7"/>
  <c r="E3189" i="7"/>
  <c r="E2410" i="7"/>
  <c r="F2410" i="7"/>
  <c r="E2107" i="7"/>
  <c r="F2107" i="7"/>
  <c r="E1401" i="7"/>
  <c r="F1401" i="7"/>
  <c r="E2429" i="7"/>
  <c r="F2429" i="7"/>
  <c r="E1807" i="7"/>
  <c r="F1807" i="7"/>
  <c r="E2267" i="7"/>
  <c r="F2267" i="7"/>
  <c r="E2136" i="7"/>
  <c r="F2136" i="7"/>
  <c r="E2411" i="7"/>
  <c r="F2411" i="7"/>
  <c r="E2227" i="7"/>
  <c r="F2227" i="7"/>
  <c r="E1208" i="7"/>
  <c r="F1208" i="7"/>
  <c r="E1987" i="7"/>
  <c r="F1987" i="7"/>
  <c r="F1136" i="7"/>
  <c r="E1136" i="7"/>
  <c r="E243" i="7"/>
  <c r="F243" i="7"/>
  <c r="E1137" i="7"/>
  <c r="F1137" i="7"/>
  <c r="E1176" i="7"/>
  <c r="F1176" i="7"/>
  <c r="E1784" i="7"/>
  <c r="F1784" i="7"/>
  <c r="F912" i="7"/>
  <c r="E912" i="7"/>
  <c r="E410" i="7"/>
  <c r="F410" i="7"/>
  <c r="E627" i="7"/>
  <c r="F627" i="7"/>
  <c r="E160" i="7"/>
  <c r="F160" i="7"/>
  <c r="F2321" i="7"/>
  <c r="E2321" i="7"/>
  <c r="E803" i="7"/>
  <c r="F803" i="7"/>
  <c r="F3116" i="7"/>
  <c r="E4375" i="7"/>
  <c r="F4375" i="7"/>
  <c r="E4503" i="7"/>
  <c r="F4503" i="7"/>
  <c r="E4770" i="7"/>
  <c r="F4770" i="7"/>
  <c r="E3846" i="7"/>
  <c r="F3846" i="7"/>
  <c r="F4570" i="7"/>
  <c r="E4570" i="7"/>
  <c r="E4513" i="7"/>
  <c r="F4513" i="7"/>
  <c r="E4643" i="7"/>
  <c r="F4643" i="7"/>
  <c r="E4223" i="7"/>
  <c r="F4223" i="7"/>
  <c r="F4845" i="7"/>
  <c r="E4845" i="7"/>
  <c r="E3969" i="7"/>
  <c r="F3969" i="7"/>
  <c r="F386" i="7"/>
  <c r="F4558" i="7"/>
  <c r="F4111" i="7"/>
  <c r="F3207" i="7"/>
  <c r="F3062" i="7"/>
  <c r="F4950" i="7"/>
  <c r="E3113" i="7"/>
  <c r="E1490" i="7"/>
  <c r="E4999" i="7"/>
  <c r="E3519" i="7"/>
  <c r="E1603" i="7"/>
  <c r="E2621" i="7"/>
  <c r="F4467" i="7"/>
  <c r="F1536" i="7"/>
  <c r="E4274" i="7"/>
  <c r="F4274" i="7"/>
  <c r="E4575" i="7"/>
  <c r="F4575" i="7"/>
  <c r="E4886" i="7"/>
  <c r="F4886" i="7"/>
  <c r="F4374" i="7"/>
  <c r="E4374" i="7"/>
  <c r="E4173" i="7"/>
  <c r="F4173" i="7"/>
  <c r="E3512" i="7"/>
  <c r="F3512" i="7"/>
  <c r="E3731" i="7"/>
  <c r="F3731" i="7"/>
  <c r="E3226" i="7"/>
  <c r="F3226" i="7"/>
  <c r="E2881" i="7"/>
  <c r="F2881" i="7"/>
  <c r="E3336" i="7"/>
  <c r="F3336" i="7"/>
  <c r="E3257" i="7"/>
  <c r="F3257" i="7"/>
  <c r="E3037" i="7"/>
  <c r="F3037" i="7"/>
  <c r="F3496" i="7"/>
  <c r="E3496" i="7"/>
  <c r="E3575" i="7"/>
  <c r="F3575" i="7"/>
  <c r="E3644" i="7"/>
  <c r="F3644" i="7"/>
  <c r="E3715" i="7"/>
  <c r="F3715" i="7"/>
  <c r="F2812" i="7"/>
  <c r="E2812" i="7"/>
  <c r="E3162" i="7"/>
  <c r="F3162" i="7"/>
  <c r="E2947" i="7"/>
  <c r="F2947" i="7"/>
  <c r="E3377" i="7"/>
  <c r="F3377" i="7"/>
  <c r="E3320" i="7"/>
  <c r="F3320" i="7"/>
  <c r="E3206" i="7"/>
  <c r="F3206" i="7"/>
  <c r="E3759" i="7"/>
  <c r="F3759" i="7"/>
  <c r="E2916" i="7"/>
  <c r="F2916" i="7"/>
  <c r="E3202" i="7"/>
  <c r="F3202" i="7"/>
  <c r="E3465" i="7"/>
  <c r="F3465" i="7"/>
  <c r="E2537" i="7"/>
  <c r="F2537" i="7"/>
  <c r="E2992" i="7"/>
  <c r="F2992" i="7"/>
  <c r="E3447" i="7"/>
  <c r="F3447" i="7"/>
  <c r="E3853" i="7"/>
  <c r="F3853" i="7"/>
  <c r="F4676" i="7"/>
  <c r="E4676" i="7"/>
  <c r="E3800" i="7"/>
  <c r="F3800" i="7"/>
  <c r="E2804" i="7"/>
  <c r="F2804" i="7"/>
  <c r="E3122" i="7"/>
  <c r="F3122" i="7"/>
  <c r="E3507" i="7"/>
  <c r="F3507" i="7"/>
  <c r="E2739" i="7"/>
  <c r="F2739" i="7"/>
  <c r="E2657" i="7"/>
  <c r="F2657" i="7"/>
  <c r="E3055" i="7"/>
  <c r="F3055" i="7"/>
  <c r="E2543" i="7"/>
  <c r="F2543" i="7"/>
  <c r="E3461" i="7"/>
  <c r="F3461" i="7"/>
  <c r="E2949" i="7"/>
  <c r="F2949" i="7"/>
  <c r="E4284" i="7"/>
  <c r="F4284" i="7"/>
  <c r="F3669" i="7"/>
  <c r="E3669" i="7"/>
  <c r="E3284" i="7"/>
  <c r="F3284" i="7"/>
  <c r="E3556" i="7"/>
  <c r="F3556" i="7"/>
  <c r="E3714" i="7"/>
  <c r="F3714" i="7"/>
  <c r="E2859" i="7"/>
  <c r="F2859" i="7"/>
  <c r="F2720" i="7"/>
  <c r="E2720" i="7"/>
  <c r="E3175" i="7"/>
  <c r="F3175" i="7"/>
  <c r="E2663" i="7"/>
  <c r="F2663" i="7"/>
  <c r="E2606" i="7"/>
  <c r="F2606" i="7"/>
  <c r="E3543" i="7"/>
  <c r="F3543" i="7"/>
  <c r="E3683" i="7"/>
  <c r="F3683" i="7"/>
  <c r="F2915" i="7"/>
  <c r="E2915" i="7"/>
  <c r="E3345" i="7"/>
  <c r="F3345" i="7"/>
  <c r="E2662" i="7"/>
  <c r="F2662" i="7"/>
  <c r="E2613" i="7"/>
  <c r="F2613" i="7"/>
  <c r="E2157" i="7"/>
  <c r="F2157" i="7"/>
  <c r="F2102" i="7"/>
  <c r="E2102" i="7"/>
  <c r="E1626" i="7"/>
  <c r="F1626" i="7"/>
  <c r="E1977" i="7"/>
  <c r="F1977" i="7"/>
  <c r="E1554" i="7"/>
  <c r="F1554" i="7"/>
  <c r="E2162" i="7"/>
  <c r="F2162" i="7"/>
  <c r="E1858" i="7"/>
  <c r="F1858" i="7"/>
  <c r="E2507" i="7"/>
  <c r="F2507" i="7"/>
  <c r="E2143" i="7"/>
  <c r="F2143" i="7"/>
  <c r="F1362" i="7"/>
  <c r="E1362" i="7"/>
  <c r="E1832" i="7"/>
  <c r="F1832" i="7"/>
  <c r="E657" i="7"/>
  <c r="F657" i="7"/>
  <c r="E321" i="7"/>
  <c r="F321" i="7"/>
  <c r="E2094" i="7"/>
  <c r="F2094" i="7"/>
  <c r="E2298" i="7"/>
  <c r="F2298" i="7"/>
  <c r="E2131" i="7"/>
  <c r="F2131" i="7"/>
  <c r="E2476" i="7"/>
  <c r="F2476" i="7"/>
  <c r="E2279" i="7"/>
  <c r="F2279" i="7"/>
  <c r="E1802" i="7"/>
  <c r="F1802" i="7"/>
  <c r="E1833" i="7"/>
  <c r="F1833" i="7"/>
  <c r="F338" i="7"/>
  <c r="E338" i="7"/>
  <c r="E2331" i="7"/>
  <c r="F2331" i="7"/>
  <c r="E2181" i="7"/>
  <c r="F2181" i="7"/>
  <c r="E2126" i="7"/>
  <c r="F2126" i="7"/>
  <c r="E2320" i="7"/>
  <c r="F2320" i="7"/>
  <c r="E1594" i="7"/>
  <c r="F1594" i="7"/>
  <c r="E1569" i="7"/>
  <c r="F1569" i="7"/>
  <c r="E2378" i="7"/>
  <c r="F2378" i="7"/>
  <c r="E2200" i="7"/>
  <c r="F2200" i="7"/>
  <c r="F1721" i="7"/>
  <c r="E1721" i="7"/>
  <c r="E2096" i="7"/>
  <c r="F2096" i="7"/>
  <c r="E2130" i="7"/>
  <c r="F2130" i="7"/>
  <c r="F1890" i="7"/>
  <c r="E1890" i="7"/>
  <c r="E2475" i="7"/>
  <c r="F2475" i="7"/>
  <c r="E2308" i="7"/>
  <c r="F2308" i="7"/>
  <c r="E2270" i="7"/>
  <c r="F2270" i="7"/>
  <c r="E2464" i="7"/>
  <c r="F2464" i="7"/>
  <c r="F913" i="7"/>
  <c r="E913" i="7"/>
  <c r="E577" i="7"/>
  <c r="F577" i="7"/>
  <c r="E2458" i="7"/>
  <c r="F2458" i="7"/>
  <c r="E2291" i="7"/>
  <c r="F2291" i="7"/>
  <c r="F2124" i="7"/>
  <c r="E2124" i="7"/>
  <c r="E2086" i="7"/>
  <c r="F2086" i="7"/>
  <c r="F3769" i="7"/>
  <c r="F3131" i="7"/>
  <c r="F3169" i="7"/>
  <c r="F2808" i="7"/>
  <c r="F2963" i="7"/>
  <c r="F2935" i="7"/>
  <c r="E3081" i="7"/>
  <c r="E3341" i="7"/>
  <c r="F3828" i="7"/>
  <c r="F2777" i="7"/>
  <c r="F3232" i="7"/>
  <c r="F2530" i="7"/>
  <c r="F3156" i="7"/>
  <c r="F2767" i="7"/>
  <c r="F3289" i="7"/>
  <c r="F2171" i="7"/>
  <c r="F3510" i="7"/>
  <c r="F3157" i="7"/>
  <c r="E2645" i="7"/>
  <c r="F3862" i="7"/>
  <c r="F3629" i="7"/>
  <c r="F3524" i="7"/>
  <c r="F3143" i="7"/>
  <c r="F2631" i="7"/>
  <c r="E4063" i="7"/>
  <c r="F2619" i="7"/>
  <c r="F2810" i="7"/>
  <c r="F4685" i="7"/>
  <c r="E2876" i="7"/>
  <c r="F4372" i="7"/>
  <c r="F3200" i="7"/>
  <c r="F2865" i="7"/>
  <c r="F2710" i="7"/>
  <c r="F3086" i="7"/>
  <c r="F2694" i="7"/>
  <c r="F2661" i="7"/>
  <c r="F4252" i="7"/>
  <c r="F3681" i="7"/>
  <c r="E3860" i="7"/>
  <c r="E3118" i="7"/>
  <c r="E3791" i="7"/>
  <c r="F3174" i="7"/>
  <c r="F2745" i="7"/>
  <c r="F2861" i="7"/>
  <c r="F2120" i="7"/>
  <c r="E1617" i="7"/>
  <c r="F1617" i="7"/>
  <c r="E394" i="7"/>
  <c r="F394" i="7"/>
  <c r="E787" i="7"/>
  <c r="F787" i="7"/>
  <c r="E1944" i="7"/>
  <c r="F1944" i="7"/>
  <c r="E1432" i="7"/>
  <c r="F1432" i="7"/>
  <c r="E1471" i="7"/>
  <c r="F1471" i="7"/>
  <c r="F769" i="7"/>
  <c r="E769" i="7"/>
  <c r="F1072" i="7"/>
  <c r="E1072" i="7"/>
  <c r="E433" i="7"/>
  <c r="F433" i="7"/>
  <c r="E664" i="7"/>
  <c r="F664" i="7"/>
  <c r="F1616" i="7"/>
  <c r="E1616" i="7"/>
  <c r="E1655" i="7"/>
  <c r="F1655" i="7"/>
  <c r="F744" i="7"/>
  <c r="E744" i="7"/>
  <c r="E256" i="7"/>
  <c r="F256" i="7"/>
  <c r="E1736" i="7"/>
  <c r="F1736" i="7"/>
  <c r="E1775" i="7"/>
  <c r="F1775" i="7"/>
  <c r="E978" i="7"/>
  <c r="F978" i="7"/>
  <c r="E1073" i="7"/>
  <c r="F1073" i="7"/>
  <c r="E1376" i="7"/>
  <c r="F1376" i="7"/>
  <c r="E114" i="7"/>
  <c r="F114" i="7"/>
  <c r="F408" i="7"/>
  <c r="E408" i="7"/>
  <c r="E2345" i="7"/>
  <c r="F2345" i="7"/>
  <c r="F1984" i="7"/>
  <c r="E1984" i="7"/>
  <c r="E1472" i="7"/>
  <c r="F1472" i="7"/>
  <c r="E714" i="7"/>
  <c r="F714" i="7"/>
  <c r="E1112" i="7"/>
  <c r="F1112" i="7"/>
  <c r="E704" i="7"/>
  <c r="F704" i="7"/>
  <c r="E1720" i="7"/>
  <c r="F1720" i="7"/>
  <c r="E1759" i="7"/>
  <c r="F1759" i="7"/>
  <c r="E1057" i="7"/>
  <c r="F1057" i="7"/>
  <c r="E1360" i="7"/>
  <c r="F1360" i="7"/>
  <c r="E848" i="7"/>
  <c r="F848" i="7"/>
  <c r="F209" i="7"/>
  <c r="E209" i="7"/>
  <c r="E392" i="7"/>
  <c r="F392" i="7"/>
  <c r="E1403" i="7"/>
  <c r="F1403" i="7"/>
  <c r="E1968" i="7"/>
  <c r="F1968" i="7"/>
  <c r="E1456" i="7"/>
  <c r="F1456" i="7"/>
  <c r="E698" i="7"/>
  <c r="F698" i="7"/>
  <c r="E1096" i="7"/>
  <c r="F1096" i="7"/>
  <c r="F688" i="7"/>
  <c r="E688" i="7"/>
  <c r="E1491" i="7"/>
  <c r="F1491" i="7"/>
  <c r="E104" i="7"/>
  <c r="F104" i="7"/>
  <c r="E1827" i="7"/>
  <c r="F1827" i="7"/>
  <c r="E96" i="7"/>
  <c r="F96" i="7"/>
  <c r="E1323" i="7"/>
  <c r="F1323" i="7"/>
  <c r="E443" i="7"/>
  <c r="F443" i="7"/>
  <c r="E2137" i="7"/>
  <c r="F2137" i="7"/>
  <c r="F1227" i="7"/>
  <c r="E1227" i="7"/>
  <c r="E64" i="7"/>
  <c r="F64" i="7"/>
  <c r="E1409" i="7"/>
  <c r="F1144" i="7"/>
  <c r="F506" i="7"/>
  <c r="F1266" i="7"/>
  <c r="F1689" i="7"/>
  <c r="E1289" i="7"/>
  <c r="F746" i="7"/>
  <c r="F864" i="7"/>
  <c r="F962" i="7"/>
  <c r="E3584" i="7"/>
  <c r="E3819" i="7"/>
  <c r="E4549" i="7"/>
  <c r="E3911" i="7"/>
  <c r="E4769" i="7"/>
  <c r="E3712" i="7"/>
  <c r="E3993" i="7"/>
  <c r="E4733" i="7"/>
  <c r="E4843" i="7"/>
  <c r="E4432" i="7"/>
  <c r="E4026" i="7"/>
  <c r="F3827" i="7"/>
  <c r="F4515" i="7"/>
  <c r="E3452" i="7"/>
  <c r="E1215" i="7"/>
  <c r="F1215" i="7"/>
  <c r="E1982" i="7"/>
  <c r="F1982" i="7"/>
  <c r="E1565" i="7"/>
  <c r="F1565" i="7"/>
  <c r="E1149" i="7"/>
  <c r="F1149" i="7"/>
  <c r="E1941" i="7"/>
  <c r="F1941" i="7"/>
  <c r="E1964" i="7"/>
  <c r="F1964" i="7"/>
  <c r="E1462" i="7"/>
  <c r="F1462" i="7"/>
  <c r="E1958" i="7"/>
  <c r="F1958" i="7"/>
  <c r="F1373" i="7"/>
  <c r="E1373" i="7"/>
  <c r="E957" i="7"/>
  <c r="F957" i="7"/>
  <c r="E1654" i="7"/>
  <c r="F1654" i="7"/>
  <c r="E895" i="7"/>
  <c r="F895" i="7"/>
  <c r="E1973" i="7"/>
  <c r="F1973" i="7"/>
  <c r="E1998" i="7"/>
  <c r="F1998" i="7"/>
  <c r="E1693" i="7"/>
  <c r="F1693" i="7"/>
  <c r="E678" i="7"/>
  <c r="F678" i="7"/>
  <c r="E1607" i="7"/>
  <c r="F1607" i="7"/>
  <c r="E1582" i="7"/>
  <c r="F1582" i="7"/>
  <c r="E1749" i="7"/>
  <c r="F1749" i="7"/>
  <c r="E1237" i="7"/>
  <c r="F1237" i="7"/>
  <c r="E1492" i="7"/>
  <c r="F1492" i="7"/>
  <c r="E1335" i="7"/>
  <c r="F1335" i="7"/>
  <c r="E823" i="7"/>
  <c r="F823" i="7"/>
  <c r="E734" i="7"/>
  <c r="F734" i="7"/>
  <c r="E821" i="7"/>
  <c r="F821" i="7"/>
  <c r="E1092" i="7"/>
  <c r="F1092" i="7"/>
  <c r="E1510" i="7"/>
  <c r="F1510" i="7"/>
  <c r="F1677" i="7"/>
  <c r="E1677" i="7"/>
  <c r="E1932" i="7"/>
  <c r="F1932" i="7"/>
  <c r="E1420" i="7"/>
  <c r="F1420" i="7"/>
  <c r="E1263" i="7"/>
  <c r="F1263" i="7"/>
  <c r="E751" i="7"/>
  <c r="F751" i="7"/>
  <c r="E662" i="7"/>
  <c r="F662" i="7"/>
  <c r="F749" i="7"/>
  <c r="E749" i="7"/>
  <c r="E1020" i="7"/>
  <c r="F1020" i="7"/>
  <c r="E79" i="7"/>
  <c r="F79" i="7"/>
  <c r="E351" i="7"/>
  <c r="F351" i="7"/>
  <c r="E1694" i="7"/>
  <c r="F1694" i="7"/>
  <c r="E1182" i="7"/>
  <c r="F1182" i="7"/>
  <c r="E1349" i="7"/>
  <c r="F1349" i="7"/>
  <c r="F1604" i="7"/>
  <c r="E1604" i="7"/>
  <c r="E808" i="7"/>
  <c r="F808" i="7"/>
  <c r="E935" i="7"/>
  <c r="F935" i="7"/>
  <c r="E846" i="7"/>
  <c r="F846" i="7"/>
  <c r="E933" i="7"/>
  <c r="F933" i="7"/>
  <c r="F1204" i="7"/>
  <c r="E1204" i="7"/>
  <c r="E336" i="7"/>
  <c r="F336" i="7"/>
  <c r="E1515" i="7"/>
  <c r="F1515" i="7"/>
  <c r="E1814" i="7"/>
  <c r="F1814" i="7"/>
  <c r="E1302" i="7"/>
  <c r="F1302" i="7"/>
  <c r="E1469" i="7"/>
  <c r="F1469" i="7"/>
  <c r="E1724" i="7"/>
  <c r="F1724" i="7"/>
  <c r="E1055" i="7"/>
  <c r="F1055" i="7"/>
  <c r="E966" i="7"/>
  <c r="F966" i="7"/>
  <c r="E1053" i="7"/>
  <c r="F1053" i="7"/>
  <c r="E1324" i="7"/>
  <c r="F1324" i="7"/>
  <c r="E812" i="7"/>
  <c r="F812" i="7"/>
  <c r="E496" i="7"/>
  <c r="F496" i="7"/>
  <c r="E524" i="7"/>
  <c r="F524" i="7"/>
  <c r="E1575" i="7"/>
  <c r="F1575" i="7"/>
  <c r="F1550" i="7"/>
  <c r="E1550" i="7"/>
  <c r="E1717" i="7"/>
  <c r="F1717" i="7"/>
  <c r="E1205" i="7"/>
  <c r="F1205" i="7"/>
  <c r="E1460" i="7"/>
  <c r="F1460" i="7"/>
  <c r="F1303" i="7"/>
  <c r="E1303" i="7"/>
  <c r="F791" i="7"/>
  <c r="E791" i="7"/>
  <c r="F702" i="7"/>
  <c r="E702" i="7"/>
  <c r="E789" i="7"/>
  <c r="F789" i="7"/>
  <c r="F1060" i="7"/>
  <c r="E1060" i="7"/>
  <c r="E671" i="7"/>
  <c r="F671" i="7"/>
  <c r="E1798" i="7"/>
  <c r="F1798" i="7"/>
  <c r="E1286" i="7"/>
  <c r="F1286" i="7"/>
  <c r="E1453" i="7"/>
  <c r="F1453" i="7"/>
  <c r="E1708" i="7"/>
  <c r="F1708" i="7"/>
  <c r="E1039" i="7"/>
  <c r="F1039" i="7"/>
  <c r="E950" i="7"/>
  <c r="F950" i="7"/>
  <c r="F1037" i="7"/>
  <c r="E1037" i="7"/>
  <c r="E1308" i="7"/>
  <c r="F1308" i="7"/>
  <c r="E796" i="7"/>
  <c r="F796" i="7"/>
  <c r="E396" i="7"/>
  <c r="F396" i="7"/>
  <c r="F1559" i="7"/>
  <c r="E1559" i="7"/>
  <c r="E1534" i="7"/>
  <c r="F1534" i="7"/>
  <c r="E1701" i="7"/>
  <c r="F1701" i="7"/>
  <c r="E1189" i="7"/>
  <c r="F1189" i="7"/>
  <c r="E1444" i="7"/>
  <c r="F1444" i="7"/>
  <c r="E1287" i="7"/>
  <c r="F1287" i="7"/>
  <c r="E775" i="7"/>
  <c r="F775" i="7"/>
  <c r="E686" i="7"/>
  <c r="F686" i="7"/>
  <c r="E773" i="7"/>
  <c r="F773" i="7"/>
  <c r="E1044" i="7"/>
  <c r="F1044" i="7"/>
  <c r="E543" i="7"/>
  <c r="F543" i="7"/>
  <c r="E1731" i="7"/>
  <c r="F1731" i="7"/>
  <c r="F407" i="7"/>
  <c r="E407" i="7"/>
  <c r="F398" i="7"/>
  <c r="E398" i="7"/>
  <c r="F493" i="7"/>
  <c r="E493" i="7"/>
  <c r="E68" i="7"/>
  <c r="F68" i="7"/>
  <c r="E196" i="7"/>
  <c r="F196" i="7"/>
  <c r="F1043" i="7"/>
  <c r="E1043" i="7"/>
  <c r="E591" i="7"/>
  <c r="F591" i="7"/>
  <c r="E70" i="7"/>
  <c r="F70" i="7"/>
  <c r="E165" i="7"/>
  <c r="F165" i="7"/>
  <c r="E380" i="7"/>
  <c r="F380" i="7"/>
  <c r="E1299" i="7"/>
  <c r="F1299" i="7"/>
  <c r="E947" i="7"/>
  <c r="F947" i="7"/>
  <c r="E391" i="7"/>
  <c r="F391" i="7"/>
  <c r="F382" i="7"/>
  <c r="E382" i="7"/>
  <c r="E477" i="7"/>
  <c r="F477" i="7"/>
  <c r="E692" i="7"/>
  <c r="F692" i="7"/>
  <c r="E180" i="7"/>
  <c r="F180" i="7"/>
  <c r="E383" i="7"/>
  <c r="F383" i="7"/>
  <c r="E374" i="7"/>
  <c r="F374" i="7"/>
  <c r="E469" i="7"/>
  <c r="F469" i="7"/>
  <c r="E684" i="7"/>
  <c r="F684" i="7"/>
  <c r="E156" i="7"/>
  <c r="F156" i="7"/>
  <c r="E907" i="7"/>
  <c r="F907" i="7"/>
  <c r="E507" i="7"/>
  <c r="F507" i="7"/>
  <c r="F375" i="7"/>
  <c r="E375" i="7"/>
  <c r="F366" i="7"/>
  <c r="E366" i="7"/>
  <c r="E461" i="7"/>
  <c r="F461" i="7"/>
  <c r="E676" i="7"/>
  <c r="F676" i="7"/>
  <c r="E132" i="7"/>
  <c r="F132" i="7"/>
  <c r="E843" i="7"/>
  <c r="F843" i="7"/>
  <c r="E144" i="7"/>
  <c r="F144" i="7"/>
  <c r="E367" i="7"/>
  <c r="F367" i="7"/>
  <c r="E358" i="7"/>
  <c r="F358" i="7"/>
  <c r="E453" i="7"/>
  <c r="F453" i="7"/>
  <c r="E668" i="7"/>
  <c r="F668" i="7"/>
  <c r="E108" i="7"/>
  <c r="F108" i="7"/>
  <c r="F371" i="7"/>
  <c r="E371" i="7"/>
  <c r="E359" i="7"/>
  <c r="F359" i="7"/>
  <c r="E350" i="7"/>
  <c r="F350" i="7"/>
  <c r="E445" i="7"/>
  <c r="F445" i="7"/>
  <c r="E660" i="7"/>
  <c r="F660" i="7"/>
  <c r="E84" i="7"/>
  <c r="F84" i="7"/>
  <c r="E771" i="7"/>
  <c r="F771" i="7"/>
  <c r="F4531" i="7"/>
  <c r="F3864" i="7"/>
  <c r="F3245" i="7"/>
  <c r="F4799" i="7"/>
  <c r="F3808" i="7"/>
  <c r="F4122" i="7"/>
  <c r="F4287" i="7"/>
  <c r="F3815" i="7"/>
  <c r="F4920" i="7"/>
  <c r="F4639" i="7"/>
  <c r="F4438" i="7"/>
  <c r="F4129" i="7"/>
  <c r="F3910" i="7"/>
  <c r="F4976" i="7"/>
  <c r="F4456" i="7"/>
  <c r="F4059" i="7"/>
  <c r="F4874" i="7"/>
  <c r="F4850" i="7"/>
  <c r="F4892" i="7"/>
  <c r="F4221" i="7"/>
  <c r="F4336" i="7"/>
  <c r="F3888" i="7"/>
  <c r="F3605" i="7"/>
  <c r="F3286" i="7"/>
  <c r="F3027" i="7"/>
  <c r="F2607" i="7"/>
  <c r="F3459" i="7"/>
  <c r="F2589" i="7"/>
  <c r="F3270" i="7"/>
  <c r="E614" i="7"/>
  <c r="F614" i="7"/>
  <c r="E1918" i="7"/>
  <c r="F1918" i="7"/>
  <c r="E1820" i="7"/>
  <c r="F1820" i="7"/>
  <c r="E637" i="7"/>
  <c r="F637" i="7"/>
  <c r="E1877" i="7"/>
  <c r="F1877" i="7"/>
  <c r="E1629" i="7"/>
  <c r="F1629" i="7"/>
  <c r="E1782" i="7"/>
  <c r="F1782" i="7"/>
  <c r="E1023" i="7"/>
  <c r="F1023" i="7"/>
  <c r="E268" i="7"/>
  <c r="F268" i="7"/>
  <c r="E1894" i="7"/>
  <c r="F1894" i="7"/>
  <c r="E1628" i="7"/>
  <c r="F1628" i="7"/>
  <c r="E1228" i="7"/>
  <c r="F1228" i="7"/>
  <c r="E1959" i="7"/>
  <c r="F1959" i="7"/>
  <c r="E2014" i="7"/>
  <c r="F2014" i="7"/>
  <c r="F1821" i="7"/>
  <c r="E1821" i="7"/>
  <c r="E806" i="7"/>
  <c r="F806" i="7"/>
  <c r="E1909" i="7"/>
  <c r="F1909" i="7"/>
  <c r="F1934" i="7"/>
  <c r="E1934" i="7"/>
  <c r="F1181" i="7"/>
  <c r="E1181" i="7"/>
  <c r="E765" i="7"/>
  <c r="F765" i="7"/>
  <c r="E1543" i="7"/>
  <c r="F1543" i="7"/>
  <c r="F1518" i="7"/>
  <c r="E1518" i="7"/>
  <c r="E1685" i="7"/>
  <c r="F1685" i="7"/>
  <c r="E1173" i="7"/>
  <c r="F1173" i="7"/>
  <c r="F1428" i="7"/>
  <c r="E1428" i="7"/>
  <c r="F1271" i="7"/>
  <c r="E1271" i="7"/>
  <c r="F759" i="7"/>
  <c r="E759" i="7"/>
  <c r="F670" i="7"/>
  <c r="E670" i="7"/>
  <c r="E757" i="7"/>
  <c r="F757" i="7"/>
  <c r="E1028" i="7"/>
  <c r="F1028" i="7"/>
  <c r="E111" i="7"/>
  <c r="F111" i="7"/>
  <c r="E415" i="7"/>
  <c r="F415" i="7"/>
  <c r="E1446" i="7"/>
  <c r="F1446" i="7"/>
  <c r="E1613" i="7"/>
  <c r="F1613" i="7"/>
  <c r="E1868" i="7"/>
  <c r="F1868" i="7"/>
  <c r="E1356" i="7"/>
  <c r="F1356" i="7"/>
  <c r="E1199" i="7"/>
  <c r="F1199" i="7"/>
  <c r="E1110" i="7"/>
  <c r="F1110" i="7"/>
  <c r="E598" i="7"/>
  <c r="F598" i="7"/>
  <c r="E685" i="7"/>
  <c r="F685" i="7"/>
  <c r="E956" i="7"/>
  <c r="F956" i="7"/>
  <c r="E342" i="7"/>
  <c r="F342" i="7"/>
  <c r="E1630" i="7"/>
  <c r="F1630" i="7"/>
  <c r="E1797" i="7"/>
  <c r="F1797" i="7"/>
  <c r="E1285" i="7"/>
  <c r="F1285" i="7"/>
  <c r="E1540" i="7"/>
  <c r="F1540" i="7"/>
  <c r="E1256" i="7"/>
  <c r="F1256" i="7"/>
  <c r="E871" i="7"/>
  <c r="F871" i="7"/>
  <c r="F782" i="7"/>
  <c r="E782" i="7"/>
  <c r="E869" i="7"/>
  <c r="F869" i="7"/>
  <c r="F1140" i="7"/>
  <c r="E1140" i="7"/>
  <c r="E159" i="7"/>
  <c r="F159" i="7"/>
  <c r="E1750" i="7"/>
  <c r="F1750" i="7"/>
  <c r="E1238" i="7"/>
  <c r="F1238" i="7"/>
  <c r="E1405" i="7"/>
  <c r="F1405" i="7"/>
  <c r="E1660" i="7"/>
  <c r="F1660" i="7"/>
  <c r="E991" i="7"/>
  <c r="F991" i="7"/>
  <c r="E902" i="7"/>
  <c r="F902" i="7"/>
  <c r="E989" i="7"/>
  <c r="F989" i="7"/>
  <c r="E1260" i="7"/>
  <c r="F1260" i="7"/>
  <c r="E748" i="7"/>
  <c r="F748" i="7"/>
  <c r="E1511" i="7"/>
  <c r="F1511" i="7"/>
  <c r="E1486" i="7"/>
  <c r="F1486" i="7"/>
  <c r="E1653" i="7"/>
  <c r="F1653" i="7"/>
  <c r="F1908" i="7"/>
  <c r="E1908" i="7"/>
  <c r="E1396" i="7"/>
  <c r="F1396" i="7"/>
  <c r="F1239" i="7"/>
  <c r="E1239" i="7"/>
  <c r="E1150" i="7"/>
  <c r="F1150" i="7"/>
  <c r="E638" i="7"/>
  <c r="F638" i="7"/>
  <c r="E725" i="7"/>
  <c r="F725" i="7"/>
  <c r="E996" i="7"/>
  <c r="F996" i="7"/>
  <c r="F119" i="7"/>
  <c r="E119" i="7"/>
  <c r="E1123" i="7"/>
  <c r="F1123" i="7"/>
  <c r="E1734" i="7"/>
  <c r="F1734" i="7"/>
  <c r="E1222" i="7"/>
  <c r="F1222" i="7"/>
  <c r="F1389" i="7"/>
  <c r="E1389" i="7"/>
  <c r="E1644" i="7"/>
  <c r="F1644" i="7"/>
  <c r="E975" i="7"/>
  <c r="F975" i="7"/>
  <c r="E886" i="7"/>
  <c r="F886" i="7"/>
  <c r="E973" i="7"/>
  <c r="F973" i="7"/>
  <c r="E1244" i="7"/>
  <c r="F1244" i="7"/>
  <c r="E732" i="7"/>
  <c r="F732" i="7"/>
  <c r="E1495" i="7"/>
  <c r="F1495" i="7"/>
  <c r="E1470" i="7"/>
  <c r="F1470" i="7"/>
  <c r="E1637" i="7"/>
  <c r="F1637" i="7"/>
  <c r="E1892" i="7"/>
  <c r="F1892" i="7"/>
  <c r="E1380" i="7"/>
  <c r="F1380" i="7"/>
  <c r="E1223" i="7"/>
  <c r="F1223" i="7"/>
  <c r="F1134" i="7"/>
  <c r="E1134" i="7"/>
  <c r="F622" i="7"/>
  <c r="E622" i="7"/>
  <c r="E709" i="7"/>
  <c r="F709" i="7"/>
  <c r="E980" i="7"/>
  <c r="F980" i="7"/>
  <c r="E534" i="7"/>
  <c r="F534" i="7"/>
  <c r="E343" i="7"/>
  <c r="F343" i="7"/>
  <c r="E334" i="7"/>
  <c r="F334" i="7"/>
  <c r="E429" i="7"/>
  <c r="F429" i="7"/>
  <c r="E644" i="7"/>
  <c r="F644" i="7"/>
  <c r="F36" i="7"/>
  <c r="E36" i="7"/>
  <c r="E1955" i="7"/>
  <c r="F1955" i="7"/>
  <c r="E527" i="7"/>
  <c r="F527" i="7"/>
  <c r="E518" i="7"/>
  <c r="F518" i="7"/>
  <c r="E140" i="7"/>
  <c r="F140" i="7"/>
  <c r="E101" i="7"/>
  <c r="F101" i="7"/>
  <c r="E316" i="7"/>
  <c r="F316" i="7"/>
  <c r="E1859" i="7"/>
  <c r="F1859" i="7"/>
  <c r="E467" i="7"/>
  <c r="F467" i="7"/>
  <c r="F1627" i="7"/>
  <c r="E1627" i="7"/>
  <c r="E327" i="7"/>
  <c r="F327" i="7"/>
  <c r="E318" i="7"/>
  <c r="F318" i="7"/>
  <c r="E413" i="7"/>
  <c r="F413" i="7"/>
  <c r="E628" i="7"/>
  <c r="F628" i="7"/>
  <c r="E319" i="7"/>
  <c r="F319" i="7"/>
  <c r="E310" i="7"/>
  <c r="F310" i="7"/>
  <c r="E405" i="7"/>
  <c r="F405" i="7"/>
  <c r="E620" i="7"/>
  <c r="F620" i="7"/>
  <c r="F491" i="7"/>
  <c r="E491" i="7"/>
  <c r="F88" i="7"/>
  <c r="E88" i="7"/>
  <c r="E311" i="7"/>
  <c r="F311" i="7"/>
  <c r="E302" i="7"/>
  <c r="F302" i="7"/>
  <c r="F397" i="7"/>
  <c r="E397" i="7"/>
  <c r="E612" i="7"/>
  <c r="F612" i="7"/>
  <c r="E80" i="7"/>
  <c r="F80" i="7"/>
  <c r="E303" i="7"/>
  <c r="F303" i="7"/>
  <c r="E294" i="7"/>
  <c r="F294" i="7"/>
  <c r="E389" i="7"/>
  <c r="F389" i="7"/>
  <c r="E604" i="7"/>
  <c r="F604" i="7"/>
  <c r="E395" i="7"/>
  <c r="F395" i="7"/>
  <c r="E295" i="7"/>
  <c r="F295" i="7"/>
  <c r="E286" i="7"/>
  <c r="F286" i="7"/>
  <c r="E381" i="7"/>
  <c r="F381" i="7"/>
  <c r="E596" i="7"/>
  <c r="F596" i="7"/>
  <c r="E1571" i="7"/>
  <c r="F1571" i="7"/>
  <c r="E1179" i="7"/>
  <c r="F1179" i="7"/>
  <c r="E1988" i="7"/>
  <c r="F1988" i="7"/>
  <c r="E1854" i="7"/>
  <c r="F1854" i="7"/>
  <c r="E2013" i="7"/>
  <c r="F2013" i="7"/>
  <c r="E908" i="7"/>
  <c r="F908" i="7"/>
  <c r="F1972" i="7"/>
  <c r="E1972" i="7"/>
  <c r="E1975" i="7"/>
  <c r="F1975" i="7"/>
  <c r="E1270" i="7"/>
  <c r="F1270" i="7"/>
  <c r="E934" i="7"/>
  <c r="F934" i="7"/>
  <c r="E1989" i="7"/>
  <c r="F1989" i="7"/>
  <c r="E716" i="7"/>
  <c r="F716" i="7"/>
  <c r="E1950" i="7"/>
  <c r="F1950" i="7"/>
  <c r="E1309" i="7"/>
  <c r="F1309" i="7"/>
  <c r="F893" i="7"/>
  <c r="E893" i="7"/>
  <c r="E2004" i="7"/>
  <c r="F2004" i="7"/>
  <c r="E1870" i="7"/>
  <c r="F1870" i="7"/>
  <c r="E1436" i="7"/>
  <c r="F1436" i="7"/>
  <c r="E1036" i="7"/>
  <c r="F1036" i="7"/>
  <c r="E1479" i="7"/>
  <c r="F1479" i="7"/>
  <c r="E1454" i="7"/>
  <c r="F1454" i="7"/>
  <c r="E1621" i="7"/>
  <c r="F1621" i="7"/>
  <c r="E1876" i="7"/>
  <c r="F1876" i="7"/>
  <c r="F1364" i="7"/>
  <c r="E1364" i="7"/>
  <c r="E1207" i="7"/>
  <c r="F1207" i="7"/>
  <c r="E1118" i="7"/>
  <c r="F1118" i="7"/>
  <c r="E606" i="7"/>
  <c r="F606" i="7"/>
  <c r="E693" i="7"/>
  <c r="F693" i="7"/>
  <c r="F964" i="7"/>
  <c r="E964" i="7"/>
  <c r="E406" i="7"/>
  <c r="F406" i="7"/>
  <c r="E1407" i="7"/>
  <c r="F1407" i="7"/>
  <c r="E1382" i="7"/>
  <c r="F1382" i="7"/>
  <c r="F1549" i="7"/>
  <c r="E1549" i="7"/>
  <c r="E1804" i="7"/>
  <c r="F1804" i="7"/>
  <c r="E1135" i="7"/>
  <c r="F1135" i="7"/>
  <c r="E1046" i="7"/>
  <c r="F1046" i="7"/>
  <c r="F1133" i="7"/>
  <c r="E1133" i="7"/>
  <c r="F621" i="7"/>
  <c r="E621" i="7"/>
  <c r="E892" i="7"/>
  <c r="F892" i="7"/>
  <c r="E437" i="7"/>
  <c r="F437" i="7"/>
  <c r="F1591" i="7"/>
  <c r="E1591" i="7"/>
  <c r="E1566" i="7"/>
  <c r="F1566" i="7"/>
  <c r="E1733" i="7"/>
  <c r="F1733" i="7"/>
  <c r="E1221" i="7"/>
  <c r="F1221" i="7"/>
  <c r="E1476" i="7"/>
  <c r="F1476" i="7"/>
  <c r="E1319" i="7"/>
  <c r="F1319" i="7"/>
  <c r="E807" i="7"/>
  <c r="F807" i="7"/>
  <c r="E718" i="7"/>
  <c r="F718" i="7"/>
  <c r="E805" i="7"/>
  <c r="F805" i="7"/>
  <c r="E1076" i="7"/>
  <c r="F1076" i="7"/>
  <c r="E735" i="7"/>
  <c r="F735" i="7"/>
  <c r="E1115" i="7"/>
  <c r="F1115" i="7"/>
  <c r="E1686" i="7"/>
  <c r="F1686" i="7"/>
  <c r="E1174" i="7"/>
  <c r="F1174" i="7"/>
  <c r="E1341" i="7"/>
  <c r="F1341" i="7"/>
  <c r="E1596" i="7"/>
  <c r="F1596" i="7"/>
  <c r="E927" i="7"/>
  <c r="F927" i="7"/>
  <c r="E838" i="7"/>
  <c r="F838" i="7"/>
  <c r="E925" i="7"/>
  <c r="F925" i="7"/>
  <c r="E1196" i="7"/>
  <c r="F1196" i="7"/>
  <c r="E50" i="7"/>
  <c r="F50" i="7"/>
  <c r="E1019" i="7"/>
  <c r="F1019" i="7"/>
  <c r="E1447" i="7"/>
  <c r="F1447" i="7"/>
  <c r="F1422" i="7"/>
  <c r="E1422" i="7"/>
  <c r="E1589" i="7"/>
  <c r="F1589" i="7"/>
  <c r="E1844" i="7"/>
  <c r="F1844" i="7"/>
  <c r="F1175" i="7"/>
  <c r="E1175" i="7"/>
  <c r="E1086" i="7"/>
  <c r="F1086" i="7"/>
  <c r="F574" i="7"/>
  <c r="E574" i="7"/>
  <c r="E661" i="7"/>
  <c r="F661" i="7"/>
  <c r="E932" i="7"/>
  <c r="F932" i="7"/>
  <c r="E150" i="7"/>
  <c r="F150" i="7"/>
  <c r="E1670" i="7"/>
  <c r="F1670" i="7"/>
  <c r="E1837" i="7"/>
  <c r="F1837" i="7"/>
  <c r="E1325" i="7"/>
  <c r="F1325" i="7"/>
  <c r="E1580" i="7"/>
  <c r="F1580" i="7"/>
  <c r="E911" i="7"/>
  <c r="F911" i="7"/>
  <c r="E822" i="7"/>
  <c r="F822" i="7"/>
  <c r="F909" i="7"/>
  <c r="E909" i="7"/>
  <c r="E1180" i="7"/>
  <c r="F1180" i="7"/>
  <c r="E34" i="7"/>
  <c r="F34" i="7"/>
  <c r="E304" i="7"/>
  <c r="F304" i="7"/>
  <c r="E1943" i="7"/>
  <c r="F1943" i="7"/>
  <c r="F1431" i="7"/>
  <c r="E1431" i="7"/>
  <c r="E1406" i="7"/>
  <c r="F1406" i="7"/>
  <c r="E1573" i="7"/>
  <c r="F1573" i="7"/>
  <c r="E1828" i="7"/>
  <c r="F1828" i="7"/>
  <c r="E1159" i="7"/>
  <c r="F1159" i="7"/>
  <c r="E1070" i="7"/>
  <c r="F1070" i="7"/>
  <c r="E1157" i="7"/>
  <c r="F1157" i="7"/>
  <c r="E645" i="7"/>
  <c r="F645" i="7"/>
  <c r="E916" i="7"/>
  <c r="F916" i="7"/>
  <c r="E22" i="7"/>
  <c r="F22" i="7"/>
  <c r="E167" i="7"/>
  <c r="F167" i="7"/>
  <c r="F279" i="7"/>
  <c r="E279" i="7"/>
  <c r="F270" i="7"/>
  <c r="E270" i="7"/>
  <c r="E365" i="7"/>
  <c r="F365" i="7"/>
  <c r="F580" i="7"/>
  <c r="E580" i="7"/>
  <c r="E463" i="7"/>
  <c r="F463" i="7"/>
  <c r="E454" i="7"/>
  <c r="F454" i="7"/>
  <c r="E549" i="7"/>
  <c r="F549" i="7"/>
  <c r="E37" i="7"/>
  <c r="F37" i="7"/>
  <c r="E252" i="7"/>
  <c r="F252" i="7"/>
  <c r="E1419" i="7"/>
  <c r="F1419" i="7"/>
  <c r="E552" i="7"/>
  <c r="F552" i="7"/>
  <c r="E103" i="7"/>
  <c r="F103" i="7"/>
  <c r="E263" i="7"/>
  <c r="F263" i="7"/>
  <c r="E254" i="7"/>
  <c r="F254" i="7"/>
  <c r="F349" i="7"/>
  <c r="E349" i="7"/>
  <c r="F564" i="7"/>
  <c r="E564" i="7"/>
  <c r="E1307" i="7"/>
  <c r="F1307" i="7"/>
  <c r="E107" i="7"/>
  <c r="F107" i="7"/>
  <c r="E971" i="7"/>
  <c r="F971" i="7"/>
  <c r="F1843" i="7"/>
  <c r="E1843" i="7"/>
  <c r="E71" i="7"/>
  <c r="F71" i="7"/>
  <c r="E255" i="7"/>
  <c r="F255" i="7"/>
  <c r="E246" i="7"/>
  <c r="F246" i="7"/>
  <c r="E341" i="7"/>
  <c r="F341" i="7"/>
  <c r="E556" i="7"/>
  <c r="F556" i="7"/>
  <c r="E1251" i="7"/>
  <c r="F1251" i="7"/>
  <c r="F1795" i="7"/>
  <c r="E1795" i="7"/>
  <c r="E39" i="7"/>
  <c r="F39" i="7"/>
  <c r="F247" i="7"/>
  <c r="E247" i="7"/>
  <c r="F238" i="7"/>
  <c r="E238" i="7"/>
  <c r="E333" i="7"/>
  <c r="F333" i="7"/>
  <c r="E548" i="7"/>
  <c r="F548" i="7"/>
  <c r="E1187" i="7"/>
  <c r="F1187" i="7"/>
  <c r="F1747" i="7"/>
  <c r="E1747" i="7"/>
  <c r="F23" i="7"/>
  <c r="E23" i="7"/>
  <c r="E239" i="7"/>
  <c r="F239" i="7"/>
  <c r="E230" i="7"/>
  <c r="F230" i="7"/>
  <c r="E325" i="7"/>
  <c r="F325" i="7"/>
  <c r="E540" i="7"/>
  <c r="F540" i="7"/>
  <c r="E1691" i="7"/>
  <c r="F1691" i="7"/>
  <c r="E743" i="7"/>
  <c r="F743" i="7"/>
  <c r="E231" i="7"/>
  <c r="F231" i="7"/>
  <c r="E222" i="7"/>
  <c r="F222" i="7"/>
  <c r="E317" i="7"/>
  <c r="F317" i="7"/>
  <c r="E532" i="7"/>
  <c r="F532" i="7"/>
  <c r="E1635" i="7"/>
  <c r="F1635" i="7"/>
  <c r="F3848" i="7"/>
  <c r="F4422" i="7"/>
  <c r="F4974" i="7"/>
  <c r="F4423" i="7"/>
  <c r="F4331" i="7"/>
  <c r="F4838" i="7"/>
  <c r="F4195" i="7"/>
  <c r="F4716" i="7"/>
  <c r="F4834" i="7"/>
  <c r="F4437" i="7"/>
  <c r="F4707" i="7"/>
  <c r="F3928" i="7"/>
  <c r="F3816" i="7"/>
  <c r="F3373" i="7"/>
  <c r="F3457" i="7"/>
  <c r="F2725" i="7"/>
  <c r="F4192" i="7"/>
  <c r="F2888" i="7"/>
  <c r="F4738" i="7"/>
  <c r="F4261" i="7"/>
  <c r="F3372" i="7"/>
  <c r="F3797" i="7"/>
  <c r="F2898" i="7"/>
  <c r="F2891" i="7"/>
  <c r="F2697" i="7"/>
  <c r="F2815" i="7"/>
  <c r="F4777" i="7"/>
  <c r="F20" i="7"/>
  <c r="E20" i="7"/>
  <c r="E1949" i="7"/>
  <c r="F1949" i="7"/>
  <c r="E1359" i="7"/>
  <c r="F1359" i="7"/>
  <c r="E1087" i="7"/>
  <c r="F1087" i="7"/>
  <c r="E53" i="7"/>
  <c r="F53" i="7"/>
  <c r="E1126" i="7"/>
  <c r="F1126" i="7"/>
  <c r="F1966" i="7"/>
  <c r="E1966" i="7"/>
  <c r="E1437" i="7"/>
  <c r="F1437" i="7"/>
  <c r="E1021" i="7"/>
  <c r="F1021" i="7"/>
  <c r="E1957" i="7"/>
  <c r="F1957" i="7"/>
  <c r="F1925" i="7"/>
  <c r="E1925" i="7"/>
  <c r="F701" i="7"/>
  <c r="E701" i="7"/>
  <c r="E1886" i="7"/>
  <c r="F1886" i="7"/>
  <c r="E1564" i="7"/>
  <c r="F1564" i="7"/>
  <c r="E1164" i="7"/>
  <c r="F1164" i="7"/>
  <c r="E1940" i="7"/>
  <c r="F1940" i="7"/>
  <c r="E1615" i="7"/>
  <c r="F1615" i="7"/>
  <c r="E1343" i="7"/>
  <c r="F1343" i="7"/>
  <c r="E112" i="7"/>
  <c r="F112" i="7"/>
  <c r="E1965" i="7"/>
  <c r="F1965" i="7"/>
  <c r="F1927" i="7"/>
  <c r="E1927" i="7"/>
  <c r="E1415" i="7"/>
  <c r="F1415" i="7"/>
  <c r="F1390" i="7"/>
  <c r="E1390" i="7"/>
  <c r="E1557" i="7"/>
  <c r="F1557" i="7"/>
  <c r="E1812" i="7"/>
  <c r="F1812" i="7"/>
  <c r="F1143" i="7"/>
  <c r="E1143" i="7"/>
  <c r="E1054" i="7"/>
  <c r="F1054" i="7"/>
  <c r="E1141" i="7"/>
  <c r="F1141" i="7"/>
  <c r="E629" i="7"/>
  <c r="F629" i="7"/>
  <c r="E900" i="7"/>
  <c r="F900" i="7"/>
  <c r="E501" i="7"/>
  <c r="F501" i="7"/>
  <c r="E1830" i="7"/>
  <c r="F1830" i="7"/>
  <c r="E1318" i="7"/>
  <c r="F1318" i="7"/>
  <c r="E1485" i="7"/>
  <c r="F1485" i="7"/>
  <c r="E1740" i="7"/>
  <c r="F1740" i="7"/>
  <c r="E1071" i="7"/>
  <c r="F1071" i="7"/>
  <c r="E982" i="7"/>
  <c r="F982" i="7"/>
  <c r="E1069" i="7"/>
  <c r="F1069" i="7"/>
  <c r="E1340" i="7"/>
  <c r="F1340" i="7"/>
  <c r="E828" i="7"/>
  <c r="F828" i="7"/>
  <c r="E652" i="7"/>
  <c r="F652" i="7"/>
  <c r="F1527" i="7"/>
  <c r="E1527" i="7"/>
  <c r="E1502" i="7"/>
  <c r="F1502" i="7"/>
  <c r="E1669" i="7"/>
  <c r="F1669" i="7"/>
  <c r="E1924" i="7"/>
  <c r="F1924" i="7"/>
  <c r="E1412" i="7"/>
  <c r="F1412" i="7"/>
  <c r="F1128" i="7"/>
  <c r="E1128" i="7"/>
  <c r="E1255" i="7"/>
  <c r="F1255" i="7"/>
  <c r="F1166" i="7"/>
  <c r="E1166" i="7"/>
  <c r="F654" i="7"/>
  <c r="E654" i="7"/>
  <c r="E741" i="7"/>
  <c r="F741" i="7"/>
  <c r="F1012" i="7"/>
  <c r="E1012" i="7"/>
  <c r="E47" i="7"/>
  <c r="F47" i="7"/>
  <c r="E287" i="7"/>
  <c r="F287" i="7"/>
  <c r="E1995" i="7"/>
  <c r="F1995" i="7"/>
  <c r="E1622" i="7"/>
  <c r="F1622" i="7"/>
  <c r="E1789" i="7"/>
  <c r="F1789" i="7"/>
  <c r="E1277" i="7"/>
  <c r="F1277" i="7"/>
  <c r="E1532" i="7"/>
  <c r="F1532" i="7"/>
  <c r="E863" i="7"/>
  <c r="F863" i="7"/>
  <c r="E774" i="7"/>
  <c r="F774" i="7"/>
  <c r="E861" i="7"/>
  <c r="F861" i="7"/>
  <c r="E1132" i="7"/>
  <c r="F1132" i="7"/>
  <c r="E127" i="7"/>
  <c r="F127" i="7"/>
  <c r="E240" i="7"/>
  <c r="F240" i="7"/>
  <c r="E1383" i="7"/>
  <c r="F1383" i="7"/>
  <c r="E1358" i="7"/>
  <c r="F1358" i="7"/>
  <c r="E1525" i="7"/>
  <c r="F1525" i="7"/>
  <c r="E1780" i="7"/>
  <c r="F1780" i="7"/>
  <c r="E1111" i="7"/>
  <c r="F1111" i="7"/>
  <c r="E1022" i="7"/>
  <c r="F1022" i="7"/>
  <c r="E1109" i="7"/>
  <c r="F1109" i="7"/>
  <c r="E597" i="7"/>
  <c r="F597" i="7"/>
  <c r="E868" i="7"/>
  <c r="F868" i="7"/>
  <c r="E245" i="7"/>
  <c r="F245" i="7"/>
  <c r="E1606" i="7"/>
  <c r="F1606" i="7"/>
  <c r="E1773" i="7"/>
  <c r="F1773" i="7"/>
  <c r="F1261" i="7"/>
  <c r="E1261" i="7"/>
  <c r="E1516" i="7"/>
  <c r="F1516" i="7"/>
  <c r="E847" i="7"/>
  <c r="F847" i="7"/>
  <c r="E758" i="7"/>
  <c r="F758" i="7"/>
  <c r="E845" i="7"/>
  <c r="F845" i="7"/>
  <c r="E1116" i="7"/>
  <c r="F1116" i="7"/>
  <c r="E63" i="7"/>
  <c r="F63" i="7"/>
  <c r="E1367" i="7"/>
  <c r="F1367" i="7"/>
  <c r="E1342" i="7"/>
  <c r="F1342" i="7"/>
  <c r="E1509" i="7"/>
  <c r="F1509" i="7"/>
  <c r="E1764" i="7"/>
  <c r="F1764" i="7"/>
  <c r="E968" i="7"/>
  <c r="F968" i="7"/>
  <c r="E1095" i="7"/>
  <c r="F1095" i="7"/>
  <c r="F1006" i="7"/>
  <c r="E1006" i="7"/>
  <c r="E1093" i="7"/>
  <c r="F1093" i="7"/>
  <c r="E581" i="7"/>
  <c r="F581" i="7"/>
  <c r="E852" i="7"/>
  <c r="F852" i="7"/>
  <c r="E117" i="7"/>
  <c r="F117" i="7"/>
  <c r="F727" i="7"/>
  <c r="E727" i="7"/>
  <c r="F215" i="7"/>
  <c r="E215" i="7"/>
  <c r="E206" i="7"/>
  <c r="F206" i="7"/>
  <c r="F301" i="7"/>
  <c r="E301" i="7"/>
  <c r="E516" i="7"/>
  <c r="F516" i="7"/>
  <c r="F939" i="7"/>
  <c r="E939" i="7"/>
  <c r="E667" i="7"/>
  <c r="F667" i="7"/>
  <c r="E399" i="7"/>
  <c r="F399" i="7"/>
  <c r="E390" i="7"/>
  <c r="F390" i="7"/>
  <c r="E485" i="7"/>
  <c r="F485" i="7"/>
  <c r="E44" i="7"/>
  <c r="F44" i="7"/>
  <c r="E188" i="7"/>
  <c r="F188" i="7"/>
  <c r="E995" i="7"/>
  <c r="F995" i="7"/>
  <c r="E659" i="7"/>
  <c r="F659" i="7"/>
  <c r="E711" i="7"/>
  <c r="F711" i="7"/>
  <c r="E199" i="7"/>
  <c r="F199" i="7"/>
  <c r="E190" i="7"/>
  <c r="F190" i="7"/>
  <c r="E285" i="7"/>
  <c r="F285" i="7"/>
  <c r="E500" i="7"/>
  <c r="F500" i="7"/>
  <c r="E1851" i="7"/>
  <c r="F1851" i="7"/>
  <c r="E563" i="7"/>
  <c r="F563" i="7"/>
  <c r="E1411" i="7"/>
  <c r="F1411" i="7"/>
  <c r="E703" i="7"/>
  <c r="F703" i="7"/>
  <c r="E191" i="7"/>
  <c r="F191" i="7"/>
  <c r="E182" i="7"/>
  <c r="F182" i="7"/>
  <c r="E277" i="7"/>
  <c r="F277" i="7"/>
  <c r="E492" i="7"/>
  <c r="F492" i="7"/>
  <c r="E1363" i="7"/>
  <c r="F1363" i="7"/>
  <c r="E695" i="7"/>
  <c r="F695" i="7"/>
  <c r="E183" i="7"/>
  <c r="F183" i="7"/>
  <c r="E174" i="7"/>
  <c r="F174" i="7"/>
  <c r="F269" i="7"/>
  <c r="E269" i="7"/>
  <c r="E484" i="7"/>
  <c r="F484" i="7"/>
  <c r="F1739" i="7"/>
  <c r="E1739" i="7"/>
  <c r="E687" i="7"/>
  <c r="F687" i="7"/>
  <c r="E175" i="7"/>
  <c r="F175" i="7"/>
  <c r="E166" i="7"/>
  <c r="F166" i="7"/>
  <c r="E261" i="7"/>
  <c r="F261" i="7"/>
  <c r="E476" i="7"/>
  <c r="F476" i="7"/>
  <c r="E619" i="7"/>
  <c r="F619" i="7"/>
  <c r="E1683" i="7"/>
  <c r="F1683" i="7"/>
  <c r="E411" i="7"/>
  <c r="F411" i="7"/>
  <c r="E679" i="7"/>
  <c r="F679" i="7"/>
  <c r="F151" i="7"/>
  <c r="E151" i="7"/>
  <c r="E158" i="7"/>
  <c r="F158" i="7"/>
  <c r="E253" i="7"/>
  <c r="F253" i="7"/>
  <c r="F468" i="7"/>
  <c r="E468" i="7"/>
  <c r="E1619" i="7"/>
  <c r="F1619" i="7"/>
  <c r="E19" i="7"/>
  <c r="F19" i="7"/>
  <c r="F1885" i="7"/>
  <c r="E1885" i="7"/>
  <c r="E1896" i="7"/>
  <c r="F1896" i="7"/>
  <c r="E1334" i="7"/>
  <c r="F1334" i="7"/>
  <c r="E998" i="7"/>
  <c r="F998" i="7"/>
  <c r="F1893" i="7"/>
  <c r="E1893" i="7"/>
  <c r="F449" i="7"/>
  <c r="E449" i="7"/>
  <c r="F1902" i="7"/>
  <c r="E1902" i="7"/>
  <c r="E1692" i="7"/>
  <c r="F1692" i="7"/>
  <c r="E1292" i="7"/>
  <c r="F1292" i="7"/>
  <c r="E1861" i="7"/>
  <c r="F1861" i="7"/>
  <c r="E1981" i="7"/>
  <c r="F1981" i="7"/>
  <c r="E1590" i="7"/>
  <c r="F1590" i="7"/>
  <c r="E831" i="7"/>
  <c r="F831" i="7"/>
  <c r="E115" i="7"/>
  <c r="F115" i="7"/>
  <c r="E1901" i="7"/>
  <c r="F1901" i="7"/>
  <c r="E1863" i="7"/>
  <c r="F1863" i="7"/>
  <c r="E1838" i="7"/>
  <c r="F1838" i="7"/>
  <c r="E1326" i="7"/>
  <c r="F1326" i="7"/>
  <c r="E1493" i="7"/>
  <c r="F1493" i="7"/>
  <c r="F1748" i="7"/>
  <c r="E1748" i="7"/>
  <c r="F1079" i="7"/>
  <c r="E1079" i="7"/>
  <c r="E990" i="7"/>
  <c r="F990" i="7"/>
  <c r="E1077" i="7"/>
  <c r="F1077" i="7"/>
  <c r="E1348" i="7"/>
  <c r="F1348" i="7"/>
  <c r="E836" i="7"/>
  <c r="F836" i="7"/>
  <c r="F528" i="7"/>
  <c r="E528" i="7"/>
  <c r="E92" i="7"/>
  <c r="F92" i="7"/>
  <c r="E1766" i="7"/>
  <c r="F1766" i="7"/>
  <c r="E1254" i="7"/>
  <c r="F1254" i="7"/>
  <c r="F1421" i="7"/>
  <c r="E1421" i="7"/>
  <c r="E1676" i="7"/>
  <c r="F1676" i="7"/>
  <c r="E1007" i="7"/>
  <c r="F1007" i="7"/>
  <c r="E918" i="7"/>
  <c r="F918" i="7"/>
  <c r="F1005" i="7"/>
  <c r="E1005" i="7"/>
  <c r="E1276" i="7"/>
  <c r="F1276" i="7"/>
  <c r="E764" i="7"/>
  <c r="F764" i="7"/>
  <c r="E60" i="7"/>
  <c r="F60" i="7"/>
  <c r="E1463" i="7"/>
  <c r="F1463" i="7"/>
  <c r="E1438" i="7"/>
  <c r="F1438" i="7"/>
  <c r="E1605" i="7"/>
  <c r="F1605" i="7"/>
  <c r="F1860" i="7"/>
  <c r="E1860" i="7"/>
  <c r="E1191" i="7"/>
  <c r="F1191" i="7"/>
  <c r="E1102" i="7"/>
  <c r="F1102" i="7"/>
  <c r="E590" i="7"/>
  <c r="F590" i="7"/>
  <c r="E677" i="7"/>
  <c r="F677" i="7"/>
  <c r="E948" i="7"/>
  <c r="F948" i="7"/>
  <c r="E278" i="7"/>
  <c r="F278" i="7"/>
  <c r="E1583" i="7"/>
  <c r="F1583" i="7"/>
  <c r="E1558" i="7"/>
  <c r="F1558" i="7"/>
  <c r="E1725" i="7"/>
  <c r="F1725" i="7"/>
  <c r="E1213" i="7"/>
  <c r="F1213" i="7"/>
  <c r="E1468" i="7"/>
  <c r="F1468" i="7"/>
  <c r="E1311" i="7"/>
  <c r="F1311" i="7"/>
  <c r="E799" i="7"/>
  <c r="F799" i="7"/>
  <c r="E710" i="7"/>
  <c r="F710" i="7"/>
  <c r="E797" i="7"/>
  <c r="F797" i="7"/>
  <c r="E1068" i="7"/>
  <c r="F1068" i="7"/>
  <c r="E33" i="7"/>
  <c r="F33" i="7"/>
  <c r="E719" i="7"/>
  <c r="F719" i="7"/>
  <c r="F715" i="7"/>
  <c r="E715" i="7"/>
  <c r="E1831" i="7"/>
  <c r="F1831" i="7"/>
  <c r="F1806" i="7"/>
  <c r="E1806" i="7"/>
  <c r="F1294" i="7"/>
  <c r="E1294" i="7"/>
  <c r="E1461" i="7"/>
  <c r="F1461" i="7"/>
  <c r="E1716" i="7"/>
  <c r="F1716" i="7"/>
  <c r="F1047" i="7"/>
  <c r="E1047" i="7"/>
  <c r="F958" i="7"/>
  <c r="E958" i="7"/>
  <c r="E1045" i="7"/>
  <c r="F1045" i="7"/>
  <c r="F1316" i="7"/>
  <c r="E1316" i="7"/>
  <c r="F804" i="7"/>
  <c r="E804" i="7"/>
  <c r="E460" i="7"/>
  <c r="F460" i="7"/>
  <c r="E1542" i="7"/>
  <c r="F1542" i="7"/>
  <c r="E1709" i="7"/>
  <c r="F1709" i="7"/>
  <c r="E1197" i="7"/>
  <c r="F1197" i="7"/>
  <c r="E1452" i="7"/>
  <c r="F1452" i="7"/>
  <c r="E1295" i="7"/>
  <c r="F1295" i="7"/>
  <c r="E783" i="7"/>
  <c r="F783" i="7"/>
  <c r="E694" i="7"/>
  <c r="F694" i="7"/>
  <c r="F781" i="7"/>
  <c r="E781" i="7"/>
  <c r="E1052" i="7"/>
  <c r="F1052" i="7"/>
  <c r="E48" i="7"/>
  <c r="F48" i="7"/>
  <c r="E607" i="7"/>
  <c r="F607" i="7"/>
  <c r="E1790" i="7"/>
  <c r="F1790" i="7"/>
  <c r="E1278" i="7"/>
  <c r="F1278" i="7"/>
  <c r="E1445" i="7"/>
  <c r="F1445" i="7"/>
  <c r="E1700" i="7"/>
  <c r="F1700" i="7"/>
  <c r="E1031" i="7"/>
  <c r="F1031" i="7"/>
  <c r="E942" i="7"/>
  <c r="F942" i="7"/>
  <c r="E1029" i="7"/>
  <c r="F1029" i="7"/>
  <c r="E1300" i="7"/>
  <c r="F1300" i="7"/>
  <c r="E788" i="7"/>
  <c r="F788" i="7"/>
  <c r="E464" i="7"/>
  <c r="F464" i="7"/>
  <c r="E332" i="7"/>
  <c r="F332" i="7"/>
  <c r="F663" i="7"/>
  <c r="E663" i="7"/>
  <c r="F87" i="7"/>
  <c r="E87" i="7"/>
  <c r="F142" i="7"/>
  <c r="E142" i="7"/>
  <c r="E237" i="7"/>
  <c r="F237" i="7"/>
  <c r="F452" i="7"/>
  <c r="E452" i="7"/>
  <c r="E1771" i="7"/>
  <c r="F1771" i="7"/>
  <c r="E435" i="7"/>
  <c r="F435" i="7"/>
  <c r="E1075" i="7"/>
  <c r="F1075" i="7"/>
  <c r="E335" i="7"/>
  <c r="F335" i="7"/>
  <c r="E326" i="7"/>
  <c r="F326" i="7"/>
  <c r="E421" i="7"/>
  <c r="F421" i="7"/>
  <c r="E636" i="7"/>
  <c r="F636" i="7"/>
  <c r="E603" i="7"/>
  <c r="F603" i="7"/>
  <c r="F1435" i="7"/>
  <c r="E1435" i="7"/>
  <c r="E647" i="7"/>
  <c r="F647" i="7"/>
  <c r="E126" i="7"/>
  <c r="F126" i="7"/>
  <c r="E221" i="7"/>
  <c r="F221" i="7"/>
  <c r="F436" i="7"/>
  <c r="E436" i="7"/>
  <c r="E1395" i="7"/>
  <c r="F1395" i="7"/>
  <c r="E639" i="7"/>
  <c r="F639" i="7"/>
  <c r="E118" i="7"/>
  <c r="F118" i="7"/>
  <c r="E213" i="7"/>
  <c r="F213" i="7"/>
  <c r="E428" i="7"/>
  <c r="F428" i="7"/>
  <c r="F631" i="7"/>
  <c r="E631" i="7"/>
  <c r="F110" i="7"/>
  <c r="E110" i="7"/>
  <c r="E205" i="7"/>
  <c r="F205" i="7"/>
  <c r="E420" i="7"/>
  <c r="F420" i="7"/>
  <c r="E875" i="7"/>
  <c r="F875" i="7"/>
  <c r="E623" i="7"/>
  <c r="F623" i="7"/>
  <c r="E102" i="7"/>
  <c r="F102" i="7"/>
  <c r="E197" i="7"/>
  <c r="F197" i="7"/>
  <c r="E412" i="7"/>
  <c r="F412" i="7"/>
  <c r="E1499" i="7"/>
  <c r="F1499" i="7"/>
  <c r="E27" i="7"/>
  <c r="F27" i="7"/>
  <c r="E827" i="7"/>
  <c r="F827" i="7"/>
  <c r="E615" i="7"/>
  <c r="F615" i="7"/>
  <c r="E94" i="7"/>
  <c r="F94" i="7"/>
  <c r="E189" i="7"/>
  <c r="F189" i="7"/>
  <c r="E404" i="7"/>
  <c r="F404" i="7"/>
  <c r="F779" i="7"/>
  <c r="E779" i="7"/>
  <c r="F3991" i="7"/>
  <c r="F4272" i="7"/>
  <c r="F4433" i="7"/>
  <c r="F3323" i="7"/>
  <c r="F4909" i="7"/>
  <c r="F4934" i="7"/>
  <c r="F4297" i="7"/>
  <c r="F4935" i="7"/>
  <c r="F4462" i="7"/>
  <c r="F4896" i="7"/>
  <c r="F4598" i="7"/>
  <c r="F4126" i="7"/>
  <c r="F4235" i="7"/>
  <c r="F2843" i="7"/>
  <c r="F4362" i="7"/>
  <c r="F4151" i="7"/>
  <c r="F3655" i="7"/>
  <c r="F3364" i="7"/>
  <c r="F4104" i="7"/>
  <c r="F4947" i="7"/>
  <c r="F4488" i="7"/>
  <c r="F3826" i="7"/>
  <c r="F4015" i="7"/>
  <c r="F3343" i="7"/>
  <c r="F2580" i="7"/>
  <c r="F2544" i="7"/>
  <c r="F4637" i="7"/>
  <c r="E18" i="7"/>
  <c r="F18" i="7"/>
  <c r="E1487" i="7"/>
  <c r="F1487" i="7"/>
  <c r="E1980" i="7"/>
  <c r="F1980" i="7"/>
  <c r="E616" i="7"/>
  <c r="F616" i="7"/>
  <c r="E1990" i="7"/>
  <c r="F1990" i="7"/>
  <c r="E470" i="7"/>
  <c r="F470" i="7"/>
  <c r="E1974" i="7"/>
  <c r="F1974" i="7"/>
  <c r="E1501" i="7"/>
  <c r="F1501" i="7"/>
  <c r="E1085" i="7"/>
  <c r="F1085" i="7"/>
  <c r="F1997" i="7"/>
  <c r="E1997" i="7"/>
  <c r="E780" i="7"/>
  <c r="F780" i="7"/>
  <c r="E1956" i="7"/>
  <c r="F1956" i="7"/>
  <c r="E1917" i="7"/>
  <c r="F1917" i="7"/>
  <c r="E25" i="7"/>
  <c r="F25" i="7"/>
  <c r="E1960" i="7"/>
  <c r="F1960" i="7"/>
  <c r="E1951" i="7"/>
  <c r="F1951" i="7"/>
  <c r="E2006" i="7"/>
  <c r="F2006" i="7"/>
  <c r="E1757" i="7"/>
  <c r="F1757" i="7"/>
  <c r="E742" i="7"/>
  <c r="F742" i="7"/>
  <c r="E1996" i="7"/>
  <c r="F1996" i="7"/>
  <c r="E143" i="7"/>
  <c r="F143" i="7"/>
  <c r="E1799" i="7"/>
  <c r="F1799" i="7"/>
  <c r="F1774" i="7"/>
  <c r="E1774" i="7"/>
  <c r="F1262" i="7"/>
  <c r="E1262" i="7"/>
  <c r="E1429" i="7"/>
  <c r="F1429" i="7"/>
  <c r="E1684" i="7"/>
  <c r="F1684" i="7"/>
  <c r="F1015" i="7"/>
  <c r="E1015" i="7"/>
  <c r="E926" i="7"/>
  <c r="F926" i="7"/>
  <c r="E1013" i="7"/>
  <c r="F1013" i="7"/>
  <c r="E1284" i="7"/>
  <c r="F1284" i="7"/>
  <c r="E772" i="7"/>
  <c r="F772" i="7"/>
  <c r="E204" i="7"/>
  <c r="F204" i="7"/>
  <c r="E1702" i="7"/>
  <c r="F1702" i="7"/>
  <c r="E1190" i="7"/>
  <c r="F1190" i="7"/>
  <c r="E1357" i="7"/>
  <c r="F1357" i="7"/>
  <c r="E1612" i="7"/>
  <c r="F1612" i="7"/>
  <c r="E943" i="7"/>
  <c r="F943" i="7"/>
  <c r="E854" i="7"/>
  <c r="F854" i="7"/>
  <c r="E941" i="7"/>
  <c r="F941" i="7"/>
  <c r="E1212" i="7"/>
  <c r="F1212" i="7"/>
  <c r="E700" i="7"/>
  <c r="F700" i="7"/>
  <c r="E2003" i="7"/>
  <c r="F2003" i="7"/>
  <c r="F1399" i="7"/>
  <c r="E1399" i="7"/>
  <c r="E1374" i="7"/>
  <c r="F1374" i="7"/>
  <c r="E1541" i="7"/>
  <c r="F1541" i="7"/>
  <c r="E1796" i="7"/>
  <c r="F1796" i="7"/>
  <c r="E1000" i="7"/>
  <c r="F1000" i="7"/>
  <c r="E1127" i="7"/>
  <c r="F1127" i="7"/>
  <c r="F1038" i="7"/>
  <c r="E1038" i="7"/>
  <c r="E1125" i="7"/>
  <c r="F1125" i="7"/>
  <c r="E613" i="7"/>
  <c r="F613" i="7"/>
  <c r="E884" i="7"/>
  <c r="F884" i="7"/>
  <c r="E373" i="7"/>
  <c r="F373" i="7"/>
  <c r="E1519" i="7"/>
  <c r="F1519" i="7"/>
  <c r="E1494" i="7"/>
  <c r="F1494" i="7"/>
  <c r="F1661" i="7"/>
  <c r="E1661" i="7"/>
  <c r="E1916" i="7"/>
  <c r="F1916" i="7"/>
  <c r="E1404" i="7"/>
  <c r="F1404" i="7"/>
  <c r="E1247" i="7"/>
  <c r="F1247" i="7"/>
  <c r="E1158" i="7"/>
  <c r="F1158" i="7"/>
  <c r="E646" i="7"/>
  <c r="F646" i="7"/>
  <c r="E733" i="7"/>
  <c r="F733" i="7"/>
  <c r="E1004" i="7"/>
  <c r="F1004" i="7"/>
  <c r="E223" i="7"/>
  <c r="F223" i="7"/>
  <c r="E1579" i="7"/>
  <c r="F1579" i="7"/>
  <c r="E1767" i="7"/>
  <c r="F1767" i="7"/>
  <c r="E1742" i="7"/>
  <c r="F1742" i="7"/>
  <c r="E1230" i="7"/>
  <c r="F1230" i="7"/>
  <c r="E1397" i="7"/>
  <c r="F1397" i="7"/>
  <c r="E1652" i="7"/>
  <c r="F1652" i="7"/>
  <c r="E983" i="7"/>
  <c r="F983" i="7"/>
  <c r="E894" i="7"/>
  <c r="F894" i="7"/>
  <c r="E981" i="7"/>
  <c r="F981" i="7"/>
  <c r="E1252" i="7"/>
  <c r="F1252" i="7"/>
  <c r="E740" i="7"/>
  <c r="F740" i="7"/>
  <c r="E400" i="7"/>
  <c r="F400" i="7"/>
  <c r="E1478" i="7"/>
  <c r="F1478" i="7"/>
  <c r="F1645" i="7"/>
  <c r="E1645" i="7"/>
  <c r="E1900" i="7"/>
  <c r="F1900" i="7"/>
  <c r="E1388" i="7"/>
  <c r="F1388" i="7"/>
  <c r="E1231" i="7"/>
  <c r="F1231" i="7"/>
  <c r="E1142" i="7"/>
  <c r="F1142" i="7"/>
  <c r="E630" i="7"/>
  <c r="F630" i="7"/>
  <c r="E717" i="7"/>
  <c r="F717" i="7"/>
  <c r="E988" i="7"/>
  <c r="F988" i="7"/>
  <c r="E723" i="7"/>
  <c r="F723" i="7"/>
  <c r="E1726" i="7"/>
  <c r="F1726" i="7"/>
  <c r="E1214" i="7"/>
  <c r="F1214" i="7"/>
  <c r="E1381" i="7"/>
  <c r="F1381" i="7"/>
  <c r="F1636" i="7"/>
  <c r="E1636" i="7"/>
  <c r="E967" i="7"/>
  <c r="F967" i="7"/>
  <c r="F878" i="7"/>
  <c r="E878" i="7"/>
  <c r="E965" i="7"/>
  <c r="F965" i="7"/>
  <c r="E1236" i="7"/>
  <c r="F1236" i="7"/>
  <c r="E724" i="7"/>
  <c r="F724" i="7"/>
  <c r="E599" i="7"/>
  <c r="F599" i="7"/>
  <c r="E78" i="7"/>
  <c r="F78" i="7"/>
  <c r="E173" i="7"/>
  <c r="F173" i="7"/>
  <c r="E388" i="7"/>
  <c r="F388" i="7"/>
  <c r="E1347" i="7"/>
  <c r="F1347" i="7"/>
  <c r="E675" i="7"/>
  <c r="F675" i="7"/>
  <c r="E271" i="7"/>
  <c r="F271" i="7"/>
  <c r="E262" i="7"/>
  <c r="F262" i="7"/>
  <c r="E357" i="7"/>
  <c r="F357" i="7"/>
  <c r="E572" i="7"/>
  <c r="F572" i="7"/>
  <c r="E1899" i="7"/>
  <c r="F1899" i="7"/>
  <c r="E583" i="7"/>
  <c r="F583" i="7"/>
  <c r="E62" i="7"/>
  <c r="F62" i="7"/>
  <c r="E157" i="7"/>
  <c r="F157" i="7"/>
  <c r="E372" i="7"/>
  <c r="F372" i="7"/>
  <c r="E1243" i="7"/>
  <c r="F1243" i="7"/>
  <c r="E891" i="7"/>
  <c r="F891" i="7"/>
  <c r="E575" i="7"/>
  <c r="F575" i="7"/>
  <c r="E566" i="7"/>
  <c r="F566" i="7"/>
  <c r="F54" i="7"/>
  <c r="E54" i="7"/>
  <c r="E149" i="7"/>
  <c r="F149" i="7"/>
  <c r="E364" i="7"/>
  <c r="F364" i="7"/>
  <c r="E1971" i="7"/>
  <c r="F1971" i="7"/>
  <c r="E523" i="7"/>
  <c r="F523" i="7"/>
  <c r="F567" i="7"/>
  <c r="E567" i="7"/>
  <c r="E558" i="7"/>
  <c r="F558" i="7"/>
  <c r="E46" i="7"/>
  <c r="F46" i="7"/>
  <c r="E141" i="7"/>
  <c r="F141" i="7"/>
  <c r="E356" i="7"/>
  <c r="F356" i="7"/>
  <c r="E755" i="7"/>
  <c r="F755" i="7"/>
  <c r="E1915" i="7"/>
  <c r="F1915" i="7"/>
  <c r="E475" i="7"/>
  <c r="F475" i="7"/>
  <c r="E559" i="7"/>
  <c r="F559" i="7"/>
  <c r="E550" i="7"/>
  <c r="F550" i="7"/>
  <c r="E38" i="7"/>
  <c r="F38" i="7"/>
  <c r="E133" i="7"/>
  <c r="F133" i="7"/>
  <c r="E348" i="7"/>
  <c r="F348" i="7"/>
  <c r="E551" i="7"/>
  <c r="F551" i="7"/>
  <c r="E542" i="7"/>
  <c r="F542" i="7"/>
  <c r="E30" i="7"/>
  <c r="F30" i="7"/>
  <c r="E125" i="7"/>
  <c r="F125" i="7"/>
  <c r="F340" i="7"/>
  <c r="E340" i="7"/>
  <c r="E1051" i="7"/>
  <c r="F1051" i="7"/>
  <c r="E1787" i="7"/>
  <c r="F1787" i="7"/>
  <c r="E17" i="7"/>
  <c r="F17" i="7"/>
  <c r="E1884" i="7"/>
  <c r="F1884" i="7"/>
  <c r="E1423" i="7"/>
  <c r="F1423" i="7"/>
  <c r="E1151" i="7"/>
  <c r="F1151" i="7"/>
  <c r="E565" i="7"/>
  <c r="F565" i="7"/>
  <c r="E1910" i="7"/>
  <c r="F1910" i="7"/>
  <c r="E1756" i="7"/>
  <c r="F1756" i="7"/>
  <c r="E573" i="7"/>
  <c r="F573" i="7"/>
  <c r="E1933" i="7"/>
  <c r="F1933" i="7"/>
  <c r="E1718" i="7"/>
  <c r="F1718" i="7"/>
  <c r="E959" i="7"/>
  <c r="F959" i="7"/>
  <c r="E1853" i="7"/>
  <c r="F1853" i="7"/>
  <c r="E2012" i="7"/>
  <c r="F2012" i="7"/>
  <c r="E1372" i="7"/>
  <c r="F1372" i="7"/>
  <c r="E1942" i="7"/>
  <c r="F1942" i="7"/>
  <c r="E1245" i="7"/>
  <c r="F1245" i="7"/>
  <c r="E829" i="7"/>
  <c r="F829" i="7"/>
  <c r="E1551" i="7"/>
  <c r="F1551" i="7"/>
  <c r="E1279" i="7"/>
  <c r="F1279" i="7"/>
  <c r="E479" i="7"/>
  <c r="F479" i="7"/>
  <c r="E1735" i="7"/>
  <c r="F1735" i="7"/>
  <c r="E1710" i="7"/>
  <c r="F1710" i="7"/>
  <c r="E1198" i="7"/>
  <c r="F1198" i="7"/>
  <c r="E1365" i="7"/>
  <c r="F1365" i="7"/>
  <c r="E1620" i="7"/>
  <c r="F1620" i="7"/>
  <c r="E951" i="7"/>
  <c r="F951" i="7"/>
  <c r="E862" i="7"/>
  <c r="F862" i="7"/>
  <c r="E949" i="7"/>
  <c r="F949" i="7"/>
  <c r="E1220" i="7"/>
  <c r="F1220" i="7"/>
  <c r="E708" i="7"/>
  <c r="F708" i="7"/>
  <c r="E1638" i="7"/>
  <c r="F1638" i="7"/>
  <c r="E1805" i="7"/>
  <c r="F1805" i="7"/>
  <c r="F1293" i="7"/>
  <c r="E1293" i="7"/>
  <c r="E1548" i="7"/>
  <c r="F1548" i="7"/>
  <c r="E879" i="7"/>
  <c r="F879" i="7"/>
  <c r="E790" i="7"/>
  <c r="F790" i="7"/>
  <c r="F877" i="7"/>
  <c r="E877" i="7"/>
  <c r="E1148" i="7"/>
  <c r="F1148" i="7"/>
  <c r="E1822" i="7"/>
  <c r="F1822" i="7"/>
  <c r="E1310" i="7"/>
  <c r="F1310" i="7"/>
  <c r="E1477" i="7"/>
  <c r="F1477" i="7"/>
  <c r="E1732" i="7"/>
  <c r="F1732" i="7"/>
  <c r="E1063" i="7"/>
  <c r="F1063" i="7"/>
  <c r="E974" i="7"/>
  <c r="F974" i="7"/>
  <c r="E1061" i="7"/>
  <c r="F1061" i="7"/>
  <c r="E1332" i="7"/>
  <c r="F1332" i="7"/>
  <c r="E820" i="7"/>
  <c r="F820" i="7"/>
  <c r="E588" i="7"/>
  <c r="F588" i="7"/>
  <c r="E1455" i="7"/>
  <c r="F1455" i="7"/>
  <c r="E1430" i="7"/>
  <c r="F1430" i="7"/>
  <c r="F1597" i="7"/>
  <c r="E1597" i="7"/>
  <c r="E1852" i="7"/>
  <c r="F1852" i="7"/>
  <c r="E1183" i="7"/>
  <c r="F1183" i="7"/>
  <c r="E1094" i="7"/>
  <c r="F1094" i="7"/>
  <c r="E582" i="7"/>
  <c r="F582" i="7"/>
  <c r="E669" i="7"/>
  <c r="F669" i="7"/>
  <c r="E940" i="7"/>
  <c r="F940" i="7"/>
  <c r="E214" i="7"/>
  <c r="F214" i="7"/>
  <c r="E1703" i="7"/>
  <c r="F1703" i="7"/>
  <c r="F1678" i="7"/>
  <c r="E1678" i="7"/>
  <c r="E1845" i="7"/>
  <c r="F1845" i="7"/>
  <c r="E1333" i="7"/>
  <c r="F1333" i="7"/>
  <c r="E1588" i="7"/>
  <c r="F1588" i="7"/>
  <c r="F919" i="7"/>
  <c r="E919" i="7"/>
  <c r="E830" i="7"/>
  <c r="F830" i="7"/>
  <c r="E917" i="7"/>
  <c r="F917" i="7"/>
  <c r="E1188" i="7"/>
  <c r="F1188" i="7"/>
  <c r="E42" i="7"/>
  <c r="F42" i="7"/>
  <c r="E1439" i="7"/>
  <c r="F1439" i="7"/>
  <c r="E1414" i="7"/>
  <c r="F1414" i="7"/>
  <c r="E1581" i="7"/>
  <c r="F1581" i="7"/>
  <c r="E1836" i="7"/>
  <c r="F1836" i="7"/>
  <c r="E1167" i="7"/>
  <c r="F1167" i="7"/>
  <c r="E1078" i="7"/>
  <c r="F1078" i="7"/>
  <c r="F1165" i="7"/>
  <c r="E1165" i="7"/>
  <c r="F653" i="7"/>
  <c r="E653" i="7"/>
  <c r="E924" i="7"/>
  <c r="F924" i="7"/>
  <c r="E86" i="7"/>
  <c r="F86" i="7"/>
  <c r="E1662" i="7"/>
  <c r="F1662" i="7"/>
  <c r="E1829" i="7"/>
  <c r="F1829" i="7"/>
  <c r="E1317" i="7"/>
  <c r="F1317" i="7"/>
  <c r="E1572" i="7"/>
  <c r="F1572" i="7"/>
  <c r="E903" i="7"/>
  <c r="F903" i="7"/>
  <c r="E814" i="7"/>
  <c r="F814" i="7"/>
  <c r="E901" i="7"/>
  <c r="F901" i="7"/>
  <c r="E1172" i="7"/>
  <c r="F1172" i="7"/>
  <c r="E26" i="7"/>
  <c r="F26" i="7"/>
  <c r="E1963" i="7"/>
  <c r="F1963" i="7"/>
  <c r="F535" i="7"/>
  <c r="E535" i="7"/>
  <c r="F526" i="7"/>
  <c r="E526" i="7"/>
  <c r="E172" i="7"/>
  <c r="F172" i="7"/>
  <c r="E109" i="7"/>
  <c r="F109" i="7"/>
  <c r="E324" i="7"/>
  <c r="F324" i="7"/>
  <c r="E1907" i="7"/>
  <c r="F1907" i="7"/>
  <c r="E1675" i="7"/>
  <c r="F1675" i="7"/>
  <c r="E207" i="7"/>
  <c r="F207" i="7"/>
  <c r="E198" i="7"/>
  <c r="F198" i="7"/>
  <c r="E293" i="7"/>
  <c r="F293" i="7"/>
  <c r="E508" i="7"/>
  <c r="F508" i="7"/>
  <c r="E883" i="7"/>
  <c r="F883" i="7"/>
  <c r="E519" i="7"/>
  <c r="F519" i="7"/>
  <c r="E510" i="7"/>
  <c r="F510" i="7"/>
  <c r="E124" i="7"/>
  <c r="F124" i="7"/>
  <c r="E93" i="7"/>
  <c r="F93" i="7"/>
  <c r="E308" i="7"/>
  <c r="F308" i="7"/>
  <c r="E1811" i="7"/>
  <c r="F1811" i="7"/>
  <c r="E511" i="7"/>
  <c r="F511" i="7"/>
  <c r="E502" i="7"/>
  <c r="F502" i="7"/>
  <c r="E100" i="7"/>
  <c r="F100" i="7"/>
  <c r="E85" i="7"/>
  <c r="F85" i="7"/>
  <c r="E300" i="7"/>
  <c r="F300" i="7"/>
  <c r="E811" i="7"/>
  <c r="F811" i="7"/>
  <c r="E347" i="7"/>
  <c r="F347" i="7"/>
  <c r="E1539" i="7"/>
  <c r="F1539" i="7"/>
  <c r="F503" i="7"/>
  <c r="E503" i="7"/>
  <c r="F494" i="7"/>
  <c r="E494" i="7"/>
  <c r="E76" i="7"/>
  <c r="F76" i="7"/>
  <c r="E77" i="7"/>
  <c r="F77" i="7"/>
  <c r="E292" i="7"/>
  <c r="F292" i="7"/>
  <c r="E291" i="7"/>
  <c r="F291" i="7"/>
  <c r="E1483" i="7"/>
  <c r="F1483" i="7"/>
  <c r="E83" i="7"/>
  <c r="F83" i="7"/>
  <c r="E495" i="7"/>
  <c r="F495" i="7"/>
  <c r="E486" i="7"/>
  <c r="F486" i="7"/>
  <c r="E52" i="7"/>
  <c r="F52" i="7"/>
  <c r="E69" i="7"/>
  <c r="F69" i="7"/>
  <c r="E284" i="7"/>
  <c r="F284" i="7"/>
  <c r="E699" i="7"/>
  <c r="F699" i="7"/>
  <c r="E35" i="7"/>
  <c r="F35" i="7"/>
  <c r="E487" i="7"/>
  <c r="F487" i="7"/>
  <c r="E478" i="7"/>
  <c r="F478" i="7"/>
  <c r="E28" i="7"/>
  <c r="F28" i="7"/>
  <c r="E61" i="7"/>
  <c r="F61" i="7"/>
  <c r="E276" i="7"/>
  <c r="F276" i="7"/>
  <c r="E643" i="7"/>
  <c r="F643" i="7"/>
  <c r="E16" i="7"/>
  <c r="F16" i="7"/>
  <c r="E1862" i="7"/>
  <c r="F1862" i="7"/>
  <c r="F1991" i="7"/>
  <c r="E1991" i="7"/>
  <c r="E1398" i="7"/>
  <c r="F1398" i="7"/>
  <c r="E1062" i="7"/>
  <c r="F1062" i="7"/>
  <c r="E1846" i="7"/>
  <c r="F1846" i="7"/>
  <c r="F2005" i="7"/>
  <c r="E2005" i="7"/>
  <c r="E844" i="7"/>
  <c r="F844" i="7"/>
  <c r="E1869" i="7"/>
  <c r="F1869" i="7"/>
  <c r="E1768" i="7"/>
  <c r="F1768" i="7"/>
  <c r="E1206" i="7"/>
  <c r="F1206" i="7"/>
  <c r="E870" i="7"/>
  <c r="F870" i="7"/>
  <c r="E1948" i="7"/>
  <c r="F1948" i="7"/>
  <c r="E1926" i="7"/>
  <c r="F1926" i="7"/>
  <c r="E972" i="7"/>
  <c r="F972" i="7"/>
  <c r="E1878" i="7"/>
  <c r="F1878" i="7"/>
  <c r="E1500" i="7"/>
  <c r="F1500" i="7"/>
  <c r="E1100" i="7"/>
  <c r="F1100" i="7"/>
  <c r="E2007" i="7"/>
  <c r="F2007" i="7"/>
  <c r="E1526" i="7"/>
  <c r="F1526" i="7"/>
  <c r="E767" i="7"/>
  <c r="F767" i="7"/>
  <c r="E1339" i="7"/>
  <c r="F1339" i="7"/>
  <c r="E1671" i="7"/>
  <c r="F1671" i="7"/>
  <c r="F1646" i="7"/>
  <c r="E1646" i="7"/>
  <c r="E1813" i="7"/>
  <c r="F1813" i="7"/>
  <c r="E1301" i="7"/>
  <c r="F1301" i="7"/>
  <c r="E1556" i="7"/>
  <c r="F1556" i="7"/>
  <c r="E760" i="7"/>
  <c r="F760" i="7"/>
  <c r="F887" i="7"/>
  <c r="E887" i="7"/>
  <c r="E798" i="7"/>
  <c r="F798" i="7"/>
  <c r="E885" i="7"/>
  <c r="F885" i="7"/>
  <c r="E1156" i="7"/>
  <c r="F1156" i="7"/>
  <c r="E272" i="7"/>
  <c r="F272" i="7"/>
  <c r="E1099" i="7"/>
  <c r="F1099" i="7"/>
  <c r="E1574" i="7"/>
  <c r="F1574" i="7"/>
  <c r="E1741" i="7"/>
  <c r="F1741" i="7"/>
  <c r="E1229" i="7"/>
  <c r="F1229" i="7"/>
  <c r="E1484" i="7"/>
  <c r="F1484" i="7"/>
  <c r="E1327" i="7"/>
  <c r="F1327" i="7"/>
  <c r="E815" i="7"/>
  <c r="F815" i="7"/>
  <c r="E726" i="7"/>
  <c r="F726" i="7"/>
  <c r="E813" i="7"/>
  <c r="F813" i="7"/>
  <c r="E1084" i="7"/>
  <c r="F1084" i="7"/>
  <c r="E135" i="7"/>
  <c r="F135" i="7"/>
  <c r="E1547" i="7"/>
  <c r="F1547" i="7"/>
  <c r="E1758" i="7"/>
  <c r="F1758" i="7"/>
  <c r="E1246" i="7"/>
  <c r="F1246" i="7"/>
  <c r="E1413" i="7"/>
  <c r="F1413" i="7"/>
  <c r="E1668" i="7"/>
  <c r="F1668" i="7"/>
  <c r="E1384" i="7"/>
  <c r="F1384" i="7"/>
  <c r="E999" i="7"/>
  <c r="F999" i="7"/>
  <c r="F910" i="7"/>
  <c r="E910" i="7"/>
  <c r="E997" i="7"/>
  <c r="F997" i="7"/>
  <c r="E1268" i="7"/>
  <c r="F1268" i="7"/>
  <c r="F756" i="7"/>
  <c r="E756" i="7"/>
  <c r="E1903" i="7"/>
  <c r="F1903" i="7"/>
  <c r="E1391" i="7"/>
  <c r="F1391" i="7"/>
  <c r="E1366" i="7"/>
  <c r="F1366" i="7"/>
  <c r="E1533" i="7"/>
  <c r="F1533" i="7"/>
  <c r="E1788" i="7"/>
  <c r="F1788" i="7"/>
  <c r="E1119" i="7"/>
  <c r="F1119" i="7"/>
  <c r="E1030" i="7"/>
  <c r="F1030" i="7"/>
  <c r="E1117" i="7"/>
  <c r="F1117" i="7"/>
  <c r="F605" i="7"/>
  <c r="E605" i="7"/>
  <c r="E876" i="7"/>
  <c r="F876" i="7"/>
  <c r="E309" i="7"/>
  <c r="F309" i="7"/>
  <c r="E1639" i="7"/>
  <c r="F1639" i="7"/>
  <c r="E1614" i="7"/>
  <c r="F1614" i="7"/>
  <c r="F1781" i="7"/>
  <c r="E1781" i="7"/>
  <c r="E1269" i="7"/>
  <c r="F1269" i="7"/>
  <c r="E1524" i="7"/>
  <c r="F1524" i="7"/>
  <c r="E855" i="7"/>
  <c r="F855" i="7"/>
  <c r="E766" i="7"/>
  <c r="F766" i="7"/>
  <c r="E853" i="7"/>
  <c r="F853" i="7"/>
  <c r="F1124" i="7"/>
  <c r="E1124" i="7"/>
  <c r="E95" i="7"/>
  <c r="F95" i="7"/>
  <c r="F1563" i="7"/>
  <c r="E1563" i="7"/>
  <c r="E1887" i="7"/>
  <c r="F1887" i="7"/>
  <c r="E1375" i="7"/>
  <c r="F1375" i="7"/>
  <c r="E1350" i="7"/>
  <c r="F1350" i="7"/>
  <c r="F1517" i="7"/>
  <c r="E1517" i="7"/>
  <c r="E1772" i="7"/>
  <c r="F1772" i="7"/>
  <c r="E1103" i="7"/>
  <c r="F1103" i="7"/>
  <c r="E1014" i="7"/>
  <c r="F1014" i="7"/>
  <c r="E1101" i="7"/>
  <c r="F1101" i="7"/>
  <c r="E589" i="7"/>
  <c r="F589" i="7"/>
  <c r="E860" i="7"/>
  <c r="F860" i="7"/>
  <c r="E560" i="7"/>
  <c r="F560" i="7"/>
  <c r="E181" i="7"/>
  <c r="F181" i="7"/>
  <c r="E1623" i="7"/>
  <c r="F1623" i="7"/>
  <c r="E1598" i="7"/>
  <c r="F1598" i="7"/>
  <c r="E1765" i="7"/>
  <c r="F1765" i="7"/>
  <c r="E1253" i="7"/>
  <c r="F1253" i="7"/>
  <c r="F1508" i="7"/>
  <c r="E1508" i="7"/>
  <c r="E1351" i="7"/>
  <c r="F1351" i="7"/>
  <c r="E839" i="7"/>
  <c r="F839" i="7"/>
  <c r="F750" i="7"/>
  <c r="E750" i="7"/>
  <c r="E837" i="7"/>
  <c r="F837" i="7"/>
  <c r="E1108" i="7"/>
  <c r="F1108" i="7"/>
  <c r="E31" i="7"/>
  <c r="F31" i="7"/>
  <c r="E579" i="7"/>
  <c r="F579" i="7"/>
  <c r="E471" i="7"/>
  <c r="F471" i="7"/>
  <c r="E462" i="7"/>
  <c r="F462" i="7"/>
  <c r="E557" i="7"/>
  <c r="F557" i="7"/>
  <c r="E45" i="7"/>
  <c r="F45" i="7"/>
  <c r="F260" i="7"/>
  <c r="E260" i="7"/>
  <c r="E539" i="7"/>
  <c r="F539" i="7"/>
  <c r="E1475" i="7"/>
  <c r="F1475" i="7"/>
  <c r="E43" i="7"/>
  <c r="F43" i="7"/>
  <c r="E655" i="7"/>
  <c r="F655" i="7"/>
  <c r="E55" i="7"/>
  <c r="F55" i="7"/>
  <c r="E134" i="7"/>
  <c r="F134" i="7"/>
  <c r="E229" i="7"/>
  <c r="F229" i="7"/>
  <c r="E444" i="7"/>
  <c r="F444" i="7"/>
  <c r="E1451" i="7"/>
  <c r="F1451" i="7"/>
  <c r="E455" i="7"/>
  <c r="F455" i="7"/>
  <c r="E446" i="7"/>
  <c r="F446" i="7"/>
  <c r="F541" i="7"/>
  <c r="E541" i="7"/>
  <c r="E29" i="7"/>
  <c r="F29" i="7"/>
  <c r="E244" i="7"/>
  <c r="F244" i="7"/>
  <c r="E1355" i="7"/>
  <c r="F1355" i="7"/>
  <c r="E1131" i="7"/>
  <c r="F1131" i="7"/>
  <c r="E447" i="7"/>
  <c r="F447" i="7"/>
  <c r="E438" i="7"/>
  <c r="F438" i="7"/>
  <c r="E533" i="7"/>
  <c r="F533" i="7"/>
  <c r="E21" i="7"/>
  <c r="F21" i="7"/>
  <c r="E236" i="7"/>
  <c r="F236" i="7"/>
  <c r="E1291" i="7"/>
  <c r="F1291" i="7"/>
  <c r="E439" i="7"/>
  <c r="F439" i="7"/>
  <c r="E430" i="7"/>
  <c r="F430" i="7"/>
  <c r="F525" i="7"/>
  <c r="E525" i="7"/>
  <c r="E164" i="7"/>
  <c r="F164" i="7"/>
  <c r="E228" i="7"/>
  <c r="F228" i="7"/>
  <c r="E331" i="7"/>
  <c r="F331" i="7"/>
  <c r="E1235" i="7"/>
  <c r="F1235" i="7"/>
  <c r="E987" i="7"/>
  <c r="F987" i="7"/>
  <c r="E208" i="7"/>
  <c r="F208" i="7"/>
  <c r="E431" i="7"/>
  <c r="F431" i="7"/>
  <c r="E422" i="7"/>
  <c r="F422" i="7"/>
  <c r="E517" i="7"/>
  <c r="F517" i="7"/>
  <c r="F148" i="7"/>
  <c r="E148" i="7"/>
  <c r="E220" i="7"/>
  <c r="F220" i="7"/>
  <c r="E1203" i="7"/>
  <c r="F1203" i="7"/>
  <c r="E931" i="7"/>
  <c r="F931" i="7"/>
  <c r="E423" i="7"/>
  <c r="F423" i="7"/>
  <c r="E414" i="7"/>
  <c r="F414" i="7"/>
  <c r="E509" i="7"/>
  <c r="F509" i="7"/>
  <c r="E116" i="7"/>
  <c r="F116" i="7"/>
  <c r="E212" i="7"/>
  <c r="F212" i="7"/>
  <c r="F1155" i="7"/>
  <c r="E1155" i="7"/>
  <c r="G29" i="3"/>
  <c r="L13" i="3" s="1"/>
  <c r="J9" i="7" s="1"/>
  <c r="G27" i="3"/>
  <c r="L11" i="3" s="1"/>
  <c r="G32" i="3"/>
  <c r="L16" i="3" s="1"/>
  <c r="G31" i="3"/>
  <c r="L15" i="3" s="1"/>
  <c r="G22" i="3"/>
  <c r="F15" i="7" l="1"/>
  <c r="E15" i="7"/>
  <c r="G33" i="3"/>
  <c r="L17" i="3" s="1"/>
  <c r="G26" i="3" a="1"/>
  <c r="G26" i="3" s="1"/>
  <c r="L9" i="3" s="1"/>
  <c r="J8" i="7" s="1"/>
  <c r="J10" i="7" s="1"/>
  <c r="J11" i="7" s="1"/>
  <c r="G30" i="3"/>
  <c r="L1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<sst xmlns="http://schemas.openxmlformats.org/spreadsheetml/2006/main" count="274" uniqueCount="155">
  <si>
    <t>Valuation Date</t>
  </si>
  <si>
    <t>Valuation inputs</t>
  </si>
  <si>
    <t>Volatility</t>
  </si>
  <si>
    <t>Domestic currency interest rate</t>
  </si>
  <si>
    <t>Foreign currency interest rate</t>
  </si>
  <si>
    <t>Call/Put perspective</t>
  </si>
  <si>
    <t>Notional amount</t>
  </si>
  <si>
    <t>Notional currency</t>
  </si>
  <si>
    <t>Buy/Sell perspective</t>
  </si>
  <si>
    <t>Buy</t>
  </si>
  <si>
    <t>Sell</t>
  </si>
  <si>
    <t>Call FOR, Put DOM</t>
  </si>
  <si>
    <t>User input</t>
  </si>
  <si>
    <t>FOR/DOM</t>
  </si>
  <si>
    <t>[$]</t>
  </si>
  <si>
    <t>Value</t>
  </si>
  <si>
    <t>Units</t>
  </si>
  <si>
    <t>Field</t>
  </si>
  <si>
    <t>Expiry Date</t>
  </si>
  <si>
    <t>[Date]</t>
  </si>
  <si>
    <t>DOM/FOR</t>
  </si>
  <si>
    <t>σ</t>
  </si>
  <si>
    <t>F</t>
  </si>
  <si>
    <r>
      <t>d</t>
    </r>
    <r>
      <rPr>
        <vertAlign val="subscript"/>
        <sz val="10"/>
        <color theme="1"/>
        <rFont val="Arial"/>
        <family val="2"/>
      </rPr>
      <t>1</t>
    </r>
  </si>
  <si>
    <r>
      <t>d</t>
    </r>
    <r>
      <rPr>
        <vertAlign val="subscript"/>
        <sz val="10"/>
        <color theme="1"/>
        <rFont val="Arial"/>
        <family val="2"/>
      </rPr>
      <t>2</t>
    </r>
  </si>
  <si>
    <t>[%]</t>
  </si>
  <si>
    <t>CP</t>
  </si>
  <si>
    <t>[Years]</t>
  </si>
  <si>
    <t>{-1,1}</t>
  </si>
  <si>
    <t>Option Value</t>
  </si>
  <si>
    <t>Foreign Currency Notional</t>
  </si>
  <si>
    <t>Domestic Currency Notional</t>
  </si>
  <si>
    <t>Put FOR, Call DOM</t>
  </si>
  <si>
    <t>Valuation model inputs</t>
  </si>
  <si>
    <r>
      <t>Δ</t>
    </r>
    <r>
      <rPr>
        <vertAlign val="subscript"/>
        <sz val="10"/>
        <color theme="1"/>
        <rFont val="Arial"/>
        <family val="2"/>
      </rPr>
      <t>spot</t>
    </r>
    <r>
      <rPr>
        <sz val="10"/>
        <color theme="1"/>
        <rFont val="Arial"/>
        <family val="2"/>
      </rPr>
      <t xml:space="preserve"> (spot delta)</t>
    </r>
  </si>
  <si>
    <r>
      <t>Δ</t>
    </r>
    <r>
      <rPr>
        <vertAlign val="subscript"/>
        <sz val="10"/>
        <color theme="1"/>
        <rFont val="Arial"/>
        <family val="2"/>
      </rPr>
      <t>forward</t>
    </r>
    <r>
      <rPr>
        <sz val="10"/>
        <color theme="1"/>
        <rFont val="Arial"/>
        <family val="2"/>
      </rPr>
      <t xml:space="preserve"> (forward delta)</t>
    </r>
  </si>
  <si>
    <t>Vega</t>
  </si>
  <si>
    <t>Theta</t>
  </si>
  <si>
    <t>Gamma</t>
  </si>
  <si>
    <t>Legend</t>
  </si>
  <si>
    <r>
      <t>Rho</t>
    </r>
    <r>
      <rPr>
        <vertAlign val="subscript"/>
        <sz val="10"/>
        <color theme="1"/>
        <rFont val="Arial"/>
        <family val="2"/>
      </rPr>
      <t>foreign currency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</si>
  <si>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</si>
  <si>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  <r>
      <rPr>
        <sz val="10"/>
        <color theme="1"/>
        <rFont val="Arial"/>
        <family val="2"/>
      </rPr>
      <t xml:space="preserve"> (normalised to 1% change in the foreign currency interest rate)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</si>
  <si>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  <r>
      <rPr>
        <sz val="10"/>
        <color theme="1"/>
        <rFont val="Arial"/>
        <family val="2"/>
      </rPr>
      <t xml:space="preserve"> (normalised to 1% change in the foreign currency interest rate)</t>
    </r>
  </si>
  <si>
    <t>Vega (normalised to 1% change in volatility)</t>
  </si>
  <si>
    <t>Gamma (normalised to 1% change in spot price)</t>
  </si>
  <si>
    <t>Price (in the domestic currency, per 1 unit of foreign currency notional)</t>
  </si>
  <si>
    <t>[DOM]</t>
  </si>
  <si>
    <t>[FOR]</t>
  </si>
  <si>
    <t>Vanilla European option results</t>
  </si>
  <si>
    <t>European digital option results</t>
  </si>
  <si>
    <t>Vanilla European option pricing and analytical greeks</t>
  </si>
  <si>
    <t>Results in Notional Currency</t>
  </si>
  <si>
    <t>DOM</t>
  </si>
  <si>
    <t>FOR</t>
  </si>
  <si>
    <t>Call</t>
  </si>
  <si>
    <t>Put</t>
  </si>
  <si>
    <t>Strike</t>
  </si>
  <si>
    <t>Barrier</t>
  </si>
  <si>
    <t>FX spot price</t>
  </si>
  <si>
    <t>FX forward rate</t>
  </si>
  <si>
    <t>Vanilla option helpers</t>
  </si>
  <si>
    <t>Barrier option helpers</t>
  </si>
  <si>
    <r>
      <t>d</t>
    </r>
    <r>
      <rPr>
        <vertAlign val="subscript"/>
        <sz val="10"/>
        <color theme="1"/>
        <rFont val="Arial"/>
        <family val="2"/>
      </rPr>
      <t>3</t>
    </r>
  </si>
  <si>
    <t>H</t>
  </si>
  <si>
    <r>
      <t>d</t>
    </r>
    <r>
      <rPr>
        <vertAlign val="subscript"/>
        <sz val="10"/>
        <color theme="1"/>
        <rFont val="Arial"/>
        <family val="2"/>
      </rPr>
      <t>4</t>
    </r>
  </si>
  <si>
    <t>Down and In</t>
  </si>
  <si>
    <t>Core / vanilla contractual inputs</t>
  </si>
  <si>
    <t>Exotic contractual inputs</t>
  </si>
  <si>
    <t>Rand ~N(0,1)</t>
  </si>
  <si>
    <t>S(T)</t>
  </si>
  <si>
    <t>μ</t>
  </si>
  <si>
    <t>T</t>
  </si>
  <si>
    <t>with FCB</t>
  </si>
  <si>
    <t>Sims per 1 refresh</t>
  </si>
  <si>
    <t># of refreshes</t>
  </si>
  <si>
    <t>antithetic variates →</t>
  </si>
  <si>
    <t>Total simulations</t>
  </si>
  <si>
    <t xml:space="preserve">Averages → </t>
  </si>
  <si>
    <t>Averages →</t>
  </si>
  <si>
    <t xml:space="preserve">Option Value Monte Carlo </t>
  </si>
  <si>
    <t>Discount Factor</t>
  </si>
  <si>
    <t>Option Forward Value</t>
  </si>
  <si>
    <t>Option Discounted Value</t>
  </si>
  <si>
    <t xml:space="preserve">Run time (seconds): </t>
  </si>
  <si>
    <t xml:space="preserve">Vanilla Option </t>
  </si>
  <si>
    <t xml:space="preserve">Digital Option </t>
  </si>
  <si>
    <t>% in-the-money</t>
  </si>
  <si>
    <t>Price in notional currency</t>
  </si>
  <si>
    <t>Price in domestic currency</t>
  </si>
  <si>
    <t>European digital option pricing</t>
  </si>
  <si>
    <t>Contractual Inputs</t>
  </si>
  <si>
    <t>Buy/Sell</t>
  </si>
  <si>
    <t>Call/Put</t>
  </si>
  <si>
    <t>Notional Amt</t>
  </si>
  <si>
    <t>Notional Ccy</t>
  </si>
  <si>
    <t>Value Date</t>
  </si>
  <si>
    <t>FOR Notional</t>
  </si>
  <si>
    <t>DOM Notional</t>
  </si>
  <si>
    <t>With Currency Basis</t>
  </si>
  <si>
    <t>By Interest Rate Parity</t>
  </si>
  <si>
    <t>Methodology</t>
  </si>
  <si>
    <t>Valuation &amp; Market Data Inputs</t>
  </si>
  <si>
    <t>Valuation Helpers</t>
  </si>
  <si>
    <t>Results</t>
  </si>
  <si>
    <t>by IR Parity</t>
  </si>
  <si>
    <t>Theta (normalised to 1 day)</t>
  </si>
  <si>
    <t>Px</t>
  </si>
  <si>
    <r>
      <t>Δ</t>
    </r>
    <r>
      <rPr>
        <vertAlign val="subscript"/>
        <sz val="10"/>
        <color theme="0"/>
        <rFont val="Arial"/>
        <family val="2"/>
      </rPr>
      <t>forward</t>
    </r>
  </si>
  <si>
    <r>
      <t>S</t>
    </r>
    <r>
      <rPr>
        <b/>
        <vertAlign val="subscript"/>
        <sz val="10"/>
        <color theme="0"/>
        <rFont val="Arial"/>
        <family val="2"/>
      </rPr>
      <t>0</t>
    </r>
  </si>
  <si>
    <r>
      <t>r</t>
    </r>
    <r>
      <rPr>
        <b/>
        <vertAlign val="subscript"/>
        <sz val="10"/>
        <color theme="0"/>
        <rFont val="Arial"/>
        <family val="2"/>
      </rPr>
      <t>f</t>
    </r>
  </si>
  <si>
    <r>
      <t>r</t>
    </r>
    <r>
      <rPr>
        <b/>
        <vertAlign val="subscript"/>
        <sz val="10"/>
        <color theme="0"/>
        <rFont val="Arial"/>
        <family val="2"/>
      </rPr>
      <t>d</t>
    </r>
  </si>
  <si>
    <r>
      <t>r</t>
    </r>
    <r>
      <rPr>
        <b/>
        <vertAlign val="subscript"/>
        <sz val="10"/>
        <color theme="0"/>
        <rFont val="Arial"/>
        <family val="2"/>
      </rPr>
      <t>d_basis_adj</t>
    </r>
  </si>
  <si>
    <r>
      <t>d</t>
    </r>
    <r>
      <rPr>
        <b/>
        <vertAlign val="subscript"/>
        <sz val="10"/>
        <color theme="0"/>
        <rFont val="Arial"/>
        <family val="2"/>
      </rPr>
      <t>1</t>
    </r>
  </si>
  <si>
    <r>
      <t>d</t>
    </r>
    <r>
      <rPr>
        <b/>
        <vertAlign val="subscript"/>
        <sz val="10"/>
        <color theme="0"/>
        <rFont val="Arial"/>
        <family val="2"/>
      </rPr>
      <t>2</t>
    </r>
  </si>
  <si>
    <r>
      <t>r</t>
    </r>
    <r>
      <rPr>
        <vertAlign val="subscript"/>
        <sz val="10"/>
        <color theme="1"/>
        <rFont val="Arial"/>
        <family val="2"/>
      </rPr>
      <t>domestic currency basis adjusted</t>
    </r>
  </si>
  <si>
    <r>
      <t>r</t>
    </r>
    <r>
      <rPr>
        <vertAlign val="subscript"/>
        <sz val="10"/>
        <color theme="1"/>
        <rFont val="Arial"/>
        <family val="2"/>
      </rPr>
      <t>domestic currency</t>
    </r>
  </si>
  <si>
    <r>
      <t>r</t>
    </r>
    <r>
      <rPr>
        <vertAlign val="subscript"/>
        <sz val="10"/>
        <color theme="1"/>
        <rFont val="Arial"/>
        <family val="2"/>
      </rPr>
      <t>foreign currency</t>
    </r>
  </si>
  <si>
    <t>r</t>
  </si>
  <si>
    <t>q</t>
  </si>
  <si>
    <t>Vanilla EU Payoff</t>
  </si>
  <si>
    <t>Digital EU Payoff</t>
  </si>
  <si>
    <r>
      <t>μ</t>
    </r>
    <r>
      <rPr>
        <b/>
        <vertAlign val="subscript"/>
        <sz val="10"/>
        <color theme="0"/>
        <rFont val="Arial"/>
        <family val="2"/>
      </rPr>
      <t>with currency basis</t>
    </r>
  </si>
  <si>
    <r>
      <t>μ</t>
    </r>
    <r>
      <rPr>
        <b/>
        <vertAlign val="subscript"/>
        <sz val="10"/>
        <color theme="0"/>
        <rFont val="Arial"/>
        <family val="2"/>
      </rPr>
      <t>by interest rate parity</t>
    </r>
  </si>
  <si>
    <t>Unit Vega</t>
  </si>
  <si>
    <t>Unit Theta</t>
  </si>
  <si>
    <t>Unit Gamma</t>
  </si>
  <si>
    <r>
      <t>Unit Rho</t>
    </r>
    <r>
      <rPr>
        <b/>
        <vertAlign val="subscript"/>
        <sz val="10"/>
        <color theme="0"/>
        <rFont val="Arial"/>
        <family val="2"/>
      </rPr>
      <t>domestic currency</t>
    </r>
  </si>
  <si>
    <r>
      <t>Unit Δ</t>
    </r>
    <r>
      <rPr>
        <b/>
        <vertAlign val="subscript"/>
        <sz val="10"/>
        <color theme="0"/>
        <rFont val="Arial"/>
        <family val="2"/>
      </rPr>
      <t>spot</t>
    </r>
  </si>
  <si>
    <r>
      <t>Unit Δ</t>
    </r>
    <r>
      <rPr>
        <b/>
        <vertAlign val="subscript"/>
        <sz val="10"/>
        <color theme="0"/>
        <rFont val="Arial"/>
        <family val="2"/>
      </rPr>
      <t>forward</t>
    </r>
  </si>
  <si>
    <r>
      <t>Δ</t>
    </r>
    <r>
      <rPr>
        <vertAlign val="subscript"/>
        <sz val="10"/>
        <color theme="1"/>
        <rFont val="Arial"/>
        <family val="2"/>
      </rPr>
      <t>spot</t>
    </r>
  </si>
  <si>
    <t>Unit Results</t>
  </si>
  <si>
    <r>
      <t>Unit Rho</t>
    </r>
    <r>
      <rPr>
        <b/>
        <vertAlign val="subscript"/>
        <sz val="10"/>
        <color theme="0"/>
        <rFont val="Arial"/>
        <family val="2"/>
      </rPr>
      <t>foreign currency</t>
    </r>
  </si>
  <si>
    <t>Units →</t>
  </si>
  <si>
    <t>{FOR, DOM}</t>
  </si>
  <si>
    <t>{Buy,Sell}</t>
  </si>
  <si>
    <t>[$, FOR]</t>
  </si>
  <si>
    <t>[$, DOM]</t>
  </si>
  <si>
    <t>Result Ccy</t>
  </si>
  <si>
    <t>Result Ccy Divisor</t>
  </si>
  <si>
    <t>Result Currency</t>
  </si>
  <si>
    <t xml:space="preserve">Run time (minutes): </t>
  </si>
  <si>
    <t>Analytical Formulae</t>
  </si>
  <si>
    <t>Monte Carlo</t>
  </si>
  <si>
    <t>Result/Notional FX spot rate</t>
  </si>
  <si>
    <t>Result/Domestic FX spot rate</t>
  </si>
  <si>
    <t># of Vega</t>
  </si>
  <si>
    <t>Variance b/t methods</t>
  </si>
  <si>
    <t>IN PROGRESS</t>
  </si>
  <si>
    <t>CP (call/put flag)</t>
  </si>
  <si>
    <t>{1,-1}</t>
  </si>
  <si>
    <t>T (years to expiry)</t>
  </si>
  <si>
    <t xml:space="preserve">F </t>
  </si>
  <si>
    <t xml:space="preserve">K </t>
  </si>
  <si>
    <r>
      <t>S</t>
    </r>
    <r>
      <rPr>
        <vertAlign val="sub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</si>
</sst>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#,##0_-;\(#,##0\)_-;\-_-"/>
    <numFmt numFmtId="165" formatCode="d\-mmm\-yyyy_-;;"/>
    <numFmt numFmtId="166" formatCode="0.0000"/>
    <numFmt numFmtId="167" formatCode="_-* #,##0.0000_-;\-* #,##0.0000_-;_-* &quot;-&quot;??_-;_-@_-"/>
    <numFmt numFmtId="168" formatCode="_-* #,##0.00000_-;\-* #,##0.00000_-;_-* &quot;-&quot;??_-;_-@_-"/>
    <numFmt numFmtId="169" formatCode="0.000%"/>
    <numFmt numFmtId="170" formatCode="0.0000%"/>
    <numFmt numFmtId="171" formatCode="0.00000%"/>
    <numFmt numFmtId="172" formatCode="_-* #,##0.000000_-;\-* #,##0.000000_-;_-* &quot;-&quot;??_-;_-@_-"/>
    <numFmt numFmtId="173" formatCode="_-* #,##0.00000000_-;\-* #,##0.00000000_-;_-* &quot;-&quot;??_-;_-@_-"/>
    <numFmt numFmtId="174" formatCode="0.00000000"/>
    <numFmt numFmtId="175" formatCode="d\-mmm\-yy_-;;"/>
    <numFmt numFmtId="176" formatCode="_-* #,##0.000_-;\-* #,##0.000_-;_-* &quot;-&quot;??_-;_-@_-"/>
    <numFmt numFmtId="177" formatCode="0.000000%"/>
  </numFmts>
  <fonts count="15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vertAlign val="subscript"/>
      <sz val="10"/>
      <color theme="1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b/>
      <vertAlign val="subscript"/>
      <sz val="10"/>
      <color theme="0"/>
      <name val="Arial"/>
      <family val="2"/>
    </font>
    <font>
      <sz val="10"/>
      <color theme="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color theme="0"/>
      <name val="Arial"/>
      <family val="2"/>
    </font>
    <font>
      <sz val="8"/>
      <name val="Arial"/>
      <family val="2"/>
    </font>
    <font>
      <u/>
      <sz val="10"/>
      <color theme="1"/>
      <name val="Arial"/>
      <family val="2"/>
    </font>
    <font>
      <b/>
      <u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6">
    <xf numFmtId="0" fontId="0" fillId="0" borderId="0" xfId="0"/>
    <xf numFmtId="0" fontId="2" fillId="2" borderId="0" xfId="0" applyFont="1" applyFill="1"/>
    <xf numFmtId="0" fontId="0" fillId="0" borderId="5" xfId="0" applyBorder="1"/>
    <xf numFmtId="0" fontId="2" fillId="2" borderId="1" xfId="0" applyFont="1" applyFill="1" applyBorder="1"/>
    <xf numFmtId="165" fontId="2" fillId="2" borderId="0" xfId="0" applyNumberFormat="1" applyFont="1" applyFill="1"/>
    <xf numFmtId="166" fontId="2" fillId="2" borderId="0" xfId="0" applyNumberFormat="1" applyFont="1" applyFill="1"/>
    <xf numFmtId="168" fontId="2" fillId="2" borderId="0" xfId="1" applyNumberFormat="1" applyFont="1" applyFill="1" applyBorder="1"/>
    <xf numFmtId="170" fontId="2" fillId="2" borderId="0" xfId="2" applyNumberFormat="1" applyFont="1" applyFill="1" applyBorder="1"/>
    <xf numFmtId="171" fontId="2" fillId="2" borderId="0" xfId="2" applyNumberFormat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70" fontId="2" fillId="2" borderId="1" xfId="2" applyNumberFormat="1" applyFont="1" applyFill="1" applyBorder="1"/>
    <xf numFmtId="0" fontId="4" fillId="0" borderId="0" xfId="0" applyFont="1"/>
    <xf numFmtId="164" fontId="0" fillId="0" borderId="0" xfId="0" applyNumberFormat="1"/>
    <xf numFmtId="168" fontId="0" fillId="0" borderId="0" xfId="1" applyNumberFormat="1" applyFont="1" applyBorder="1"/>
    <xf numFmtId="171" fontId="0" fillId="0" borderId="0" xfId="2" applyNumberFormat="1" applyFont="1" applyBorder="1"/>
    <xf numFmtId="168" fontId="0" fillId="0" borderId="0" xfId="0" applyNumberFormat="1"/>
    <xf numFmtId="170" fontId="0" fillId="0" borderId="0" xfId="2" applyNumberFormat="1" applyFont="1" applyBorder="1"/>
    <xf numFmtId="164" fontId="0" fillId="0" borderId="1" xfId="0" applyNumberFormat="1" applyBorder="1"/>
    <xf numFmtId="167" fontId="0" fillId="0" borderId="0" xfId="1" applyNumberFormat="1" applyFont="1" applyBorder="1"/>
    <xf numFmtId="167" fontId="0" fillId="0" borderId="6" xfId="1" applyNumberFormat="1" applyFont="1" applyBorder="1"/>
    <xf numFmtId="0" fontId="0" fillId="0" borderId="9" xfId="0" applyBorder="1"/>
    <xf numFmtId="167" fontId="0" fillId="0" borderId="11" xfId="1" applyNumberFormat="1" applyFont="1" applyBorder="1"/>
    <xf numFmtId="10" fontId="0" fillId="0" borderId="0" xfId="2" applyNumberFormat="1" applyFont="1" applyBorder="1"/>
    <xf numFmtId="0" fontId="0" fillId="0" borderId="11" xfId="0" applyBorder="1"/>
    <xf numFmtId="173" fontId="0" fillId="0" borderId="0" xfId="1" applyNumberFormat="1" applyFont="1" applyBorder="1"/>
    <xf numFmtId="172" fontId="0" fillId="0" borderId="0" xfId="0" applyNumberFormat="1"/>
    <xf numFmtId="11" fontId="0" fillId="0" borderId="0" xfId="0" applyNumberFormat="1"/>
    <xf numFmtId="174" fontId="0" fillId="0" borderId="0" xfId="0" applyNumberFormat="1"/>
    <xf numFmtId="0" fontId="0" fillId="0" borderId="10" xfId="0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6" xfId="0" applyNumberFormat="1" applyBorder="1"/>
    <xf numFmtId="164" fontId="0" fillId="0" borderId="8" xfId="0" applyNumberFormat="1" applyBorder="1"/>
    <xf numFmtId="167" fontId="0" fillId="0" borderId="8" xfId="1" applyNumberFormat="1" applyFont="1" applyBorder="1"/>
    <xf numFmtId="166" fontId="0" fillId="0" borderId="0" xfId="0" applyNumberFormat="1"/>
    <xf numFmtId="169" fontId="0" fillId="0" borderId="0" xfId="0" applyNumberFormat="1"/>
    <xf numFmtId="0" fontId="0" fillId="0" borderId="1" xfId="0" applyBorder="1"/>
    <xf numFmtId="167" fontId="0" fillId="0" borderId="0" xfId="1" applyNumberFormat="1" applyFont="1"/>
    <xf numFmtId="168" fontId="0" fillId="0" borderId="0" xfId="1" applyNumberFormat="1" applyFont="1"/>
    <xf numFmtId="164" fontId="0" fillId="0" borderId="7" xfId="0" applyNumberFormat="1" applyBorder="1"/>
    <xf numFmtId="0" fontId="2" fillId="2" borderId="10" xfId="0" applyFont="1" applyFill="1" applyBorder="1"/>
    <xf numFmtId="164" fontId="2" fillId="2" borderId="0" xfId="0" applyNumberFormat="1" applyFont="1" applyFill="1"/>
    <xf numFmtId="172" fontId="0" fillId="0" borderId="3" xfId="1" applyNumberFormat="1" applyFont="1" applyBorder="1"/>
    <xf numFmtId="172" fontId="0" fillId="0" borderId="0" xfId="1" applyNumberFormat="1" applyFont="1"/>
    <xf numFmtId="172" fontId="0" fillId="0" borderId="1" xfId="1" applyNumberFormat="1" applyFont="1" applyBorder="1"/>
    <xf numFmtId="172" fontId="0" fillId="0" borderId="0" xfId="0" quotePrefix="1" applyNumberFormat="1"/>
    <xf numFmtId="10" fontId="0" fillId="0" borderId="3" xfId="2" applyNumberFormat="1" applyFont="1" applyBorder="1"/>
    <xf numFmtId="10" fontId="0" fillId="0" borderId="10" xfId="2" applyNumberFormat="1" applyFont="1" applyBorder="1"/>
    <xf numFmtId="164" fontId="0" fillId="0" borderId="9" xfId="0" applyNumberFormat="1" applyBorder="1"/>
    <xf numFmtId="164" fontId="0" fillId="0" borderId="0" xfId="2" applyNumberFormat="1" applyFont="1" applyBorder="1"/>
    <xf numFmtId="164" fontId="0" fillId="0" borderId="1" xfId="2" applyNumberFormat="1" applyFont="1" applyBorder="1"/>
    <xf numFmtId="171" fontId="0" fillId="0" borderId="3" xfId="2" applyNumberFormat="1" applyFont="1" applyBorder="1"/>
    <xf numFmtId="170" fontId="0" fillId="0" borderId="1" xfId="2" applyNumberFormat="1" applyFont="1" applyBorder="1"/>
    <xf numFmtId="0" fontId="0" fillId="0" borderId="0" xfId="0" applyAlignment="1">
      <alignment horizontal="center"/>
    </xf>
    <xf numFmtId="176" fontId="0" fillId="0" borderId="0" xfId="1" applyNumberFormat="1" applyFont="1" applyBorder="1"/>
    <xf numFmtId="0" fontId="8" fillId="2" borderId="0" xfId="0" applyFont="1" applyFill="1"/>
    <xf numFmtId="167" fontId="8" fillId="2" borderId="0" xfId="1" applyNumberFormat="1" applyFont="1" applyFill="1" applyBorder="1"/>
    <xf numFmtId="175" fontId="8" fillId="2" borderId="0" xfId="0" applyNumberFormat="1" applyFont="1" applyFill="1"/>
    <xf numFmtId="164" fontId="8" fillId="2" borderId="0" xfId="0" applyNumberFormat="1" applyFont="1" applyFill="1"/>
    <xf numFmtId="10" fontId="8" fillId="2" borderId="0" xfId="2" applyNumberFormat="1" applyFont="1" applyFill="1" applyBorder="1"/>
    <xf numFmtId="0" fontId="9" fillId="0" borderId="0" xfId="0" applyFont="1"/>
    <xf numFmtId="0" fontId="6" fillId="0" borderId="0" xfId="0" applyFont="1"/>
    <xf numFmtId="0" fontId="6" fillId="0" borderId="16" xfId="0" applyFont="1" applyBorder="1"/>
    <xf numFmtId="0" fontId="8" fillId="2" borderId="15" xfId="0" applyFont="1" applyFill="1" applyBorder="1"/>
    <xf numFmtId="0" fontId="8" fillId="2" borderId="16" xfId="0" applyFont="1" applyFill="1" applyBorder="1"/>
    <xf numFmtId="175" fontId="8" fillId="2" borderId="15" xfId="0" applyNumberFormat="1" applyFont="1" applyFill="1" applyBorder="1"/>
    <xf numFmtId="10" fontId="8" fillId="2" borderId="16" xfId="2" applyNumberFormat="1" applyFont="1" applyFill="1" applyBorder="1"/>
    <xf numFmtId="0" fontId="9" fillId="0" borderId="13" xfId="0" applyFont="1" applyBorder="1" applyAlignment="1">
      <alignment horizontal="centerContinuous"/>
    </xf>
    <xf numFmtId="0" fontId="10" fillId="0" borderId="12" xfId="0" applyFont="1" applyBorder="1" applyAlignment="1">
      <alignment horizontal="centerContinuous"/>
    </xf>
    <xf numFmtId="0" fontId="10" fillId="0" borderId="13" xfId="0" applyFont="1" applyBorder="1" applyAlignment="1">
      <alignment horizontal="centerContinuous"/>
    </xf>
    <xf numFmtId="0" fontId="10" fillId="0" borderId="14" xfId="0" applyFont="1" applyBorder="1" applyAlignment="1">
      <alignment horizontal="centerContinuous"/>
    </xf>
    <xf numFmtId="0" fontId="9" fillId="0" borderId="0" xfId="0" applyFont="1" applyAlignment="1">
      <alignment horizontal="center"/>
    </xf>
    <xf numFmtId="164" fontId="0" fillId="0" borderId="15" xfId="2" applyNumberFormat="1" applyFont="1" applyBorder="1"/>
    <xf numFmtId="170" fontId="0" fillId="0" borderId="0" xfId="2" applyNumberFormat="1" applyFont="1"/>
    <xf numFmtId="0" fontId="6" fillId="0" borderId="15" xfId="0" applyFont="1" applyBorder="1"/>
    <xf numFmtId="0" fontId="6" fillId="0" borderId="17" xfId="0" applyFont="1" applyBorder="1"/>
    <xf numFmtId="0" fontId="6" fillId="0" borderId="1" xfId="0" applyFont="1" applyBorder="1"/>
    <xf numFmtId="0" fontId="6" fillId="0" borderId="5" xfId="0" applyFont="1" applyBorder="1"/>
    <xf numFmtId="0" fontId="8" fillId="2" borderId="4" xfId="0" applyFont="1" applyFill="1" applyBorder="1"/>
    <xf numFmtId="10" fontId="0" fillId="0" borderId="1" xfId="2" applyNumberFormat="1" applyFont="1" applyBorder="1"/>
    <xf numFmtId="166" fontId="2" fillId="2" borderId="1" xfId="0" applyNumberFormat="1" applyFont="1" applyFill="1" applyBorder="1"/>
    <xf numFmtId="177" fontId="0" fillId="0" borderId="0" xfId="2" applyNumberFormat="1" applyFont="1" applyBorder="1"/>
    <xf numFmtId="0" fontId="6" fillId="0" borderId="18" xfId="0" applyFont="1" applyBorder="1"/>
    <xf numFmtId="170" fontId="0" fillId="0" borderId="16" xfId="2" applyNumberFormat="1" applyFont="1" applyBorder="1"/>
    <xf numFmtId="169" fontId="0" fillId="0" borderId="15" xfId="2" applyNumberFormat="1" applyFont="1" applyBorder="1"/>
    <xf numFmtId="0" fontId="9" fillId="0" borderId="15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167" fontId="0" fillId="0" borderId="0" xfId="2" applyNumberFormat="1" applyFont="1" applyBorder="1"/>
    <xf numFmtId="164" fontId="0" fillId="0" borderId="16" xfId="2" applyNumberFormat="1" applyFont="1" applyBorder="1"/>
    <xf numFmtId="0" fontId="0" fillId="0" borderId="18" xfId="0" applyBorder="1"/>
    <xf numFmtId="0" fontId="2" fillId="2" borderId="4" xfId="0" applyFont="1" applyFill="1" applyBorder="1"/>
    <xf numFmtId="43" fontId="0" fillId="0" borderId="8" xfId="1" applyFont="1" applyBorder="1"/>
    <xf numFmtId="169" fontId="0" fillId="0" borderId="3" xfId="2" applyNumberFormat="1" applyFont="1" applyBorder="1"/>
    <xf numFmtId="0" fontId="0" fillId="0" borderId="10" xfId="0" applyBorder="1" applyAlignment="1">
      <alignment horizontal="center"/>
    </xf>
    <xf numFmtId="43" fontId="0" fillId="0" borderId="6" xfId="1" applyFont="1" applyBorder="1"/>
    <xf numFmtId="168" fontId="0" fillId="0" borderId="0" xfId="0" applyNumberFormat="1" applyAlignment="1">
      <alignment horizontal="center"/>
    </xf>
    <xf numFmtId="0" fontId="13" fillId="0" borderId="9" xfId="0" applyFont="1" applyBorder="1"/>
    <xf numFmtId="168" fontId="0" fillId="0" borderId="9" xfId="0" applyNumberFormat="1" applyBorder="1" applyAlignment="1">
      <alignment horizontal="center"/>
    </xf>
    <xf numFmtId="164" fontId="0" fillId="0" borderId="5" xfId="0" applyNumberFormat="1" applyBorder="1"/>
    <xf numFmtId="167" fontId="0" fillId="0" borderId="5" xfId="1" applyNumberFormat="1" applyFont="1" applyBorder="1"/>
    <xf numFmtId="164" fontId="0" fillId="0" borderId="8" xfId="2" applyNumberFormat="1" applyFont="1" applyBorder="1"/>
    <xf numFmtId="176" fontId="0" fillId="0" borderId="0" xfId="1" applyNumberFormat="1" applyFont="1"/>
    <xf numFmtId="164" fontId="0" fillId="0" borderId="1" xfId="1" applyNumberFormat="1" applyFont="1" applyBorder="1"/>
    <xf numFmtId="164" fontId="2" fillId="2" borderId="6" xfId="0" applyNumberFormat="1" applyFont="1" applyFill="1" applyBorder="1"/>
    <xf numFmtId="176" fontId="0" fillId="0" borderId="7" xfId="1" applyNumberFormat="1" applyFont="1" applyBorder="1"/>
    <xf numFmtId="0" fontId="14" fillId="3" borderId="0" xfId="0" applyFont="1" applyFill="1"/>
    <xf numFmtId="0" fontId="0" fillId="3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167" fontId="0" fillId="3" borderId="0" xfId="1" applyNumberFormat="1" applyFont="1" applyFill="1" applyBorder="1"/>
    <xf numFmtId="167" fontId="0" fillId="3" borderId="6" xfId="1" applyNumberFormat="1" applyFont="1" applyFill="1" applyBorder="1"/>
    <xf numFmtId="0" fontId="0" fillId="3" borderId="7" xfId="0" applyFill="1" applyBorder="1"/>
    <xf numFmtId="166" fontId="0" fillId="3" borderId="1" xfId="0" applyNumberFormat="1" applyFill="1" applyBorder="1"/>
    <xf numFmtId="0" fontId="0" fillId="3" borderId="8" xfId="0" applyFill="1" applyBorder="1"/>
    <xf numFmtId="167" fontId="0" fillId="3" borderId="0" xfId="0" applyNumberFormat="1" applyFill="1"/>
    <xf numFmtId="173" fontId="0" fillId="3" borderId="0" xfId="1" applyNumberFormat="1" applyFont="1" applyFill="1" applyBorder="1"/>
    <xf numFmtId="173" fontId="0" fillId="3" borderId="0" xfId="0" applyNumberFormat="1" applyFill="1"/>
    <xf numFmtId="171" fontId="0" fillId="0" borderId="0" xfId="2" applyNumberFormat="1" applyFont="1"/>
    <xf numFmtId="168" fontId="0" fillId="0" borderId="0" xfId="0" applyNumberForma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45"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  <border diagonalUp="0" diagonalDown="0">
        <left style="medium">
          <color indexed="64"/>
        </lef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  <border diagonalUp="0" diagonalDown="0">
        <right style="medium">
          <color indexed="64"/>
        </righ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7" formatCode="0.00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7" formatCode="_-* #,##0.0000_-;\-* #,##0.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9" formatCode="0.000%"/>
      <border diagonalUp="0" diagonalDown="0">
        <left style="medium">
          <color indexed="64"/>
        </lef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7" formatCode="_-* #,##0.0000_-;\-* #,##0.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_-* #,##0.00000_-;\-* #,##0.0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6" formatCode="_-* #,##0.000_-;\-* #,##0.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  <border diagonalUp="0" diagonalDown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7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7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5" formatCode="d\-mmm\-yy_-;;"/>
      <fill>
        <patternFill patternType="solid">
          <fgColor indexed="64"/>
          <bgColor theme="7" tint="0.79998168889431442"/>
        </patternFill>
      </fill>
      <border diagonalUp="0" diagonalDown="0">
        <left style="medium">
          <color indexed="64"/>
        </left>
        <right/>
        <vertical/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4" formatCode="#,##0_-;\(#,##0\)_-;\-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5" formatCode="d\-mmm\-yy_-;;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7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sz val="10"/>
        <name val="Arial"/>
        <family val="2"/>
        <scheme val="none"/>
      </font>
    </dxf>
    <dxf>
      <font>
        <b/>
        <strike val="0"/>
        <outline val="0"/>
        <shadow val="0"/>
        <u val="none"/>
        <sz val="10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2</xdr:row>
          <xdr:rowOff>152400</xdr:rowOff>
        </xdr:from>
        <xdr:to>
          <xdr:col>2</xdr:col>
          <xdr:colOff>504825</xdr:colOff>
          <xdr:row>4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9525</xdr:colOff>
      <xdr:row>23</xdr:row>
      <xdr:rowOff>66675</xdr:rowOff>
    </xdr:from>
    <xdr:to>
      <xdr:col>14</xdr:col>
      <xdr:colOff>400387</xdr:colOff>
      <xdr:row>34</xdr:row>
      <xdr:rowOff>91610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44400" y="4171950"/>
          <a:ext cx="3886537" cy="1958510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35</xdr:row>
      <xdr:rowOff>123825</xdr:rowOff>
    </xdr:from>
    <xdr:to>
      <xdr:col>14</xdr:col>
      <xdr:colOff>238445</xdr:colOff>
      <xdr:row>67</xdr:row>
      <xdr:rowOff>2357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72975" y="6362700"/>
          <a:ext cx="3696020" cy="5212532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40</xdr:row>
      <xdr:rowOff>47625</xdr:rowOff>
    </xdr:from>
    <xdr:to>
      <xdr:col>3</xdr:col>
      <xdr:colOff>270842</xdr:colOff>
      <xdr:row>61</xdr:row>
      <xdr:rowOff>152717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" y="7058025"/>
          <a:ext cx="3833192" cy="36579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6</xdr:row>
          <xdr:rowOff>85725</xdr:rowOff>
        </xdr:from>
        <xdr:to>
          <xdr:col>16</xdr:col>
          <xdr:colOff>0</xdr:colOff>
          <xdr:row>8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B5CFB6-794F-40A8-81B2-C81B04684AF7}" name="Table1" displayName="Table1" ref="C4:AS6" totalsRowShown="0" headerRowDxfId="44" dataDxfId="43">
  <autoFilter ref="C4:AS6" xr:uid="{47B5CFB6-794F-40A8-81B2-C81B04684AF7}"/>
  <tableColumns count="43">
    <tableColumn id="1" xr3:uid="{571B07B7-5FA7-46C7-91CD-71D518ED6360}" name="Buy/Sell" dataDxfId="42"/>
    <tableColumn id="2" xr3:uid="{635821F6-618C-4891-BE59-A8BA17288B47}" name="Strike" dataDxfId="41" dataCellStyle="Comma"/>
    <tableColumn id="3" xr3:uid="{FEF4A68D-F736-49BA-B708-353CEB73DF53}" name="Call/Put" dataDxfId="40"/>
    <tableColumn id="4" xr3:uid="{FFB3EB20-B673-44FF-BAE5-F8C4D4C75443}" name="Expiry Date" dataDxfId="39"/>
    <tableColumn id="5" xr3:uid="{2C1E8A78-D7D7-4E1E-B315-A911234C47C0}" name="Notional Amt" dataDxfId="38"/>
    <tableColumn id="6" xr3:uid="{3E93A286-2B9F-408C-9E30-93ED2E5A173B}" name="Notional Ccy" dataDxfId="37"/>
    <tableColumn id="7" xr3:uid="{73F2A6EA-B250-4E65-9DF7-FD0E0079EE9F}" name="Value Date" dataDxfId="36"/>
    <tableColumn id="8" xr3:uid="{848C487C-AA0B-4A3D-AF6A-09632A72DDB1}" name="S0" dataDxfId="35" dataCellStyle="Comma"/>
    <tableColumn id="9" xr3:uid="{4617F9B4-B7F4-466A-A443-0F05E495EFFA}" name="F" dataDxfId="34" dataCellStyle="Comma"/>
    <tableColumn id="10" xr3:uid="{35D56047-84C1-485E-90A5-FF01969A5106}" name="σ" dataDxfId="33" dataCellStyle="Percent"/>
    <tableColumn id="11" xr3:uid="{84B1875B-9209-4EA4-AA9B-31718BB3062A}" name="rf" dataDxfId="32" dataCellStyle="Percent"/>
    <tableColumn id="12" xr3:uid="{123822BC-56F7-4031-8370-F1CBE27E3CD7}" name="rd" dataDxfId="31" dataCellStyle="Percent"/>
    <tableColumn id="50" xr3:uid="{FE9E7960-DCF1-40CF-B419-259A9A59F61B}" name="Result Ccy" dataDxfId="30" dataCellStyle="Percent"/>
    <tableColumn id="23" xr3:uid="{A4CD72E7-5D42-4849-A460-5857D3269FD0}" name="Methodology" dataDxfId="29" dataCellStyle="Percent"/>
    <tableColumn id="13" xr3:uid="{E8491073-3612-46BC-92E4-AA82DCCCE45A}" name="CP" dataDxfId="28" dataCellStyle="Percent">
      <calculatedColumnFormula array="1">_xlfn.IFS(Table1[[#This Row],[Call/Put]]="Call FOR, Put DOM",1,Table1[[#This Row],[Call/Put]]="Put FOR, Call DOM",-1)</calculatedColumnFormula>
    </tableColumn>
    <tableColumn id="14" xr3:uid="{6F58B066-6DEC-434A-A42C-CFD789A3C490}" name="T" dataDxfId="27" dataCellStyle="Comma">
      <calculatedColumnFormula>YEARFRAC(Table1[[#This Row],[Value Date]],Table1[[#This Row],[Expiry Date]],1)</calculatedColumnFormula>
    </tableColumn>
    <tableColumn id="15" xr3:uid="{C0645EE0-F772-424F-98C9-3308E4FF4AC1}" name="μby interest rate parity" dataDxfId="26" dataCellStyle="Percent">
      <calculatedColumnFormula>Table1[[#This Row],[rd]]-Table1[[#This Row],[rf]]</calculatedColumnFormula>
    </tableColumn>
    <tableColumn id="16" xr3:uid="{D43FB700-CB4B-4A6E-8E17-12D4AD0DC408}" name="μwith currency basis" dataDxfId="25" dataCellStyle="Percent">
      <calculatedColumnFormula>LN(Table1[[#This Row],[F]]/Table1[[#This Row],[S0]])/Table1[[#This Row],[T]]</calculatedColumnFormula>
    </tableColumn>
    <tableColumn id="17" xr3:uid="{3FB9E3EF-AA38-4F63-B2CD-F0F1C72CD89C}" name="rd_basis_adj" dataDxfId="24" dataCellStyle="Percent">
      <calculatedColumnFormula>Table1[[#This Row],[rf]]+Table1[[#This Row],[μwith currency basis]]</calculatedColumnFormula>
    </tableColumn>
    <tableColumn id="18" xr3:uid="{6748F8DB-3181-4875-A92A-6D612D52D075}" name="FOR Notional" dataDxfId="23" dataCellStyle="Percent">
      <calculatedColumnFormula array="1">_xlfn.IFS(Table1[[#This Row],[Notional Ccy]]="FOR",Table1[[#This Row],[Notional Amt]],Table1[[#This Row],[Notional Ccy]]="DOM",Table1[[#This Row],[Notional Amt]]/Table1[[#This Row],[Strike]])</calculatedColumnFormula>
    </tableColumn>
    <tableColumn id="19" xr3:uid="{A0C949E0-32B3-4D7C-B7D5-97ECE55FF806}" name="DOM Notional" dataDxfId="22" dataCellStyle="Percent">
      <calculatedColumnFormula array="1">_xlfn.IFS(Table1[[#This Row],[Notional Ccy]]="DOM",Table1[[#This Row],[Notional Amt]],Table1[[#This Row],[Notional Ccy]]="FOR",Table1[[#This Row],[Notional Amt]]*Table1[[#This Row],[Strike]])</calculatedColumnFormula>
    </tableColumn>
    <tableColumn id="51" xr3:uid="{4B0E0639-A542-4430-8612-EF4919F79DC7}" name="Result Ccy Divisor" dataDxfId="21" dataCellStyle="Comma">
      <calculatedColumnFormula>IF(Table1[[#This Row],[Result Ccy]]="DOM",1,Table1[[#This Row],[S0]])</calculatedColumnFormula>
    </tableColumn>
    <tableColumn id="38" xr3:uid="{895B7114-4222-4CFA-8CE1-364D8C46560A}" name="r" dataDxfId="20" dataCellStyle="Percent">
      <calculatedColumnFormula array="1">_xlfn.IFS(Table1[[#This Row],[Methodology]]="With Currency Basis",Table1[[#This Row],[rd_basis_adj]],Table1[[#This Row],[Methodology]]="By Interest Rate Parity",Table1[[#This Row],[rd]])</calculatedColumnFormula>
    </tableColumn>
    <tableColumn id="41" xr3:uid="{4CF3F43D-1F4D-4A79-9F79-D2D405BFEBAD}" name="q" dataDxfId="19" dataCellStyle="Percent">
      <calculatedColumnFormula>Table1[[#This Row],[rf]]</calculatedColumnFormula>
    </tableColumn>
    <tableColumn id="40" xr3:uid="{7B3D4593-1125-4B01-9AE1-67AE2A710565}" name="μ" dataDxfId="18" dataCellStyle="Percent">
      <calculatedColumnFormula array="1">_xlfn.IFS(Table1[[#This Row],[Methodology]]="With Currency Basis",Table1[[#This Row],[μwith currency basis]],Table1[[#This Row],[Methodology]]="By Interest Rate Parity",Table1[[#This Row],[μby interest rate parity]])</calculatedColumnFormula>
    </tableColumn>
    <tableColumn id="20" xr3:uid="{38320DE9-8F1E-4111-9B40-7E316E333D1E}" name="d1" dataDxfId="17" dataCellStyle="Comma">
      <calculatedColumnFormula>(LN(Table1[[#This Row],[S0]]/Table1[[#This Row],[Strike]])+(Table1[[#This Row],[μ]]+0.5*Table1[[#This Row],[σ]]*Table1[[#This Row],[σ]])*Table1[[#This Row],[T]])/(Table1[[#This Row],[σ]]*SQRT(Table1[[#This Row],[T]]))</calculatedColumnFormula>
    </tableColumn>
    <tableColumn id="21" xr3:uid="{3EF1B53C-7BC9-4EB4-9D58-E2377691F515}" name="d2" dataDxfId="16" dataCellStyle="Comma">
      <calculatedColumnFormula>Table1[[#This Row],[d1]]-Table1[[#This Row],[σ]]*SQRT(Table1[[#This Row],[T]])</calculatedColumnFormula>
    </tableColumn>
    <tableColumn id="25" xr3:uid="{ADE479F3-4808-43BC-9D24-B39FF8B3B44E}" name="Px" dataDxfId="15" dataCellStyle="Percent">
      <calculatedColumnFormula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calculatedColumnFormula>
    </tableColumn>
    <tableColumn id="26" xr3:uid="{3236F4B8-4BC6-4ADB-AD75-EB9D1B102105}" name="Unit Δspot" dataDxfId="14" dataCellStyle="Percent">
      <calculatedColumnFormula>Table1[[#This Row],[CP]]*EXP(-Table1[[#This Row],[q]]*Table1[[#This Row],[T]])*_xlfn.NORM.S.DIST(Table1[[#This Row],[CP]]*Table1[[#This Row],[d1]],TRUE)</calculatedColumnFormula>
    </tableColumn>
    <tableColumn id="27" xr3:uid="{A672D7CF-E08C-4AD1-B6C3-FBFFD4F407B1}" name="Unit Δforward" dataDxfId="13" dataCellStyle="Percent">
      <calculatedColumnFormula>Table1[[#This Row],[CP]]*_xlfn.NORM.S.DIST(Table1[[#This Row],[CP]]*Table1[[#This Row],[d1]],TRUE)</calculatedColumnFormula>
    </tableColumn>
    <tableColumn id="28" xr3:uid="{1E68B352-5DE6-49CE-AFA8-CDE42DF385D3}" name="Unit Vega" dataDxfId="12" dataCellStyle="Percent">
      <calculatedColumnFormula>1%*Table1[[#This Row],[S0]]*SQRT(Table1[[#This Row],[T]])*_xlfn.NORM.S.DIST(Table1[[#This Row],[d1]],FALSE)*EXP(-Table1[[#This Row],[rf]]*T)</calculatedColumnFormula>
    </tableColumn>
    <tableColumn id="29" xr3:uid="{1310A08B-94F6-4E92-86FF-739775C8B248}" name="Unit Theta" dataDxfId="11" dataCellStyle="Percent">
      <calculatedColumnFormula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calculatedColumnFormula>
    </tableColumn>
    <tableColumn id="30" xr3:uid="{D34948E3-268A-4448-B3B2-4F5B8B7F846F}" name="Unit Gamma" dataDxfId="10" dataCellStyle="Percent">
      <calculatedColumnFormula>(1%*Table1[[#This Row],[S0]])*(EXP(-Table1[[#This Row],[q]]*Table1[[#This Row],[T]])*_xlfn.NORM.S.DIST(Table1[[#This Row],[d1]],FALSE)/(Table1[[#This Row],[S0]]*Table1[[#This Row],[σ]]*SQRT(Table1[[#This Row],[T]])))</calculatedColumnFormula>
    </tableColumn>
    <tableColumn id="31" xr3:uid="{32FE6705-AE4E-43BB-869F-A3FCA168A486}" name="Unit Rhoforeign currency" dataDxfId="9" dataCellStyle="Percent">
      <calculatedColumnFormula>(1%)*(-Table1[[#This Row],[T]]*EXP(-Table1[[#This Row],[q]]*T)*Table1[[#This Row],[S0]]*_xlfn.NORM.S.DIST(Table1[[#This Row],[d1]],TRUE))</calculatedColumnFormula>
    </tableColumn>
    <tableColumn id="32" xr3:uid="{29BB26AD-76F4-48C8-87D6-7E665F896FD0}" name="Unit Rhodomestic currency" dataDxfId="8" dataCellStyle="Percent">
      <calculatedColumnFormula>1%*-Table1[[#This Row],[T]]*EXP(-Table1[[#This Row],[r]]*Table1[[#This Row],[T]])*Table1[[#This Row],[S0]]*_xlfn.NORM.S.DIST(Table1[[#This Row],[d2]],TRUE)</calculatedColumnFormula>
    </tableColumn>
    <tableColumn id="43" xr3:uid="{6786A13E-DC01-43C9-9D48-EB2AF4575DF0}" name="Option Value" dataDxfId="7" dataCellStyle="Percent">
      <calculatedColumnFormula>Table1[[#This Row],[Px]]*Table1[[#This Row],[FOR Notional]]/Table1[[#This Row],[Result Ccy Divisor]]</calculatedColumnFormula>
    </tableColumn>
    <tableColumn id="44" xr3:uid="{C78C326C-AC06-4C44-B9FB-57526C49F925}" name="Δspot" dataDxfId="6" dataCellStyle="Percent">
      <calculatedColumnFormula>Table1[[#This Row],[Unit Δspot]]*Table1[[#This Row],[FOR Notional]]*Table1[[#This Row],[S0]]/Table1[[#This Row],[Result Ccy Divisor]]</calculatedColumnFormula>
    </tableColumn>
    <tableColumn id="45" xr3:uid="{A81101D7-DF34-49B5-8370-F440A0FA0E0B}" name="Δforward" dataDxfId="5" dataCellStyle="Percent">
      <calculatedColumnFormula>Table1[[#This Row],[Unit Δforward]]*Table1[[#This Row],[FOR Notional]]*Table1[[#This Row],[S0]]/Table1[[#This Row],[Result Ccy Divisor]]</calculatedColumnFormula>
    </tableColumn>
    <tableColumn id="46" xr3:uid="{3C0AEB48-5A0B-4EFE-BC86-758394E1368D}" name="Vega" dataDxfId="4" dataCellStyle="Percent">
      <calculatedColumnFormula>Table1[[#This Row],[Unit Vega]]*Table1[[#This Row],[FOR Notional]]/Table1[[#This Row],[Result Ccy Divisor]]</calculatedColumnFormula>
    </tableColumn>
    <tableColumn id="52" xr3:uid="{29FB1332-EB4C-49B6-9408-3F15C658D49D}" name="Theta" dataDxfId="3" dataCellStyle="Percent">
      <calculatedColumnFormula>Table1[[#This Row],[Unit Theta]]*Table1[[#This Row],[FOR Notional]]/Table1[[#This Row],[Result Ccy Divisor]]</calculatedColumnFormula>
    </tableColumn>
    <tableColumn id="47" xr3:uid="{89EB60B5-D2AA-4C2A-AF4B-0E4C1F1AF2EA}" name="Gamma" dataDxfId="2" dataCellStyle="Percent">
      <calculatedColumnFormula>Table1[[#This Row],[Unit Gamma]]*Table1[[#This Row],[FOR Notional]]*Table1[[#This Row],[S0]]/Table1[[#This Row],[Result Ccy Divisor]]</calculatedColumnFormula>
    </tableColumn>
    <tableColumn id="49" xr3:uid="{9B8C2548-125F-48D9-B185-0EE62D45410A}" name="Rhoforeign currency" dataDxfId="1" dataCellStyle="Percent">
      <calculatedColumnFormula>Table1[[#This Row],[Unit Rhoforeign currency]]*Table1[[#This Row],[FOR Notional]]/Table1[[#This Row],[Result Ccy Divisor]]</calculatedColumnFormula>
    </tableColumn>
    <tableColumn id="48" xr3:uid="{35456D66-DD22-4A5F-A620-6B32F957AD66}" name="Rhodomestic currency" dataDxfId="0" dataCellStyle="Percent">
      <calculatedColumnFormula>Table1[[#This Row],[Unit Rhodomestic currency]]*Table1[[#This Row],[FOR Notional]]/Table1[[#This Row],[Result Ccy Divisor]]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F3888-3EB1-4B6E-8375-F6DA5DAFB5F1}">
  <sheetPr codeName="Sheet1"/>
  <dimension ref="B2:M55"/>
  <sheetViews>
    <sheetView tabSelected="1" topLeftCell="A20" workbookViewId="0">
      <selection activeCell="C36" sqref="C36"/>
    </sheetView>
  </sheetViews>
  <sheetFormatPr defaultRowHeight="12.75" x14ac:dyDescent="0.2"/>
  <cols>
    <col min="2" max="2" width="27.5703125" bestFit="1" customWidth="1"/>
    <col min="3" max="3" width="20.140625" bestFit="1" customWidth="1"/>
    <col min="4" max="4" width="9.7109375" bestFit="1" customWidth="1"/>
    <col min="6" max="6" width="69.42578125" bestFit="1" customWidth="1"/>
    <col min="7" max="7" width="12.5703125" bestFit="1" customWidth="1"/>
    <col min="8" max="8" width="11.7109375" bestFit="1" customWidth="1"/>
    <col min="9" max="9" width="6.42578125" bestFit="1" customWidth="1"/>
    <col min="10" max="10" width="9.140625" customWidth="1"/>
    <col min="11" max="11" width="27.28515625" bestFit="1" customWidth="1"/>
    <col min="12" max="12" width="10.7109375" bestFit="1" customWidth="1"/>
    <col min="13" max="13" width="5.28515625" bestFit="1" customWidth="1"/>
    <col min="16" max="17" width="12" bestFit="1" customWidth="1"/>
  </cols>
  <sheetData>
    <row r="2" spans="2:13" x14ac:dyDescent="0.2">
      <c r="B2" t="s">
        <v>39</v>
      </c>
      <c r="C2" s="1" t="s">
        <v>12</v>
      </c>
      <c r="F2" t="s">
        <v>33</v>
      </c>
    </row>
    <row r="3" spans="2:13" x14ac:dyDescent="0.2">
      <c r="F3" s="9" t="s">
        <v>17</v>
      </c>
      <c r="G3" s="10" t="s">
        <v>15</v>
      </c>
      <c r="H3" s="11" t="s">
        <v>16</v>
      </c>
      <c r="K3" s="9" t="s">
        <v>140</v>
      </c>
      <c r="L3" s="95" t="s">
        <v>53</v>
      </c>
    </row>
    <row r="4" spans="2:13" x14ac:dyDescent="0.2">
      <c r="F4" s="25" t="s">
        <v>149</v>
      </c>
      <c r="G4" s="33" cm="1">
        <f t="array" ref="G4">_xlfn.IFS(C12="Call FOR, Put DOM",1,C12="Put FOR, Call DOM",-1)</f>
        <v>1</v>
      </c>
      <c r="H4" s="28" t="s">
        <v>150</v>
      </c>
      <c r="K4" t="s">
        <v>145</v>
      </c>
      <c r="L4" cm="1">
        <f t="array" ref="L4">_xlfn.IFS(L3="DOM",1,L3="FOR",S0)</f>
        <v>1</v>
      </c>
    </row>
    <row r="5" spans="2:13" ht="15.75" x14ac:dyDescent="0.3">
      <c r="F5" s="2" t="s">
        <v>154</v>
      </c>
      <c r="G5" s="18">
        <f>C26</f>
        <v>0.66290000000000004</v>
      </c>
      <c r="H5" s="12" t="s">
        <v>13</v>
      </c>
      <c r="K5" t="s">
        <v>144</v>
      </c>
      <c r="L5" s="106">
        <f>IF(Notional_Ccy=ResultCurrency,1,S0)</f>
        <v>0.66290000000000004</v>
      </c>
    </row>
    <row r="6" spans="2:13" x14ac:dyDescent="0.2">
      <c r="F6" s="2" t="s">
        <v>153</v>
      </c>
      <c r="G6" s="39">
        <f>C10</f>
        <v>0.78820000000000001</v>
      </c>
      <c r="H6" s="12" t="s">
        <v>13</v>
      </c>
    </row>
    <row r="7" spans="2:13" ht="15.75" x14ac:dyDescent="0.3">
      <c r="B7" t="s">
        <v>67</v>
      </c>
      <c r="F7" s="2" t="s">
        <v>116</v>
      </c>
      <c r="G7" s="40">
        <f>C30</f>
        <v>5.3809999999999997E-2</v>
      </c>
      <c r="H7" s="12" t="s">
        <v>25</v>
      </c>
      <c r="K7" t="s">
        <v>49</v>
      </c>
    </row>
    <row r="8" spans="2:13" ht="15.75" x14ac:dyDescent="0.3">
      <c r="B8" s="9" t="s">
        <v>17</v>
      </c>
      <c r="C8" s="10" t="s">
        <v>15</v>
      </c>
      <c r="D8" s="11" t="s">
        <v>16</v>
      </c>
      <c r="F8" s="2" t="s">
        <v>117</v>
      </c>
      <c r="G8" s="40">
        <f>C29</f>
        <v>4.6600000000000003E-2</v>
      </c>
      <c r="H8" s="12" t="s">
        <v>25</v>
      </c>
      <c r="K8" s="9" t="s">
        <v>104</v>
      </c>
      <c r="L8" s="10" t="s">
        <v>15</v>
      </c>
      <c r="M8" s="11" t="s">
        <v>16</v>
      </c>
    </row>
    <row r="9" spans="2:13" x14ac:dyDescent="0.2">
      <c r="B9" s="25" t="s">
        <v>8</v>
      </c>
      <c r="C9" s="45" t="s">
        <v>9</v>
      </c>
      <c r="D9" s="28"/>
      <c r="F9" s="2" t="s">
        <v>21</v>
      </c>
      <c r="G9" s="19">
        <f>C28</f>
        <v>9.8118800000000006E-2</v>
      </c>
      <c r="H9" s="12" t="s">
        <v>25</v>
      </c>
      <c r="K9" s="25" t="s">
        <v>29</v>
      </c>
      <c r="L9" s="34">
        <f>G26*Foreign_Ccy_Notional/ResultDomesticFXSpotRate</f>
        <v>1292.2593417313867</v>
      </c>
      <c r="M9" s="35" t="str">
        <f>$L$3</f>
        <v>DOM</v>
      </c>
    </row>
    <row r="10" spans="2:13" x14ac:dyDescent="0.2">
      <c r="B10" s="2" t="s">
        <v>57</v>
      </c>
      <c r="C10" s="5">
        <v>0.78820000000000001</v>
      </c>
      <c r="D10" s="12" t="s">
        <v>13</v>
      </c>
      <c r="F10" s="2" t="s">
        <v>151</v>
      </c>
      <c r="G10" s="29">
        <f>YEARFRAC(C25,C13,1)</f>
        <v>1.0095759233926129</v>
      </c>
      <c r="H10" s="12" t="s">
        <v>27</v>
      </c>
      <c r="K10" s="2" t="s">
        <v>80</v>
      </c>
      <c r="L10" s="17">
        <f>MonteCarlo!J5/ResultDomesticFXSpotRate</f>
        <v>18323.793837872348</v>
      </c>
      <c r="M10" s="36" t="str">
        <f t="shared" ref="M10:M17" si="0">$L$3</f>
        <v>DOM</v>
      </c>
    </row>
    <row r="11" spans="2:13" ht="15.75" x14ac:dyDescent="0.3">
      <c r="B11" s="2"/>
      <c r="D11" s="12"/>
      <c r="F11" s="2" t="s">
        <v>152</v>
      </c>
      <c r="G11" s="20">
        <f>C27</f>
        <v>0.66796199999999994</v>
      </c>
      <c r="H11" s="12" t="s">
        <v>13</v>
      </c>
      <c r="K11" s="2" t="s">
        <v>34</v>
      </c>
      <c r="L11" s="17">
        <f>G27*Foreign_Ccy_Notional*S0/ResultDomesticFXSpotRate</f>
        <v>32405.479716012269</v>
      </c>
      <c r="M11" s="36" t="str">
        <f t="shared" si="0"/>
        <v>DOM</v>
      </c>
    </row>
    <row r="12" spans="2:13" ht="15.75" x14ac:dyDescent="0.3">
      <c r="B12" s="2" t="s">
        <v>5</v>
      </c>
      <c r="C12" s="1" t="s">
        <v>11</v>
      </c>
      <c r="D12" s="12"/>
      <c r="F12" s="2" t="s">
        <v>115</v>
      </c>
      <c r="G12" s="21">
        <f>r_f+LN(F/S0)/T</f>
        <v>5.4134982032959737E-2</v>
      </c>
      <c r="H12" s="12" t="s">
        <v>25</v>
      </c>
      <c r="K12" s="2" t="s">
        <v>35</v>
      </c>
      <c r="L12" s="17">
        <f>G28*Foreign_Ccy_Notional*S0/ResultDomesticFXSpotRate</f>
        <v>33966.467011351895</v>
      </c>
      <c r="M12" s="36" t="str">
        <f t="shared" si="0"/>
        <v>DOM</v>
      </c>
    </row>
    <row r="13" spans="2:13" x14ac:dyDescent="0.2">
      <c r="B13" s="2" t="s">
        <v>18</v>
      </c>
      <c r="C13" s="4">
        <v>45476</v>
      </c>
      <c r="D13" s="12" t="s">
        <v>19</v>
      </c>
      <c r="F13" s="2" t="s">
        <v>30</v>
      </c>
      <c r="G13" s="17">
        <f>IF(Notional_Ccy="FOR",C14,C14/C10)</f>
        <v>1000000</v>
      </c>
      <c r="H13" s="12"/>
      <c r="K13" s="2" t="s">
        <v>36</v>
      </c>
      <c r="L13" s="17">
        <f>G29*Foreign_Ccy_Notional/ResultDomesticFXSpotRate</f>
        <v>668.28731449087309</v>
      </c>
      <c r="M13" s="36" t="str">
        <f t="shared" si="0"/>
        <v>DOM</v>
      </c>
    </row>
    <row r="14" spans="2:13" x14ac:dyDescent="0.2">
      <c r="B14" s="2" t="s">
        <v>6</v>
      </c>
      <c r="C14" s="46">
        <v>1000000</v>
      </c>
      <c r="D14" s="12" t="s">
        <v>14</v>
      </c>
      <c r="F14" s="2" t="s">
        <v>31</v>
      </c>
      <c r="G14" s="17">
        <f>IF(Notional_Ccy="DOM",C14,C14*C10)</f>
        <v>788200</v>
      </c>
      <c r="H14" s="12"/>
      <c r="K14" s="2" t="s">
        <v>37</v>
      </c>
      <c r="L14" s="17">
        <f>G30*Foreign_Ccy_Notional/ResultDomesticFXSpotRate</f>
        <v>-9.2822853809381911</v>
      </c>
      <c r="M14" s="36" t="str">
        <f t="shared" si="0"/>
        <v>DOM</v>
      </c>
    </row>
    <row r="15" spans="2:13" x14ac:dyDescent="0.2">
      <c r="B15" s="13" t="s">
        <v>7</v>
      </c>
      <c r="C15" s="3" t="s">
        <v>54</v>
      </c>
      <c r="D15" s="14"/>
      <c r="F15" s="2" t="s">
        <v>118</v>
      </c>
      <c r="G15" s="27" cm="1">
        <f t="array" ref="G15">_xlfn.IFS(Methodology="With Currency Basis",r_d_basis_adj,Methodology="By Interest Rate Parity",r_d)</f>
        <v>5.3809999999999997E-2</v>
      </c>
      <c r="H15" s="12" t="s">
        <v>25</v>
      </c>
      <c r="K15" s="2" t="s">
        <v>38</v>
      </c>
      <c r="L15" s="17">
        <f>G31*Foreign_Ccy_Notional*S0/ResultDomesticFXSpotRate</f>
        <v>6746.3987118191581</v>
      </c>
      <c r="M15" s="36" t="str">
        <f t="shared" si="0"/>
        <v>DOM</v>
      </c>
    </row>
    <row r="16" spans="2:13" ht="15.75" x14ac:dyDescent="0.3">
      <c r="F16" s="2" t="s">
        <v>119</v>
      </c>
      <c r="G16" s="27">
        <f>r_f</f>
        <v>4.6600000000000003E-2</v>
      </c>
      <c r="H16" s="12" t="s">
        <v>25</v>
      </c>
      <c r="K16" s="2" t="s">
        <v>40</v>
      </c>
      <c r="L16" s="17">
        <f>G32*Foreign_Ccy_Notional/ResultDomesticFXSpotRate</f>
        <v>-327.15792107273677</v>
      </c>
      <c r="M16" s="36" t="str">
        <f t="shared" si="0"/>
        <v>DOM</v>
      </c>
    </row>
    <row r="17" spans="2:13" ht="15.75" x14ac:dyDescent="0.3">
      <c r="B17" s="9" t="s">
        <v>101</v>
      </c>
      <c r="C17" s="83" t="s">
        <v>100</v>
      </c>
      <c r="F17" s="13" t="s">
        <v>71</v>
      </c>
      <c r="G17" s="84">
        <f>r_-q_</f>
        <v>7.2099999999999942E-3</v>
      </c>
      <c r="H17" s="14" t="s">
        <v>25</v>
      </c>
      <c r="K17" s="13" t="s">
        <v>41</v>
      </c>
      <c r="L17" s="22">
        <f>G33*Foreign_Ccy_Notional/ResultDomesticFXSpotRate</f>
        <v>-264.17732508935268</v>
      </c>
      <c r="M17" s="37" t="str">
        <f t="shared" si="0"/>
        <v>DOM</v>
      </c>
    </row>
    <row r="19" spans="2:13" x14ac:dyDescent="0.2">
      <c r="B19" t="s">
        <v>68</v>
      </c>
      <c r="F19" t="s">
        <v>61</v>
      </c>
      <c r="G19" s="124"/>
      <c r="K19" t="s">
        <v>50</v>
      </c>
    </row>
    <row r="20" spans="2:13" x14ac:dyDescent="0.2">
      <c r="B20" s="9" t="s">
        <v>17</v>
      </c>
      <c r="C20" s="10" t="s">
        <v>15</v>
      </c>
      <c r="D20" s="11" t="s">
        <v>16</v>
      </c>
      <c r="E20" s="16"/>
      <c r="F20" s="9" t="s">
        <v>17</v>
      </c>
      <c r="G20" s="28" t="s">
        <v>15</v>
      </c>
      <c r="K20" s="9" t="s">
        <v>52</v>
      </c>
      <c r="L20" s="10" t="s">
        <v>15</v>
      </c>
      <c r="M20" s="11" t="s">
        <v>16</v>
      </c>
    </row>
    <row r="21" spans="2:13" ht="15.75" x14ac:dyDescent="0.3">
      <c r="B21" s="13" t="s">
        <v>58</v>
      </c>
      <c r="C21" s="85">
        <v>0.65627100000000005</v>
      </c>
      <c r="D21" s="14" t="s">
        <v>13</v>
      </c>
      <c r="F21" s="25" t="s">
        <v>23</v>
      </c>
      <c r="G21" s="26">
        <f>(LN(S0/K)+(μ+0.5*σ*σ)*T)/(σ*SQRT(T))</f>
        <v>-1.6329552724147003</v>
      </c>
      <c r="K21" s="53" t="s">
        <v>29</v>
      </c>
      <c r="L21" s="34">
        <f>G40/ResultDomesticFXSpotRate</f>
        <v>32405.479716012273</v>
      </c>
      <c r="M21" s="35" t="str">
        <f>$L$3</f>
        <v>DOM</v>
      </c>
    </row>
    <row r="22" spans="2:13" ht="15.75" x14ac:dyDescent="0.3">
      <c r="F22" s="13" t="s">
        <v>24</v>
      </c>
      <c r="G22" s="38">
        <f>G21-σ*SQRT(T)</f>
        <v>-1.731542742157629</v>
      </c>
      <c r="K22" s="44" t="s">
        <v>80</v>
      </c>
      <c r="L22" s="22">
        <f>MonteCarlo!L5/ResultDomesticFXSpotRate</f>
        <v>158267.46322492539</v>
      </c>
      <c r="M22" s="37" t="str">
        <f>$L$3</f>
        <v>DOM</v>
      </c>
    </row>
    <row r="23" spans="2:13" x14ac:dyDescent="0.2">
      <c r="B23" t="s">
        <v>1</v>
      </c>
    </row>
    <row r="24" spans="2:13" x14ac:dyDescent="0.2">
      <c r="B24" s="9" t="s">
        <v>17</v>
      </c>
      <c r="C24" s="10" t="s">
        <v>15</v>
      </c>
      <c r="D24" s="11" t="s">
        <v>16</v>
      </c>
      <c r="F24" t="s">
        <v>51</v>
      </c>
    </row>
    <row r="25" spans="2:13" x14ac:dyDescent="0.2">
      <c r="B25" s="2" t="s">
        <v>0</v>
      </c>
      <c r="C25" s="4">
        <v>45107</v>
      </c>
      <c r="D25" s="12"/>
      <c r="F25" s="9" t="s">
        <v>17</v>
      </c>
      <c r="G25" s="10" t="s">
        <v>105</v>
      </c>
      <c r="H25" s="11" t="s">
        <v>16</v>
      </c>
    </row>
    <row r="26" spans="2:13" x14ac:dyDescent="0.2">
      <c r="B26" s="2" t="s">
        <v>59</v>
      </c>
      <c r="C26" s="6">
        <v>0.66290000000000004</v>
      </c>
      <c r="D26" s="12" t="s">
        <v>13</v>
      </c>
      <c r="F26" s="2" t="s">
        <v>46</v>
      </c>
      <c r="G26" s="19" cm="1">
        <f t="array" ref="G26">CP*(S0*EXP(-q_*T)*_xlfn.NORM.S.DIST(CP*d1_,TRUE)-K*EXP(-r_*T)*_xlfn.NORM.S.DIST(CP*d2_,TRUE))</f>
        <v>1.2922593417313867E-3</v>
      </c>
      <c r="H26" s="12" t="s">
        <v>53</v>
      </c>
    </row>
    <row r="27" spans="2:13" ht="15.75" x14ac:dyDescent="0.3">
      <c r="B27" s="2" t="s">
        <v>60</v>
      </c>
      <c r="C27" s="6">
        <v>0.66796199999999994</v>
      </c>
      <c r="D27" s="12" t="s">
        <v>13</v>
      </c>
      <c r="F27" s="2" t="s">
        <v>34</v>
      </c>
      <c r="G27" s="21">
        <f>CP*EXP(-q_*T)*_xlfn.NORM.S.DIST(CP*d1_,TRUE)</f>
        <v>4.8884416527398201E-2</v>
      </c>
      <c r="H27" s="12" t="s">
        <v>54</v>
      </c>
      <c r="K27" s="17"/>
    </row>
    <row r="28" spans="2:13" ht="15.75" x14ac:dyDescent="0.3">
      <c r="B28" s="2" t="s">
        <v>2</v>
      </c>
      <c r="C28" s="8">
        <v>9.8118800000000006E-2</v>
      </c>
      <c r="D28" s="12" t="s">
        <v>25</v>
      </c>
      <c r="F28" s="2" t="s">
        <v>35</v>
      </c>
      <c r="G28" s="21">
        <f>CP*_xlfn.NORM.S.DIST(CP*d1_,TRUE)</f>
        <v>5.1239202008375152E-2</v>
      </c>
      <c r="H28" s="12" t="s">
        <v>54</v>
      </c>
    </row>
    <row r="29" spans="2:13" x14ac:dyDescent="0.2">
      <c r="B29" s="2" t="s">
        <v>4</v>
      </c>
      <c r="C29" s="7">
        <v>4.6600000000000003E-2</v>
      </c>
      <c r="D29" s="12" t="s">
        <v>25</v>
      </c>
      <c r="F29" s="2" t="s">
        <v>44</v>
      </c>
      <c r="G29" s="21">
        <f>1%*S0*SQRT(T)*_xlfn.NORM.S.DIST(d1_,FALSE)*EXP(-q_*T)</f>
        <v>6.6828731449087306E-4</v>
      </c>
      <c r="H29" s="12" t="s">
        <v>53</v>
      </c>
    </row>
    <row r="30" spans="2:13" x14ac:dyDescent="0.2">
      <c r="B30" s="13" t="s">
        <v>3</v>
      </c>
      <c r="C30" s="15">
        <v>5.3809999999999997E-2</v>
      </c>
      <c r="D30" s="14" t="s">
        <v>25</v>
      </c>
      <c r="F30" s="2" t="s">
        <v>106</v>
      </c>
      <c r="G30" s="86">
        <f>(1/365)*
(
-(S0*EXP(-r_*T)*_xlfn.NORM.S.DIST(d1_*CP,FALSE)*σ)/(2*SQRT(T))
+q_*EXP(-q_*T)*S0*_xlfn.NORM.S.DIST(d1_*CP,TRUE)
-r_*EXP(-r_*T)*K*_xlfn.NORM.S.DIST(d2_*CP,TRUE)
)</f>
        <v>-9.2822853809381906E-6</v>
      </c>
      <c r="H30" s="12" t="s">
        <v>53</v>
      </c>
      <c r="J30" s="31"/>
    </row>
    <row r="31" spans="2:13" x14ac:dyDescent="0.2">
      <c r="F31" s="2" t="s">
        <v>45</v>
      </c>
      <c r="G31" s="78">
        <f>(1%*S0)*(EXP(-q_*T)*_xlfn.NORM.S.DIST(d1_,FALSE)/(S0*σ*SQRT(T)))</f>
        <v>1.0177098675243863E-2</v>
      </c>
      <c r="H31" s="12" t="s">
        <v>54</v>
      </c>
    </row>
    <row r="32" spans="2:13" ht="15.75" x14ac:dyDescent="0.3">
      <c r="F32" s="2" t="s">
        <v>42</v>
      </c>
      <c r="G32" s="78">
        <f>(1%)*(-T*EXP(-q_*T)*S0*_xlfn.NORM.S.DIST(d1_,TRUE))</f>
        <v>-3.2715792107273676E-4</v>
      </c>
      <c r="H32" s="12" t="s">
        <v>53</v>
      </c>
      <c r="J32" s="32"/>
    </row>
    <row r="33" spans="6:9" ht="15.75" x14ac:dyDescent="0.3">
      <c r="F33" s="13" t="s">
        <v>43</v>
      </c>
      <c r="G33" s="57">
        <f>1%*-T*EXP(-r_*T)*S0*_xlfn.NORM.S.DIST(d2_,TRUE)</f>
        <v>-2.6417732508935267E-4</v>
      </c>
      <c r="H33" s="14" t="s">
        <v>53</v>
      </c>
    </row>
    <row r="35" spans="6:9" x14ac:dyDescent="0.2">
      <c r="F35" t="s">
        <v>90</v>
      </c>
    </row>
    <row r="36" spans="6:9" x14ac:dyDescent="0.2">
      <c r="F36" s="9" t="s">
        <v>17</v>
      </c>
      <c r="G36" s="10" t="s">
        <v>17</v>
      </c>
      <c r="H36" s="11" t="s">
        <v>16</v>
      </c>
    </row>
    <row r="37" spans="6:9" x14ac:dyDescent="0.2">
      <c r="F37" s="25" t="s">
        <v>87</v>
      </c>
      <c r="G37" s="52">
        <f>_xlfn.NORM.S.DIST(CP*d1_,TRUE)</f>
        <v>5.1239202008375152E-2</v>
      </c>
      <c r="H37" s="28" t="s">
        <v>25</v>
      </c>
    </row>
    <row r="38" spans="6:9" x14ac:dyDescent="0.2">
      <c r="F38" s="2" t="s">
        <v>81</v>
      </c>
      <c r="G38" s="23" cm="1">
        <f t="array" ref="G38">_xlfn.IFS(Notional_Ccy="FOR",EXP(-q_*T),Notional_Ccy="DOM",EXP(-r_*T))</f>
        <v>0.9540432834884498</v>
      </c>
      <c r="H38" s="12"/>
    </row>
    <row r="39" spans="6:9" x14ac:dyDescent="0.2">
      <c r="F39" s="2" t="s">
        <v>88</v>
      </c>
      <c r="G39" s="54">
        <f>Notional_amount*G37*G38</f>
        <v>48884.416527398207</v>
      </c>
      <c r="H39" s="12" t="str">
        <f>Notional_Ccy</f>
        <v>FOR</v>
      </c>
    </row>
    <row r="40" spans="6:9" x14ac:dyDescent="0.2">
      <c r="F40" s="13" t="s">
        <v>89</v>
      </c>
      <c r="G40" s="55">
        <f>IF(Notional_Ccy="DOM",G39,G39*S0)</f>
        <v>32405.479716012273</v>
      </c>
      <c r="H40" s="14" t="s">
        <v>53</v>
      </c>
    </row>
    <row r="44" spans="6:9" x14ac:dyDescent="0.2">
      <c r="F44" s="110" t="s">
        <v>148</v>
      </c>
      <c r="G44" s="111"/>
      <c r="H44" s="111"/>
      <c r="I44" s="111"/>
    </row>
    <row r="45" spans="6:9" x14ac:dyDescent="0.2">
      <c r="F45" s="112" t="s">
        <v>62</v>
      </c>
      <c r="G45" s="113" t="s">
        <v>105</v>
      </c>
      <c r="H45" s="114" t="s">
        <v>16</v>
      </c>
      <c r="I45" s="111"/>
    </row>
    <row r="46" spans="6:9" ht="15.75" x14ac:dyDescent="0.3">
      <c r="F46" s="115" t="s">
        <v>23</v>
      </c>
      <c r="G46" s="116">
        <f>(LN(S0/H)+(r_-q_+0.5*σ*σ)*T)/(σ*SQRT(T))</f>
        <v>0.22507041629304234</v>
      </c>
      <c r="H46" s="117"/>
      <c r="I46" s="111"/>
    </row>
    <row r="47" spans="6:9" ht="15.75" x14ac:dyDescent="0.3">
      <c r="F47" s="115" t="s">
        <v>24</v>
      </c>
      <c r="G47" s="116">
        <f>G46-σ*SQRT(T)</f>
        <v>0.12648294655011361</v>
      </c>
      <c r="H47" s="117"/>
      <c r="I47" s="111"/>
    </row>
    <row r="48" spans="6:9" ht="15.75" x14ac:dyDescent="0.3">
      <c r="F48" s="115" t="s">
        <v>63</v>
      </c>
      <c r="G48" s="116">
        <f>(LN(H/S0)+(r_-q_+0.5*σ*σ)*T)/(σ*SQRT(T))</f>
        <v>2.1183738204879978E-2</v>
      </c>
      <c r="H48" s="117"/>
      <c r="I48" s="111"/>
    </row>
    <row r="49" spans="6:9" ht="15.75" x14ac:dyDescent="0.3">
      <c r="F49" s="115" t="s">
        <v>65</v>
      </c>
      <c r="G49" s="116">
        <f>G48-σ*SQRT(T)</f>
        <v>-7.7403731538048748E-2</v>
      </c>
      <c r="H49" s="117"/>
      <c r="I49" s="111"/>
    </row>
    <row r="50" spans="6:9" x14ac:dyDescent="0.2">
      <c r="F50" s="118" t="s">
        <v>64</v>
      </c>
      <c r="G50" s="119">
        <f>C21</f>
        <v>0.65627100000000005</v>
      </c>
      <c r="H50" s="120" t="s">
        <v>13</v>
      </c>
      <c r="I50" s="111"/>
    </row>
    <row r="51" spans="6:9" x14ac:dyDescent="0.2">
      <c r="F51" s="111"/>
      <c r="G51" s="121"/>
      <c r="H51" s="111"/>
      <c r="I51" s="111"/>
    </row>
    <row r="52" spans="6:9" x14ac:dyDescent="0.2">
      <c r="F52" s="111" t="s">
        <v>66</v>
      </c>
      <c r="G52" s="111">
        <v>-6.4770933169589984E-2</v>
      </c>
      <c r="H52" s="111"/>
      <c r="I52" s="111" t="s">
        <v>53</v>
      </c>
    </row>
    <row r="53" spans="6:9" x14ac:dyDescent="0.2">
      <c r="F53" s="111"/>
      <c r="G53" s="111"/>
      <c r="H53" s="111"/>
      <c r="I53" s="111"/>
    </row>
    <row r="54" spans="6:9" x14ac:dyDescent="0.2">
      <c r="F54" s="111"/>
      <c r="G54" s="122" t="s">
        <v>105</v>
      </c>
      <c r="H54" s="123" t="s">
        <v>73</v>
      </c>
      <c r="I54" s="111" t="s">
        <v>16</v>
      </c>
    </row>
    <row r="55" spans="6:9" x14ac:dyDescent="0.2">
      <c r="F55" s="111"/>
      <c r="G55" s="111">
        <v>1.2922593417313902E-3</v>
      </c>
      <c r="H55" s="111"/>
      <c r="I55" s="111" t="s">
        <v>53</v>
      </c>
    </row>
  </sheetData>
  <pageMargins left="0.7" right="0.7" top="0.75" bottom="0.75" header="0.3" footer="0.3"/>
  <pageSetup paperSize="9" orientation="portrait" r:id="rId1"/>
  <ignoredErrors>
    <ignoredError sqref="G4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Run_Monte_Carlo">
                <anchor moveWithCells="1" sizeWithCells="1">
                  <from>
                    <xdr:col>1</xdr:col>
                    <xdr:colOff>628650</xdr:colOff>
                    <xdr:row>2</xdr:row>
                    <xdr:rowOff>152400</xdr:rowOff>
                  </from>
                  <to>
                    <xdr:col>2</xdr:col>
                    <xdr:colOff>504825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A5FFEAC-E762-44CD-99C8-4E83834F8919}">
          <x14:formula1>
            <xm:f>'Data Validation'!$C$1:$C$2</xm:f>
          </x14:formula1>
          <xm:sqref>C12</xm:sqref>
        </x14:dataValidation>
        <x14:dataValidation type="list" allowBlank="1" showInputMessage="1" showErrorMessage="1" xr:uid="{C13A6699-87E1-4193-A270-EB1BA1ED2F42}">
          <x14:formula1>
            <xm:f>'Data Validation'!$B$1:$B$2</xm:f>
          </x14:formula1>
          <xm:sqref>C15 L3</xm:sqref>
        </x14:dataValidation>
        <x14:dataValidation type="list" allowBlank="1" showInputMessage="1" showErrorMessage="1" xr:uid="{FFD08E6C-2AE3-48D2-8AD7-81A56099681F}">
          <x14:formula1>
            <xm:f>'Data Validation'!$A$1:$A$2</xm:f>
          </x14:formula1>
          <xm:sqref>C9</xm:sqref>
        </x14:dataValidation>
        <x14:dataValidation type="list" allowBlank="1" showInputMessage="1" showErrorMessage="1" xr:uid="{F8113FDF-E6FE-4F17-9A42-4F9B32A09443}">
          <x14:formula1>
            <xm:f>'Data Validation'!$F$1:$F$2</xm:f>
          </x14:formula1>
          <xm:sqref>C17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91C18-DD02-4B53-B4E4-F0611CBADA5E}">
  <sheetPr codeName="Sheet4"/>
  <dimension ref="B1:AS6"/>
  <sheetViews>
    <sheetView zoomScale="90" zoomScaleNormal="90" workbookViewId="0">
      <selection activeCell="F1" sqref="F1"/>
    </sheetView>
  </sheetViews>
  <sheetFormatPr defaultRowHeight="12.75" x14ac:dyDescent="0.2"/>
  <cols>
    <col min="2" max="2" width="8.140625" bestFit="1" customWidth="1"/>
    <col min="3" max="3" width="10.85546875" bestFit="1" customWidth="1"/>
    <col min="4" max="4" width="9.85546875" bestFit="1" customWidth="1"/>
    <col min="5" max="5" width="17.7109375" bestFit="1" customWidth="1"/>
    <col min="6" max="6" width="13.85546875" bestFit="1" customWidth="1"/>
    <col min="7" max="7" width="15" bestFit="1" customWidth="1"/>
    <col min="8" max="8" width="14.7109375" bestFit="1" customWidth="1"/>
    <col min="9" max="9" width="13.28515625" bestFit="1" customWidth="1"/>
    <col min="10" max="11" width="9.85546875" bestFit="1" customWidth="1"/>
    <col min="12" max="12" width="7.7109375" bestFit="1" customWidth="1"/>
    <col min="13" max="14" width="6.7109375" bestFit="1" customWidth="1"/>
    <col min="15" max="15" width="13.140625" bestFit="1" customWidth="1"/>
    <col min="16" max="16" width="18.85546875" bestFit="1" customWidth="1"/>
    <col min="17" max="17" width="6.140625" bestFit="1" customWidth="1"/>
    <col min="18" max="18" width="7.28515625" bestFit="1" customWidth="1"/>
    <col min="19" max="19" width="18.42578125" customWidth="1"/>
    <col min="20" max="20" width="17.28515625" customWidth="1"/>
    <col min="21" max="21" width="11.7109375" bestFit="1" customWidth="1"/>
    <col min="22" max="22" width="15.42578125" bestFit="1" customWidth="1"/>
    <col min="23" max="23" width="15.85546875" bestFit="1" customWidth="1"/>
    <col min="24" max="24" width="20" bestFit="1" customWidth="1"/>
    <col min="25" max="26" width="6.7109375" bestFit="1" customWidth="1"/>
    <col min="27" max="27" width="7.28515625" bestFit="1" customWidth="1"/>
    <col min="28" max="29" width="8.42578125" bestFit="1" customWidth="1"/>
    <col min="30" max="30" width="8.85546875" bestFit="1" customWidth="1"/>
    <col min="31" max="31" width="11.7109375" bestFit="1" customWidth="1"/>
    <col min="32" max="32" width="13.7109375" bestFit="1" customWidth="1"/>
    <col min="33" max="33" width="12.140625" bestFit="1" customWidth="1"/>
    <col min="34" max="34" width="12.7109375" bestFit="1" customWidth="1"/>
    <col min="35" max="35" width="14.5703125" bestFit="1" customWidth="1"/>
    <col min="36" max="36" width="22.140625" bestFit="1" customWidth="1"/>
    <col min="37" max="37" width="23.28515625" bestFit="1" customWidth="1"/>
    <col min="38" max="38" width="15.140625" bestFit="1" customWidth="1"/>
    <col min="39" max="40" width="12.85546875" bestFit="1" customWidth="1"/>
    <col min="41" max="41" width="8.85546875" bestFit="1" customWidth="1"/>
    <col min="42" max="42" width="8.85546875" customWidth="1"/>
    <col min="43" max="43" width="10.5703125" bestFit="1" customWidth="1"/>
    <col min="44" max="44" width="16.85546875" bestFit="1" customWidth="1"/>
    <col min="45" max="45" width="18.140625" bestFit="1" customWidth="1"/>
  </cols>
  <sheetData>
    <row r="1" spans="2:45" ht="13.5" thickBot="1" x14ac:dyDescent="0.25"/>
    <row r="2" spans="2:45" s="65" customFormat="1" ht="13.5" thickBot="1" x14ac:dyDescent="0.25">
      <c r="C2" s="73" t="s">
        <v>91</v>
      </c>
      <c r="D2" s="74"/>
      <c r="E2" s="74"/>
      <c r="F2" s="74"/>
      <c r="G2" s="74"/>
      <c r="H2" s="75"/>
      <c r="I2" s="73" t="s">
        <v>102</v>
      </c>
      <c r="J2" s="72"/>
      <c r="K2" s="72"/>
      <c r="L2" s="72"/>
      <c r="M2" s="72"/>
      <c r="N2" s="72"/>
      <c r="O2" s="72"/>
      <c r="P2" s="75"/>
      <c r="Q2" s="73" t="s">
        <v>103</v>
      </c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3" t="s">
        <v>131</v>
      </c>
      <c r="AE2" s="74"/>
      <c r="AF2" s="74"/>
      <c r="AG2" s="74"/>
      <c r="AH2" s="74"/>
      <c r="AI2" s="74"/>
      <c r="AJ2" s="74"/>
      <c r="AK2" s="75"/>
      <c r="AL2" s="73" t="str">
        <f>"Vanilla European Option Results in Result Currency, "&amp;ResultCurrency</f>
        <v>Vanilla European Option Results in Result Currency, DOM</v>
      </c>
      <c r="AM2" s="74"/>
      <c r="AN2" s="74"/>
      <c r="AO2" s="74"/>
      <c r="AP2" s="74"/>
      <c r="AQ2" s="74"/>
      <c r="AR2" s="74"/>
      <c r="AS2" s="75"/>
    </row>
    <row r="3" spans="2:45" s="76" customFormat="1" x14ac:dyDescent="0.2">
      <c r="B3" s="76" t="s">
        <v>133</v>
      </c>
      <c r="C3" s="90" t="s">
        <v>135</v>
      </c>
      <c r="D3" s="76" t="s">
        <v>13</v>
      </c>
      <c r="G3" s="76" t="s">
        <v>14</v>
      </c>
      <c r="H3" s="91" t="s">
        <v>134</v>
      </c>
      <c r="I3" s="90" t="s">
        <v>19</v>
      </c>
      <c r="J3" s="76" t="s">
        <v>13</v>
      </c>
      <c r="K3" s="76" t="s">
        <v>13</v>
      </c>
      <c r="L3" s="76" t="s">
        <v>25</v>
      </c>
      <c r="M3" s="76" t="s">
        <v>25</v>
      </c>
      <c r="N3" s="76" t="s">
        <v>25</v>
      </c>
      <c r="O3" s="76" t="s">
        <v>134</v>
      </c>
      <c r="P3" s="91"/>
      <c r="Q3" s="90" t="s">
        <v>28</v>
      </c>
      <c r="R3" s="76" t="s">
        <v>27</v>
      </c>
      <c r="S3" s="76" t="s">
        <v>25</v>
      </c>
      <c r="T3" s="76" t="s">
        <v>25</v>
      </c>
      <c r="U3" s="76" t="s">
        <v>25</v>
      </c>
      <c r="V3" s="76" t="s">
        <v>136</v>
      </c>
      <c r="W3" s="76" t="s">
        <v>137</v>
      </c>
      <c r="Y3" s="76" t="s">
        <v>25</v>
      </c>
      <c r="Z3" s="76" t="s">
        <v>25</v>
      </c>
      <c r="AA3" s="76" t="s">
        <v>25</v>
      </c>
      <c r="AD3" s="90" t="s">
        <v>47</v>
      </c>
      <c r="AE3" s="76" t="s">
        <v>48</v>
      </c>
      <c r="AF3" s="76" t="s">
        <v>48</v>
      </c>
      <c r="AG3" s="76" t="s">
        <v>47</v>
      </c>
      <c r="AH3" s="76" t="s">
        <v>47</v>
      </c>
      <c r="AI3" s="76" t="s">
        <v>48</v>
      </c>
      <c r="AJ3" s="76" t="s">
        <v>47</v>
      </c>
      <c r="AK3" s="91" t="s">
        <v>47</v>
      </c>
      <c r="AL3" s="90"/>
      <c r="AS3" s="91"/>
    </row>
    <row r="4" spans="2:45" s="65" customFormat="1" ht="15.75" x14ac:dyDescent="0.3">
      <c r="C4" s="79" t="s">
        <v>92</v>
      </c>
      <c r="D4" s="66" t="s">
        <v>57</v>
      </c>
      <c r="E4" s="66" t="s">
        <v>93</v>
      </c>
      <c r="F4" s="66" t="s">
        <v>18</v>
      </c>
      <c r="G4" s="66" t="s">
        <v>94</v>
      </c>
      <c r="H4" s="67" t="s">
        <v>95</v>
      </c>
      <c r="I4" s="80" t="s">
        <v>96</v>
      </c>
      <c r="J4" s="81" t="s">
        <v>109</v>
      </c>
      <c r="K4" s="81" t="s">
        <v>22</v>
      </c>
      <c r="L4" s="81" t="s">
        <v>21</v>
      </c>
      <c r="M4" s="81" t="s">
        <v>110</v>
      </c>
      <c r="N4" s="81" t="s">
        <v>111</v>
      </c>
      <c r="O4" s="66" t="s">
        <v>138</v>
      </c>
      <c r="P4" s="67" t="s">
        <v>101</v>
      </c>
      <c r="Q4" s="79" t="s">
        <v>26</v>
      </c>
      <c r="R4" s="66" t="s">
        <v>72</v>
      </c>
      <c r="S4" s="66" t="s">
        <v>123</v>
      </c>
      <c r="T4" s="66" t="s">
        <v>122</v>
      </c>
      <c r="U4" s="66" t="s">
        <v>112</v>
      </c>
      <c r="V4" s="66" t="s">
        <v>97</v>
      </c>
      <c r="W4" s="66" t="s">
        <v>98</v>
      </c>
      <c r="X4" s="66" t="s">
        <v>139</v>
      </c>
      <c r="Y4" s="66" t="s">
        <v>118</v>
      </c>
      <c r="Z4" s="66" t="s">
        <v>119</v>
      </c>
      <c r="AA4" s="66" t="s">
        <v>71</v>
      </c>
      <c r="AB4" s="66" t="s">
        <v>113</v>
      </c>
      <c r="AC4" s="66" t="s">
        <v>114</v>
      </c>
      <c r="AD4" s="79" t="s">
        <v>107</v>
      </c>
      <c r="AE4" s="82" t="s">
        <v>128</v>
      </c>
      <c r="AF4" s="82" t="s">
        <v>129</v>
      </c>
      <c r="AG4" s="82" t="s">
        <v>124</v>
      </c>
      <c r="AH4" s="82" t="s">
        <v>125</v>
      </c>
      <c r="AI4" s="82" t="s">
        <v>126</v>
      </c>
      <c r="AJ4" s="82" t="s">
        <v>132</v>
      </c>
      <c r="AK4" s="87" t="s">
        <v>127</v>
      </c>
      <c r="AL4" s="79" t="s">
        <v>29</v>
      </c>
      <c r="AM4" s="2" t="s">
        <v>130</v>
      </c>
      <c r="AN4" s="82" t="s">
        <v>108</v>
      </c>
      <c r="AO4" s="82" t="s">
        <v>36</v>
      </c>
      <c r="AP4" s="66" t="s">
        <v>37</v>
      </c>
      <c r="AQ4" s="66" t="s">
        <v>38</v>
      </c>
      <c r="AR4" s="2" t="s">
        <v>40</v>
      </c>
      <c r="AS4" s="94" t="s">
        <v>41</v>
      </c>
    </row>
    <row r="5" spans="2:45" x14ac:dyDescent="0.2">
      <c r="C5" s="68" t="s">
        <v>9</v>
      </c>
      <c r="D5" s="61">
        <v>0.53439999999999999</v>
      </c>
      <c r="E5" s="60" t="s">
        <v>11</v>
      </c>
      <c r="F5" s="62">
        <v>47116</v>
      </c>
      <c r="G5" s="63">
        <v>50000000</v>
      </c>
      <c r="H5" s="69" t="s">
        <v>54</v>
      </c>
      <c r="I5" s="70">
        <v>45289</v>
      </c>
      <c r="J5" s="61">
        <v>0.68120000000000003</v>
      </c>
      <c r="K5" s="61">
        <v>0.67094900000000002</v>
      </c>
      <c r="L5" s="64">
        <v>0.1236131</v>
      </c>
      <c r="M5" s="64">
        <v>3.8730000000000001E-2</v>
      </c>
      <c r="N5" s="64">
        <v>3.5090000000000003E-2</v>
      </c>
      <c r="O5" s="60" t="s">
        <v>54</v>
      </c>
      <c r="P5" s="71" t="s">
        <v>99</v>
      </c>
      <c r="Q5" s="77" cm="1">
        <f t="array" ref="Q5">_xlfn.IFS(Table1[[#This Row],[Call/Put]]="Call FOR, Put DOM",1,Table1[[#This Row],[Call/Put]]="Put FOR, Call DOM",-1)</f>
        <v>1</v>
      </c>
      <c r="R5" s="59">
        <f>YEARFRAC(Table1[[#This Row],[Value Date]],Table1[[#This Row],[Expiry Date]],1)</f>
        <v>5.0009124087591239</v>
      </c>
      <c r="S5" s="27">
        <f>Table1[[#This Row],[rd]]-Table1[[#This Row],[rf]]</f>
        <v>-3.6399999999999974E-3</v>
      </c>
      <c r="T5" s="27">
        <f>LN(Table1[[#This Row],[F]]/Table1[[#This Row],[S0]])/Table1[[#This Row],[T]]</f>
        <v>-3.0320108466896883E-3</v>
      </c>
      <c r="U5" s="27">
        <f>Table1[[#This Row],[rf]]+Table1[[#This Row],[μwith currency basis]]</f>
        <v>3.5697989153310315E-2</v>
      </c>
      <c r="V5" s="54" cm="1">
        <f t="array" ref="V5">_xlfn.IFS(Table1[[#This Row],[Notional Ccy]]="FOR",Table1[[#This Row],[Notional Amt]],Table1[[#This Row],[Notional Ccy]]="DOM",Table1[[#This Row],[Notional Amt]]/Table1[[#This Row],[Strike]])</f>
        <v>50000000</v>
      </c>
      <c r="W5" s="54" cm="1">
        <f t="array" ref="W5">_xlfn.IFS(Table1[[#This Row],[Notional Ccy]]="DOM",Table1[[#This Row],[Notional Amt]],Table1[[#This Row],[Notional Ccy]]="FOR",Table1[[#This Row],[Notional Amt]]*Table1[[#This Row],[Strike]])</f>
        <v>26720000</v>
      </c>
      <c r="X5" s="18">
        <f>IF(Table1[[#This Row],[Result Ccy]]="DOM",1,Table1[[#This Row],[S0]])</f>
        <v>0.68120000000000003</v>
      </c>
      <c r="Y5" s="27" cm="1">
        <f t="array" ref="Y5">_xlfn.IFS(Table1[[#This Row],[Methodology]]="With Currency Basis",Table1[[#This Row],[rd_basis_adj]],Table1[[#This Row],[Methodology]]="By Interest Rate Parity",Table1[[#This Row],[rd]])</f>
        <v>3.5697989153310315E-2</v>
      </c>
      <c r="Z5" s="27">
        <f>Table1[[#This Row],[rf]]</f>
        <v>3.8730000000000001E-2</v>
      </c>
      <c r="AA5" s="27" cm="1">
        <f t="array" ref="AA5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5" s="23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5" s="23">
        <f>Table1[[#This Row],[d1]]-Table1[[#This Row],[σ]]*SQRT(Table1[[#This Row],[T]])</f>
        <v>0.68494489566442285</v>
      </c>
      <c r="AD5" s="89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0.1301089898287508</v>
      </c>
      <c r="AE5" s="27">
        <f>Table1[[#This Row],[CP]]*EXP(-Table1[[#This Row],[q]]*Table1[[#This Row],[T]])*_xlfn.NORM.S.DIST(Table1[[#This Row],[CP]]*Table1[[#This Row],[d1]],TRUE)</f>
        <v>0.6853497333116404</v>
      </c>
      <c r="AF5" s="92">
        <f>Table1[[#This Row],[CP]]*_xlfn.NORM.S.DIST(Table1[[#This Row],[CP]]*Table1[[#This Row],[d1]],TRUE)</f>
        <v>0.83181878045308011</v>
      </c>
      <c r="AG5" s="21">
        <f>1%*Table1[[#This Row],[S0]]*SQRT(Table1[[#This Row],[T]])*_xlfn.NORM.S.DIST(Table1[[#This Row],[d1]],FALSE)*EXP(-Table1[[#This Row],[rf]]*T)</f>
        <v>3.6815478748224092E-3</v>
      </c>
      <c r="AH5" s="86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5.7595807080634053E-6</v>
      </c>
      <c r="AI5" s="21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5" s="21">
        <f>(1%)*(-Table1[[#This Row],[T]]*EXP(-Table1[[#This Row],[q]]*T)*Table1[[#This Row],[S0]]*_xlfn.NORM.S.DIST(Table1[[#This Row],[d1]],TRUE))</f>
        <v>-2.725030165577752E-2</v>
      </c>
      <c r="AK5" s="88">
        <f>1%*-Table1[[#This Row],[T]]*EXP(-Table1[[#This Row],[r]]*Table1[[#This Row],[T]])*Table1[[#This Row],[S0]]*_xlfn.NORM.S.DIST(Table1[[#This Row],[d2]],TRUE)</f>
        <v>-2.1466767484352684E-2</v>
      </c>
      <c r="AL5" s="77">
        <f>Table1[[#This Row],[Px]]*Table1[[#This Row],[FOR Notional]]/Table1[[#This Row],[Result Ccy Divisor]]</f>
        <v>9549984.5734549891</v>
      </c>
      <c r="AM5" s="54">
        <f>Table1[[#This Row],[Unit Δspot]]*Table1[[#This Row],[FOR Notional]]*Table1[[#This Row],[S0]]/Table1[[#This Row],[Result Ccy Divisor]]</f>
        <v>34267486.665582016</v>
      </c>
      <c r="AN5" s="54">
        <f>Table1[[#This Row],[Unit Δforward]]*Table1[[#This Row],[FOR Notional]]*Table1[[#This Row],[S0]]/Table1[[#This Row],[Result Ccy Divisor]]</f>
        <v>41590939.022654004</v>
      </c>
      <c r="AO5" s="54">
        <f>Table1[[#This Row],[Unit Vega]]*Table1[[#This Row],[FOR Notional]]/Table1[[#This Row],[Result Ccy Divisor]]</f>
        <v>270225.18165167421</v>
      </c>
      <c r="AP5" s="54">
        <f>Table1[[#This Row],[Unit Theta]]*Table1[[#This Row],[FOR Notional]]/Table1[[#This Row],[Result Ccy Divisor]]</f>
        <v>422.75254756777781</v>
      </c>
      <c r="AQ5" s="54">
        <f>Table1[[#This Row],[Unit Gamma]]*Table1[[#This Row],[FOR Notional]]*Table1[[#This Row],[S0]]/Table1[[#This Row],[Result Ccy Divisor]]</f>
        <v>374521.61956224928</v>
      </c>
      <c r="AR5" s="54">
        <f>Table1[[#This Row],[Unit Rhoforeign currency]]*Table1[[#This Row],[FOR Notional]]/Table1[[#This Row],[Result Ccy Divisor]]</f>
        <v>-2000168.9412637639</v>
      </c>
      <c r="AS5" s="93">
        <f>Table1[[#This Row],[Unit Rhodomestic currency]]*Table1[[#This Row],[FOR Notional]]/Table1[[#This Row],[Result Ccy Divisor]]</f>
        <v>-1575658.2122983474</v>
      </c>
    </row>
    <row r="6" spans="2:45" x14ac:dyDescent="0.2">
      <c r="C6" s="68" t="s">
        <v>9</v>
      </c>
      <c r="D6" s="61">
        <v>0.53439999999999999</v>
      </c>
      <c r="E6" s="60" t="s">
        <v>32</v>
      </c>
      <c r="F6" s="62">
        <v>47116</v>
      </c>
      <c r="G6" s="63">
        <v>50000000</v>
      </c>
      <c r="H6" s="69" t="s">
        <v>54</v>
      </c>
      <c r="I6" s="70">
        <v>45289</v>
      </c>
      <c r="J6" s="61">
        <v>0.68120000000000003</v>
      </c>
      <c r="K6" s="61">
        <v>0.67094900000000002</v>
      </c>
      <c r="L6" s="64">
        <v>0.1236131</v>
      </c>
      <c r="M6" s="64">
        <v>3.8730000000000001E-2</v>
      </c>
      <c r="N6" s="64">
        <v>3.5090000000000003E-2</v>
      </c>
      <c r="O6" s="60" t="s">
        <v>54</v>
      </c>
      <c r="P6" s="71" t="s">
        <v>99</v>
      </c>
      <c r="Q6" s="77" cm="1">
        <f t="array" ref="Q6">_xlfn.IFS(Table1[[#This Row],[Call/Put]]="Call FOR, Put DOM",1,Table1[[#This Row],[Call/Put]]="Put FOR, Call DOM",-1)</f>
        <v>-1</v>
      </c>
      <c r="R6" s="59">
        <f>YEARFRAC(Table1[[#This Row],[Value Date]],Table1[[#This Row],[Expiry Date]],1)</f>
        <v>5.0009124087591239</v>
      </c>
      <c r="S6" s="27">
        <f>Table1[[#This Row],[rd]]-Table1[[#This Row],[rf]]</f>
        <v>-3.6399999999999974E-3</v>
      </c>
      <c r="T6" s="27">
        <f>LN(Table1[[#This Row],[F]]/Table1[[#This Row],[S0]])/Table1[[#This Row],[T]]</f>
        <v>-3.0320108466896883E-3</v>
      </c>
      <c r="U6" s="27">
        <f>Table1[[#This Row],[rf]]+Table1[[#This Row],[μwith currency basis]]</f>
        <v>3.5697989153310315E-2</v>
      </c>
      <c r="V6" s="54" cm="1">
        <f t="array" ref="V6">_xlfn.IFS(Table1[[#This Row],[Notional Ccy]]="FOR",Table1[[#This Row],[Notional Amt]],Table1[[#This Row],[Notional Ccy]]="DOM",Table1[[#This Row],[Notional Amt]]/Table1[[#This Row],[Strike]])</f>
        <v>50000000</v>
      </c>
      <c r="W6" s="54" cm="1">
        <f t="array" ref="W6">_xlfn.IFS(Table1[[#This Row],[Notional Ccy]]="DOM",Table1[[#This Row],[Notional Amt]],Table1[[#This Row],[Notional Ccy]]="FOR",Table1[[#This Row],[Notional Amt]]*Table1[[#This Row],[Strike]])</f>
        <v>26720000</v>
      </c>
      <c r="X6" s="18">
        <f>IF(Table1[[#This Row],[Result Ccy]]="DOM",1,Table1[[#This Row],[S0]])</f>
        <v>0.68120000000000003</v>
      </c>
      <c r="Y6" s="27" cm="1">
        <f t="array" ref="Y6">_xlfn.IFS(Table1[[#This Row],[Methodology]]="With Currency Basis",Table1[[#This Row],[rd_basis_adj]],Table1[[#This Row],[Methodology]]="By Interest Rate Parity",Table1[[#This Row],[rd]])</f>
        <v>3.5697989153310315E-2</v>
      </c>
      <c r="Z6" s="27">
        <f>Table1[[#This Row],[rf]]</f>
        <v>3.8730000000000001E-2</v>
      </c>
      <c r="AA6" s="27" cm="1">
        <f t="array" ref="AA6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6" s="42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6" s="42">
        <f>Table1[[#This Row],[d1]]-Table1[[#This Row],[σ]]*SQRT(Table1[[#This Row],[T]])</f>
        <v>0.68494489566442285</v>
      </c>
      <c r="AD6" s="89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1.5885038387251513E-2</v>
      </c>
      <c r="AE6" s="27">
        <f>Table1[[#This Row],[CP]]*EXP(-Table1[[#This Row],[q]]*Table1[[#This Row],[T]])*_xlfn.NORM.S.DIST(Table1[[#This Row],[CP]]*Table1[[#This Row],[d1]],TRUE)</f>
        <v>-0.13856738591755027</v>
      </c>
      <c r="AF6" s="92">
        <f>Table1[[#This Row],[CP]]*_xlfn.NORM.S.DIST(Table1[[#This Row],[CP]]*Table1[[#This Row],[d1]],TRUE)</f>
        <v>-0.16818121954691986</v>
      </c>
      <c r="AG6" s="21">
        <f>1%*Table1[[#This Row],[S0]]*SQRT(Table1[[#This Row],[T]])*_xlfn.NORM.S.DIST(Table1[[#This Row],[d1]],FALSE)*EXP(-Table1[[#This Row],[rf]]*T)</f>
        <v>3.6815478748224092E-3</v>
      </c>
      <c r="AH6" s="86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-1.1613078637704279E-5</v>
      </c>
      <c r="AI6" s="21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6" s="21">
        <f>(1%)*(-Table1[[#This Row],[T]]*EXP(-Table1[[#This Row],[q]]*T)*Table1[[#This Row],[S0]]*_xlfn.NORM.S.DIST(Table1[[#This Row],[d1]],TRUE))</f>
        <v>-2.725030165577752E-2</v>
      </c>
      <c r="AK6" s="88">
        <f>1%*-Table1[[#This Row],[T]]*EXP(-Table1[[#This Row],[r]]*Table1[[#This Row],[T]])*Table1[[#This Row],[S0]]*_xlfn.NORM.S.DIST(Table1[[#This Row],[d2]],TRUE)</f>
        <v>-2.1466767484352684E-2</v>
      </c>
      <c r="AL6" s="77">
        <f>Table1[[#This Row],[Px]]*Table1[[#This Row],[FOR Notional]]/Table1[[#This Row],[Result Ccy Divisor]]</f>
        <v>1165959.9520883376</v>
      </c>
      <c r="AM6" s="54">
        <f>Table1[[#This Row],[Unit Δspot]]*Table1[[#This Row],[FOR Notional]]*Table1[[#This Row],[S0]]/Table1[[#This Row],[Result Ccy Divisor]]</f>
        <v>-6928369.2958775135</v>
      </c>
      <c r="AN6" s="54">
        <f>Table1[[#This Row],[Unit Δforward]]*Table1[[#This Row],[FOR Notional]]*Table1[[#This Row],[S0]]/Table1[[#This Row],[Result Ccy Divisor]]</f>
        <v>-8409060.9773459937</v>
      </c>
      <c r="AO6" s="54">
        <f>Table1[[#This Row],[Unit Vega]]*Table1[[#This Row],[FOR Notional]]/Table1[[#This Row],[Result Ccy Divisor]]</f>
        <v>270225.18165167421</v>
      </c>
      <c r="AP6" s="54">
        <f>Table1[[#This Row],[Unit Theta]]*Table1[[#This Row],[FOR Notional]]/Table1[[#This Row],[Result Ccy Divisor]]</f>
        <v>-852.398608169721</v>
      </c>
      <c r="AQ6" s="54">
        <f>Table1[[#This Row],[Unit Gamma]]*Table1[[#This Row],[FOR Notional]]*Table1[[#This Row],[S0]]/Table1[[#This Row],[Result Ccy Divisor]]</f>
        <v>374521.61956224928</v>
      </c>
      <c r="AR6" s="54">
        <f>Table1[[#This Row],[Unit Rhoforeign currency]]*Table1[[#This Row],[FOR Notional]]/Table1[[#This Row],[Result Ccy Divisor]]</f>
        <v>-2000168.9412637639</v>
      </c>
      <c r="AS6" s="54">
        <f>Table1[[#This Row],[Unit Rhodomestic currency]]*Table1[[#This Row],[FOR Notional]]/Table1[[#This Row],[Result Ccy Divisor]]</f>
        <v>-1575658.2122983474</v>
      </c>
    </row>
  </sheetData>
  <phoneticPr fontId="12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CE3B45A-EC35-467D-B5A3-8F791B09A7AD}">
          <x14:formula1>
            <xm:f>'Data Validation'!$A$1:$A$2</xm:f>
          </x14:formula1>
          <xm:sqref>C5:C6</xm:sqref>
        </x14:dataValidation>
        <x14:dataValidation type="list" allowBlank="1" showInputMessage="1" showErrorMessage="1" xr:uid="{257180F3-6123-457E-A5CF-131FC77CA384}">
          <x14:formula1>
            <xm:f>'Data Validation'!$B$1:$B$2</xm:f>
          </x14:formula1>
          <xm:sqref>H5:H6 O5:O6</xm:sqref>
        </x14:dataValidation>
        <x14:dataValidation type="list" allowBlank="1" showInputMessage="1" showErrorMessage="1" xr:uid="{D166889D-56E4-4BB6-907B-227B0C03AF4E}">
          <x14:formula1>
            <xm:f>'Data Validation'!$C$1:$C$2</xm:f>
          </x14:formula1>
          <xm:sqref>E5:E6</xm:sqref>
        </x14:dataValidation>
        <x14:dataValidation type="list" allowBlank="1" showInputMessage="1" showErrorMessage="1" xr:uid="{72F8B968-552F-4C6B-B746-5FC75E267ABC}">
          <x14:formula1>
            <xm:f>'Data Validation'!$F$1:$F$2</xm:f>
          </x14:formula1>
          <xm:sqref>P5:P6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F4409-E5FD-4098-B17D-D484597EBF61}">
  <sheetPr codeName="Sheet2"/>
  <dimension ref="A1:P5015"/>
  <sheetViews>
    <sheetView workbookViewId="0">
      <selection activeCell="F1" sqref="F1"/>
    </sheetView>
  </sheetViews>
  <sheetFormatPr defaultRowHeight="12.75" x14ac:dyDescent="0.2"/>
  <cols>
    <col min="1" max="1" width="18.140625" bestFit="1" customWidth="1"/>
    <col min="2" max="2" width="11.5703125" bestFit="1" customWidth="1"/>
    <col min="3" max="3" width="12" bestFit="1" customWidth="1"/>
    <col min="4" max="4" width="9.7109375" bestFit="1" customWidth="1"/>
    <col min="5" max="5" width="15.5703125" bestFit="1" customWidth="1"/>
    <col min="6" max="6" width="15.140625" bestFit="1" customWidth="1"/>
    <col min="8" max="8" width="22" bestFit="1" customWidth="1"/>
    <col min="9" max="9" width="9.7109375" bestFit="1" customWidth="1"/>
    <col min="10" max="10" width="15.5703125" bestFit="1" customWidth="1"/>
    <col min="11" max="11" width="5.28515625" bestFit="1" customWidth="1"/>
    <col min="12" max="12" width="15.140625" bestFit="1" customWidth="1"/>
    <col min="13" max="13" width="5.28515625" bestFit="1" customWidth="1"/>
    <col min="14" max="14" width="9.7109375" customWidth="1"/>
    <col min="15" max="15" width="18.5703125" bestFit="1" customWidth="1"/>
    <col min="16" max="16" width="10.7109375" bestFit="1" customWidth="1"/>
  </cols>
  <sheetData>
    <row r="1" spans="2:16" x14ac:dyDescent="0.2">
      <c r="J1" s="17"/>
      <c r="K1" s="17"/>
    </row>
    <row r="2" spans="2:16" x14ac:dyDescent="0.2">
      <c r="H2" s="101" t="s">
        <v>143</v>
      </c>
      <c r="I2" s="33"/>
      <c r="J2" s="102" t="s">
        <v>85</v>
      </c>
      <c r="K2" s="28" t="s">
        <v>16</v>
      </c>
      <c r="L2" s="98" t="s">
        <v>86</v>
      </c>
      <c r="M2" s="28" t="s">
        <v>16</v>
      </c>
      <c r="O2" s="25" t="s">
        <v>74</v>
      </c>
      <c r="P2" s="35">
        <v>5000</v>
      </c>
    </row>
    <row r="3" spans="2:16" x14ac:dyDescent="0.2">
      <c r="H3" s="2" t="s">
        <v>82</v>
      </c>
      <c r="J3" s="103">
        <f>J15*Foreign_Ccy_Notional</f>
        <v>19346.774352764423</v>
      </c>
      <c r="K3" s="36" t="s">
        <v>53</v>
      </c>
      <c r="L3" s="54">
        <f>IF(Notional_Ccy="DOM",1,S0)*Notional_amount*L15</f>
        <v>165891.28183600013</v>
      </c>
      <c r="M3" s="12" t="str">
        <f>Notional_Ccy</f>
        <v>FOR</v>
      </c>
      <c r="O3" s="2" t="s">
        <v>75</v>
      </c>
      <c r="P3" s="108">
        <v>5000</v>
      </c>
    </row>
    <row r="4" spans="2:16" x14ac:dyDescent="0.2">
      <c r="H4" s="2" t="s">
        <v>81</v>
      </c>
      <c r="J4" s="104">
        <f>EXP(-r_*T)</f>
        <v>0.94712397548866312</v>
      </c>
      <c r="K4" s="24"/>
      <c r="L4" s="23">
        <f>'GK Pricer'!G38</f>
        <v>0.9540432834884498</v>
      </c>
      <c r="M4" s="12"/>
      <c r="O4" s="2" t="s">
        <v>77</v>
      </c>
      <c r="P4" s="36">
        <f>P2*P3</f>
        <v>25000000</v>
      </c>
    </row>
    <row r="5" spans="2:16" x14ac:dyDescent="0.2">
      <c r="H5" s="2" t="s">
        <v>83</v>
      </c>
      <c r="J5" s="103">
        <f>J3*J4</f>
        <v>18323.793837872348</v>
      </c>
      <c r="K5" s="36" t="s">
        <v>53</v>
      </c>
      <c r="L5" s="17">
        <f>L3*L4</f>
        <v>158267.46322492539</v>
      </c>
      <c r="M5" s="12" t="str">
        <f>Notional_Ccy</f>
        <v>FOR</v>
      </c>
      <c r="O5" s="2" t="s">
        <v>84</v>
      </c>
      <c r="P5" s="99">
        <v>28.984375</v>
      </c>
    </row>
    <row r="6" spans="2:16" x14ac:dyDescent="0.2">
      <c r="D6" s="58"/>
      <c r="E6" s="20"/>
      <c r="H6" s="13"/>
      <c r="I6" s="41"/>
      <c r="J6" s="44">
        <f>J5/ResultDomesticFXSpotRate</f>
        <v>18323.793837872348</v>
      </c>
      <c r="K6" s="105" t="str">
        <f>ResultCurrency</f>
        <v>DOM</v>
      </c>
      <c r="L6" s="107">
        <f>L5/ResultNotionalFXSpotRate</f>
        <v>238750.13308934285</v>
      </c>
      <c r="M6" s="14" t="str">
        <f>ResultCurrency</f>
        <v>DOM</v>
      </c>
      <c r="O6" s="13" t="s">
        <v>141</v>
      </c>
      <c r="P6" s="96">
        <f>Monte_Carlo_Runtime/60</f>
        <v>0.48307291666666669</v>
      </c>
    </row>
    <row r="7" spans="2:16" x14ac:dyDescent="0.2">
      <c r="D7" s="20"/>
      <c r="E7" s="125"/>
      <c r="F7" s="125"/>
      <c r="H7" s="101" t="s">
        <v>142</v>
      </c>
      <c r="I7" s="33"/>
      <c r="J7" s="25"/>
      <c r="K7" s="28"/>
      <c r="L7" s="34"/>
      <c r="M7" s="28"/>
    </row>
    <row r="8" spans="2:16" x14ac:dyDescent="0.2">
      <c r="D8" s="20"/>
      <c r="E8" s="100"/>
      <c r="F8" s="100"/>
      <c r="H8" s="2" t="s">
        <v>83</v>
      </c>
      <c r="J8" s="103">
        <f>'GK Pricer'!L9</f>
        <v>1292.2593417313867</v>
      </c>
      <c r="K8" s="12" t="str">
        <f>ResultCurrency</f>
        <v>DOM</v>
      </c>
      <c r="L8" s="17">
        <f>'GK Pricer'!L21</f>
        <v>32405.479716012273</v>
      </c>
      <c r="M8" s="12" t="str">
        <f>ResultCurrency</f>
        <v>DOM</v>
      </c>
    </row>
    <row r="9" spans="2:16" x14ac:dyDescent="0.2">
      <c r="D9" s="20"/>
      <c r="E9" s="100"/>
      <c r="F9" s="100"/>
      <c r="H9" s="13" t="s">
        <v>36</v>
      </c>
      <c r="I9" s="41"/>
      <c r="J9" s="44">
        <f>'GK Pricer'!L13</f>
        <v>668.28731449087309</v>
      </c>
      <c r="K9" s="14" t="str">
        <f>ResultCurrency</f>
        <v>DOM</v>
      </c>
      <c r="L9" s="41"/>
      <c r="M9" s="14" t="str">
        <f>ResultCurrency</f>
        <v>DOM</v>
      </c>
    </row>
    <row r="10" spans="2:16" x14ac:dyDescent="0.2">
      <c r="D10" s="20"/>
      <c r="E10" s="100"/>
      <c r="F10" s="100"/>
      <c r="H10" s="25" t="s">
        <v>147</v>
      </c>
      <c r="I10" s="33"/>
      <c r="J10" s="53">
        <f>J8-J6</f>
        <v>-17031.534496140961</v>
      </c>
      <c r="K10" s="28" t="str">
        <f>ResultCurrency</f>
        <v>DOM</v>
      </c>
      <c r="L10" s="34">
        <f>L8-L6</f>
        <v>-206344.65337333057</v>
      </c>
      <c r="M10" s="28" t="str">
        <f>ResultCurrency</f>
        <v>DOM</v>
      </c>
    </row>
    <row r="11" spans="2:16" x14ac:dyDescent="0.2">
      <c r="D11" s="20"/>
      <c r="E11" s="100"/>
      <c r="F11" s="100"/>
      <c r="H11" s="13" t="s">
        <v>146</v>
      </c>
      <c r="I11" s="41"/>
      <c r="J11" s="109">
        <f>J10/J9</f>
        <v>-25.485347584543391</v>
      </c>
      <c r="K11" s="14"/>
      <c r="L11" s="22"/>
      <c r="M11" s="14"/>
    </row>
    <row r="12" spans="2:16" x14ac:dyDescent="0.2">
      <c r="D12" s="20"/>
      <c r="E12" s="100"/>
      <c r="F12" s="100"/>
      <c r="L12" s="17"/>
    </row>
    <row r="13" spans="2:16" x14ac:dyDescent="0.2">
      <c r="D13" s="20"/>
      <c r="E13" s="100"/>
      <c r="F13" s="100"/>
      <c r="L13" s="17"/>
    </row>
    <row r="14" spans="2:16" x14ac:dyDescent="0.2">
      <c r="B14" s="41"/>
      <c r="C14" s="41" t="s">
        <v>69</v>
      </c>
      <c r="D14" s="41" t="s">
        <v>70</v>
      </c>
      <c r="E14" s="41" t="s">
        <v>120</v>
      </c>
      <c r="F14" s="41" t="s">
        <v>121</v>
      </c>
      <c r="I14" t="s">
        <v>70</v>
      </c>
      <c r="J14" t="s">
        <v>120</v>
      </c>
      <c r="L14" s="17" t="s">
        <v>121</v>
      </c>
    </row>
    <row r="15" spans="2:16" x14ac:dyDescent="0.2">
      <c r="B15" s="10" t="s">
        <v>78</v>
      </c>
      <c r="C15" s="47">
        <f t="shared" ref="C15:F15" ca="1" si="0">AVERAGE(C16:C5015)</f>
        <v>1.1857181902996673E-17</v>
      </c>
      <c r="D15" s="47">
        <f ca="1">AVERAGE(D16:D5015)</f>
        <v>0.66767424744659765</v>
      </c>
      <c r="E15" s="97">
        <f t="shared" ca="1" si="0"/>
        <v>1.2211757889647832E-3</v>
      </c>
      <c r="F15" s="56">
        <f t="shared" ca="1" si="0"/>
        <v>4.02E-2</v>
      </c>
      <c r="H15" t="s">
        <v>79</v>
      </c>
      <c r="I15" s="47">
        <f>AVERAGE(I16:I5015)</f>
        <v>0.66892499706119568</v>
      </c>
      <c r="J15" s="97">
        <f>AVERAGE(J16:J5015)</f>
        <v>1.9346774352764422E-2</v>
      </c>
      <c r="K15" s="97"/>
      <c r="L15" s="51">
        <f>AVERAGE(L16:L5015)</f>
        <v>0.2502508400000002</v>
      </c>
      <c r="O15" s="50"/>
      <c r="P15" s="17"/>
    </row>
    <row r="16" spans="2:16" x14ac:dyDescent="0.2">
      <c r="B16">
        <v>1</v>
      </c>
      <c r="C16" s="48">
        <f ca="1">_xlfn.NORM.S.INV(RAND())</f>
        <v>-0.76995211627633242</v>
      </c>
      <c r="D16" s="48">
        <f t="shared" ref="D16:D79" ca="1" si="1">S0*EXP((μ-0.5*σ*σ)*T+σ*SQRT(T)*$C16)</f>
        <v>0.61593153698142622</v>
      </c>
      <c r="E16" s="48">
        <f t="shared" ref="E16:E79" ca="1" si="2">MAX(0,CP*(D16-K))</f>
        <v>0</v>
      </c>
      <c r="F16" s="17">
        <f t="shared" ref="F16:F79" ca="1" si="3">(CP*(D16-K)&gt;0)*1</f>
        <v>0</v>
      </c>
      <c r="H16" s="17">
        <v>1</v>
      </c>
      <c r="I16" s="43">
        <v>0.66862167654050408</v>
      </c>
      <c r="J16" s="43">
        <v>1.9274871189686928E-2</v>
      </c>
      <c r="K16" s="43"/>
      <c r="L16" s="43">
        <v>0.24840000000000001</v>
      </c>
      <c r="O16" s="50"/>
    </row>
    <row r="17" spans="2:15" x14ac:dyDescent="0.2">
      <c r="B17">
        <v>2</v>
      </c>
      <c r="C17" s="48">
        <f t="shared" ref="C17:C80" ca="1" si="4">_xlfn.NORM.S.INV(RAND())</f>
        <v>0.48910577644306147</v>
      </c>
      <c r="D17" s="48">
        <f t="shared" ca="1" si="1"/>
        <v>0.69733306240496407</v>
      </c>
      <c r="E17" s="48">
        <f t="shared" ca="1" si="2"/>
        <v>0</v>
      </c>
      <c r="F17" s="17">
        <f t="shared" ca="1" si="3"/>
        <v>0</v>
      </c>
      <c r="H17" s="17">
        <v>2</v>
      </c>
      <c r="I17" s="43">
        <v>0.66896398436297577</v>
      </c>
      <c r="J17" s="43">
        <v>1.924212278195268E-2</v>
      </c>
      <c r="K17" s="43"/>
      <c r="L17" s="43">
        <v>0.24640000000000001</v>
      </c>
      <c r="O17" s="50"/>
    </row>
    <row r="18" spans="2:15" x14ac:dyDescent="0.2">
      <c r="B18">
        <v>3</v>
      </c>
      <c r="C18" s="48">
        <f t="shared" ca="1" si="4"/>
        <v>-1.1422697992472124</v>
      </c>
      <c r="D18" s="48">
        <f t="shared" ca="1" si="1"/>
        <v>0.59373313918782955</v>
      </c>
      <c r="E18" s="48">
        <f t="shared" ca="1" si="2"/>
        <v>0</v>
      </c>
      <c r="F18" s="17">
        <f t="shared" ca="1" si="3"/>
        <v>0</v>
      </c>
      <c r="H18" s="17">
        <v>3</v>
      </c>
      <c r="I18" s="43">
        <v>0.66856392865926395</v>
      </c>
      <c r="J18" s="43">
        <v>1.9136901472814081E-2</v>
      </c>
      <c r="K18" s="43"/>
      <c r="L18" s="43">
        <v>0.25440000000000002</v>
      </c>
      <c r="O18" s="19"/>
    </row>
    <row r="19" spans="2:15" x14ac:dyDescent="0.2">
      <c r="B19">
        <v>4</v>
      </c>
      <c r="C19" s="48">
        <f t="shared" ca="1" si="4"/>
        <v>0.95470977739889451</v>
      </c>
      <c r="D19" s="48">
        <f t="shared" ca="1" si="1"/>
        <v>0.73008857934704763</v>
      </c>
      <c r="E19" s="48">
        <f t="shared" ca="1" si="2"/>
        <v>0</v>
      </c>
      <c r="F19" s="17">
        <f t="shared" ca="1" si="3"/>
        <v>0</v>
      </c>
      <c r="H19" s="17">
        <v>4</v>
      </c>
      <c r="I19" s="43">
        <v>0.66844716040268204</v>
      </c>
      <c r="J19" s="43">
        <v>1.9261728153371398E-2</v>
      </c>
      <c r="K19" s="43"/>
      <c r="L19" s="43">
        <v>0.247</v>
      </c>
      <c r="O19" s="50"/>
    </row>
    <row r="20" spans="2:15" x14ac:dyDescent="0.2">
      <c r="B20">
        <v>5</v>
      </c>
      <c r="C20" s="48">
        <f t="shared" ca="1" si="4"/>
        <v>-0.88931308806678877</v>
      </c>
      <c r="D20" s="48">
        <f t="shared" ca="1" si="1"/>
        <v>0.60872604342030423</v>
      </c>
      <c r="E20" s="48">
        <f t="shared" ca="1" si="2"/>
        <v>0</v>
      </c>
      <c r="F20" s="17">
        <f t="shared" ca="1" si="3"/>
        <v>0</v>
      </c>
      <c r="H20" s="17">
        <v>5</v>
      </c>
      <c r="I20" s="43">
        <v>0.66894450982795184</v>
      </c>
      <c r="J20" s="43">
        <v>1.9388621594698681E-2</v>
      </c>
      <c r="K20" s="43"/>
      <c r="L20" s="43">
        <v>0.24740000000000001</v>
      </c>
      <c r="O20" s="50"/>
    </row>
    <row r="21" spans="2:15" x14ac:dyDescent="0.2">
      <c r="B21">
        <v>6</v>
      </c>
      <c r="C21" s="48">
        <f t="shared" ca="1" si="4"/>
        <v>-0.75390927134999475</v>
      </c>
      <c r="D21" s="48">
        <f t="shared" ca="1" si="1"/>
        <v>0.61690647956059175</v>
      </c>
      <c r="E21" s="48">
        <f t="shared" ca="1" si="2"/>
        <v>0</v>
      </c>
      <c r="F21" s="17">
        <f t="shared" ca="1" si="3"/>
        <v>0</v>
      </c>
      <c r="H21" s="17">
        <v>6</v>
      </c>
      <c r="I21" s="43">
        <v>0.66827755601657368</v>
      </c>
      <c r="J21" s="43">
        <v>1.9030049941019204E-2</v>
      </c>
      <c r="K21" s="43"/>
      <c r="L21" s="43">
        <v>0.248</v>
      </c>
      <c r="O21" s="50"/>
    </row>
    <row r="22" spans="2:15" x14ac:dyDescent="0.2">
      <c r="B22">
        <v>7</v>
      </c>
      <c r="C22" s="48">
        <f t="shared" ca="1" si="4"/>
        <v>1.6984901068465301</v>
      </c>
      <c r="D22" s="48">
        <f t="shared" ca="1" si="1"/>
        <v>0.7856357707826116</v>
      </c>
      <c r="E22" s="48">
        <f t="shared" ca="1" si="2"/>
        <v>0</v>
      </c>
      <c r="F22" s="17">
        <f t="shared" ca="1" si="3"/>
        <v>0</v>
      </c>
      <c r="H22" s="17">
        <v>7</v>
      </c>
      <c r="I22" s="43">
        <v>0.66858562000518962</v>
      </c>
      <c r="J22" s="43">
        <v>1.9209405522665379E-2</v>
      </c>
      <c r="K22" s="43"/>
      <c r="L22" s="43">
        <v>0.255</v>
      </c>
      <c r="O22" s="50"/>
    </row>
    <row r="23" spans="2:15" x14ac:dyDescent="0.2">
      <c r="B23">
        <v>8</v>
      </c>
      <c r="C23" s="48">
        <f t="shared" ca="1" si="4"/>
        <v>0.2785705947004492</v>
      </c>
      <c r="D23" s="48">
        <f t="shared" ca="1" si="1"/>
        <v>0.68300830366761722</v>
      </c>
      <c r="E23" s="48">
        <f t="shared" ca="1" si="2"/>
        <v>0</v>
      </c>
      <c r="F23" s="17">
        <f t="shared" ca="1" si="3"/>
        <v>0</v>
      </c>
      <c r="H23" s="17">
        <v>8</v>
      </c>
      <c r="I23" s="43">
        <v>0.66926978121064795</v>
      </c>
      <c r="J23" s="43">
        <v>1.9279305658850103E-2</v>
      </c>
      <c r="K23" s="43"/>
      <c r="L23" s="43">
        <v>0.24879999999999999</v>
      </c>
      <c r="O23" s="50"/>
    </row>
    <row r="24" spans="2:15" x14ac:dyDescent="0.2">
      <c r="B24">
        <v>9</v>
      </c>
      <c r="C24" s="48">
        <f t="shared" ca="1" si="4"/>
        <v>-0.61101238096116883</v>
      </c>
      <c r="D24" s="48">
        <f t="shared" ca="1" si="1"/>
        <v>0.62565886748051203</v>
      </c>
      <c r="E24" s="48">
        <f t="shared" ca="1" si="2"/>
        <v>0</v>
      </c>
      <c r="F24" s="17">
        <f t="shared" ca="1" si="3"/>
        <v>0</v>
      </c>
      <c r="H24" s="17">
        <v>9</v>
      </c>
      <c r="I24" s="43">
        <v>0.66740388069516143</v>
      </c>
      <c r="J24" s="43">
        <v>1.8241121856909358E-2</v>
      </c>
      <c r="K24" s="43"/>
      <c r="L24" s="43">
        <v>0.245</v>
      </c>
      <c r="O24" s="50"/>
    </row>
    <row r="25" spans="2:15" x14ac:dyDescent="0.2">
      <c r="B25">
        <v>10</v>
      </c>
      <c r="C25" s="48">
        <f t="shared" ca="1" si="4"/>
        <v>-0.45429462035124907</v>
      </c>
      <c r="D25" s="48">
        <f t="shared" ca="1" si="1"/>
        <v>0.63540061512225676</v>
      </c>
      <c r="E25" s="48">
        <f t="shared" ca="1" si="2"/>
        <v>0</v>
      </c>
      <c r="F25" s="17">
        <f t="shared" ca="1" si="3"/>
        <v>0</v>
      </c>
      <c r="H25" s="17">
        <v>10</v>
      </c>
      <c r="I25" s="43">
        <v>0.66822975971710863</v>
      </c>
      <c r="J25" s="43">
        <v>1.8605291038332718E-2</v>
      </c>
      <c r="K25" s="43"/>
      <c r="L25" s="43">
        <v>0.2442</v>
      </c>
      <c r="O25" s="50"/>
    </row>
    <row r="26" spans="2:15" x14ac:dyDescent="0.2">
      <c r="B26">
        <v>11</v>
      </c>
      <c r="C26" s="48">
        <f t="shared" ca="1" si="4"/>
        <v>-1.2234254316751738</v>
      </c>
      <c r="D26" s="48">
        <f t="shared" ca="1" si="1"/>
        <v>0.58900167610805665</v>
      </c>
      <c r="E26" s="48">
        <f t="shared" ca="1" si="2"/>
        <v>0</v>
      </c>
      <c r="F26" s="17">
        <f t="shared" ca="1" si="3"/>
        <v>0</v>
      </c>
      <c r="H26" s="17">
        <v>11</v>
      </c>
      <c r="I26" s="43">
        <v>0.66854742879129436</v>
      </c>
      <c r="J26" s="43">
        <v>1.9066243193590352E-2</v>
      </c>
      <c r="K26" s="43"/>
      <c r="L26" s="43">
        <v>0.24379999999999999</v>
      </c>
      <c r="O26" s="50"/>
    </row>
    <row r="27" spans="2:15" x14ac:dyDescent="0.2">
      <c r="B27">
        <v>12</v>
      </c>
      <c r="C27" s="48">
        <f t="shared" ca="1" si="4"/>
        <v>-2.4412518722290146</v>
      </c>
      <c r="D27" s="48">
        <f t="shared" ca="1" si="1"/>
        <v>0.52236501291416204</v>
      </c>
      <c r="E27" s="48">
        <f t="shared" ca="1" si="2"/>
        <v>0</v>
      </c>
      <c r="F27" s="17">
        <f t="shared" ca="1" si="3"/>
        <v>0</v>
      </c>
      <c r="H27" s="17">
        <v>12</v>
      </c>
      <c r="I27" s="43">
        <v>0.66863569517026278</v>
      </c>
      <c r="J27" s="43">
        <v>1.9030182297208778E-2</v>
      </c>
      <c r="K27" s="43"/>
      <c r="L27" s="43">
        <v>0.24460000000000001</v>
      </c>
      <c r="O27" s="50"/>
    </row>
    <row r="28" spans="2:15" x14ac:dyDescent="0.2">
      <c r="B28">
        <v>13</v>
      </c>
      <c r="C28" s="48">
        <f t="shared" ca="1" si="4"/>
        <v>-0.7033969746909241</v>
      </c>
      <c r="D28" s="48">
        <f t="shared" ca="1" si="1"/>
        <v>0.61998626161009907</v>
      </c>
      <c r="E28" s="48">
        <f t="shared" ca="1" si="2"/>
        <v>0</v>
      </c>
      <c r="F28" s="17">
        <f t="shared" ca="1" si="3"/>
        <v>0</v>
      </c>
      <c r="H28" s="17">
        <v>13</v>
      </c>
      <c r="I28" s="43">
        <v>0.66839543521487277</v>
      </c>
      <c r="J28" s="43">
        <v>1.8991339616947947E-2</v>
      </c>
      <c r="K28" s="43"/>
      <c r="L28" s="43">
        <v>0.25059999999999999</v>
      </c>
      <c r="O28" s="50"/>
    </row>
    <row r="29" spans="2:15" x14ac:dyDescent="0.2">
      <c r="B29">
        <v>14</v>
      </c>
      <c r="C29" s="48">
        <f t="shared" ca="1" si="4"/>
        <v>1.5242510135573397</v>
      </c>
      <c r="D29" s="48">
        <f t="shared" ca="1" si="1"/>
        <v>0.7722555339176661</v>
      </c>
      <c r="E29" s="48">
        <f t="shared" ca="1" si="2"/>
        <v>0</v>
      </c>
      <c r="F29" s="17">
        <f t="shared" ca="1" si="3"/>
        <v>0</v>
      </c>
      <c r="H29" s="17">
        <v>14</v>
      </c>
      <c r="I29" s="43">
        <v>0.66844327531065506</v>
      </c>
      <c r="J29" s="43">
        <v>1.935009877510821E-2</v>
      </c>
      <c r="K29" s="43"/>
      <c r="L29" s="43">
        <v>0.25340000000000001</v>
      </c>
      <c r="O29" s="50"/>
    </row>
    <row r="30" spans="2:15" x14ac:dyDescent="0.2">
      <c r="B30">
        <v>15</v>
      </c>
      <c r="C30" s="48">
        <f t="shared" ca="1" si="4"/>
        <v>0.38089796340601362</v>
      </c>
      <c r="D30" s="48">
        <f t="shared" ca="1" si="1"/>
        <v>0.68993349818348537</v>
      </c>
      <c r="E30" s="48">
        <f t="shared" ca="1" si="2"/>
        <v>0</v>
      </c>
      <c r="F30" s="17">
        <f t="shared" ca="1" si="3"/>
        <v>0</v>
      </c>
      <c r="H30" s="17">
        <v>15</v>
      </c>
      <c r="I30" s="43">
        <v>0.66789193581830808</v>
      </c>
      <c r="J30" s="43">
        <v>1.8357885200300916E-2</v>
      </c>
      <c r="K30" s="43"/>
      <c r="L30" s="43">
        <v>0.23760000000000001</v>
      </c>
      <c r="O30" s="50"/>
    </row>
    <row r="31" spans="2:15" x14ac:dyDescent="0.2">
      <c r="B31">
        <v>16</v>
      </c>
      <c r="C31" s="48">
        <f t="shared" ca="1" si="4"/>
        <v>0.35673291011002811</v>
      </c>
      <c r="D31" s="48">
        <f t="shared" ca="1" si="1"/>
        <v>0.68829177667938479</v>
      </c>
      <c r="E31" s="48">
        <f t="shared" ca="1" si="2"/>
        <v>0</v>
      </c>
      <c r="F31" s="17">
        <f t="shared" ca="1" si="3"/>
        <v>0</v>
      </c>
      <c r="H31" s="17">
        <v>16</v>
      </c>
      <c r="I31" s="43">
        <v>0.66715403953518171</v>
      </c>
      <c r="J31" s="43">
        <v>1.7726545141021375E-2</v>
      </c>
      <c r="K31" s="43"/>
      <c r="L31" s="43">
        <v>0.2392</v>
      </c>
      <c r="O31" s="50"/>
    </row>
    <row r="32" spans="2:15" x14ac:dyDescent="0.2">
      <c r="B32">
        <v>17</v>
      </c>
      <c r="C32" s="48">
        <f t="shared" ca="1" si="4"/>
        <v>0.44521628757963039</v>
      </c>
      <c r="D32" s="48">
        <f t="shared" ca="1" si="1"/>
        <v>0.69432225307530282</v>
      </c>
      <c r="E32" s="48">
        <f t="shared" ca="1" si="2"/>
        <v>0</v>
      </c>
      <c r="F32" s="17">
        <f t="shared" ca="1" si="3"/>
        <v>0</v>
      </c>
      <c r="H32" s="17">
        <v>17</v>
      </c>
      <c r="I32" s="43">
        <v>0.66869957587178153</v>
      </c>
      <c r="J32" s="43">
        <v>1.9276755526873822E-2</v>
      </c>
      <c r="K32" s="43"/>
      <c r="L32" s="43">
        <v>0.24779999999999999</v>
      </c>
      <c r="O32" s="50"/>
    </row>
    <row r="33" spans="2:15" x14ac:dyDescent="0.2">
      <c r="B33">
        <v>18</v>
      </c>
      <c r="C33" s="48">
        <f t="shared" ca="1" si="4"/>
        <v>0.93225592896698262</v>
      </c>
      <c r="D33" s="48">
        <f t="shared" ca="1" si="1"/>
        <v>0.7284741930636226</v>
      </c>
      <c r="E33" s="48">
        <f t="shared" ca="1" si="2"/>
        <v>0</v>
      </c>
      <c r="F33" s="17">
        <f t="shared" ca="1" si="3"/>
        <v>0</v>
      </c>
      <c r="H33" s="17">
        <v>18</v>
      </c>
      <c r="I33" s="43">
        <v>0.67015023240496863</v>
      </c>
      <c r="J33" s="43">
        <v>2.0381848278401359E-2</v>
      </c>
      <c r="K33" s="43"/>
      <c r="L33" s="43">
        <v>0.25800000000000001</v>
      </c>
      <c r="O33" s="50"/>
    </row>
    <row r="34" spans="2:15" x14ac:dyDescent="0.2">
      <c r="B34">
        <v>19</v>
      </c>
      <c r="C34" s="48">
        <f t="shared" ca="1" si="4"/>
        <v>0.65307640878910211</v>
      </c>
      <c r="D34" s="48">
        <f t="shared" ca="1" si="1"/>
        <v>0.70869737209917549</v>
      </c>
      <c r="E34" s="48">
        <f t="shared" ca="1" si="2"/>
        <v>0</v>
      </c>
      <c r="F34" s="17">
        <f t="shared" ca="1" si="3"/>
        <v>0</v>
      </c>
      <c r="H34" s="17">
        <v>19</v>
      </c>
      <c r="I34" s="43">
        <v>0.66854895657638769</v>
      </c>
      <c r="J34" s="43">
        <v>1.9221556898068322E-2</v>
      </c>
      <c r="K34" s="43"/>
      <c r="L34" s="43">
        <v>0.24979999999999999</v>
      </c>
      <c r="O34" s="50"/>
    </row>
    <row r="35" spans="2:15" x14ac:dyDescent="0.2">
      <c r="B35">
        <v>20</v>
      </c>
      <c r="C35" s="48">
        <f t="shared" ca="1" si="4"/>
        <v>-0.48155682047830234</v>
      </c>
      <c r="D35" s="48">
        <f t="shared" ca="1" si="1"/>
        <v>0.63369513463609006</v>
      </c>
      <c r="E35" s="48">
        <f t="shared" ca="1" si="2"/>
        <v>0</v>
      </c>
      <c r="F35" s="17">
        <f t="shared" ca="1" si="3"/>
        <v>0</v>
      </c>
      <c r="H35" s="17">
        <v>20</v>
      </c>
      <c r="I35" s="43">
        <v>0.66963492340052788</v>
      </c>
      <c r="J35" s="43">
        <v>1.9857150699666627E-2</v>
      </c>
      <c r="K35" s="43"/>
      <c r="L35" s="43">
        <v>0.25180000000000002</v>
      </c>
      <c r="O35" s="50"/>
    </row>
    <row r="36" spans="2:15" x14ac:dyDescent="0.2">
      <c r="B36">
        <v>21</v>
      </c>
      <c r="C36" s="48">
        <f t="shared" ca="1" si="4"/>
        <v>0.90146571603592252</v>
      </c>
      <c r="D36" s="48">
        <f t="shared" ca="1" si="1"/>
        <v>0.72626624123606065</v>
      </c>
      <c r="E36" s="48">
        <f t="shared" ca="1" si="2"/>
        <v>0</v>
      </c>
      <c r="F36" s="17">
        <f t="shared" ca="1" si="3"/>
        <v>0</v>
      </c>
      <c r="H36" s="17">
        <v>21</v>
      </c>
      <c r="I36" s="43">
        <v>0.6700569972759024</v>
      </c>
      <c r="J36" s="43">
        <v>2.0004534666192481E-2</v>
      </c>
      <c r="K36" s="43"/>
      <c r="L36" s="43">
        <v>0.24979999999999999</v>
      </c>
      <c r="O36" s="50"/>
    </row>
    <row r="37" spans="2:15" x14ac:dyDescent="0.2">
      <c r="B37">
        <v>22</v>
      </c>
      <c r="C37" s="48">
        <f t="shared" ca="1" si="4"/>
        <v>0.10641999793623153</v>
      </c>
      <c r="D37" s="48">
        <f t="shared" ca="1" si="1"/>
        <v>0.67151417512725153</v>
      </c>
      <c r="E37" s="48">
        <f t="shared" ca="1" si="2"/>
        <v>0</v>
      </c>
      <c r="F37" s="17">
        <f t="shared" ca="1" si="3"/>
        <v>0</v>
      </c>
      <c r="H37" s="17">
        <v>22</v>
      </c>
      <c r="I37" s="43">
        <v>0.66980205112559277</v>
      </c>
      <c r="J37" s="43">
        <v>2.0013637688640167E-2</v>
      </c>
      <c r="K37" s="43"/>
      <c r="L37" s="43">
        <v>0.255</v>
      </c>
      <c r="O37" s="50"/>
    </row>
    <row r="38" spans="2:15" x14ac:dyDescent="0.2">
      <c r="B38">
        <v>23</v>
      </c>
      <c r="C38" s="48">
        <f t="shared" ca="1" si="4"/>
        <v>-0.75976336810000644</v>
      </c>
      <c r="D38" s="48">
        <f t="shared" ca="1" si="1"/>
        <v>0.61655054051665326</v>
      </c>
      <c r="E38" s="48">
        <f t="shared" ca="1" si="2"/>
        <v>0</v>
      </c>
      <c r="F38" s="17">
        <f t="shared" ca="1" si="3"/>
        <v>0</v>
      </c>
      <c r="H38" s="17">
        <v>23</v>
      </c>
      <c r="I38" s="43">
        <v>0.66872013197150948</v>
      </c>
      <c r="J38" s="43">
        <v>1.9348317379390495E-2</v>
      </c>
      <c r="K38" s="43"/>
      <c r="L38" s="43">
        <v>0.248</v>
      </c>
      <c r="O38" s="50"/>
    </row>
    <row r="39" spans="2:15" x14ac:dyDescent="0.2">
      <c r="B39">
        <v>24</v>
      </c>
      <c r="C39" s="48">
        <f t="shared" ca="1" si="4"/>
        <v>-0.69400380354887203</v>
      </c>
      <c r="D39" s="48">
        <f t="shared" ca="1" si="1"/>
        <v>0.6205606651745138</v>
      </c>
      <c r="E39" s="48">
        <f t="shared" ca="1" si="2"/>
        <v>0</v>
      </c>
      <c r="F39" s="17">
        <f t="shared" ca="1" si="3"/>
        <v>0</v>
      </c>
      <c r="H39" s="17">
        <v>24</v>
      </c>
      <c r="I39" s="43">
        <v>0.6682426248976584</v>
      </c>
      <c r="J39" s="43">
        <v>1.857182622118439E-2</v>
      </c>
      <c r="K39" s="43"/>
      <c r="L39" s="43">
        <v>0.24079999999999999</v>
      </c>
      <c r="O39" s="50"/>
    </row>
    <row r="40" spans="2:15" x14ac:dyDescent="0.2">
      <c r="B40">
        <v>25</v>
      </c>
      <c r="C40" s="48">
        <f t="shared" ca="1" si="4"/>
        <v>0.35089179474800891</v>
      </c>
      <c r="D40" s="48">
        <f t="shared" ca="1" si="1"/>
        <v>0.68789553053948949</v>
      </c>
      <c r="E40" s="48">
        <f t="shared" ca="1" si="2"/>
        <v>0</v>
      </c>
      <c r="F40" s="17">
        <f t="shared" ca="1" si="3"/>
        <v>0</v>
      </c>
      <c r="H40" s="17">
        <v>25</v>
      </c>
      <c r="I40" s="43">
        <v>0.6683028182287255</v>
      </c>
      <c r="J40" s="43">
        <v>1.8771601593891733E-2</v>
      </c>
      <c r="K40" s="43"/>
      <c r="L40" s="43">
        <v>0.2462</v>
      </c>
      <c r="O40" s="50"/>
    </row>
    <row r="41" spans="2:15" x14ac:dyDescent="0.2">
      <c r="B41">
        <v>26</v>
      </c>
      <c r="C41" s="48">
        <f t="shared" ca="1" si="4"/>
        <v>0.31282669555685033</v>
      </c>
      <c r="D41" s="48">
        <f t="shared" ca="1" si="1"/>
        <v>0.6853188740051358</v>
      </c>
      <c r="E41" s="48">
        <f t="shared" ca="1" si="2"/>
        <v>0</v>
      </c>
      <c r="F41" s="17">
        <f t="shared" ca="1" si="3"/>
        <v>0</v>
      </c>
      <c r="H41" s="17">
        <v>26</v>
      </c>
      <c r="I41" s="43">
        <v>0.66869995377759972</v>
      </c>
      <c r="J41" s="43">
        <v>1.9130188532894318E-2</v>
      </c>
      <c r="K41" s="43"/>
      <c r="L41" s="43">
        <v>0.25040000000000001</v>
      </c>
      <c r="O41" s="50"/>
    </row>
    <row r="42" spans="2:15" x14ac:dyDescent="0.2">
      <c r="B42">
        <v>27</v>
      </c>
      <c r="C42" s="48">
        <f t="shared" ca="1" si="4"/>
        <v>0.21158755699714535</v>
      </c>
      <c r="D42" s="48">
        <f t="shared" ca="1" si="1"/>
        <v>0.67851278961373851</v>
      </c>
      <c r="E42" s="48">
        <f t="shared" ca="1" si="2"/>
        <v>0</v>
      </c>
      <c r="F42" s="17">
        <f t="shared" ca="1" si="3"/>
        <v>0</v>
      </c>
      <c r="H42" s="17">
        <v>27</v>
      </c>
      <c r="I42" s="43">
        <v>0.66821296669605201</v>
      </c>
      <c r="J42" s="43">
        <v>1.8834265395289297E-2</v>
      </c>
      <c r="K42" s="43"/>
      <c r="L42" s="43">
        <v>0.248</v>
      </c>
      <c r="O42" s="50"/>
    </row>
    <row r="43" spans="2:15" x14ac:dyDescent="0.2">
      <c r="B43">
        <v>28</v>
      </c>
      <c r="C43" s="48">
        <f t="shared" ca="1" si="4"/>
        <v>2.5100150884486703</v>
      </c>
      <c r="D43" s="48">
        <f t="shared" ca="1" si="1"/>
        <v>0.85107434241434277</v>
      </c>
      <c r="E43" s="48">
        <f t="shared" ca="1" si="2"/>
        <v>6.2874342414342754E-2</v>
      </c>
      <c r="F43" s="17">
        <f t="shared" ca="1" si="3"/>
        <v>1</v>
      </c>
      <c r="H43" s="17">
        <v>28</v>
      </c>
      <c r="I43" s="43">
        <v>0.66886683705082206</v>
      </c>
      <c r="J43" s="43">
        <v>1.9168911035832063E-2</v>
      </c>
      <c r="K43" s="43"/>
      <c r="L43" s="43">
        <v>0.253</v>
      </c>
      <c r="O43" s="50"/>
    </row>
    <row r="44" spans="2:15" x14ac:dyDescent="0.2">
      <c r="B44">
        <v>29</v>
      </c>
      <c r="C44" s="48">
        <f t="shared" ca="1" si="4"/>
        <v>-0.19795300107949468</v>
      </c>
      <c r="D44" s="48">
        <f t="shared" ca="1" si="1"/>
        <v>0.65166313321188363</v>
      </c>
      <c r="E44" s="48">
        <f t="shared" ca="1" si="2"/>
        <v>0</v>
      </c>
      <c r="F44" s="17">
        <f t="shared" ca="1" si="3"/>
        <v>0</v>
      </c>
      <c r="H44" s="17">
        <v>29</v>
      </c>
      <c r="I44" s="43">
        <v>0.66930462455525319</v>
      </c>
      <c r="J44" s="43">
        <v>1.9772474951363059E-2</v>
      </c>
      <c r="K44" s="43"/>
      <c r="L44" s="43">
        <v>0.25619999999999998</v>
      </c>
      <c r="O44" s="50"/>
    </row>
    <row r="45" spans="2:15" x14ac:dyDescent="0.2">
      <c r="B45">
        <v>30</v>
      </c>
      <c r="C45" s="48">
        <f t="shared" ca="1" si="4"/>
        <v>-0.55190431177125365</v>
      </c>
      <c r="D45" s="48">
        <f t="shared" ca="1" si="1"/>
        <v>0.62931542237436389</v>
      </c>
      <c r="E45" s="48">
        <f t="shared" ca="1" si="2"/>
        <v>0</v>
      </c>
      <c r="F45" s="17">
        <f t="shared" ca="1" si="3"/>
        <v>0</v>
      </c>
      <c r="H45" s="17">
        <v>30</v>
      </c>
      <c r="I45" s="43">
        <v>0.66941598504263156</v>
      </c>
      <c r="J45" s="43">
        <v>1.9645479328986169E-2</v>
      </c>
      <c r="K45" s="43"/>
      <c r="L45" s="43">
        <v>0.25240000000000001</v>
      </c>
      <c r="O45" s="50"/>
    </row>
    <row r="46" spans="2:15" x14ac:dyDescent="0.2">
      <c r="B46">
        <v>31</v>
      </c>
      <c r="C46" s="48">
        <f t="shared" ca="1" si="4"/>
        <v>0.64999086361203051</v>
      </c>
      <c r="D46" s="48">
        <f t="shared" ca="1" si="1"/>
        <v>0.70848182191474873</v>
      </c>
      <c r="E46" s="48">
        <f t="shared" ca="1" si="2"/>
        <v>0</v>
      </c>
      <c r="F46" s="17">
        <f t="shared" ca="1" si="3"/>
        <v>0</v>
      </c>
      <c r="H46" s="17">
        <v>31</v>
      </c>
      <c r="I46" s="43">
        <v>0.66794131962916992</v>
      </c>
      <c r="J46" s="43">
        <v>1.8555183598307157E-2</v>
      </c>
      <c r="K46" s="43"/>
      <c r="L46" s="43">
        <v>0.24560000000000001</v>
      </c>
      <c r="O46" s="50"/>
    </row>
    <row r="47" spans="2:15" x14ac:dyDescent="0.2">
      <c r="B47">
        <v>32</v>
      </c>
      <c r="C47" s="48">
        <f t="shared" ca="1" si="4"/>
        <v>0.93200022527762372</v>
      </c>
      <c r="D47" s="48">
        <f t="shared" ca="1" si="1"/>
        <v>0.72845582905822703</v>
      </c>
      <c r="E47" s="48">
        <f t="shared" ca="1" si="2"/>
        <v>0</v>
      </c>
      <c r="F47" s="17">
        <f t="shared" ca="1" si="3"/>
        <v>0</v>
      </c>
      <c r="H47" s="17">
        <v>32</v>
      </c>
      <c r="I47" s="43">
        <v>0.66875890815078665</v>
      </c>
      <c r="J47" s="43">
        <v>1.9334605126594531E-2</v>
      </c>
      <c r="K47" s="43"/>
      <c r="L47" s="43">
        <v>0.246</v>
      </c>
      <c r="O47" s="50"/>
    </row>
    <row r="48" spans="2:15" x14ac:dyDescent="0.2">
      <c r="B48">
        <v>33</v>
      </c>
      <c r="C48" s="48">
        <f t="shared" ca="1" si="4"/>
        <v>1.1749681118327464</v>
      </c>
      <c r="D48" s="48">
        <f t="shared" ca="1" si="1"/>
        <v>0.74611562406208742</v>
      </c>
      <c r="E48" s="48">
        <f t="shared" ca="1" si="2"/>
        <v>0</v>
      </c>
      <c r="F48" s="17">
        <f t="shared" ca="1" si="3"/>
        <v>0</v>
      </c>
      <c r="H48" s="17">
        <v>33</v>
      </c>
      <c r="I48" s="43">
        <v>0.6687086643890694</v>
      </c>
      <c r="J48" s="43">
        <v>1.8969588481373294E-2</v>
      </c>
      <c r="K48" s="43"/>
      <c r="L48" s="43">
        <v>0.249</v>
      </c>
      <c r="O48" s="50"/>
    </row>
    <row r="49" spans="2:15" x14ac:dyDescent="0.2">
      <c r="B49">
        <v>34</v>
      </c>
      <c r="C49" s="48">
        <f t="shared" ca="1" si="4"/>
        <v>0.61341672606088848</v>
      </c>
      <c r="D49" s="48">
        <f t="shared" ca="1" si="1"/>
        <v>0.70593181250886439</v>
      </c>
      <c r="E49" s="48">
        <f t="shared" ca="1" si="2"/>
        <v>0</v>
      </c>
      <c r="F49" s="17">
        <f t="shared" ca="1" si="3"/>
        <v>0</v>
      </c>
      <c r="H49" s="17">
        <v>34</v>
      </c>
      <c r="I49" s="43">
        <v>0.66927731477255648</v>
      </c>
      <c r="J49" s="43">
        <v>1.9843202421351545E-2</v>
      </c>
      <c r="K49" s="43"/>
      <c r="L49" s="43">
        <v>0.2596</v>
      </c>
      <c r="O49" s="50"/>
    </row>
    <row r="50" spans="2:15" x14ac:dyDescent="0.2">
      <c r="B50">
        <v>35</v>
      </c>
      <c r="C50" s="48">
        <f t="shared" ca="1" si="4"/>
        <v>-0.48881981225912502</v>
      </c>
      <c r="D50" s="48">
        <f t="shared" ca="1" si="1"/>
        <v>0.63324154599619698</v>
      </c>
      <c r="E50" s="48">
        <f t="shared" ca="1" si="2"/>
        <v>0</v>
      </c>
      <c r="F50" s="17">
        <f t="shared" ca="1" si="3"/>
        <v>0</v>
      </c>
      <c r="H50" s="17">
        <v>35</v>
      </c>
      <c r="I50" s="43">
        <v>0.66943779434146777</v>
      </c>
      <c r="J50" s="43">
        <v>1.971880977876499E-2</v>
      </c>
      <c r="K50" s="43"/>
      <c r="L50" s="43">
        <v>0.25119999999999998</v>
      </c>
      <c r="O50" s="50"/>
    </row>
    <row r="51" spans="2:15" x14ac:dyDescent="0.2">
      <c r="B51">
        <v>36</v>
      </c>
      <c r="C51" s="48">
        <f t="shared" ca="1" si="4"/>
        <v>-1.711840384153331</v>
      </c>
      <c r="D51" s="48">
        <f t="shared" ca="1" si="1"/>
        <v>0.56131229992089204</v>
      </c>
      <c r="E51" s="48">
        <f t="shared" ca="1" si="2"/>
        <v>0</v>
      </c>
      <c r="F51" s="17">
        <f t="shared" ca="1" si="3"/>
        <v>0</v>
      </c>
      <c r="H51" s="17">
        <v>36</v>
      </c>
      <c r="I51" s="43">
        <v>0.6698784432784366</v>
      </c>
      <c r="J51" s="43">
        <v>2.0152957665849958E-2</v>
      </c>
      <c r="K51" s="43"/>
      <c r="L51" s="43">
        <v>0.25800000000000001</v>
      </c>
      <c r="O51" s="50"/>
    </row>
    <row r="52" spans="2:15" x14ac:dyDescent="0.2">
      <c r="B52">
        <v>37</v>
      </c>
      <c r="C52" s="48">
        <f t="shared" ca="1" si="4"/>
        <v>0.82774767482684486</v>
      </c>
      <c r="D52" s="48">
        <f t="shared" ca="1" si="1"/>
        <v>0.72100710810126378</v>
      </c>
      <c r="E52" s="48">
        <f t="shared" ca="1" si="2"/>
        <v>0</v>
      </c>
      <c r="F52" s="17">
        <f t="shared" ca="1" si="3"/>
        <v>0</v>
      </c>
      <c r="H52" s="17">
        <v>37</v>
      </c>
      <c r="I52" s="43">
        <v>0.67030586222434663</v>
      </c>
      <c r="J52" s="43">
        <v>2.0134975360035688E-2</v>
      </c>
      <c r="K52" s="43"/>
      <c r="L52" s="43">
        <v>0.25340000000000001</v>
      </c>
      <c r="O52" s="50"/>
    </row>
    <row r="53" spans="2:15" x14ac:dyDescent="0.2">
      <c r="B53">
        <v>38</v>
      </c>
      <c r="C53" s="48">
        <f t="shared" ca="1" si="4"/>
        <v>-3.0226543179140929E-2</v>
      </c>
      <c r="D53" s="48">
        <f t="shared" ca="1" si="1"/>
        <v>0.66252844225781238</v>
      </c>
      <c r="E53" s="48">
        <f t="shared" ca="1" si="2"/>
        <v>0</v>
      </c>
      <c r="F53" s="17">
        <f t="shared" ca="1" si="3"/>
        <v>0</v>
      </c>
      <c r="H53" s="17">
        <v>38</v>
      </c>
      <c r="I53" s="43">
        <v>0.66998082465609199</v>
      </c>
      <c r="J53" s="43">
        <v>2.0213873236342446E-2</v>
      </c>
      <c r="K53" s="43"/>
      <c r="L53" s="43">
        <v>0.24940000000000001</v>
      </c>
      <c r="O53" s="50"/>
    </row>
    <row r="54" spans="2:15" x14ac:dyDescent="0.2">
      <c r="B54">
        <v>39</v>
      </c>
      <c r="C54" s="48">
        <f t="shared" ca="1" si="4"/>
        <v>-0.62726305839612984</v>
      </c>
      <c r="D54" s="48">
        <f t="shared" ca="1" si="1"/>
        <v>0.62465729370054901</v>
      </c>
      <c r="E54" s="48">
        <f t="shared" ca="1" si="2"/>
        <v>0</v>
      </c>
      <c r="F54" s="17">
        <f t="shared" ca="1" si="3"/>
        <v>0</v>
      </c>
      <c r="H54" s="17">
        <v>39</v>
      </c>
      <c r="I54" s="43">
        <v>0.66936460733637138</v>
      </c>
      <c r="J54" s="43">
        <v>1.9651449930922382E-2</v>
      </c>
      <c r="K54" s="43"/>
      <c r="L54" s="43">
        <v>0.25380000000000003</v>
      </c>
      <c r="O54" s="50"/>
    </row>
    <row r="55" spans="2:15" x14ac:dyDescent="0.2">
      <c r="B55">
        <v>40</v>
      </c>
      <c r="C55" s="48">
        <f t="shared" ca="1" si="4"/>
        <v>-0.2641858052506581</v>
      </c>
      <c r="D55" s="48">
        <f t="shared" ca="1" si="1"/>
        <v>0.64742181482519445</v>
      </c>
      <c r="E55" s="48">
        <f t="shared" ca="1" si="2"/>
        <v>0</v>
      </c>
      <c r="F55" s="17">
        <f t="shared" ca="1" si="3"/>
        <v>0</v>
      </c>
      <c r="H55" s="17">
        <v>40</v>
      </c>
      <c r="I55" s="43">
        <v>0.66873735825213965</v>
      </c>
      <c r="J55" s="43">
        <v>1.9036156982703431E-2</v>
      </c>
      <c r="K55" s="43"/>
      <c r="L55" s="43">
        <v>0.2462</v>
      </c>
      <c r="O55" s="50"/>
    </row>
    <row r="56" spans="2:15" x14ac:dyDescent="0.2">
      <c r="B56">
        <v>41</v>
      </c>
      <c r="C56" s="48">
        <f t="shared" ca="1" si="4"/>
        <v>-5.8835646868558786E-2</v>
      </c>
      <c r="D56" s="48">
        <f t="shared" ca="1" si="1"/>
        <v>0.66066241415570204</v>
      </c>
      <c r="E56" s="48">
        <f t="shared" ca="1" si="2"/>
        <v>0</v>
      </c>
      <c r="F56" s="17">
        <f t="shared" ca="1" si="3"/>
        <v>0</v>
      </c>
      <c r="H56" s="17">
        <v>41</v>
      </c>
      <c r="I56" s="43">
        <v>0.66809998255784253</v>
      </c>
      <c r="J56" s="43">
        <v>1.8675043931248234E-2</v>
      </c>
      <c r="K56" s="43"/>
      <c r="L56" s="43">
        <v>0.249</v>
      </c>
      <c r="O56" s="50"/>
    </row>
    <row r="57" spans="2:15" x14ac:dyDescent="0.2">
      <c r="B57">
        <v>42</v>
      </c>
      <c r="C57" s="48">
        <f t="shared" ca="1" si="4"/>
        <v>0.84774742593532648</v>
      </c>
      <c r="D57" s="48">
        <f t="shared" ca="1" si="1"/>
        <v>0.72243013818945068</v>
      </c>
      <c r="E57" s="48">
        <f t="shared" ca="1" si="2"/>
        <v>0</v>
      </c>
      <c r="F57" s="17">
        <f t="shared" ca="1" si="3"/>
        <v>0</v>
      </c>
      <c r="H57" s="17">
        <v>42</v>
      </c>
      <c r="I57" s="43">
        <v>0.66898930371262599</v>
      </c>
      <c r="J57" s="43">
        <v>1.9370646083003904E-2</v>
      </c>
      <c r="K57" s="43"/>
      <c r="L57" s="43">
        <v>0.25019999999999998</v>
      </c>
      <c r="O57" s="50"/>
    </row>
    <row r="58" spans="2:15" x14ac:dyDescent="0.2">
      <c r="B58">
        <v>43</v>
      </c>
      <c r="C58" s="48">
        <f t="shared" ca="1" si="4"/>
        <v>2.7668127978550725</v>
      </c>
      <c r="D58" s="48">
        <f t="shared" ca="1" si="1"/>
        <v>0.87289608794281448</v>
      </c>
      <c r="E58" s="48">
        <f t="shared" ca="1" si="2"/>
        <v>8.4696087942814469E-2</v>
      </c>
      <c r="F58" s="17">
        <f t="shared" ca="1" si="3"/>
        <v>1</v>
      </c>
      <c r="H58" s="17">
        <v>43</v>
      </c>
      <c r="I58" s="43">
        <v>0.66858707022307728</v>
      </c>
      <c r="J58" s="43">
        <v>1.9221674026809858E-2</v>
      </c>
      <c r="K58" s="43"/>
      <c r="L58" s="43">
        <v>0.25280000000000002</v>
      </c>
      <c r="O58" s="50"/>
    </row>
    <row r="59" spans="2:15" x14ac:dyDescent="0.2">
      <c r="B59">
        <v>44</v>
      </c>
      <c r="C59" s="48">
        <f t="shared" ca="1" si="4"/>
        <v>0.63642408305683129</v>
      </c>
      <c r="D59" s="48">
        <f t="shared" ca="1" si="1"/>
        <v>0.70753485059227528</v>
      </c>
      <c r="E59" s="48">
        <f t="shared" ca="1" si="2"/>
        <v>0</v>
      </c>
      <c r="F59" s="17">
        <f t="shared" ca="1" si="3"/>
        <v>0</v>
      </c>
      <c r="H59" s="17">
        <v>44</v>
      </c>
      <c r="I59" s="43">
        <v>0.66886545232465544</v>
      </c>
      <c r="J59" s="43">
        <v>1.9342782300019505E-2</v>
      </c>
      <c r="K59" s="43"/>
      <c r="L59" s="43">
        <v>0.25219999999999998</v>
      </c>
      <c r="O59" s="50"/>
    </row>
    <row r="60" spans="2:15" x14ac:dyDescent="0.2">
      <c r="B60">
        <v>45</v>
      </c>
      <c r="C60" s="48">
        <f t="shared" ca="1" si="4"/>
        <v>0.17131107300660789</v>
      </c>
      <c r="D60" s="48">
        <f t="shared" ca="1" si="1"/>
        <v>0.6758239223960768</v>
      </c>
      <c r="E60" s="48">
        <f t="shared" ca="1" si="2"/>
        <v>0</v>
      </c>
      <c r="F60" s="17">
        <f t="shared" ca="1" si="3"/>
        <v>0</v>
      </c>
      <c r="H60" s="17">
        <v>45</v>
      </c>
      <c r="I60" s="43">
        <v>0.66956725567978737</v>
      </c>
      <c r="J60" s="43">
        <v>1.9734287927743444E-2</v>
      </c>
      <c r="K60" s="43"/>
      <c r="L60" s="43">
        <v>0.254</v>
      </c>
      <c r="O60" s="50"/>
    </row>
    <row r="61" spans="2:15" x14ac:dyDescent="0.2">
      <c r="B61">
        <v>46</v>
      </c>
      <c r="C61" s="48">
        <f t="shared" ca="1" si="4"/>
        <v>-0.79628437480448533</v>
      </c>
      <c r="D61" s="48">
        <f t="shared" ca="1" si="1"/>
        <v>0.61433463347926343</v>
      </c>
      <c r="E61" s="48">
        <f t="shared" ca="1" si="2"/>
        <v>0</v>
      </c>
      <c r="F61" s="17">
        <f t="shared" ca="1" si="3"/>
        <v>0</v>
      </c>
      <c r="H61" s="17">
        <v>46</v>
      </c>
      <c r="I61" s="43">
        <v>0.66878015182446893</v>
      </c>
      <c r="J61" s="43">
        <v>1.933285557109065E-2</v>
      </c>
      <c r="K61" s="43"/>
      <c r="L61" s="43">
        <v>0.25659999999999999</v>
      </c>
      <c r="O61" s="50"/>
    </row>
    <row r="62" spans="2:15" x14ac:dyDescent="0.2">
      <c r="B62">
        <v>47</v>
      </c>
      <c r="C62" s="48">
        <f t="shared" ca="1" si="4"/>
        <v>1.9658843165346485E-2</v>
      </c>
      <c r="D62" s="48">
        <f t="shared" ca="1" si="1"/>
        <v>0.66579483176398457</v>
      </c>
      <c r="E62" s="48">
        <f t="shared" ca="1" si="2"/>
        <v>0</v>
      </c>
      <c r="F62" s="17">
        <f t="shared" ca="1" si="3"/>
        <v>0</v>
      </c>
      <c r="H62" s="17">
        <v>47</v>
      </c>
      <c r="I62" s="43">
        <v>0.66928320137857222</v>
      </c>
      <c r="J62" s="43">
        <v>1.9519805257459812E-2</v>
      </c>
      <c r="K62" s="43"/>
      <c r="L62" s="43">
        <v>0.25480000000000003</v>
      </c>
      <c r="O62" s="50"/>
    </row>
    <row r="63" spans="2:15" x14ac:dyDescent="0.2">
      <c r="B63">
        <v>48</v>
      </c>
      <c r="C63" s="48">
        <f t="shared" ca="1" si="4"/>
        <v>0.56562024007656753</v>
      </c>
      <c r="D63" s="48">
        <f t="shared" ca="1" si="1"/>
        <v>0.70261319181308834</v>
      </c>
      <c r="E63" s="48">
        <f t="shared" ca="1" si="2"/>
        <v>0</v>
      </c>
      <c r="F63" s="17">
        <f t="shared" ca="1" si="3"/>
        <v>0</v>
      </c>
      <c r="H63" s="17">
        <v>48</v>
      </c>
      <c r="I63" s="43">
        <v>0.66951921265536696</v>
      </c>
      <c r="J63" s="43">
        <v>1.9896061122609648E-2</v>
      </c>
      <c r="K63" s="43"/>
      <c r="L63" s="43">
        <v>0.25900000000000001</v>
      </c>
      <c r="O63" s="50"/>
    </row>
    <row r="64" spans="2:15" x14ac:dyDescent="0.2">
      <c r="B64">
        <v>49</v>
      </c>
      <c r="C64" s="48">
        <f t="shared" ca="1" si="4"/>
        <v>0.92998745416872208</v>
      </c>
      <c r="D64" s="48">
        <f t="shared" ca="1" si="1"/>
        <v>0.72831129298728792</v>
      </c>
      <c r="E64" s="48">
        <f t="shared" ca="1" si="2"/>
        <v>0</v>
      </c>
      <c r="F64" s="17">
        <f t="shared" ca="1" si="3"/>
        <v>0</v>
      </c>
      <c r="H64" s="17">
        <v>49</v>
      </c>
      <c r="I64" s="43">
        <v>0.66928186917972032</v>
      </c>
      <c r="J64" s="43">
        <v>1.9598702293760654E-2</v>
      </c>
      <c r="K64" s="43"/>
      <c r="L64" s="43">
        <v>0.24340000000000001</v>
      </c>
      <c r="O64" s="50"/>
    </row>
    <row r="65" spans="2:15" x14ac:dyDescent="0.2">
      <c r="B65">
        <v>50</v>
      </c>
      <c r="C65" s="48">
        <f t="shared" ca="1" si="4"/>
        <v>-1.7376482616761844</v>
      </c>
      <c r="D65" s="48">
        <f t="shared" ca="1" si="1"/>
        <v>0.5598859496443308</v>
      </c>
      <c r="E65" s="48">
        <f t="shared" ca="1" si="2"/>
        <v>0</v>
      </c>
      <c r="F65" s="17">
        <f t="shared" ca="1" si="3"/>
        <v>0</v>
      </c>
      <c r="H65" s="17">
        <v>50</v>
      </c>
      <c r="I65" s="43">
        <v>0.66825852728215296</v>
      </c>
      <c r="J65" s="43">
        <v>1.87213520926592E-2</v>
      </c>
      <c r="K65" s="43"/>
      <c r="L65" s="43">
        <v>0.2442</v>
      </c>
      <c r="O65" s="50"/>
    </row>
    <row r="66" spans="2:15" x14ac:dyDescent="0.2">
      <c r="B66">
        <v>51</v>
      </c>
      <c r="C66" s="48">
        <f t="shared" ca="1" si="4"/>
        <v>0.91766130990814876</v>
      </c>
      <c r="D66" s="48">
        <f t="shared" ca="1" si="1"/>
        <v>0.72742678418437123</v>
      </c>
      <c r="E66" s="48">
        <f t="shared" ca="1" si="2"/>
        <v>0</v>
      </c>
      <c r="F66" s="17">
        <f t="shared" ca="1" si="3"/>
        <v>0</v>
      </c>
      <c r="H66" s="17">
        <v>51</v>
      </c>
      <c r="I66" s="43">
        <v>0.66878365421977493</v>
      </c>
      <c r="J66" s="43">
        <v>1.9384250495511665E-2</v>
      </c>
      <c r="K66" s="43"/>
      <c r="L66" s="43">
        <v>0.25359999999999999</v>
      </c>
      <c r="O66" s="50"/>
    </row>
    <row r="67" spans="2:15" x14ac:dyDescent="0.2">
      <c r="B67">
        <v>52</v>
      </c>
      <c r="C67" s="48">
        <f t="shared" ca="1" si="4"/>
        <v>-1.6377082935062828</v>
      </c>
      <c r="D67" s="48">
        <f t="shared" ca="1" si="1"/>
        <v>0.56542967577885583</v>
      </c>
      <c r="E67" s="48">
        <f t="shared" ca="1" si="2"/>
        <v>0</v>
      </c>
      <c r="F67" s="17">
        <f t="shared" ca="1" si="3"/>
        <v>0</v>
      </c>
      <c r="H67" s="17">
        <v>52</v>
      </c>
      <c r="I67" s="43">
        <v>0.67002709208040356</v>
      </c>
      <c r="J67" s="43">
        <v>2.0575835528346787E-2</v>
      </c>
      <c r="K67" s="43"/>
      <c r="L67" s="43">
        <v>0.25940000000000002</v>
      </c>
      <c r="O67" s="50"/>
    </row>
    <row r="68" spans="2:15" x14ac:dyDescent="0.2">
      <c r="B68">
        <v>53</v>
      </c>
      <c r="C68" s="48">
        <f t="shared" ca="1" si="4"/>
        <v>0.70251914654910919</v>
      </c>
      <c r="D68" s="48">
        <f t="shared" ca="1" si="1"/>
        <v>0.71216030401870789</v>
      </c>
      <c r="E68" s="48">
        <f t="shared" ca="1" si="2"/>
        <v>0</v>
      </c>
      <c r="F68" s="17">
        <f t="shared" ca="1" si="3"/>
        <v>0</v>
      </c>
      <c r="H68" s="17">
        <v>53</v>
      </c>
      <c r="I68" s="43">
        <v>0.66862334106696708</v>
      </c>
      <c r="J68" s="43">
        <v>1.9400357283468755E-2</v>
      </c>
      <c r="K68" s="43"/>
      <c r="L68" s="43">
        <v>0.245</v>
      </c>
      <c r="O68" s="50"/>
    </row>
    <row r="69" spans="2:15" x14ac:dyDescent="0.2">
      <c r="B69">
        <v>54</v>
      </c>
      <c r="C69" s="48">
        <f t="shared" ca="1" si="4"/>
        <v>-0.57052809135992766</v>
      </c>
      <c r="D69" s="48">
        <f t="shared" ca="1" si="1"/>
        <v>0.62816101449637818</v>
      </c>
      <c r="E69" s="48">
        <f t="shared" ca="1" si="2"/>
        <v>0</v>
      </c>
      <c r="F69" s="17">
        <f t="shared" ca="1" si="3"/>
        <v>0</v>
      </c>
      <c r="H69" s="17">
        <v>54</v>
      </c>
      <c r="I69" s="43">
        <v>0.66885322453417206</v>
      </c>
      <c r="J69" s="43">
        <v>1.9365258615676284E-2</v>
      </c>
      <c r="K69" s="43"/>
      <c r="L69" s="43">
        <v>0.25159999999999999</v>
      </c>
      <c r="O69" s="50"/>
    </row>
    <row r="70" spans="2:15" x14ac:dyDescent="0.2">
      <c r="B70">
        <v>55</v>
      </c>
      <c r="C70" s="48">
        <f t="shared" ca="1" si="4"/>
        <v>-0.89506668919446708</v>
      </c>
      <c r="D70" s="48">
        <f t="shared" ca="1" si="1"/>
        <v>0.60838085184574175</v>
      </c>
      <c r="E70" s="48">
        <f t="shared" ca="1" si="2"/>
        <v>0</v>
      </c>
      <c r="F70" s="17">
        <f t="shared" ca="1" si="3"/>
        <v>0</v>
      </c>
      <c r="H70" s="17">
        <v>55</v>
      </c>
      <c r="I70" s="43">
        <v>0.66885699298262813</v>
      </c>
      <c r="J70" s="43">
        <v>1.9221016598053246E-2</v>
      </c>
      <c r="K70" s="43"/>
      <c r="L70" s="43">
        <v>0.24460000000000001</v>
      </c>
      <c r="O70" s="50"/>
    </row>
    <row r="71" spans="2:15" x14ac:dyDescent="0.2">
      <c r="B71">
        <v>56</v>
      </c>
      <c r="C71" s="48">
        <f t="shared" ca="1" si="4"/>
        <v>-0.44437706917938929</v>
      </c>
      <c r="D71" s="48">
        <f t="shared" ca="1" si="1"/>
        <v>0.63602217952413354</v>
      </c>
      <c r="E71" s="48">
        <f t="shared" ca="1" si="2"/>
        <v>0</v>
      </c>
      <c r="F71" s="17">
        <f t="shared" ca="1" si="3"/>
        <v>0</v>
      </c>
      <c r="H71" s="17">
        <v>56</v>
      </c>
      <c r="I71" s="43">
        <v>0.67007671924776491</v>
      </c>
      <c r="J71" s="43">
        <v>2.0372910369684045E-2</v>
      </c>
      <c r="K71" s="43"/>
      <c r="L71" s="43">
        <v>0.25840000000000002</v>
      </c>
      <c r="O71" s="50"/>
    </row>
    <row r="72" spans="2:15" x14ac:dyDescent="0.2">
      <c r="B72">
        <v>57</v>
      </c>
      <c r="C72" s="48">
        <f t="shared" ca="1" si="4"/>
        <v>-1.2906840022093489</v>
      </c>
      <c r="D72" s="48">
        <f t="shared" ca="1" si="1"/>
        <v>0.58510901309619046</v>
      </c>
      <c r="E72" s="48">
        <f t="shared" ca="1" si="2"/>
        <v>0</v>
      </c>
      <c r="F72" s="17">
        <f t="shared" ca="1" si="3"/>
        <v>0</v>
      </c>
      <c r="H72" s="17">
        <v>57</v>
      </c>
      <c r="I72" s="43">
        <v>0.67071414476474189</v>
      </c>
      <c r="J72" s="43">
        <v>2.0929355334022265E-2</v>
      </c>
      <c r="K72" s="43"/>
      <c r="L72" s="43">
        <v>0.25879999999999997</v>
      </c>
      <c r="O72" s="50"/>
    </row>
    <row r="73" spans="2:15" x14ac:dyDescent="0.2">
      <c r="B73">
        <v>58</v>
      </c>
      <c r="C73" s="48">
        <f t="shared" ca="1" si="4"/>
        <v>-0.15343471863711092</v>
      </c>
      <c r="D73" s="48">
        <f t="shared" ca="1" si="1"/>
        <v>0.65452953237957401</v>
      </c>
      <c r="E73" s="48">
        <f t="shared" ca="1" si="2"/>
        <v>0</v>
      </c>
      <c r="F73" s="17">
        <f t="shared" ca="1" si="3"/>
        <v>0</v>
      </c>
      <c r="H73" s="17">
        <v>58</v>
      </c>
      <c r="I73" s="43">
        <v>0.66906896570700647</v>
      </c>
      <c r="J73" s="43">
        <v>1.9269827841038527E-2</v>
      </c>
      <c r="K73" s="43"/>
      <c r="L73" s="43">
        <v>0.2402</v>
      </c>
      <c r="O73" s="50"/>
    </row>
    <row r="74" spans="2:15" x14ac:dyDescent="0.2">
      <c r="B74">
        <v>59</v>
      </c>
      <c r="C74" s="48">
        <f t="shared" ca="1" si="4"/>
        <v>1.0381343450084219</v>
      </c>
      <c r="D74" s="48">
        <f t="shared" ca="1" si="1"/>
        <v>0.7361180393252531</v>
      </c>
      <c r="E74" s="48">
        <f t="shared" ca="1" si="2"/>
        <v>0</v>
      </c>
      <c r="F74" s="17">
        <f t="shared" ca="1" si="3"/>
        <v>0</v>
      </c>
      <c r="H74" s="17">
        <v>59</v>
      </c>
      <c r="I74" s="43">
        <v>0.67015810138654375</v>
      </c>
      <c r="J74" s="43">
        <v>2.0213384697661149E-2</v>
      </c>
      <c r="K74" s="43"/>
      <c r="L74" s="43">
        <v>0.26</v>
      </c>
      <c r="O74" s="50"/>
    </row>
    <row r="75" spans="2:15" x14ac:dyDescent="0.2">
      <c r="B75">
        <v>60</v>
      </c>
      <c r="C75" s="48">
        <f t="shared" ca="1" si="4"/>
        <v>1.048389067051628</v>
      </c>
      <c r="D75" s="48">
        <f t="shared" ca="1" si="1"/>
        <v>0.73686262148452664</v>
      </c>
      <c r="E75" s="48">
        <f t="shared" ca="1" si="2"/>
        <v>0</v>
      </c>
      <c r="F75" s="17">
        <f t="shared" ca="1" si="3"/>
        <v>0</v>
      </c>
      <c r="H75" s="17">
        <v>60</v>
      </c>
      <c r="I75" s="43">
        <v>0.66911124342018935</v>
      </c>
      <c r="J75" s="43">
        <v>1.9289074293058078E-2</v>
      </c>
      <c r="K75" s="43"/>
      <c r="L75" s="43">
        <v>0.25280000000000002</v>
      </c>
      <c r="O75" s="50"/>
    </row>
    <row r="76" spans="2:15" x14ac:dyDescent="0.2">
      <c r="B76">
        <v>61</v>
      </c>
      <c r="C76" s="48">
        <f t="shared" ca="1" si="4"/>
        <v>2.2907019359120828</v>
      </c>
      <c r="D76" s="48">
        <f t="shared" ca="1" si="1"/>
        <v>0.83287032256543769</v>
      </c>
      <c r="E76" s="48">
        <f t="shared" ca="1" si="2"/>
        <v>4.4670322565437681E-2</v>
      </c>
      <c r="F76" s="17">
        <f t="shared" ca="1" si="3"/>
        <v>1</v>
      </c>
      <c r="H76" s="17">
        <v>61</v>
      </c>
      <c r="I76" s="43">
        <v>0.66798016824561612</v>
      </c>
      <c r="J76" s="43">
        <v>1.8656347043562355E-2</v>
      </c>
      <c r="K76" s="43"/>
      <c r="L76" s="43">
        <v>0.24199999999999999</v>
      </c>
      <c r="O76" s="50"/>
    </row>
    <row r="77" spans="2:15" x14ac:dyDescent="0.2">
      <c r="B77">
        <v>62</v>
      </c>
      <c r="C77" s="48">
        <f t="shared" ca="1" si="4"/>
        <v>1.663323019557315</v>
      </c>
      <c r="D77" s="48">
        <f t="shared" ca="1" si="1"/>
        <v>0.78291666107946678</v>
      </c>
      <c r="E77" s="48">
        <f t="shared" ca="1" si="2"/>
        <v>0</v>
      </c>
      <c r="F77" s="17">
        <f t="shared" ca="1" si="3"/>
        <v>0</v>
      </c>
      <c r="H77" s="17">
        <v>62</v>
      </c>
      <c r="I77" s="43">
        <v>0.66794295206471666</v>
      </c>
      <c r="J77" s="43">
        <v>1.8371613884070246E-2</v>
      </c>
      <c r="K77" s="43"/>
      <c r="L77" s="43">
        <v>0.24560000000000001</v>
      </c>
      <c r="O77" s="50"/>
    </row>
    <row r="78" spans="2:15" x14ac:dyDescent="0.2">
      <c r="B78">
        <v>63</v>
      </c>
      <c r="C78" s="48">
        <f t="shared" ca="1" si="4"/>
        <v>-5.4846691212215755E-2</v>
      </c>
      <c r="D78" s="48">
        <f t="shared" ca="1" si="1"/>
        <v>0.66092227804095749</v>
      </c>
      <c r="E78" s="48">
        <f t="shared" ca="1" si="2"/>
        <v>0</v>
      </c>
      <c r="F78" s="17">
        <f t="shared" ca="1" si="3"/>
        <v>0</v>
      </c>
      <c r="H78" s="17">
        <v>63</v>
      </c>
      <c r="I78" s="43">
        <v>0.6688987273519067</v>
      </c>
      <c r="J78" s="43">
        <v>1.934403189405352E-2</v>
      </c>
      <c r="K78" s="43"/>
      <c r="L78" s="43">
        <v>0.25</v>
      </c>
      <c r="O78" s="50"/>
    </row>
    <row r="79" spans="2:15" x14ac:dyDescent="0.2">
      <c r="B79">
        <v>64</v>
      </c>
      <c r="C79" s="48">
        <f t="shared" ca="1" si="4"/>
        <v>-0.80085822808808138</v>
      </c>
      <c r="D79" s="48">
        <f t="shared" ca="1" si="1"/>
        <v>0.61405767731462402</v>
      </c>
      <c r="E79" s="48">
        <f t="shared" ca="1" si="2"/>
        <v>0</v>
      </c>
      <c r="F79" s="17">
        <f t="shared" ca="1" si="3"/>
        <v>0</v>
      </c>
      <c r="H79" s="17">
        <v>64</v>
      </c>
      <c r="I79" s="43">
        <v>0.66804234268832408</v>
      </c>
      <c r="J79" s="43">
        <v>1.8937938266950664E-2</v>
      </c>
      <c r="K79" s="43"/>
      <c r="L79" s="43">
        <v>0.25159999999999999</v>
      </c>
      <c r="O79" s="50"/>
    </row>
    <row r="80" spans="2:15" x14ac:dyDescent="0.2">
      <c r="B80">
        <v>65</v>
      </c>
      <c r="C80" s="48">
        <f t="shared" ca="1" si="4"/>
        <v>-0.15794577843907051</v>
      </c>
      <c r="D80" s="48">
        <f t="shared" ref="D80:D143" ca="1" si="5">S0*EXP((μ-0.5*σ*σ)*T+σ*SQRT(T)*$C80)</f>
        <v>0.6542385055805704</v>
      </c>
      <c r="E80" s="48">
        <f t="shared" ref="E80:E143" ca="1" si="6">MAX(0,CP*(D80-K))</f>
        <v>0</v>
      </c>
      <c r="F80" s="17">
        <f t="shared" ref="F80:F143" ca="1" si="7">(CP*(D80-K)&gt;0)*1</f>
        <v>0</v>
      </c>
      <c r="H80" s="17">
        <v>65</v>
      </c>
      <c r="I80" s="43">
        <v>0.66880332555287991</v>
      </c>
      <c r="J80" s="43">
        <v>1.9317325267946463E-2</v>
      </c>
      <c r="K80" s="43"/>
      <c r="L80" s="43">
        <v>0.2492</v>
      </c>
      <c r="O80" s="50"/>
    </row>
    <row r="81" spans="2:15" x14ac:dyDescent="0.2">
      <c r="B81">
        <v>66</v>
      </c>
      <c r="C81" s="48">
        <f t="shared" ref="C81:C144" ca="1" si="8">_xlfn.NORM.S.INV(RAND())</f>
        <v>0.13647498204251318</v>
      </c>
      <c r="D81" s="48">
        <f t="shared" ca="1" si="5"/>
        <v>0.67350685247454622</v>
      </c>
      <c r="E81" s="48">
        <f t="shared" ca="1" si="6"/>
        <v>0</v>
      </c>
      <c r="F81" s="17">
        <f t="shared" ca="1" si="7"/>
        <v>0</v>
      </c>
      <c r="H81" s="17">
        <v>66</v>
      </c>
      <c r="I81" s="43">
        <v>0.66914881883639332</v>
      </c>
      <c r="J81" s="43">
        <v>1.9414472855614859E-2</v>
      </c>
      <c r="K81" s="43"/>
      <c r="L81" s="43">
        <v>0.247</v>
      </c>
      <c r="O81" s="50"/>
    </row>
    <row r="82" spans="2:15" x14ac:dyDescent="0.2">
      <c r="B82">
        <v>67</v>
      </c>
      <c r="C82" s="48">
        <f t="shared" ca="1" si="8"/>
        <v>0.46784092321267767</v>
      </c>
      <c r="D82" s="48">
        <f t="shared" ca="1" si="5"/>
        <v>0.69587267120108631</v>
      </c>
      <c r="E82" s="48">
        <f t="shared" ca="1" si="6"/>
        <v>0</v>
      </c>
      <c r="F82" s="17">
        <f t="shared" ca="1" si="7"/>
        <v>0</v>
      </c>
      <c r="H82" s="17">
        <v>67</v>
      </c>
      <c r="I82" s="43">
        <v>0.66904295182962648</v>
      </c>
      <c r="J82" s="43">
        <v>1.9384156256316457E-2</v>
      </c>
      <c r="K82" s="43"/>
      <c r="L82" s="43">
        <v>0.24679999999999999</v>
      </c>
      <c r="O82" s="50"/>
    </row>
    <row r="83" spans="2:15" x14ac:dyDescent="0.2">
      <c r="B83">
        <v>68</v>
      </c>
      <c r="C83" s="48">
        <f t="shared" ca="1" si="8"/>
        <v>-0.62979900265786359</v>
      </c>
      <c r="D83" s="48">
        <f t="shared" ca="1" si="5"/>
        <v>0.62450114119707933</v>
      </c>
      <c r="E83" s="48">
        <f t="shared" ca="1" si="6"/>
        <v>0</v>
      </c>
      <c r="F83" s="17">
        <f t="shared" ca="1" si="7"/>
        <v>0</v>
      </c>
      <c r="H83" s="17">
        <v>68</v>
      </c>
      <c r="I83" s="43">
        <v>0.6683651411409639</v>
      </c>
      <c r="J83" s="43">
        <v>1.9265615480670531E-2</v>
      </c>
      <c r="K83" s="43"/>
      <c r="L83" s="43">
        <v>0.24660000000000001</v>
      </c>
      <c r="O83" s="50"/>
    </row>
    <row r="84" spans="2:15" x14ac:dyDescent="0.2">
      <c r="B84">
        <v>69</v>
      </c>
      <c r="C84" s="48">
        <f t="shared" ca="1" si="8"/>
        <v>2.2536297261030582</v>
      </c>
      <c r="D84" s="48">
        <f t="shared" ca="1" si="5"/>
        <v>0.82983185795709302</v>
      </c>
      <c r="E84" s="48">
        <f t="shared" ca="1" si="6"/>
        <v>4.163185795709301E-2</v>
      </c>
      <c r="F84" s="17">
        <f t="shared" ca="1" si="7"/>
        <v>1</v>
      </c>
      <c r="H84" s="17">
        <v>69</v>
      </c>
      <c r="I84" s="43">
        <v>0.66955409804349442</v>
      </c>
      <c r="J84" s="43">
        <v>1.9622621355582005E-2</v>
      </c>
      <c r="K84" s="43"/>
      <c r="L84" s="43">
        <v>0.24479999999999999</v>
      </c>
      <c r="O84" s="50"/>
    </row>
    <row r="85" spans="2:15" x14ac:dyDescent="0.2">
      <c r="B85">
        <v>70</v>
      </c>
      <c r="C85" s="48">
        <f t="shared" ca="1" si="8"/>
        <v>1.6987649188941016</v>
      </c>
      <c r="D85" s="48">
        <f t="shared" ca="1" si="5"/>
        <v>0.78565705632008198</v>
      </c>
      <c r="E85" s="48">
        <f t="shared" ca="1" si="6"/>
        <v>0</v>
      </c>
      <c r="F85" s="17">
        <f t="shared" ca="1" si="7"/>
        <v>0</v>
      </c>
      <c r="H85" s="17">
        <v>70</v>
      </c>
      <c r="I85" s="43">
        <v>0.6686081829601388</v>
      </c>
      <c r="J85" s="43">
        <v>1.8930267728082643E-2</v>
      </c>
      <c r="K85" s="43"/>
      <c r="L85" s="43">
        <v>0.25040000000000001</v>
      </c>
      <c r="O85" s="50"/>
    </row>
    <row r="86" spans="2:15" x14ac:dyDescent="0.2">
      <c r="B86">
        <v>71</v>
      </c>
      <c r="C86" s="48">
        <f t="shared" ca="1" si="8"/>
        <v>-1.1849152092011046</v>
      </c>
      <c r="D86" s="48">
        <f t="shared" ca="1" si="5"/>
        <v>0.59124214524783192</v>
      </c>
      <c r="E86" s="48">
        <f t="shared" ca="1" si="6"/>
        <v>0</v>
      </c>
      <c r="F86" s="17">
        <f t="shared" ca="1" si="7"/>
        <v>0</v>
      </c>
      <c r="H86" s="17">
        <v>71</v>
      </c>
      <c r="I86" s="43">
        <v>0.66816536170104923</v>
      </c>
      <c r="J86" s="43">
        <v>1.8892156698366216E-2</v>
      </c>
      <c r="K86" s="43"/>
      <c r="L86" s="43">
        <v>0.24779999999999999</v>
      </c>
      <c r="O86" s="50"/>
    </row>
    <row r="87" spans="2:15" x14ac:dyDescent="0.2">
      <c r="B87">
        <v>72</v>
      </c>
      <c r="C87" s="48">
        <f t="shared" ca="1" si="8"/>
        <v>0.84340984550433984</v>
      </c>
      <c r="D87" s="48">
        <f t="shared" ca="1" si="5"/>
        <v>0.72212127065498055</v>
      </c>
      <c r="E87" s="48">
        <f t="shared" ca="1" si="6"/>
        <v>0</v>
      </c>
      <c r="F87" s="17">
        <f t="shared" ca="1" si="7"/>
        <v>0</v>
      </c>
      <c r="H87" s="17">
        <v>72</v>
      </c>
      <c r="I87" s="43">
        <v>0.66850437586907452</v>
      </c>
      <c r="J87" s="43">
        <v>1.9015296403876787E-2</v>
      </c>
      <c r="K87" s="43"/>
      <c r="L87" s="43">
        <v>0.24299999999999999</v>
      </c>
      <c r="O87" s="50"/>
    </row>
    <row r="88" spans="2:15" x14ac:dyDescent="0.2">
      <c r="B88">
        <v>73</v>
      </c>
      <c r="C88" s="48">
        <f t="shared" ca="1" si="8"/>
        <v>0.56221588764270802</v>
      </c>
      <c r="D88" s="48">
        <f t="shared" ca="1" si="5"/>
        <v>0.70237741578044321</v>
      </c>
      <c r="E88" s="48">
        <f t="shared" ca="1" si="6"/>
        <v>0</v>
      </c>
      <c r="F88" s="17">
        <f t="shared" ca="1" si="7"/>
        <v>0</v>
      </c>
      <c r="H88" s="17">
        <v>73</v>
      </c>
      <c r="I88" s="43">
        <v>0.66931958690546922</v>
      </c>
      <c r="J88" s="43">
        <v>1.9485559263392981E-2</v>
      </c>
      <c r="K88" s="43"/>
      <c r="L88" s="43">
        <v>0.253</v>
      </c>
      <c r="O88" s="50"/>
    </row>
    <row r="89" spans="2:15" x14ac:dyDescent="0.2">
      <c r="B89">
        <v>74</v>
      </c>
      <c r="C89" s="48">
        <f t="shared" ca="1" si="8"/>
        <v>0.14663526648843972</v>
      </c>
      <c r="D89" s="48">
        <f t="shared" ca="1" si="5"/>
        <v>0.6741818266163081</v>
      </c>
      <c r="E89" s="48">
        <f t="shared" ca="1" si="6"/>
        <v>0</v>
      </c>
      <c r="F89" s="17">
        <f t="shared" ca="1" si="7"/>
        <v>0</v>
      </c>
      <c r="H89" s="17">
        <v>74</v>
      </c>
      <c r="I89" s="43">
        <v>0.66902205247525937</v>
      </c>
      <c r="J89" s="43">
        <v>1.9419246611792774E-2</v>
      </c>
      <c r="K89" s="43"/>
      <c r="L89" s="43">
        <v>0.25280000000000002</v>
      </c>
      <c r="O89" s="50"/>
    </row>
    <row r="90" spans="2:15" x14ac:dyDescent="0.2">
      <c r="B90">
        <v>75</v>
      </c>
      <c r="C90" s="48">
        <f t="shared" ca="1" si="8"/>
        <v>-0.40102836561179628</v>
      </c>
      <c r="D90" s="48">
        <f t="shared" ca="1" si="5"/>
        <v>0.63874612515057283</v>
      </c>
      <c r="E90" s="48">
        <f t="shared" ca="1" si="6"/>
        <v>0</v>
      </c>
      <c r="F90" s="17">
        <f t="shared" ca="1" si="7"/>
        <v>0</v>
      </c>
      <c r="H90" s="17">
        <v>75</v>
      </c>
      <c r="I90" s="43">
        <v>0.66906142708581673</v>
      </c>
      <c r="J90" s="43">
        <v>1.9451929026126542E-2</v>
      </c>
      <c r="K90" s="43"/>
      <c r="L90" s="43">
        <v>0.24779999999999999</v>
      </c>
      <c r="O90" s="50"/>
    </row>
    <row r="91" spans="2:15" x14ac:dyDescent="0.2">
      <c r="B91">
        <v>76</v>
      </c>
      <c r="C91" s="48">
        <f t="shared" ca="1" si="8"/>
        <v>-0.42862613719837056</v>
      </c>
      <c r="D91" s="48">
        <f t="shared" ca="1" si="5"/>
        <v>0.63701059031215879</v>
      </c>
      <c r="E91" s="48">
        <f t="shared" ca="1" si="6"/>
        <v>0</v>
      </c>
      <c r="F91" s="17">
        <f t="shared" ca="1" si="7"/>
        <v>0</v>
      </c>
      <c r="H91" s="17">
        <v>76</v>
      </c>
      <c r="I91" s="43">
        <v>0.66841717189201277</v>
      </c>
      <c r="J91" s="43">
        <v>1.9111897357077863E-2</v>
      </c>
      <c r="K91" s="43"/>
      <c r="L91" s="43">
        <v>0.2492</v>
      </c>
      <c r="O91" s="50"/>
    </row>
    <row r="92" spans="2:15" x14ac:dyDescent="0.2">
      <c r="B92">
        <v>77</v>
      </c>
      <c r="C92" s="48">
        <f t="shared" ca="1" si="8"/>
        <v>-1.905721275308528</v>
      </c>
      <c r="D92" s="48">
        <f t="shared" ca="1" si="5"/>
        <v>0.55068513803201669</v>
      </c>
      <c r="E92" s="48">
        <f t="shared" ca="1" si="6"/>
        <v>0</v>
      </c>
      <c r="F92" s="17">
        <f t="shared" ca="1" si="7"/>
        <v>0</v>
      </c>
      <c r="H92" s="17">
        <v>77</v>
      </c>
      <c r="I92" s="43">
        <v>0.66825272814072556</v>
      </c>
      <c r="J92" s="43">
        <v>1.9066729786164551E-2</v>
      </c>
      <c r="K92" s="43"/>
      <c r="L92" s="43">
        <v>0.25419999999999998</v>
      </c>
      <c r="O92" s="50"/>
    </row>
    <row r="93" spans="2:15" x14ac:dyDescent="0.2">
      <c r="B93">
        <v>78</v>
      </c>
      <c r="C93" s="48">
        <f t="shared" ca="1" si="8"/>
        <v>-0.49912979995947337</v>
      </c>
      <c r="D93" s="48">
        <f t="shared" ca="1" si="5"/>
        <v>0.63259822374836194</v>
      </c>
      <c r="E93" s="48">
        <f t="shared" ca="1" si="6"/>
        <v>0</v>
      </c>
      <c r="F93" s="17">
        <f t="shared" ca="1" si="7"/>
        <v>0</v>
      </c>
      <c r="H93" s="17">
        <v>78</v>
      </c>
      <c r="I93" s="43">
        <v>0.66776498200455803</v>
      </c>
      <c r="J93" s="43">
        <v>1.839302180109903E-2</v>
      </c>
      <c r="K93" s="43"/>
      <c r="L93" s="43">
        <v>0.24079999999999999</v>
      </c>
      <c r="O93" s="50"/>
    </row>
    <row r="94" spans="2:15" x14ac:dyDescent="0.2">
      <c r="B94">
        <v>79</v>
      </c>
      <c r="C94" s="48">
        <f t="shared" ca="1" si="8"/>
        <v>0.33116495660450823</v>
      </c>
      <c r="D94" s="48">
        <f t="shared" ca="1" si="5"/>
        <v>0.68655899827934552</v>
      </c>
      <c r="E94" s="48">
        <f t="shared" ca="1" si="6"/>
        <v>0</v>
      </c>
      <c r="F94" s="17">
        <f t="shared" ca="1" si="7"/>
        <v>0</v>
      </c>
      <c r="H94" s="17">
        <v>79</v>
      </c>
      <c r="I94" s="43">
        <v>0.66867765689161751</v>
      </c>
      <c r="J94" s="43">
        <v>1.9128558824746091E-2</v>
      </c>
      <c r="K94" s="43"/>
      <c r="L94" s="43">
        <v>0.24759999999999999</v>
      </c>
      <c r="O94" s="50"/>
    </row>
    <row r="95" spans="2:15" x14ac:dyDescent="0.2">
      <c r="B95">
        <v>80</v>
      </c>
      <c r="C95" s="48">
        <f t="shared" ca="1" si="8"/>
        <v>-1.5159706741782986</v>
      </c>
      <c r="D95" s="48">
        <f t="shared" ca="1" si="5"/>
        <v>0.57225673842960678</v>
      </c>
      <c r="E95" s="48">
        <f t="shared" ca="1" si="6"/>
        <v>0</v>
      </c>
      <c r="F95" s="17">
        <f t="shared" ca="1" si="7"/>
        <v>0</v>
      </c>
      <c r="H95" s="17">
        <v>80</v>
      </c>
      <c r="I95" s="43">
        <v>0.66963913450600743</v>
      </c>
      <c r="J95" s="43">
        <v>1.9936877387343923E-2</v>
      </c>
      <c r="K95" s="43"/>
      <c r="L95" s="43">
        <v>0.25019999999999998</v>
      </c>
      <c r="O95" s="50"/>
    </row>
    <row r="96" spans="2:15" x14ac:dyDescent="0.2">
      <c r="B96">
        <v>81</v>
      </c>
      <c r="C96" s="48">
        <f t="shared" ca="1" si="8"/>
        <v>-2.6966184538492968</v>
      </c>
      <c r="D96" s="48">
        <f t="shared" ca="1" si="5"/>
        <v>0.50937814429887351</v>
      </c>
      <c r="E96" s="48">
        <f t="shared" ca="1" si="6"/>
        <v>0</v>
      </c>
      <c r="F96" s="17">
        <f t="shared" ca="1" si="7"/>
        <v>0</v>
      </c>
      <c r="H96" s="17">
        <v>81</v>
      </c>
      <c r="I96" s="43">
        <v>0.66873168244125669</v>
      </c>
      <c r="J96" s="43">
        <v>1.9015912664541942E-2</v>
      </c>
      <c r="K96" s="43"/>
      <c r="L96" s="43">
        <v>0.25</v>
      </c>
      <c r="O96" s="50"/>
    </row>
    <row r="97" spans="2:15" x14ac:dyDescent="0.2">
      <c r="B97">
        <v>82</v>
      </c>
      <c r="C97" s="48">
        <f t="shared" ca="1" si="8"/>
        <v>0.51837396165330918</v>
      </c>
      <c r="D97" s="48">
        <f t="shared" ca="1" si="5"/>
        <v>0.69934810622889121</v>
      </c>
      <c r="E97" s="48">
        <f t="shared" ca="1" si="6"/>
        <v>0</v>
      </c>
      <c r="F97" s="17">
        <f t="shared" ca="1" si="7"/>
        <v>0</v>
      </c>
      <c r="H97" s="17">
        <v>82</v>
      </c>
      <c r="I97" s="43">
        <v>0.66736847279720668</v>
      </c>
      <c r="J97" s="43">
        <v>1.8270781160252561E-2</v>
      </c>
      <c r="K97" s="43"/>
      <c r="L97" s="43">
        <v>0.2472</v>
      </c>
      <c r="O97" s="50"/>
    </row>
    <row r="98" spans="2:15" x14ac:dyDescent="0.2">
      <c r="B98">
        <v>83</v>
      </c>
      <c r="C98" s="48">
        <f t="shared" ca="1" si="8"/>
        <v>0.33045435713706323</v>
      </c>
      <c r="D98" s="48">
        <f t="shared" ca="1" si="5"/>
        <v>0.68651090224718225</v>
      </c>
      <c r="E98" s="48">
        <f t="shared" ca="1" si="6"/>
        <v>0</v>
      </c>
      <c r="F98" s="17">
        <f t="shared" ca="1" si="7"/>
        <v>0</v>
      </c>
      <c r="H98" s="17">
        <v>83</v>
      </c>
      <c r="I98" s="43">
        <v>0.66907103357966635</v>
      </c>
      <c r="J98" s="43">
        <v>1.9545256720214066E-2</v>
      </c>
      <c r="K98" s="43"/>
      <c r="L98" s="43">
        <v>0.25219999999999998</v>
      </c>
      <c r="O98" s="50"/>
    </row>
    <row r="99" spans="2:15" x14ac:dyDescent="0.2">
      <c r="B99">
        <v>84</v>
      </c>
      <c r="C99" s="48">
        <f t="shared" ca="1" si="8"/>
        <v>0.13636673652998887</v>
      </c>
      <c r="D99" s="48">
        <f t="shared" ca="1" si="5"/>
        <v>0.67349966508269288</v>
      </c>
      <c r="E99" s="48">
        <f t="shared" ca="1" si="6"/>
        <v>0</v>
      </c>
      <c r="F99" s="17">
        <f t="shared" ca="1" si="7"/>
        <v>0</v>
      </c>
      <c r="H99" s="17">
        <v>84</v>
      </c>
      <c r="I99" s="43">
        <v>0.66826141224811686</v>
      </c>
      <c r="J99" s="43">
        <v>1.8760643365136546E-2</v>
      </c>
      <c r="K99" s="43"/>
      <c r="L99" s="43">
        <v>0.24399999999999999</v>
      </c>
      <c r="O99" s="50"/>
    </row>
    <row r="100" spans="2:15" x14ac:dyDescent="0.2">
      <c r="B100">
        <v>85</v>
      </c>
      <c r="C100" s="48">
        <f t="shared" ca="1" si="8"/>
        <v>0.17906514504276147</v>
      </c>
      <c r="D100" s="48">
        <f t="shared" ca="1" si="5"/>
        <v>0.67634075645099734</v>
      </c>
      <c r="E100" s="48">
        <f t="shared" ca="1" si="6"/>
        <v>0</v>
      </c>
      <c r="F100" s="17">
        <f t="shared" ca="1" si="7"/>
        <v>0</v>
      </c>
      <c r="H100" s="17">
        <v>85</v>
      </c>
      <c r="I100" s="43">
        <v>0.66802802211339507</v>
      </c>
      <c r="J100" s="43">
        <v>1.8688425343351574E-2</v>
      </c>
      <c r="K100" s="43"/>
      <c r="L100" s="43">
        <v>0.25359999999999999</v>
      </c>
      <c r="O100" s="50"/>
    </row>
    <row r="101" spans="2:15" x14ac:dyDescent="0.2">
      <c r="B101">
        <v>86</v>
      </c>
      <c r="C101" s="48">
        <f t="shared" ca="1" si="8"/>
        <v>0.22156848339979318</v>
      </c>
      <c r="D101" s="48">
        <f t="shared" ca="1" si="5"/>
        <v>0.67918077090842954</v>
      </c>
      <c r="E101" s="48">
        <f t="shared" ca="1" si="6"/>
        <v>0</v>
      </c>
      <c r="F101" s="17">
        <f t="shared" ca="1" si="7"/>
        <v>0</v>
      </c>
      <c r="H101" s="17">
        <v>86</v>
      </c>
      <c r="I101" s="43">
        <v>0.66754760316803996</v>
      </c>
      <c r="J101" s="43">
        <v>1.8452580239856162E-2</v>
      </c>
      <c r="K101" s="43"/>
      <c r="L101" s="43">
        <v>0.2482</v>
      </c>
      <c r="O101" s="50"/>
    </row>
    <row r="102" spans="2:15" x14ac:dyDescent="0.2">
      <c r="B102">
        <v>87</v>
      </c>
      <c r="C102" s="48">
        <f t="shared" ca="1" si="8"/>
        <v>-1.7820225827473379</v>
      </c>
      <c r="D102" s="48">
        <f t="shared" ca="1" si="5"/>
        <v>0.55744193731804981</v>
      </c>
      <c r="E102" s="48">
        <f t="shared" ca="1" si="6"/>
        <v>0</v>
      </c>
      <c r="F102" s="17">
        <f t="shared" ca="1" si="7"/>
        <v>0</v>
      </c>
      <c r="H102" s="17">
        <v>87</v>
      </c>
      <c r="I102" s="43">
        <v>0.66879020542381817</v>
      </c>
      <c r="J102" s="43">
        <v>1.949078288638751E-2</v>
      </c>
      <c r="K102" s="43"/>
      <c r="L102" s="43">
        <v>0.2576</v>
      </c>
      <c r="O102" s="50"/>
    </row>
    <row r="103" spans="2:15" x14ac:dyDescent="0.2">
      <c r="B103">
        <v>88</v>
      </c>
      <c r="C103" s="48">
        <f t="shared" ca="1" si="8"/>
        <v>-3.7051428224391079E-2</v>
      </c>
      <c r="D103" s="48">
        <f t="shared" ca="1" si="5"/>
        <v>0.66208281116035139</v>
      </c>
      <c r="E103" s="48">
        <f t="shared" ca="1" si="6"/>
        <v>0</v>
      </c>
      <c r="F103" s="17">
        <f t="shared" ca="1" si="7"/>
        <v>0</v>
      </c>
      <c r="H103" s="17">
        <v>88</v>
      </c>
      <c r="I103" s="43">
        <v>0.66840307370245833</v>
      </c>
      <c r="J103" s="43">
        <v>1.8919036402176972E-2</v>
      </c>
      <c r="K103" s="43"/>
      <c r="L103" s="43">
        <v>0.25019999999999998</v>
      </c>
      <c r="O103" s="50"/>
    </row>
    <row r="104" spans="2:15" x14ac:dyDescent="0.2">
      <c r="B104">
        <v>89</v>
      </c>
      <c r="C104" s="48">
        <f t="shared" ca="1" si="8"/>
        <v>0.67006981618388095</v>
      </c>
      <c r="D104" s="48">
        <f t="shared" ca="1" si="5"/>
        <v>0.70988567418023918</v>
      </c>
      <c r="E104" s="48">
        <f t="shared" ca="1" si="6"/>
        <v>0</v>
      </c>
      <c r="F104" s="17">
        <f t="shared" ca="1" si="7"/>
        <v>0</v>
      </c>
      <c r="H104" s="17">
        <v>89</v>
      </c>
      <c r="I104" s="43">
        <v>0.66908684095203586</v>
      </c>
      <c r="J104" s="43">
        <v>1.942063142005401E-2</v>
      </c>
      <c r="K104" s="43"/>
      <c r="L104" s="43">
        <v>0.25240000000000001</v>
      </c>
      <c r="O104" s="50"/>
    </row>
    <row r="105" spans="2:15" x14ac:dyDescent="0.2">
      <c r="B105">
        <v>90</v>
      </c>
      <c r="C105" s="48">
        <f t="shared" ca="1" si="8"/>
        <v>-0.27371130483685324</v>
      </c>
      <c r="D105" s="48">
        <f t="shared" ca="1" si="5"/>
        <v>0.64681410969035136</v>
      </c>
      <c r="E105" s="48">
        <f t="shared" ca="1" si="6"/>
        <v>0</v>
      </c>
      <c r="F105" s="17">
        <f t="shared" ca="1" si="7"/>
        <v>0</v>
      </c>
      <c r="H105" s="17">
        <v>90</v>
      </c>
      <c r="I105" s="43">
        <v>0.66882528221036486</v>
      </c>
      <c r="J105" s="43">
        <v>1.9236892953907094E-2</v>
      </c>
      <c r="K105" s="43"/>
      <c r="L105" s="43">
        <v>0.2482</v>
      </c>
      <c r="O105" s="50"/>
    </row>
    <row r="106" spans="2:15" x14ac:dyDescent="0.2">
      <c r="B106">
        <v>91</v>
      </c>
      <c r="C106" s="48">
        <f t="shared" ca="1" si="8"/>
        <v>0.53133270886382655</v>
      </c>
      <c r="D106" s="48">
        <f t="shared" ca="1" si="5"/>
        <v>0.70024214343386515</v>
      </c>
      <c r="E106" s="48">
        <f t="shared" ca="1" si="6"/>
        <v>0</v>
      </c>
      <c r="F106" s="17">
        <f t="shared" ca="1" si="7"/>
        <v>0</v>
      </c>
      <c r="H106" s="17">
        <v>91</v>
      </c>
      <c r="I106" s="43">
        <v>0.6693721059183253</v>
      </c>
      <c r="J106" s="43">
        <v>1.9595663224984006E-2</v>
      </c>
      <c r="K106" s="43"/>
      <c r="L106" s="43">
        <v>0.25419999999999998</v>
      </c>
      <c r="O106" s="50"/>
    </row>
    <row r="107" spans="2:15" x14ac:dyDescent="0.2">
      <c r="B107">
        <v>92</v>
      </c>
      <c r="C107" s="48">
        <f t="shared" ca="1" si="8"/>
        <v>-1.182718715448186</v>
      </c>
      <c r="D107" s="48">
        <f t="shared" ca="1" si="5"/>
        <v>0.59137019068300412</v>
      </c>
      <c r="E107" s="48">
        <f t="shared" ca="1" si="6"/>
        <v>0</v>
      </c>
      <c r="F107" s="17">
        <f t="shared" ca="1" si="7"/>
        <v>0</v>
      </c>
      <c r="H107" s="17">
        <v>92</v>
      </c>
      <c r="I107" s="43">
        <v>0.66818032094801716</v>
      </c>
      <c r="J107" s="43">
        <v>1.8911477596935022E-2</v>
      </c>
      <c r="K107" s="43"/>
      <c r="L107" s="43">
        <v>0.24079999999999999</v>
      </c>
      <c r="O107" s="50"/>
    </row>
    <row r="108" spans="2:15" x14ac:dyDescent="0.2">
      <c r="B108">
        <v>93</v>
      </c>
      <c r="C108" s="48">
        <f t="shared" ca="1" si="8"/>
        <v>0.20377805241149488</v>
      </c>
      <c r="D108" s="48">
        <f t="shared" ca="1" si="5"/>
        <v>0.67799059057507716</v>
      </c>
      <c r="E108" s="48">
        <f t="shared" ca="1" si="6"/>
        <v>0</v>
      </c>
      <c r="F108" s="17">
        <f t="shared" ca="1" si="7"/>
        <v>0</v>
      </c>
      <c r="H108" s="17">
        <v>93</v>
      </c>
      <c r="I108" s="43">
        <v>0.66860100308651405</v>
      </c>
      <c r="J108" s="43">
        <v>1.9173749327649203E-2</v>
      </c>
      <c r="K108" s="43"/>
      <c r="L108" s="43">
        <v>0.2424</v>
      </c>
      <c r="O108" s="50"/>
    </row>
    <row r="109" spans="2:15" x14ac:dyDescent="0.2">
      <c r="B109">
        <v>94</v>
      </c>
      <c r="C109" s="48">
        <f t="shared" ca="1" si="8"/>
        <v>-2.5968950441917282E-2</v>
      </c>
      <c r="D109" s="48">
        <f t="shared" ca="1" si="5"/>
        <v>0.66280659382668128</v>
      </c>
      <c r="E109" s="48">
        <f t="shared" ca="1" si="6"/>
        <v>0</v>
      </c>
      <c r="F109" s="17">
        <f t="shared" ca="1" si="7"/>
        <v>0</v>
      </c>
      <c r="H109" s="17">
        <v>94</v>
      </c>
      <c r="I109" s="43">
        <v>0.66872512862020439</v>
      </c>
      <c r="J109" s="43">
        <v>1.9227917255763758E-2</v>
      </c>
      <c r="K109" s="43"/>
      <c r="L109" s="43">
        <v>0.25280000000000002</v>
      </c>
      <c r="O109" s="50"/>
    </row>
    <row r="110" spans="2:15" x14ac:dyDescent="0.2">
      <c r="B110">
        <v>95</v>
      </c>
      <c r="C110" s="48">
        <f t="shared" ca="1" si="8"/>
        <v>0.79997786964509099</v>
      </c>
      <c r="D110" s="48">
        <f t="shared" ca="1" si="5"/>
        <v>0.71903586702858413</v>
      </c>
      <c r="E110" s="48">
        <f t="shared" ca="1" si="6"/>
        <v>0</v>
      </c>
      <c r="F110" s="17">
        <f t="shared" ca="1" si="7"/>
        <v>0</v>
      </c>
      <c r="H110" s="17">
        <v>95</v>
      </c>
      <c r="I110" s="43">
        <v>0.66856366127744582</v>
      </c>
      <c r="J110" s="43">
        <v>1.9231259790944696E-2</v>
      </c>
      <c r="K110" s="43"/>
      <c r="L110" s="43">
        <v>0.2442</v>
      </c>
      <c r="O110" s="50"/>
    </row>
    <row r="111" spans="2:15" x14ac:dyDescent="0.2">
      <c r="B111">
        <v>96</v>
      </c>
      <c r="C111" s="48">
        <f t="shared" ca="1" si="8"/>
        <v>2.0868861620410799</v>
      </c>
      <c r="D111" s="48">
        <f t="shared" ca="1" si="5"/>
        <v>0.81630190929503732</v>
      </c>
      <c r="E111" s="48">
        <f t="shared" ca="1" si="6"/>
        <v>2.8101909295037308E-2</v>
      </c>
      <c r="F111" s="17">
        <f t="shared" ca="1" si="7"/>
        <v>1</v>
      </c>
      <c r="H111" s="17">
        <v>96</v>
      </c>
      <c r="I111" s="43">
        <v>0.66880962505146568</v>
      </c>
      <c r="J111" s="43">
        <v>1.9129886379898431E-2</v>
      </c>
      <c r="K111" s="43"/>
      <c r="L111" s="43">
        <v>0.24940000000000001</v>
      </c>
      <c r="O111" s="50"/>
    </row>
    <row r="112" spans="2:15" x14ac:dyDescent="0.2">
      <c r="B112">
        <v>97</v>
      </c>
      <c r="C112" s="48">
        <f t="shared" ca="1" si="8"/>
        <v>0.77897275753001971</v>
      </c>
      <c r="D112" s="48">
        <f t="shared" ca="1" si="5"/>
        <v>0.71754839886535604</v>
      </c>
      <c r="E112" s="48">
        <f t="shared" ca="1" si="6"/>
        <v>0</v>
      </c>
      <c r="F112" s="17">
        <f t="shared" ca="1" si="7"/>
        <v>0</v>
      </c>
      <c r="H112" s="17">
        <v>97</v>
      </c>
      <c r="I112" s="43">
        <v>0.66868242412913625</v>
      </c>
      <c r="J112" s="43">
        <v>1.9247661490738071E-2</v>
      </c>
      <c r="K112" s="43"/>
      <c r="L112" s="43">
        <v>0.25119999999999998</v>
      </c>
      <c r="O112" s="50"/>
    </row>
    <row r="113" spans="2:15" x14ac:dyDescent="0.2">
      <c r="B113">
        <v>98</v>
      </c>
      <c r="C113" s="48">
        <f t="shared" ca="1" si="8"/>
        <v>0.55177699882282227</v>
      </c>
      <c r="D113" s="48">
        <f t="shared" ca="1" si="5"/>
        <v>0.70165494036240317</v>
      </c>
      <c r="E113" s="48">
        <f t="shared" ca="1" si="6"/>
        <v>0</v>
      </c>
      <c r="F113" s="17">
        <f t="shared" ca="1" si="7"/>
        <v>0</v>
      </c>
      <c r="H113" s="17">
        <v>98</v>
      </c>
      <c r="I113" s="43">
        <v>0.66853441812889691</v>
      </c>
      <c r="J113" s="43">
        <v>1.8857181828125756E-2</v>
      </c>
      <c r="K113" s="43"/>
      <c r="L113" s="43">
        <v>0.24940000000000001</v>
      </c>
      <c r="O113" s="50"/>
    </row>
    <row r="114" spans="2:15" x14ac:dyDescent="0.2">
      <c r="B114">
        <v>99</v>
      </c>
      <c r="C114" s="48">
        <f t="shared" ca="1" si="8"/>
        <v>-0.98900366072821511</v>
      </c>
      <c r="D114" s="48">
        <f t="shared" ca="1" si="5"/>
        <v>0.60277264063191671</v>
      </c>
      <c r="E114" s="48">
        <f t="shared" ca="1" si="6"/>
        <v>0</v>
      </c>
      <c r="F114" s="17">
        <f t="shared" ca="1" si="7"/>
        <v>0</v>
      </c>
      <c r="H114" s="17">
        <v>99</v>
      </c>
      <c r="I114" s="43">
        <v>0.66775054713851123</v>
      </c>
      <c r="J114" s="43">
        <v>1.8573140217761921E-2</v>
      </c>
      <c r="K114" s="43"/>
      <c r="L114" s="43">
        <v>0.25340000000000001</v>
      </c>
      <c r="O114" s="50"/>
    </row>
    <row r="115" spans="2:15" x14ac:dyDescent="0.2">
      <c r="B115">
        <v>100</v>
      </c>
      <c r="C115" s="48">
        <f t="shared" ca="1" si="8"/>
        <v>-0.93597448876345379</v>
      </c>
      <c r="D115" s="48">
        <f t="shared" ca="1" si="5"/>
        <v>0.6059321950596539</v>
      </c>
      <c r="E115" s="48">
        <f t="shared" ca="1" si="6"/>
        <v>0</v>
      </c>
      <c r="F115" s="17">
        <f t="shared" ca="1" si="7"/>
        <v>0</v>
      </c>
      <c r="H115" s="17">
        <v>100</v>
      </c>
      <c r="I115" s="43">
        <v>0.66943637941540779</v>
      </c>
      <c r="J115" s="43">
        <v>1.9853539841648653E-2</v>
      </c>
      <c r="K115" s="43"/>
      <c r="L115" s="43">
        <v>0.25559999999999999</v>
      </c>
      <c r="O115" s="50"/>
    </row>
    <row r="116" spans="2:15" x14ac:dyDescent="0.2">
      <c r="B116">
        <v>101</v>
      </c>
      <c r="C116" s="48">
        <f t="shared" ca="1" si="8"/>
        <v>1.5198879913491827</v>
      </c>
      <c r="D116" s="48">
        <f t="shared" ca="1" si="5"/>
        <v>0.77192342787854462</v>
      </c>
      <c r="E116" s="48">
        <f t="shared" ca="1" si="6"/>
        <v>0</v>
      </c>
      <c r="F116" s="17">
        <f t="shared" ca="1" si="7"/>
        <v>0</v>
      </c>
      <c r="H116" s="17">
        <v>101</v>
      </c>
      <c r="I116" s="43">
        <v>0.66866958621849049</v>
      </c>
      <c r="J116" s="43">
        <v>1.9063609860357135E-2</v>
      </c>
      <c r="K116" s="43"/>
      <c r="L116" s="43">
        <v>0.246</v>
      </c>
      <c r="M116" s="30"/>
      <c r="N116" s="30"/>
      <c r="O116" s="50"/>
    </row>
    <row r="117" spans="2:15" x14ac:dyDescent="0.2">
      <c r="B117">
        <v>102</v>
      </c>
      <c r="C117" s="48">
        <f t="shared" ca="1" si="8"/>
        <v>-0.50290493481416898</v>
      </c>
      <c r="D117" s="48">
        <f t="shared" ca="1" si="5"/>
        <v>0.63236282652101516</v>
      </c>
      <c r="E117" s="48">
        <f t="shared" ca="1" si="6"/>
        <v>0</v>
      </c>
      <c r="F117" s="17">
        <f t="shared" ca="1" si="7"/>
        <v>0</v>
      </c>
      <c r="H117" s="17">
        <v>102</v>
      </c>
      <c r="I117" s="43">
        <v>0.66883392965079935</v>
      </c>
      <c r="J117" s="43">
        <v>1.9175631700958096E-2</v>
      </c>
      <c r="K117" s="43"/>
      <c r="L117" s="43">
        <v>0.248</v>
      </c>
      <c r="O117" s="50"/>
    </row>
    <row r="118" spans="2:15" x14ac:dyDescent="0.2">
      <c r="B118">
        <v>103</v>
      </c>
      <c r="C118" s="48">
        <f t="shared" ca="1" si="8"/>
        <v>-0.80395091861697621</v>
      </c>
      <c r="D118" s="48">
        <f t="shared" ca="1" si="5"/>
        <v>0.6138704793407711</v>
      </c>
      <c r="E118" s="48">
        <f t="shared" ca="1" si="6"/>
        <v>0</v>
      </c>
      <c r="F118" s="17">
        <f t="shared" ca="1" si="7"/>
        <v>0</v>
      </c>
      <c r="H118" s="17">
        <v>103</v>
      </c>
      <c r="I118" s="43">
        <v>0.66793510802705525</v>
      </c>
      <c r="J118" s="43">
        <v>1.868440548868068E-2</v>
      </c>
      <c r="K118" s="43"/>
      <c r="L118" s="43">
        <v>0.2452</v>
      </c>
      <c r="O118" s="50"/>
    </row>
    <row r="119" spans="2:15" x14ac:dyDescent="0.2">
      <c r="B119">
        <v>104</v>
      </c>
      <c r="C119" s="48">
        <f t="shared" ca="1" si="8"/>
        <v>-0.71595411035863998</v>
      </c>
      <c r="D119" s="48">
        <f t="shared" ca="1" si="5"/>
        <v>0.61921920824850596</v>
      </c>
      <c r="E119" s="48">
        <f t="shared" ca="1" si="6"/>
        <v>0</v>
      </c>
      <c r="F119" s="17">
        <f t="shared" ca="1" si="7"/>
        <v>0</v>
      </c>
      <c r="H119" s="17">
        <v>104</v>
      </c>
      <c r="I119" s="43">
        <v>0.66985037673081438</v>
      </c>
      <c r="J119" s="43">
        <v>2.0034931410809712E-2</v>
      </c>
      <c r="K119" s="43"/>
      <c r="L119" s="43">
        <v>0.24879999999999999</v>
      </c>
      <c r="O119" s="50"/>
    </row>
    <row r="120" spans="2:15" x14ac:dyDescent="0.2">
      <c r="B120">
        <v>105</v>
      </c>
      <c r="C120" s="48">
        <f t="shared" ca="1" si="8"/>
        <v>-0.73427783839455063</v>
      </c>
      <c r="D120" s="48">
        <f t="shared" ca="1" si="5"/>
        <v>0.61810160472504494</v>
      </c>
      <c r="E120" s="48">
        <f t="shared" ca="1" si="6"/>
        <v>0</v>
      </c>
      <c r="F120" s="17">
        <f t="shared" ca="1" si="7"/>
        <v>0</v>
      </c>
      <c r="H120" s="17">
        <v>105</v>
      </c>
      <c r="I120" s="43">
        <v>0.66859459698835388</v>
      </c>
      <c r="J120" s="43">
        <v>1.9136218945222376E-2</v>
      </c>
      <c r="K120" s="43"/>
      <c r="L120" s="43">
        <v>0.2492</v>
      </c>
      <c r="O120" s="50"/>
    </row>
    <row r="121" spans="2:15" x14ac:dyDescent="0.2">
      <c r="B121">
        <v>106</v>
      </c>
      <c r="C121" s="48">
        <f t="shared" ca="1" si="8"/>
        <v>-0.91438581000225971</v>
      </c>
      <c r="D121" s="48">
        <f t="shared" ca="1" si="5"/>
        <v>0.6072232183155154</v>
      </c>
      <c r="E121" s="48">
        <f t="shared" ca="1" si="6"/>
        <v>0</v>
      </c>
      <c r="F121" s="17">
        <f t="shared" ca="1" si="7"/>
        <v>0</v>
      </c>
      <c r="H121" s="17">
        <v>106</v>
      </c>
      <c r="I121" s="43">
        <v>0.66780315210595731</v>
      </c>
      <c r="J121" s="43">
        <v>1.8629443602036132E-2</v>
      </c>
      <c r="K121" s="43"/>
      <c r="L121" s="43">
        <v>0.24360000000000001</v>
      </c>
      <c r="O121" s="50"/>
    </row>
    <row r="122" spans="2:15" x14ac:dyDescent="0.2">
      <c r="B122">
        <v>107</v>
      </c>
      <c r="C122" s="48">
        <f t="shared" ca="1" si="8"/>
        <v>1.012159260542288</v>
      </c>
      <c r="D122" s="48">
        <f t="shared" ca="1" si="5"/>
        <v>0.73423538670165134</v>
      </c>
      <c r="E122" s="48">
        <f t="shared" ca="1" si="6"/>
        <v>0</v>
      </c>
      <c r="F122" s="17">
        <f t="shared" ca="1" si="7"/>
        <v>0</v>
      </c>
      <c r="H122" s="17">
        <v>107</v>
      </c>
      <c r="I122" s="43">
        <v>0.66995891751919512</v>
      </c>
      <c r="J122" s="43">
        <v>2.0045828264843892E-2</v>
      </c>
      <c r="K122" s="43"/>
      <c r="L122" s="43">
        <v>0.25380000000000003</v>
      </c>
      <c r="O122" s="50"/>
    </row>
    <row r="123" spans="2:15" x14ac:dyDescent="0.2">
      <c r="B123">
        <v>108</v>
      </c>
      <c r="C123" s="48">
        <f t="shared" ca="1" si="8"/>
        <v>-0.26014057753073494</v>
      </c>
      <c r="D123" s="48">
        <f t="shared" ca="1" si="5"/>
        <v>0.6476800638124417</v>
      </c>
      <c r="E123" s="48">
        <f t="shared" ca="1" si="6"/>
        <v>0</v>
      </c>
      <c r="F123" s="17">
        <f t="shared" ca="1" si="7"/>
        <v>0</v>
      </c>
      <c r="H123" s="17">
        <v>108</v>
      </c>
      <c r="I123" s="43">
        <v>0.66892075272695239</v>
      </c>
      <c r="J123" s="43">
        <v>1.9528859527981723E-2</v>
      </c>
      <c r="K123" s="43"/>
      <c r="L123" s="43">
        <v>0.25159999999999999</v>
      </c>
      <c r="O123" s="50"/>
    </row>
    <row r="124" spans="2:15" x14ac:dyDescent="0.2">
      <c r="B124">
        <v>109</v>
      </c>
      <c r="C124" s="48">
        <f t="shared" ca="1" si="8"/>
        <v>-0.96927459698274598</v>
      </c>
      <c r="D124" s="48">
        <f t="shared" ca="1" si="5"/>
        <v>0.6039461975463557</v>
      </c>
      <c r="E124" s="48">
        <f t="shared" ca="1" si="6"/>
        <v>0</v>
      </c>
      <c r="F124" s="17">
        <f t="shared" ca="1" si="7"/>
        <v>0</v>
      </c>
      <c r="H124" s="17">
        <v>109</v>
      </c>
      <c r="I124" s="43">
        <v>0.66858932945960203</v>
      </c>
      <c r="J124" s="43">
        <v>1.9371374299945621E-2</v>
      </c>
      <c r="K124" s="43"/>
      <c r="L124" s="43">
        <v>0.25059999999999999</v>
      </c>
      <c r="O124" s="50"/>
    </row>
    <row r="125" spans="2:15" x14ac:dyDescent="0.2">
      <c r="B125">
        <v>110</v>
      </c>
      <c r="C125" s="48">
        <f t="shared" ca="1" si="8"/>
        <v>0.41903144724152663</v>
      </c>
      <c r="D125" s="48">
        <f t="shared" ca="1" si="5"/>
        <v>0.69253217369117182</v>
      </c>
      <c r="E125" s="48">
        <f t="shared" ca="1" si="6"/>
        <v>0</v>
      </c>
      <c r="F125" s="17">
        <f t="shared" ca="1" si="7"/>
        <v>0</v>
      </c>
      <c r="H125" s="17">
        <v>110</v>
      </c>
      <c r="I125" s="43">
        <v>0.66874745557264825</v>
      </c>
      <c r="J125" s="43">
        <v>1.9408249456493776E-2</v>
      </c>
      <c r="K125" s="43"/>
      <c r="L125" s="43">
        <v>0.25679999999999997</v>
      </c>
      <c r="O125" s="50"/>
    </row>
    <row r="126" spans="2:15" x14ac:dyDescent="0.2">
      <c r="B126">
        <v>111</v>
      </c>
      <c r="C126" s="48">
        <f t="shared" ca="1" si="8"/>
        <v>-0.49882743807572438</v>
      </c>
      <c r="D126" s="48">
        <f t="shared" ca="1" si="5"/>
        <v>0.63261708120874727</v>
      </c>
      <c r="E126" s="48">
        <f t="shared" ca="1" si="6"/>
        <v>0</v>
      </c>
      <c r="F126" s="17">
        <f t="shared" ca="1" si="7"/>
        <v>0</v>
      </c>
      <c r="H126" s="17">
        <v>111</v>
      </c>
      <c r="I126" s="43">
        <v>0.66863337451220151</v>
      </c>
      <c r="J126" s="43">
        <v>1.9046232455484986E-2</v>
      </c>
      <c r="K126" s="43"/>
      <c r="L126" s="43">
        <v>0.24540000000000001</v>
      </c>
      <c r="O126" s="50"/>
    </row>
    <row r="127" spans="2:15" x14ac:dyDescent="0.2">
      <c r="B127">
        <v>112</v>
      </c>
      <c r="C127" s="48">
        <f t="shared" ca="1" si="8"/>
        <v>-0.33669539248655483</v>
      </c>
      <c r="D127" s="48">
        <f t="shared" ca="1" si="5"/>
        <v>0.64281019898813652</v>
      </c>
      <c r="E127" s="48">
        <f t="shared" ca="1" si="6"/>
        <v>0</v>
      </c>
      <c r="F127" s="17">
        <f t="shared" ca="1" si="7"/>
        <v>0</v>
      </c>
      <c r="H127" s="17">
        <v>112</v>
      </c>
      <c r="I127" s="43">
        <v>0.6684555717276518</v>
      </c>
      <c r="J127" s="43">
        <v>1.9016078081902654E-2</v>
      </c>
      <c r="K127" s="43"/>
      <c r="L127" s="43">
        <v>0.2472</v>
      </c>
      <c r="O127" s="50"/>
    </row>
    <row r="128" spans="2:15" x14ac:dyDescent="0.2">
      <c r="B128">
        <v>113</v>
      </c>
      <c r="C128" s="48">
        <f t="shared" ca="1" si="8"/>
        <v>0.97356811793272624</v>
      </c>
      <c r="D128" s="48">
        <f t="shared" ca="1" si="5"/>
        <v>0.73144721976758453</v>
      </c>
      <c r="E128" s="48">
        <f t="shared" ca="1" si="6"/>
        <v>0</v>
      </c>
      <c r="F128" s="17">
        <f t="shared" ca="1" si="7"/>
        <v>0</v>
      </c>
      <c r="H128" s="17">
        <v>113</v>
      </c>
      <c r="I128" s="43">
        <v>0.66940430498468084</v>
      </c>
      <c r="J128" s="43">
        <v>1.9629797122259551E-2</v>
      </c>
      <c r="K128" s="43"/>
      <c r="L128" s="43">
        <v>0.246</v>
      </c>
      <c r="O128" s="50"/>
    </row>
    <row r="129" spans="2:15" x14ac:dyDescent="0.2">
      <c r="B129">
        <v>114</v>
      </c>
      <c r="C129" s="48">
        <f t="shared" ca="1" si="8"/>
        <v>0.28221239173935575</v>
      </c>
      <c r="D129" s="48">
        <f t="shared" ca="1" si="5"/>
        <v>0.68325357196063996</v>
      </c>
      <c r="E129" s="48">
        <f t="shared" ca="1" si="6"/>
        <v>0</v>
      </c>
      <c r="F129" s="17">
        <f t="shared" ca="1" si="7"/>
        <v>0</v>
      </c>
      <c r="H129" s="17">
        <v>114</v>
      </c>
      <c r="I129" s="43">
        <v>0.66878947019899071</v>
      </c>
      <c r="J129" s="43">
        <v>1.9393164194182178E-2</v>
      </c>
      <c r="K129" s="43"/>
      <c r="L129" s="43">
        <v>0.24660000000000001</v>
      </c>
      <c r="O129" s="50"/>
    </row>
    <row r="130" spans="2:15" x14ac:dyDescent="0.2">
      <c r="B130">
        <v>115</v>
      </c>
      <c r="C130" s="48">
        <f t="shared" ca="1" si="8"/>
        <v>-0.87078738947253875</v>
      </c>
      <c r="D130" s="48">
        <f t="shared" ca="1" si="5"/>
        <v>0.60983883762636026</v>
      </c>
      <c r="E130" s="48">
        <f t="shared" ca="1" si="6"/>
        <v>0</v>
      </c>
      <c r="F130" s="17">
        <f t="shared" ca="1" si="7"/>
        <v>0</v>
      </c>
      <c r="H130" s="17">
        <v>115</v>
      </c>
      <c r="I130" s="43">
        <v>0.6683802516490096</v>
      </c>
      <c r="J130" s="43">
        <v>1.9180901381806927E-2</v>
      </c>
      <c r="K130" s="43"/>
      <c r="L130" s="43">
        <v>0.24979999999999999</v>
      </c>
      <c r="O130" s="50"/>
    </row>
    <row r="131" spans="2:15" x14ac:dyDescent="0.2">
      <c r="B131">
        <v>116</v>
      </c>
      <c r="C131" s="48">
        <f t="shared" ca="1" si="8"/>
        <v>0.133262744634813</v>
      </c>
      <c r="D131" s="48">
        <f t="shared" ca="1" si="5"/>
        <v>0.67329359581170756</v>
      </c>
      <c r="E131" s="48">
        <f t="shared" ca="1" si="6"/>
        <v>0</v>
      </c>
      <c r="F131" s="17">
        <f t="shared" ca="1" si="7"/>
        <v>0</v>
      </c>
      <c r="H131" s="17">
        <v>116</v>
      </c>
      <c r="I131" s="43">
        <v>0.66864418912867452</v>
      </c>
      <c r="J131" s="43">
        <v>1.9433772790386192E-2</v>
      </c>
      <c r="K131" s="43"/>
      <c r="L131" s="43">
        <v>0.25180000000000002</v>
      </c>
      <c r="O131" s="50"/>
    </row>
    <row r="132" spans="2:15" x14ac:dyDescent="0.2">
      <c r="B132">
        <v>117</v>
      </c>
      <c r="C132" s="48">
        <f t="shared" ca="1" si="8"/>
        <v>-0.84093972072923739</v>
      </c>
      <c r="D132" s="48">
        <f t="shared" ca="1" si="5"/>
        <v>0.61163599600168284</v>
      </c>
      <c r="E132" s="48">
        <f t="shared" ca="1" si="6"/>
        <v>0</v>
      </c>
      <c r="F132" s="17">
        <f t="shared" ca="1" si="7"/>
        <v>0</v>
      </c>
      <c r="H132" s="17">
        <v>117</v>
      </c>
      <c r="I132" s="43">
        <v>0.66836953083748385</v>
      </c>
      <c r="J132" s="43">
        <v>1.8874967334325043E-2</v>
      </c>
      <c r="K132" s="43"/>
      <c r="L132" s="43">
        <v>0.25059999999999999</v>
      </c>
      <c r="O132" s="50"/>
    </row>
    <row r="133" spans="2:15" x14ac:dyDescent="0.2">
      <c r="B133">
        <v>118</v>
      </c>
      <c r="C133" s="48">
        <f t="shared" ca="1" si="8"/>
        <v>-0.89402533771171899</v>
      </c>
      <c r="D133" s="48">
        <f t="shared" ca="1" si="5"/>
        <v>0.60844331399019402</v>
      </c>
      <c r="E133" s="48">
        <f t="shared" ca="1" si="6"/>
        <v>0</v>
      </c>
      <c r="F133" s="17">
        <f t="shared" ca="1" si="7"/>
        <v>0</v>
      </c>
      <c r="H133" s="17">
        <v>118</v>
      </c>
      <c r="I133" s="43">
        <v>0.66827208460549592</v>
      </c>
      <c r="J133" s="43">
        <v>1.8900077820892071E-2</v>
      </c>
      <c r="K133" s="43"/>
      <c r="L133" s="43">
        <v>0.25119999999999998</v>
      </c>
      <c r="O133" s="50"/>
    </row>
    <row r="134" spans="2:15" x14ac:dyDescent="0.2">
      <c r="B134">
        <v>119</v>
      </c>
      <c r="C134" s="48">
        <f t="shared" ca="1" si="8"/>
        <v>-3.0325550828622767E-2</v>
      </c>
      <c r="D134" s="48">
        <f t="shared" ca="1" si="5"/>
        <v>0.66252197540645974</v>
      </c>
      <c r="E134" s="48">
        <f t="shared" ca="1" si="6"/>
        <v>0</v>
      </c>
      <c r="F134" s="17">
        <f t="shared" ca="1" si="7"/>
        <v>0</v>
      </c>
      <c r="H134" s="17">
        <v>119</v>
      </c>
      <c r="I134" s="43">
        <v>0.6681451220242971</v>
      </c>
      <c r="J134" s="43">
        <v>1.8779112692728712E-2</v>
      </c>
      <c r="K134" s="43"/>
      <c r="L134" s="43">
        <v>0.247</v>
      </c>
      <c r="O134" s="50"/>
    </row>
    <row r="135" spans="2:15" x14ac:dyDescent="0.2">
      <c r="B135">
        <v>120</v>
      </c>
      <c r="C135" s="48">
        <f t="shared" ca="1" si="8"/>
        <v>-0.32845836034771653</v>
      </c>
      <c r="D135" s="48">
        <f t="shared" ca="1" si="5"/>
        <v>0.64333241669106034</v>
      </c>
      <c r="E135" s="48">
        <f t="shared" ca="1" si="6"/>
        <v>0</v>
      </c>
      <c r="F135" s="17">
        <f t="shared" ca="1" si="7"/>
        <v>0</v>
      </c>
      <c r="H135" s="17">
        <v>120</v>
      </c>
      <c r="I135" s="43">
        <v>0.67005597925116478</v>
      </c>
      <c r="J135" s="43">
        <v>2.0199156476377229E-2</v>
      </c>
      <c r="K135" s="43"/>
      <c r="L135" s="43">
        <v>0.2586</v>
      </c>
      <c r="O135" s="50"/>
    </row>
    <row r="136" spans="2:15" x14ac:dyDescent="0.2">
      <c r="B136">
        <v>121</v>
      </c>
      <c r="C136" s="48">
        <f t="shared" ca="1" si="8"/>
        <v>-1.0917484782989669E-2</v>
      </c>
      <c r="D136" s="48">
        <f t="shared" ca="1" si="5"/>
        <v>0.66379085327955112</v>
      </c>
      <c r="E136" s="48">
        <f t="shared" ca="1" si="6"/>
        <v>0</v>
      </c>
      <c r="F136" s="17">
        <f t="shared" ca="1" si="7"/>
        <v>0</v>
      </c>
      <c r="H136" s="17">
        <v>121</v>
      </c>
      <c r="I136" s="43">
        <v>0.66793041352908378</v>
      </c>
      <c r="J136" s="43">
        <v>1.8673235057864512E-2</v>
      </c>
      <c r="K136" s="43"/>
      <c r="L136" s="43">
        <v>0.24540000000000001</v>
      </c>
      <c r="O136" s="50"/>
    </row>
    <row r="137" spans="2:15" x14ac:dyDescent="0.2">
      <c r="B137">
        <v>122</v>
      </c>
      <c r="C137" s="48">
        <f t="shared" ca="1" si="8"/>
        <v>0.29504938559037386</v>
      </c>
      <c r="D137" s="48">
        <f t="shared" ca="1" si="5"/>
        <v>0.68411882235884336</v>
      </c>
      <c r="E137" s="48">
        <f t="shared" ca="1" si="6"/>
        <v>0</v>
      </c>
      <c r="F137" s="17">
        <f t="shared" ca="1" si="7"/>
        <v>0</v>
      </c>
      <c r="H137" s="17">
        <v>122</v>
      </c>
      <c r="I137" s="43">
        <v>0.66864963221577245</v>
      </c>
      <c r="J137" s="43">
        <v>1.9139853540222806E-2</v>
      </c>
      <c r="K137" s="43"/>
      <c r="L137" s="43">
        <v>0.253</v>
      </c>
      <c r="O137" s="50"/>
    </row>
    <row r="138" spans="2:15" x14ac:dyDescent="0.2">
      <c r="B138">
        <v>123</v>
      </c>
      <c r="C138" s="48">
        <f t="shared" ca="1" si="8"/>
        <v>-0.1558571919637832</v>
      </c>
      <c r="D138" s="48">
        <f t="shared" ca="1" si="5"/>
        <v>0.65437323269131931</v>
      </c>
      <c r="E138" s="48">
        <f t="shared" ca="1" si="6"/>
        <v>0</v>
      </c>
      <c r="F138" s="17">
        <f t="shared" ca="1" si="7"/>
        <v>0</v>
      </c>
      <c r="H138" s="17">
        <v>123</v>
      </c>
      <c r="I138" s="43">
        <v>0.66950201532606313</v>
      </c>
      <c r="J138" s="43">
        <v>1.9610090102284251E-2</v>
      </c>
      <c r="K138" s="43"/>
      <c r="L138" s="43">
        <v>0.25119999999999998</v>
      </c>
      <c r="O138" s="50"/>
    </row>
    <row r="139" spans="2:15" x14ac:dyDescent="0.2">
      <c r="B139">
        <v>124</v>
      </c>
      <c r="C139" s="48">
        <f t="shared" ca="1" si="8"/>
        <v>0.73334802693979728</v>
      </c>
      <c r="D139" s="48">
        <f t="shared" ca="1" si="5"/>
        <v>0.71432809491143956</v>
      </c>
      <c r="E139" s="48">
        <f t="shared" ca="1" si="6"/>
        <v>0</v>
      </c>
      <c r="F139" s="17">
        <f t="shared" ca="1" si="7"/>
        <v>0</v>
      </c>
      <c r="H139" s="17">
        <v>124</v>
      </c>
      <c r="I139" s="43">
        <v>0.6690040983318033</v>
      </c>
      <c r="J139" s="43">
        <v>1.9077570764450345E-2</v>
      </c>
      <c r="K139" s="43"/>
      <c r="L139" s="43">
        <v>0.24479999999999999</v>
      </c>
      <c r="O139" s="50"/>
    </row>
    <row r="140" spans="2:15" x14ac:dyDescent="0.2">
      <c r="B140">
        <v>125</v>
      </c>
      <c r="C140" s="48">
        <f t="shared" ca="1" si="8"/>
        <v>0.13950054563508468</v>
      </c>
      <c r="D140" s="48">
        <f t="shared" ca="1" si="5"/>
        <v>0.67370777785423863</v>
      </c>
      <c r="E140" s="48">
        <f t="shared" ca="1" si="6"/>
        <v>0</v>
      </c>
      <c r="F140" s="17">
        <f t="shared" ca="1" si="7"/>
        <v>0</v>
      </c>
      <c r="H140" s="17">
        <v>125</v>
      </c>
      <c r="I140" s="43">
        <v>0.6697237414442444</v>
      </c>
      <c r="J140" s="43">
        <v>1.9615771143223763E-2</v>
      </c>
      <c r="K140" s="43"/>
      <c r="L140" s="43">
        <v>0.24940000000000001</v>
      </c>
      <c r="O140" s="50"/>
    </row>
    <row r="141" spans="2:15" x14ac:dyDescent="0.2">
      <c r="B141">
        <v>126</v>
      </c>
      <c r="C141" s="48">
        <f t="shared" ca="1" si="8"/>
        <v>0.32461929261124428</v>
      </c>
      <c r="D141" s="48">
        <f t="shared" ca="1" si="5"/>
        <v>0.6861160906410666</v>
      </c>
      <c r="E141" s="48">
        <f t="shared" ca="1" si="6"/>
        <v>0</v>
      </c>
      <c r="F141" s="17">
        <f t="shared" ca="1" si="7"/>
        <v>0</v>
      </c>
      <c r="H141" s="17">
        <v>126</v>
      </c>
      <c r="I141" s="43">
        <v>0.66895800101774017</v>
      </c>
      <c r="J141" s="43">
        <v>1.9373058598716089E-2</v>
      </c>
      <c r="K141" s="43"/>
      <c r="L141" s="43">
        <v>0.249</v>
      </c>
      <c r="O141" s="50"/>
    </row>
    <row r="142" spans="2:15" x14ac:dyDescent="0.2">
      <c r="B142">
        <v>127</v>
      </c>
      <c r="C142" s="48">
        <f t="shared" ca="1" si="8"/>
        <v>-1.276511165294127</v>
      </c>
      <c r="D142" s="48">
        <f t="shared" ca="1" si="5"/>
        <v>0.58592713636669691</v>
      </c>
      <c r="E142" s="48">
        <f t="shared" ca="1" si="6"/>
        <v>0</v>
      </c>
      <c r="F142" s="17">
        <f t="shared" ca="1" si="7"/>
        <v>0</v>
      </c>
      <c r="H142" s="17">
        <v>127</v>
      </c>
      <c r="I142" s="43">
        <v>0.66898982039366417</v>
      </c>
      <c r="J142" s="43">
        <v>1.9483215139304011E-2</v>
      </c>
      <c r="K142" s="43"/>
      <c r="L142" s="43">
        <v>0.25940000000000002</v>
      </c>
      <c r="O142" s="50"/>
    </row>
    <row r="143" spans="2:15" x14ac:dyDescent="0.2">
      <c r="B143">
        <v>128</v>
      </c>
      <c r="C143" s="48">
        <f t="shared" ca="1" si="8"/>
        <v>9.7120013453862689E-2</v>
      </c>
      <c r="D143" s="48">
        <f t="shared" ca="1" si="5"/>
        <v>0.67089877150192745</v>
      </c>
      <c r="E143" s="48">
        <f t="shared" ca="1" si="6"/>
        <v>0</v>
      </c>
      <c r="F143" s="17">
        <f t="shared" ca="1" si="7"/>
        <v>0</v>
      </c>
      <c r="H143" s="17">
        <v>128</v>
      </c>
      <c r="I143" s="43">
        <v>0.6699747609558141</v>
      </c>
      <c r="J143" s="43">
        <v>2.0229239819216753E-2</v>
      </c>
      <c r="K143" s="43"/>
      <c r="L143" s="43">
        <v>0.25900000000000001</v>
      </c>
      <c r="O143" s="50"/>
    </row>
    <row r="144" spans="2:15" x14ac:dyDescent="0.2">
      <c r="B144">
        <v>129</v>
      </c>
      <c r="C144" s="48">
        <f t="shared" ca="1" si="8"/>
        <v>0.9893188718666569</v>
      </c>
      <c r="D144" s="48">
        <f t="shared" ref="D144:D207" ca="1" si="9">S0*EXP((μ-0.5*σ*σ)*T+σ*SQRT(T)*$C144)</f>
        <v>0.73258391305820736</v>
      </c>
      <c r="E144" s="48">
        <f t="shared" ref="E144:E207" ca="1" si="10">MAX(0,CP*(D144-K))</f>
        <v>0</v>
      </c>
      <c r="F144" s="17">
        <f t="shared" ref="F144:F207" ca="1" si="11">(CP*(D144-K)&gt;0)*1</f>
        <v>0</v>
      </c>
      <c r="H144" s="17">
        <v>129</v>
      </c>
      <c r="I144" s="43">
        <v>0.66796183728564784</v>
      </c>
      <c r="J144" s="43">
        <v>1.8584114033323319E-2</v>
      </c>
      <c r="K144" s="43"/>
      <c r="L144" s="43">
        <v>0.2422</v>
      </c>
      <c r="O144" s="50"/>
    </row>
    <row r="145" spans="2:15" x14ac:dyDescent="0.2">
      <c r="B145">
        <v>130</v>
      </c>
      <c r="C145" s="48">
        <f t="shared" ref="C145:C208" ca="1" si="12">_xlfn.NORM.S.INV(RAND())</f>
        <v>-1.2523382812312343</v>
      </c>
      <c r="D145" s="48">
        <f t="shared" ca="1" si="9"/>
        <v>0.58732514997107532</v>
      </c>
      <c r="E145" s="48">
        <f t="shared" ca="1" si="10"/>
        <v>0</v>
      </c>
      <c r="F145" s="17">
        <f t="shared" ca="1" si="11"/>
        <v>0</v>
      </c>
      <c r="H145" s="17">
        <v>130</v>
      </c>
      <c r="I145" s="43">
        <v>0.66807904789409855</v>
      </c>
      <c r="J145" s="43">
        <v>1.857041785017826E-2</v>
      </c>
      <c r="K145" s="43"/>
      <c r="L145" s="43">
        <v>0.2424</v>
      </c>
      <c r="O145" s="50"/>
    </row>
    <row r="146" spans="2:15" x14ac:dyDescent="0.2">
      <c r="B146">
        <v>131</v>
      </c>
      <c r="C146" s="48">
        <f t="shared" ca="1" si="12"/>
        <v>-0.65156015933675249</v>
      </c>
      <c r="D146" s="48">
        <f t="shared" ca="1" si="9"/>
        <v>0.62316278672871606</v>
      </c>
      <c r="E146" s="48">
        <f t="shared" ca="1" si="10"/>
        <v>0</v>
      </c>
      <c r="F146" s="17">
        <f t="shared" ca="1" si="11"/>
        <v>0</v>
      </c>
      <c r="H146" s="17">
        <v>131</v>
      </c>
      <c r="I146" s="43">
        <v>0.6690518204049184</v>
      </c>
      <c r="J146" s="43">
        <v>1.9553315836699291E-2</v>
      </c>
      <c r="K146" s="43"/>
      <c r="L146" s="43">
        <v>0.25559999999999999</v>
      </c>
      <c r="O146" s="50"/>
    </row>
    <row r="147" spans="2:15" x14ac:dyDescent="0.2">
      <c r="B147">
        <v>132</v>
      </c>
      <c r="C147" s="48">
        <f t="shared" ca="1" si="12"/>
        <v>0.77407164794994565</v>
      </c>
      <c r="D147" s="48">
        <f t="shared" ca="1" si="9"/>
        <v>0.71720177184478628</v>
      </c>
      <c r="E147" s="48">
        <f t="shared" ca="1" si="10"/>
        <v>0</v>
      </c>
      <c r="F147" s="17">
        <f t="shared" ca="1" si="11"/>
        <v>0</v>
      </c>
      <c r="H147" s="17">
        <v>132</v>
      </c>
      <c r="I147" s="43">
        <v>0.66904419379953328</v>
      </c>
      <c r="J147" s="43">
        <v>1.935302936064507E-2</v>
      </c>
      <c r="K147" s="43"/>
      <c r="L147" s="43">
        <v>0.24859999999999999</v>
      </c>
      <c r="O147" s="50"/>
    </row>
    <row r="148" spans="2:15" x14ac:dyDescent="0.2">
      <c r="B148">
        <v>133</v>
      </c>
      <c r="C148" s="48">
        <f t="shared" ca="1" si="12"/>
        <v>-2.0324434155432951</v>
      </c>
      <c r="D148" s="48">
        <f t="shared" ca="1" si="9"/>
        <v>0.54384810728885613</v>
      </c>
      <c r="E148" s="48">
        <f t="shared" ca="1" si="10"/>
        <v>0</v>
      </c>
      <c r="F148" s="17">
        <f t="shared" ca="1" si="11"/>
        <v>0</v>
      </c>
      <c r="H148" s="17">
        <v>133</v>
      </c>
      <c r="I148" s="43">
        <v>0.66880568935433471</v>
      </c>
      <c r="J148" s="43">
        <v>1.9402713794348554E-2</v>
      </c>
      <c r="K148" s="43"/>
      <c r="L148" s="43">
        <v>0.25440000000000002</v>
      </c>
      <c r="O148" s="50"/>
    </row>
    <row r="149" spans="2:15" x14ac:dyDescent="0.2">
      <c r="B149">
        <v>134</v>
      </c>
      <c r="C149" s="48">
        <f t="shared" ca="1" si="12"/>
        <v>0.3376902125329202</v>
      </c>
      <c r="D149" s="48">
        <f t="shared" ca="1" si="9"/>
        <v>0.68700080959430332</v>
      </c>
      <c r="E149" s="48">
        <f t="shared" ca="1" si="10"/>
        <v>0</v>
      </c>
      <c r="F149" s="17">
        <f t="shared" ca="1" si="11"/>
        <v>0</v>
      </c>
      <c r="H149" s="17">
        <v>134</v>
      </c>
      <c r="I149" s="43">
        <v>0.66878010370139296</v>
      </c>
      <c r="J149" s="43">
        <v>1.9254770673717836E-2</v>
      </c>
      <c r="K149" s="43"/>
      <c r="L149" s="43">
        <v>0.24660000000000001</v>
      </c>
      <c r="O149" s="50"/>
    </row>
    <row r="150" spans="2:15" x14ac:dyDescent="0.2">
      <c r="B150">
        <v>135</v>
      </c>
      <c r="C150" s="48">
        <f t="shared" ca="1" si="12"/>
        <v>1.3303721517057725</v>
      </c>
      <c r="D150" s="48">
        <f t="shared" ca="1" si="9"/>
        <v>0.75763479694368052</v>
      </c>
      <c r="E150" s="48">
        <f t="shared" ca="1" si="10"/>
        <v>0</v>
      </c>
      <c r="F150" s="17">
        <f t="shared" ca="1" si="11"/>
        <v>0</v>
      </c>
      <c r="H150" s="17">
        <v>135</v>
      </c>
      <c r="I150" s="43">
        <v>0.66899849388357535</v>
      </c>
      <c r="J150" s="43">
        <v>1.9533494308806829E-2</v>
      </c>
      <c r="K150" s="43"/>
      <c r="L150" s="43">
        <v>0.25059999999999999</v>
      </c>
      <c r="O150" s="50"/>
    </row>
    <row r="151" spans="2:15" x14ac:dyDescent="0.2">
      <c r="B151">
        <v>136</v>
      </c>
      <c r="C151" s="48">
        <f t="shared" ca="1" si="12"/>
        <v>-1.2250730197556123</v>
      </c>
      <c r="D151" s="48">
        <f t="shared" ca="1" si="9"/>
        <v>0.5889060114284177</v>
      </c>
      <c r="E151" s="48">
        <f t="shared" ca="1" si="10"/>
        <v>0</v>
      </c>
      <c r="F151" s="17">
        <f t="shared" ca="1" si="11"/>
        <v>0</v>
      </c>
      <c r="H151" s="17">
        <v>136</v>
      </c>
      <c r="I151" s="43">
        <v>0.66801476844553631</v>
      </c>
      <c r="J151" s="43">
        <v>1.8740731635590684E-2</v>
      </c>
      <c r="K151" s="43"/>
      <c r="L151" s="43">
        <v>0.24759999999999999</v>
      </c>
      <c r="O151" s="50"/>
    </row>
    <row r="152" spans="2:15" x14ac:dyDescent="0.2">
      <c r="B152">
        <v>137</v>
      </c>
      <c r="C152" s="48">
        <f t="shared" ca="1" si="12"/>
        <v>-2.4502836776905395</v>
      </c>
      <c r="D152" s="48">
        <f t="shared" ca="1" si="9"/>
        <v>0.52190009418968897</v>
      </c>
      <c r="E152" s="48">
        <f t="shared" ca="1" si="10"/>
        <v>0</v>
      </c>
      <c r="F152" s="17">
        <f t="shared" ca="1" si="11"/>
        <v>0</v>
      </c>
      <c r="H152" s="17">
        <v>137</v>
      </c>
      <c r="I152" s="43">
        <v>0.66931165911411239</v>
      </c>
      <c r="J152" s="43">
        <v>1.9200039036955892E-2</v>
      </c>
      <c r="K152" s="43"/>
      <c r="L152" s="43">
        <v>0.25</v>
      </c>
      <c r="O152" s="50"/>
    </row>
    <row r="153" spans="2:15" x14ac:dyDescent="0.2">
      <c r="B153">
        <v>138</v>
      </c>
      <c r="C153" s="48">
        <f t="shared" ca="1" si="12"/>
        <v>0.61061798301636205</v>
      </c>
      <c r="D153" s="48">
        <f t="shared" ca="1" si="9"/>
        <v>0.70573705797026787</v>
      </c>
      <c r="E153" s="48">
        <f t="shared" ca="1" si="10"/>
        <v>0</v>
      </c>
      <c r="F153" s="17">
        <f t="shared" ca="1" si="11"/>
        <v>0</v>
      </c>
      <c r="H153" s="17">
        <v>138</v>
      </c>
      <c r="I153" s="43">
        <v>0.66797361852598947</v>
      </c>
      <c r="J153" s="43">
        <v>1.8646078893885469E-2</v>
      </c>
      <c r="K153" s="43"/>
      <c r="L153" s="43">
        <v>0.24879999999999999</v>
      </c>
      <c r="O153" s="50"/>
    </row>
    <row r="154" spans="2:15" x14ac:dyDescent="0.2">
      <c r="B154">
        <v>139</v>
      </c>
      <c r="C154" s="48">
        <f t="shared" ca="1" si="12"/>
        <v>-1.1057361875221059</v>
      </c>
      <c r="D154" s="48">
        <f t="shared" ca="1" si="9"/>
        <v>0.59587547706001809</v>
      </c>
      <c r="E154" s="48">
        <f t="shared" ca="1" si="10"/>
        <v>0</v>
      </c>
      <c r="F154" s="17">
        <f t="shared" ca="1" si="11"/>
        <v>0</v>
      </c>
      <c r="H154" s="17">
        <v>139</v>
      </c>
      <c r="I154" s="43">
        <v>0.66787956231298018</v>
      </c>
      <c r="J154" s="43">
        <v>1.8631293597730903E-2</v>
      </c>
      <c r="K154" s="43"/>
      <c r="L154" s="43">
        <v>0.24640000000000001</v>
      </c>
      <c r="O154" s="50"/>
    </row>
    <row r="155" spans="2:15" x14ac:dyDescent="0.2">
      <c r="B155">
        <v>140</v>
      </c>
      <c r="C155" s="48">
        <f t="shared" ca="1" si="12"/>
        <v>1.6092637589829892</v>
      </c>
      <c r="D155" s="48">
        <f t="shared" ca="1" si="9"/>
        <v>0.77875515464532319</v>
      </c>
      <c r="E155" s="48">
        <f t="shared" ca="1" si="10"/>
        <v>0</v>
      </c>
      <c r="F155" s="17">
        <f t="shared" ca="1" si="11"/>
        <v>0</v>
      </c>
      <c r="H155" s="17">
        <v>140</v>
      </c>
      <c r="I155" s="43">
        <v>0.66861119458377194</v>
      </c>
      <c r="J155" s="43">
        <v>1.8926090798084397E-2</v>
      </c>
      <c r="K155" s="43"/>
      <c r="L155" s="43">
        <v>0.24940000000000001</v>
      </c>
      <c r="O155" s="50"/>
    </row>
    <row r="156" spans="2:15" x14ac:dyDescent="0.2">
      <c r="B156">
        <v>141</v>
      </c>
      <c r="C156" s="48">
        <f t="shared" ca="1" si="12"/>
        <v>0.25746937889543592</v>
      </c>
      <c r="D156" s="48">
        <f t="shared" ca="1" si="9"/>
        <v>0.68158890783159409</v>
      </c>
      <c r="E156" s="48">
        <f t="shared" ca="1" si="10"/>
        <v>0</v>
      </c>
      <c r="F156" s="17">
        <f t="shared" ca="1" si="11"/>
        <v>0</v>
      </c>
      <c r="H156" s="17">
        <v>141</v>
      </c>
      <c r="I156" s="43">
        <v>0.66790229402242074</v>
      </c>
      <c r="J156" s="43">
        <v>1.8529299882583505E-2</v>
      </c>
      <c r="K156" s="43"/>
      <c r="L156" s="43">
        <v>0.2482</v>
      </c>
      <c r="O156" s="50"/>
    </row>
    <row r="157" spans="2:15" x14ac:dyDescent="0.2">
      <c r="B157">
        <v>142</v>
      </c>
      <c r="C157" s="48">
        <f t="shared" ca="1" si="12"/>
        <v>-0.31765698750338489</v>
      </c>
      <c r="D157" s="48">
        <f t="shared" ca="1" si="9"/>
        <v>0.64401785341599449</v>
      </c>
      <c r="E157" s="48">
        <f t="shared" ca="1" si="10"/>
        <v>0</v>
      </c>
      <c r="F157" s="17">
        <f t="shared" ca="1" si="11"/>
        <v>0</v>
      </c>
      <c r="H157" s="17">
        <v>142</v>
      </c>
      <c r="I157" s="43">
        <v>0.66873623535215543</v>
      </c>
      <c r="J157" s="43">
        <v>1.9020716532609439E-2</v>
      </c>
      <c r="K157" s="43"/>
      <c r="L157" s="43">
        <v>0.24660000000000001</v>
      </c>
      <c r="O157" s="50"/>
    </row>
    <row r="158" spans="2:15" x14ac:dyDescent="0.2">
      <c r="B158">
        <v>143</v>
      </c>
      <c r="C158" s="48">
        <f t="shared" ca="1" si="12"/>
        <v>1.0047525440684633</v>
      </c>
      <c r="D158" s="48">
        <f t="shared" ca="1" si="9"/>
        <v>0.73369943679550131</v>
      </c>
      <c r="E158" s="48">
        <f t="shared" ca="1" si="10"/>
        <v>0</v>
      </c>
      <c r="F158" s="17">
        <f t="shared" ca="1" si="11"/>
        <v>0</v>
      </c>
      <c r="H158" s="17">
        <v>143</v>
      </c>
      <c r="I158" s="43">
        <v>0.67042149348120939</v>
      </c>
      <c r="J158" s="43">
        <v>2.050031278489442E-2</v>
      </c>
      <c r="K158" s="43"/>
      <c r="L158" s="43">
        <v>0.25640000000000002</v>
      </c>
      <c r="O158" s="50"/>
    </row>
    <row r="159" spans="2:15" x14ac:dyDescent="0.2">
      <c r="B159">
        <v>144</v>
      </c>
      <c r="C159" s="48">
        <f t="shared" ca="1" si="12"/>
        <v>0.27374657364246713</v>
      </c>
      <c r="D159" s="48">
        <f t="shared" ca="1" si="9"/>
        <v>0.68268355032446126</v>
      </c>
      <c r="E159" s="48">
        <f t="shared" ca="1" si="10"/>
        <v>0</v>
      </c>
      <c r="F159" s="17">
        <f t="shared" ca="1" si="11"/>
        <v>0</v>
      </c>
      <c r="H159" s="17">
        <v>144</v>
      </c>
      <c r="I159" s="43">
        <v>0.6682563253042294</v>
      </c>
      <c r="J159" s="43">
        <v>1.8734425028108938E-2</v>
      </c>
      <c r="K159" s="43"/>
      <c r="L159" s="43">
        <v>0.2452</v>
      </c>
      <c r="O159" s="50"/>
    </row>
    <row r="160" spans="2:15" x14ac:dyDescent="0.2">
      <c r="B160">
        <v>145</v>
      </c>
      <c r="C160" s="48">
        <f t="shared" ca="1" si="12"/>
        <v>1.2218993006513468</v>
      </c>
      <c r="D160" s="48">
        <f t="shared" ca="1" si="9"/>
        <v>0.74957577067163506</v>
      </c>
      <c r="E160" s="48">
        <f t="shared" ca="1" si="10"/>
        <v>0</v>
      </c>
      <c r="F160" s="17">
        <f t="shared" ca="1" si="11"/>
        <v>0</v>
      </c>
      <c r="H160" s="17">
        <v>145</v>
      </c>
      <c r="I160" s="43">
        <v>0.66858452064735241</v>
      </c>
      <c r="J160" s="43">
        <v>1.9090627263097674E-2</v>
      </c>
      <c r="K160" s="43"/>
      <c r="L160" s="43">
        <v>0.24179999999999999</v>
      </c>
      <c r="O160" s="50"/>
    </row>
    <row r="161" spans="2:15" x14ac:dyDescent="0.2">
      <c r="B161">
        <v>146</v>
      </c>
      <c r="C161" s="48">
        <f t="shared" ca="1" si="12"/>
        <v>-0.3548779890502724</v>
      </c>
      <c r="D161" s="48">
        <f t="shared" ca="1" si="9"/>
        <v>0.64165894489527509</v>
      </c>
      <c r="E161" s="48">
        <f t="shared" ca="1" si="10"/>
        <v>0</v>
      </c>
      <c r="F161" s="17">
        <f t="shared" ca="1" si="11"/>
        <v>0</v>
      </c>
      <c r="H161" s="17">
        <v>146</v>
      </c>
      <c r="I161" s="43">
        <v>0.66853629427020811</v>
      </c>
      <c r="J161" s="43">
        <v>1.8929004270580474E-2</v>
      </c>
      <c r="K161" s="43"/>
      <c r="L161" s="43">
        <v>0.24279999999999999</v>
      </c>
      <c r="O161" s="50"/>
    </row>
    <row r="162" spans="2:15" x14ac:dyDescent="0.2">
      <c r="B162">
        <v>147</v>
      </c>
      <c r="C162" s="48">
        <f t="shared" ca="1" si="12"/>
        <v>-0.82359512541558033</v>
      </c>
      <c r="D162" s="48">
        <f t="shared" ca="1" si="9"/>
        <v>0.61268276365632013</v>
      </c>
      <c r="E162" s="48">
        <f t="shared" ca="1" si="10"/>
        <v>0</v>
      </c>
      <c r="F162" s="17">
        <f t="shared" ca="1" si="11"/>
        <v>0</v>
      </c>
      <c r="H162" s="17">
        <v>147</v>
      </c>
      <c r="I162" s="43">
        <v>0.67044159356564481</v>
      </c>
      <c r="J162" s="43">
        <v>2.0630217233900884E-2</v>
      </c>
      <c r="K162" s="43"/>
      <c r="L162" s="43">
        <v>0.25619999999999998</v>
      </c>
      <c r="O162" s="50"/>
    </row>
    <row r="163" spans="2:15" x14ac:dyDescent="0.2">
      <c r="B163">
        <v>148</v>
      </c>
      <c r="C163" s="48">
        <f t="shared" ca="1" si="12"/>
        <v>-1.5642196568774285</v>
      </c>
      <c r="D163" s="48">
        <f t="shared" ca="1" si="9"/>
        <v>0.56954112284658431</v>
      </c>
      <c r="E163" s="48">
        <f t="shared" ca="1" si="10"/>
        <v>0</v>
      </c>
      <c r="F163" s="17">
        <f t="shared" ca="1" si="11"/>
        <v>0</v>
      </c>
      <c r="H163" s="17">
        <v>148</v>
      </c>
      <c r="I163" s="43">
        <v>0.66929669813090453</v>
      </c>
      <c r="J163" s="43">
        <v>1.9611861802912911E-2</v>
      </c>
      <c r="K163" s="43"/>
      <c r="L163" s="43">
        <v>0.25679999999999997</v>
      </c>
      <c r="O163" s="50"/>
    </row>
    <row r="164" spans="2:15" x14ac:dyDescent="0.2">
      <c r="B164">
        <v>149</v>
      </c>
      <c r="C164" s="48">
        <f t="shared" ca="1" si="12"/>
        <v>-0.4051146602794819</v>
      </c>
      <c r="D164" s="48">
        <f t="shared" ca="1" si="9"/>
        <v>0.63848885333958916</v>
      </c>
      <c r="E164" s="48">
        <f t="shared" ca="1" si="10"/>
        <v>0</v>
      </c>
      <c r="F164" s="17">
        <f t="shared" ca="1" si="11"/>
        <v>0</v>
      </c>
      <c r="H164" s="17">
        <v>149</v>
      </c>
      <c r="I164" s="43">
        <v>0.66944009952196026</v>
      </c>
      <c r="J164" s="43">
        <v>1.9971739505943661E-2</v>
      </c>
      <c r="K164" s="43"/>
      <c r="L164" s="43">
        <v>0.25380000000000003</v>
      </c>
      <c r="O164" s="50"/>
    </row>
    <row r="165" spans="2:15" x14ac:dyDescent="0.2">
      <c r="B165">
        <v>150</v>
      </c>
      <c r="C165" s="48">
        <f t="shared" ca="1" si="12"/>
        <v>-1.1735548692837752E-3</v>
      </c>
      <c r="D165" s="48">
        <f t="shared" ca="1" si="9"/>
        <v>0.66442881665983344</v>
      </c>
      <c r="E165" s="48">
        <f t="shared" ca="1" si="10"/>
        <v>0</v>
      </c>
      <c r="F165" s="17">
        <f t="shared" ca="1" si="11"/>
        <v>0</v>
      </c>
      <c r="H165" s="17">
        <v>150</v>
      </c>
      <c r="I165" s="43">
        <v>0.66859405477530831</v>
      </c>
      <c r="J165" s="43">
        <v>1.8794521692698057E-2</v>
      </c>
      <c r="K165" s="43"/>
      <c r="L165" s="43">
        <v>0.2472</v>
      </c>
      <c r="O165" s="50"/>
    </row>
    <row r="166" spans="2:15" x14ac:dyDescent="0.2">
      <c r="B166">
        <v>151</v>
      </c>
      <c r="C166" s="48">
        <f t="shared" ca="1" si="12"/>
        <v>5.0361376401310949E-2</v>
      </c>
      <c r="D166" s="48">
        <f t="shared" ca="1" si="9"/>
        <v>0.66781316929441747</v>
      </c>
      <c r="E166" s="48">
        <f t="shared" ca="1" si="10"/>
        <v>0</v>
      </c>
      <c r="F166" s="17">
        <f t="shared" ca="1" si="11"/>
        <v>0</v>
      </c>
      <c r="H166" s="17">
        <v>151</v>
      </c>
      <c r="I166" s="43">
        <v>0.6683793960472576</v>
      </c>
      <c r="J166" s="43">
        <v>1.9075275494316146E-2</v>
      </c>
      <c r="K166" s="43"/>
      <c r="L166" s="43">
        <v>0.24879999999999999</v>
      </c>
      <c r="O166" s="50"/>
    </row>
    <row r="167" spans="2:15" x14ac:dyDescent="0.2">
      <c r="B167">
        <v>152</v>
      </c>
      <c r="C167" s="48">
        <f t="shared" ca="1" si="12"/>
        <v>0.13921745297483554</v>
      </c>
      <c r="D167" s="48">
        <f t="shared" ca="1" si="9"/>
        <v>0.67368897534412686</v>
      </c>
      <c r="E167" s="48">
        <f t="shared" ca="1" si="10"/>
        <v>0</v>
      </c>
      <c r="F167" s="17">
        <f t="shared" ca="1" si="11"/>
        <v>0</v>
      </c>
      <c r="H167" s="17">
        <v>152</v>
      </c>
      <c r="I167" s="43">
        <v>0.66927929922886731</v>
      </c>
      <c r="J167" s="43">
        <v>1.9640820586369654E-2</v>
      </c>
      <c r="K167" s="43"/>
      <c r="L167" s="43">
        <v>0.25679999999999997</v>
      </c>
      <c r="O167" s="50"/>
    </row>
    <row r="168" spans="2:15" x14ac:dyDescent="0.2">
      <c r="B168">
        <v>153</v>
      </c>
      <c r="C168" s="48">
        <f t="shared" ca="1" si="12"/>
        <v>0.15312890114242242</v>
      </c>
      <c r="D168" s="48">
        <f t="shared" ca="1" si="9"/>
        <v>0.67461356994514698</v>
      </c>
      <c r="E168" s="48">
        <f t="shared" ca="1" si="10"/>
        <v>0</v>
      </c>
      <c r="F168" s="17">
        <f t="shared" ca="1" si="11"/>
        <v>0</v>
      </c>
      <c r="H168" s="17">
        <v>153</v>
      </c>
      <c r="I168" s="43">
        <v>0.66917906370371061</v>
      </c>
      <c r="J168" s="43">
        <v>1.9493213963722215E-2</v>
      </c>
      <c r="K168" s="43"/>
      <c r="L168" s="43">
        <v>0.25140000000000001</v>
      </c>
      <c r="O168" s="50"/>
    </row>
    <row r="169" spans="2:15" x14ac:dyDescent="0.2">
      <c r="B169">
        <v>154</v>
      </c>
      <c r="C169" s="48">
        <f t="shared" ca="1" si="12"/>
        <v>1.6476983504046829</v>
      </c>
      <c r="D169" s="48">
        <f t="shared" ca="1" si="9"/>
        <v>0.78171158730280632</v>
      </c>
      <c r="E169" s="48">
        <f t="shared" ca="1" si="10"/>
        <v>0</v>
      </c>
      <c r="F169" s="17">
        <f t="shared" ca="1" si="11"/>
        <v>0</v>
      </c>
      <c r="H169" s="17">
        <v>154</v>
      </c>
      <c r="I169" s="43">
        <v>0.66881626264413985</v>
      </c>
      <c r="J169" s="43">
        <v>1.9551260775908869E-2</v>
      </c>
      <c r="K169" s="43"/>
      <c r="L169" s="43">
        <v>0.25580000000000003</v>
      </c>
      <c r="O169" s="50"/>
    </row>
    <row r="170" spans="2:15" x14ac:dyDescent="0.2">
      <c r="B170">
        <v>155</v>
      </c>
      <c r="C170" s="48">
        <f t="shared" ca="1" si="12"/>
        <v>-0.43369954541974759</v>
      </c>
      <c r="D170" s="48">
        <f t="shared" ca="1" si="9"/>
        <v>0.63669205354032443</v>
      </c>
      <c r="E170" s="48">
        <f t="shared" ca="1" si="10"/>
        <v>0</v>
      </c>
      <c r="F170" s="17">
        <f t="shared" ca="1" si="11"/>
        <v>0</v>
      </c>
      <c r="H170" s="17">
        <v>155</v>
      </c>
      <c r="I170" s="43">
        <v>0.66787891006999911</v>
      </c>
      <c r="J170" s="43">
        <v>1.85494542895356E-2</v>
      </c>
      <c r="K170" s="43"/>
      <c r="L170" s="43">
        <v>0.24440000000000001</v>
      </c>
      <c r="O170" s="50"/>
    </row>
    <row r="171" spans="2:15" x14ac:dyDescent="0.2">
      <c r="B171">
        <v>156</v>
      </c>
      <c r="C171" s="48">
        <f t="shared" ca="1" si="12"/>
        <v>-0.95963769482389016</v>
      </c>
      <c r="D171" s="48">
        <f t="shared" ca="1" si="9"/>
        <v>0.60452026608274423</v>
      </c>
      <c r="E171" s="48">
        <f t="shared" ca="1" si="10"/>
        <v>0</v>
      </c>
      <c r="F171" s="17">
        <f t="shared" ca="1" si="11"/>
        <v>0</v>
      </c>
      <c r="H171" s="17">
        <v>156</v>
      </c>
      <c r="I171" s="43">
        <v>0.66881583079268903</v>
      </c>
      <c r="J171" s="43">
        <v>1.950681736769504E-2</v>
      </c>
      <c r="K171" s="43"/>
      <c r="L171" s="43">
        <v>0.25600000000000001</v>
      </c>
      <c r="O171" s="50"/>
    </row>
    <row r="172" spans="2:15" x14ac:dyDescent="0.2">
      <c r="B172">
        <v>157</v>
      </c>
      <c r="C172" s="48">
        <f t="shared" ca="1" si="12"/>
        <v>-0.70284055262095824</v>
      </c>
      <c r="D172" s="48">
        <f t="shared" ca="1" si="9"/>
        <v>0.62002027266058524</v>
      </c>
      <c r="E172" s="48">
        <f t="shared" ca="1" si="10"/>
        <v>0</v>
      </c>
      <c r="F172" s="17">
        <f t="shared" ca="1" si="11"/>
        <v>0</v>
      </c>
      <c r="H172" s="17">
        <v>157</v>
      </c>
      <c r="I172" s="43">
        <v>0.66893762286427472</v>
      </c>
      <c r="J172" s="43">
        <v>1.9493839609641166E-2</v>
      </c>
      <c r="K172" s="43"/>
      <c r="L172" s="43">
        <v>0.25140000000000001</v>
      </c>
      <c r="O172" s="50"/>
    </row>
    <row r="173" spans="2:15" x14ac:dyDescent="0.2">
      <c r="B173">
        <v>158</v>
      </c>
      <c r="C173" s="48">
        <f t="shared" ca="1" si="12"/>
        <v>1.5769401332609509</v>
      </c>
      <c r="D173" s="48">
        <f t="shared" ca="1" si="9"/>
        <v>0.77627744207640204</v>
      </c>
      <c r="E173" s="48">
        <f t="shared" ca="1" si="10"/>
        <v>0</v>
      </c>
      <c r="F173" s="17">
        <f t="shared" ca="1" si="11"/>
        <v>0</v>
      </c>
      <c r="H173" s="17">
        <v>158</v>
      </c>
      <c r="I173" s="43">
        <v>0.67008474862174994</v>
      </c>
      <c r="J173" s="43">
        <v>2.0205540152365101E-2</v>
      </c>
      <c r="K173" s="43"/>
      <c r="L173" s="43">
        <v>0.249</v>
      </c>
      <c r="O173" s="50"/>
    </row>
    <row r="174" spans="2:15" x14ac:dyDescent="0.2">
      <c r="B174">
        <v>159</v>
      </c>
      <c r="C174" s="48">
        <f t="shared" ca="1" si="12"/>
        <v>5.3279664275643818E-2</v>
      </c>
      <c r="D174" s="48">
        <f t="shared" ca="1" si="9"/>
        <v>0.66800533120428607</v>
      </c>
      <c r="E174" s="48">
        <f t="shared" ca="1" si="10"/>
        <v>0</v>
      </c>
      <c r="F174" s="17">
        <f t="shared" ca="1" si="11"/>
        <v>0</v>
      </c>
      <c r="H174" s="17">
        <v>159</v>
      </c>
      <c r="I174" s="43">
        <v>0.66841777014475956</v>
      </c>
      <c r="J174" s="43">
        <v>1.9160756020676666E-2</v>
      </c>
      <c r="K174" s="43"/>
      <c r="L174" s="43">
        <v>0.2492</v>
      </c>
      <c r="O174" s="50"/>
    </row>
    <row r="175" spans="2:15" x14ac:dyDescent="0.2">
      <c r="B175">
        <v>160</v>
      </c>
      <c r="C175" s="48">
        <f t="shared" ca="1" si="12"/>
        <v>1.3300330071133295</v>
      </c>
      <c r="D175" s="48">
        <f t="shared" ca="1" si="9"/>
        <v>0.7576094655391864</v>
      </c>
      <c r="E175" s="48">
        <f t="shared" ca="1" si="10"/>
        <v>0</v>
      </c>
      <c r="F175" s="17">
        <f t="shared" ca="1" si="11"/>
        <v>0</v>
      </c>
      <c r="H175" s="17">
        <v>160</v>
      </c>
      <c r="I175" s="43">
        <v>0.66843669507975934</v>
      </c>
      <c r="J175" s="43">
        <v>1.9177799025928387E-2</v>
      </c>
      <c r="K175" s="43"/>
      <c r="L175" s="43">
        <v>0.24579999999999999</v>
      </c>
      <c r="O175" s="50"/>
    </row>
    <row r="176" spans="2:15" x14ac:dyDescent="0.2">
      <c r="B176">
        <v>161</v>
      </c>
      <c r="C176" s="48">
        <f t="shared" ca="1" si="12"/>
        <v>1.4689387358318657</v>
      </c>
      <c r="D176" s="48">
        <f t="shared" ca="1" si="9"/>
        <v>0.76805581034921067</v>
      </c>
      <c r="E176" s="48">
        <f t="shared" ca="1" si="10"/>
        <v>0</v>
      </c>
      <c r="F176" s="17">
        <f t="shared" ca="1" si="11"/>
        <v>0</v>
      </c>
      <c r="H176" s="17">
        <v>161</v>
      </c>
      <c r="I176" s="43">
        <v>0.66845421885805145</v>
      </c>
      <c r="J176" s="43">
        <v>1.9180898941183393E-2</v>
      </c>
      <c r="K176" s="43"/>
      <c r="L176" s="43">
        <v>0.25619999999999998</v>
      </c>
      <c r="O176" s="50"/>
    </row>
    <row r="177" spans="2:15" x14ac:dyDescent="0.2">
      <c r="B177">
        <v>162</v>
      </c>
      <c r="C177" s="48">
        <f t="shared" ca="1" si="12"/>
        <v>-1.8216609957479695</v>
      </c>
      <c r="D177" s="48">
        <f t="shared" ca="1" si="9"/>
        <v>0.55526778826567813</v>
      </c>
      <c r="E177" s="48">
        <f t="shared" ca="1" si="10"/>
        <v>0</v>
      </c>
      <c r="F177" s="17">
        <f t="shared" ca="1" si="11"/>
        <v>0</v>
      </c>
      <c r="H177" s="17">
        <v>162</v>
      </c>
      <c r="I177" s="43">
        <v>0.66932557462448572</v>
      </c>
      <c r="J177" s="43">
        <v>1.949108732220111E-2</v>
      </c>
      <c r="K177" s="43"/>
      <c r="L177" s="43">
        <v>0.25540000000000002</v>
      </c>
      <c r="O177" s="50"/>
    </row>
    <row r="178" spans="2:15" x14ac:dyDescent="0.2">
      <c r="B178">
        <v>163</v>
      </c>
      <c r="C178" s="48">
        <f t="shared" ca="1" si="12"/>
        <v>2.3284144937511884</v>
      </c>
      <c r="D178" s="48">
        <f t="shared" ca="1" si="9"/>
        <v>0.83597268617504772</v>
      </c>
      <c r="E178" s="48">
        <f t="shared" ca="1" si="10"/>
        <v>4.7772686175047707E-2</v>
      </c>
      <c r="F178" s="17">
        <f t="shared" ca="1" si="11"/>
        <v>1</v>
      </c>
      <c r="H178" s="17">
        <v>163</v>
      </c>
      <c r="I178" s="43">
        <v>0.66881439447867463</v>
      </c>
      <c r="J178" s="43">
        <v>1.9401755295983952E-2</v>
      </c>
      <c r="K178" s="43"/>
      <c r="L178" s="43">
        <v>0.254</v>
      </c>
      <c r="O178" s="50"/>
    </row>
    <row r="179" spans="2:15" x14ac:dyDescent="0.2">
      <c r="B179">
        <v>164</v>
      </c>
      <c r="C179" s="48">
        <f t="shared" ca="1" si="12"/>
        <v>0.5041800764366382</v>
      </c>
      <c r="D179" s="48">
        <f t="shared" ca="1" si="9"/>
        <v>0.6983701653839588</v>
      </c>
      <c r="E179" s="48">
        <f t="shared" ca="1" si="10"/>
        <v>0</v>
      </c>
      <c r="F179" s="17">
        <f t="shared" ca="1" si="11"/>
        <v>0</v>
      </c>
      <c r="H179" s="17">
        <v>164</v>
      </c>
      <c r="I179" s="43">
        <v>0.66898448756018569</v>
      </c>
      <c r="J179" s="43">
        <v>1.9286347727552861E-2</v>
      </c>
      <c r="K179" s="43"/>
      <c r="L179" s="43">
        <v>0.25140000000000001</v>
      </c>
      <c r="O179" s="50"/>
    </row>
    <row r="180" spans="2:15" x14ac:dyDescent="0.2">
      <c r="B180">
        <v>165</v>
      </c>
      <c r="C180" s="48">
        <f t="shared" ca="1" si="12"/>
        <v>-1.5657879981585019</v>
      </c>
      <c r="D180" s="48">
        <f t="shared" ca="1" si="9"/>
        <v>0.56945306789007089</v>
      </c>
      <c r="E180" s="48">
        <f t="shared" ca="1" si="10"/>
        <v>0</v>
      </c>
      <c r="F180" s="17">
        <f t="shared" ca="1" si="11"/>
        <v>0</v>
      </c>
      <c r="H180" s="17">
        <v>165</v>
      </c>
      <c r="I180" s="43">
        <v>0.66856216849740191</v>
      </c>
      <c r="J180" s="43">
        <v>1.891243602996804E-2</v>
      </c>
      <c r="K180" s="43"/>
      <c r="L180" s="43">
        <v>0.24060000000000001</v>
      </c>
      <c r="O180" s="50"/>
    </row>
    <row r="181" spans="2:15" x14ac:dyDescent="0.2">
      <c r="B181">
        <v>166</v>
      </c>
      <c r="C181" s="48">
        <f t="shared" ca="1" si="12"/>
        <v>-0.74966385213192088</v>
      </c>
      <c r="D181" s="48">
        <f t="shared" ca="1" si="9"/>
        <v>0.61716473681103756</v>
      </c>
      <c r="E181" s="48">
        <f t="shared" ca="1" si="10"/>
        <v>0</v>
      </c>
      <c r="F181" s="17">
        <f t="shared" ca="1" si="11"/>
        <v>0</v>
      </c>
      <c r="H181" s="17">
        <v>166</v>
      </c>
      <c r="I181" s="43">
        <v>0.66980272828357534</v>
      </c>
      <c r="J181" s="43">
        <v>1.986258845299968E-2</v>
      </c>
      <c r="K181" s="43"/>
      <c r="L181" s="43">
        <v>0.25879999999999997</v>
      </c>
      <c r="O181" s="50"/>
    </row>
    <row r="182" spans="2:15" x14ac:dyDescent="0.2">
      <c r="B182">
        <v>167</v>
      </c>
      <c r="C182" s="48">
        <f t="shared" ca="1" si="12"/>
        <v>0.20482661061196955</v>
      </c>
      <c r="D182" s="48">
        <f t="shared" ca="1" si="9"/>
        <v>0.67806068127162766</v>
      </c>
      <c r="E182" s="48">
        <f t="shared" ca="1" si="10"/>
        <v>0</v>
      </c>
      <c r="F182" s="17">
        <f t="shared" ca="1" si="11"/>
        <v>0</v>
      </c>
      <c r="H182" s="17">
        <v>167</v>
      </c>
      <c r="I182" s="43">
        <v>0.66843776425036772</v>
      </c>
      <c r="J182" s="43">
        <v>1.8963502860368082E-2</v>
      </c>
      <c r="K182" s="43"/>
      <c r="L182" s="43">
        <v>0.24740000000000001</v>
      </c>
      <c r="O182" s="50"/>
    </row>
    <row r="183" spans="2:15" x14ac:dyDescent="0.2">
      <c r="B183">
        <v>168</v>
      </c>
      <c r="C183" s="48">
        <f t="shared" ca="1" si="12"/>
        <v>2.2561921398000817</v>
      </c>
      <c r="D183" s="48">
        <f t="shared" ca="1" si="9"/>
        <v>0.83004151812473592</v>
      </c>
      <c r="E183" s="48">
        <f t="shared" ca="1" si="10"/>
        <v>4.184151812473591E-2</v>
      </c>
      <c r="F183" s="17">
        <f t="shared" ca="1" si="11"/>
        <v>1</v>
      </c>
      <c r="H183" s="17">
        <v>168</v>
      </c>
      <c r="I183" s="43">
        <v>0.67030370757534696</v>
      </c>
      <c r="J183" s="43">
        <v>2.0332184462944061E-2</v>
      </c>
      <c r="K183" s="43"/>
      <c r="L183" s="43">
        <v>0.25719999999999998</v>
      </c>
      <c r="O183" s="50"/>
    </row>
    <row r="184" spans="2:15" x14ac:dyDescent="0.2">
      <c r="B184">
        <v>169</v>
      </c>
      <c r="C184" s="48">
        <f t="shared" ca="1" si="12"/>
        <v>0.12874756786186337</v>
      </c>
      <c r="D184" s="48">
        <f t="shared" ca="1" si="9"/>
        <v>0.67299395269560824</v>
      </c>
      <c r="E184" s="48">
        <f t="shared" ca="1" si="10"/>
        <v>0</v>
      </c>
      <c r="F184" s="17">
        <f t="shared" ca="1" si="11"/>
        <v>0</v>
      </c>
      <c r="H184" s="17">
        <v>169</v>
      </c>
      <c r="I184" s="43">
        <v>0.66868435215200972</v>
      </c>
      <c r="J184" s="43">
        <v>1.9154973827602242E-2</v>
      </c>
      <c r="K184" s="43"/>
      <c r="L184" s="43">
        <v>0.24479999999999999</v>
      </c>
      <c r="O184" s="50"/>
    </row>
    <row r="185" spans="2:15" x14ac:dyDescent="0.2">
      <c r="B185">
        <v>170</v>
      </c>
      <c r="C185" s="48">
        <f t="shared" ca="1" si="12"/>
        <v>0.69088171323882297</v>
      </c>
      <c r="D185" s="48">
        <f t="shared" ca="1" si="9"/>
        <v>0.71134370739909181</v>
      </c>
      <c r="E185" s="48">
        <f t="shared" ca="1" si="10"/>
        <v>0</v>
      </c>
      <c r="F185" s="17">
        <f t="shared" ca="1" si="11"/>
        <v>0</v>
      </c>
      <c r="H185" s="17">
        <v>170</v>
      </c>
      <c r="I185" s="43">
        <v>0.66861397112941134</v>
      </c>
      <c r="J185" s="43">
        <v>1.9271301022400589E-2</v>
      </c>
      <c r="K185" s="43"/>
      <c r="L185" s="43">
        <v>0.25900000000000001</v>
      </c>
      <c r="O185" s="50"/>
    </row>
    <row r="186" spans="2:15" x14ac:dyDescent="0.2">
      <c r="B186">
        <v>171</v>
      </c>
      <c r="C186" s="48">
        <f t="shared" ca="1" si="12"/>
        <v>-0.99148104888945543</v>
      </c>
      <c r="D186" s="48">
        <f t="shared" ca="1" si="9"/>
        <v>0.60262543776261968</v>
      </c>
      <c r="E186" s="48">
        <f t="shared" ca="1" si="10"/>
        <v>0</v>
      </c>
      <c r="F186" s="17">
        <f t="shared" ca="1" si="11"/>
        <v>0</v>
      </c>
      <c r="H186" s="17">
        <v>171</v>
      </c>
      <c r="I186" s="43">
        <v>0.66992666962591085</v>
      </c>
      <c r="J186" s="43">
        <v>2.0132111471018205E-2</v>
      </c>
      <c r="K186" s="43"/>
      <c r="L186" s="43">
        <v>0.25659999999999999</v>
      </c>
      <c r="O186" s="50"/>
    </row>
    <row r="187" spans="2:15" x14ac:dyDescent="0.2">
      <c r="B187">
        <v>172</v>
      </c>
      <c r="C187" s="48">
        <f t="shared" ca="1" si="12"/>
        <v>-0.17137834713511377</v>
      </c>
      <c r="D187" s="48">
        <f t="shared" ca="1" si="9"/>
        <v>0.65337268210010091</v>
      </c>
      <c r="E187" s="48">
        <f t="shared" ca="1" si="10"/>
        <v>0</v>
      </c>
      <c r="F187" s="17">
        <f t="shared" ca="1" si="11"/>
        <v>0</v>
      </c>
      <c r="H187" s="17">
        <v>172</v>
      </c>
      <c r="I187" s="43">
        <v>0.66951923362166998</v>
      </c>
      <c r="J187" s="43">
        <v>2.0084633772637348E-2</v>
      </c>
      <c r="K187" s="43"/>
      <c r="L187" s="43">
        <v>0.25519999999999998</v>
      </c>
      <c r="O187" s="50"/>
    </row>
    <row r="188" spans="2:15" x14ac:dyDescent="0.2">
      <c r="B188">
        <v>173</v>
      </c>
      <c r="C188" s="48">
        <f t="shared" ca="1" si="12"/>
        <v>0.40588173111341957</v>
      </c>
      <c r="D188" s="48">
        <f t="shared" ca="1" si="9"/>
        <v>0.69163495859120705</v>
      </c>
      <c r="E188" s="48">
        <f t="shared" ca="1" si="10"/>
        <v>0</v>
      </c>
      <c r="F188" s="17">
        <f t="shared" ca="1" si="11"/>
        <v>0</v>
      </c>
      <c r="H188" s="17">
        <v>173</v>
      </c>
      <c r="I188" s="43">
        <v>0.66887633498142884</v>
      </c>
      <c r="J188" s="43">
        <v>1.9294123935337883E-2</v>
      </c>
      <c r="K188" s="43"/>
      <c r="L188" s="43">
        <v>0.24560000000000001</v>
      </c>
      <c r="O188" s="50"/>
    </row>
    <row r="189" spans="2:15" x14ac:dyDescent="0.2">
      <c r="B189">
        <v>174</v>
      </c>
      <c r="C189" s="48">
        <f t="shared" ca="1" si="12"/>
        <v>-1.3019779731604502</v>
      </c>
      <c r="D189" s="48">
        <f t="shared" ca="1" si="9"/>
        <v>0.58445788952694189</v>
      </c>
      <c r="E189" s="48">
        <f t="shared" ca="1" si="10"/>
        <v>0</v>
      </c>
      <c r="F189" s="17">
        <f t="shared" ca="1" si="11"/>
        <v>0</v>
      </c>
      <c r="H189" s="17">
        <v>174</v>
      </c>
      <c r="I189" s="43">
        <v>0.66910355580045289</v>
      </c>
      <c r="J189" s="43">
        <v>1.9546843713094716E-2</v>
      </c>
      <c r="K189" s="43"/>
      <c r="L189" s="43">
        <v>0.25419999999999998</v>
      </c>
      <c r="O189" s="50"/>
    </row>
    <row r="190" spans="2:15" x14ac:dyDescent="0.2">
      <c r="B190">
        <v>175</v>
      </c>
      <c r="C190" s="48">
        <f t="shared" ca="1" si="12"/>
        <v>-2.4551018907288982</v>
      </c>
      <c r="D190" s="48">
        <f t="shared" ca="1" si="9"/>
        <v>0.52165224246227471</v>
      </c>
      <c r="E190" s="48">
        <f t="shared" ca="1" si="10"/>
        <v>0</v>
      </c>
      <c r="F190" s="17">
        <f t="shared" ca="1" si="11"/>
        <v>0</v>
      </c>
      <c r="H190" s="17">
        <v>175</v>
      </c>
      <c r="I190" s="43">
        <v>0.67041148075971768</v>
      </c>
      <c r="J190" s="43">
        <v>2.0485331734354864E-2</v>
      </c>
      <c r="K190" s="43"/>
      <c r="L190" s="43">
        <v>0.25519999999999998</v>
      </c>
      <c r="O190" s="50"/>
    </row>
    <row r="191" spans="2:15" x14ac:dyDescent="0.2">
      <c r="B191">
        <v>176</v>
      </c>
      <c r="C191" s="48">
        <f t="shared" ca="1" si="12"/>
        <v>-0.80062619028580073</v>
      </c>
      <c r="D191" s="48">
        <f t="shared" ca="1" si="9"/>
        <v>0.61407172467088889</v>
      </c>
      <c r="E191" s="48">
        <f t="shared" ca="1" si="10"/>
        <v>0</v>
      </c>
      <c r="F191" s="17">
        <f t="shared" ca="1" si="11"/>
        <v>0</v>
      </c>
      <c r="H191" s="17">
        <v>176</v>
      </c>
      <c r="I191" s="43">
        <v>0.66933173057223483</v>
      </c>
      <c r="J191" s="43">
        <v>1.9706872811968763E-2</v>
      </c>
      <c r="K191" s="43"/>
      <c r="L191" s="43">
        <v>0.25800000000000001</v>
      </c>
      <c r="O191" s="50"/>
    </row>
    <row r="192" spans="2:15" x14ac:dyDescent="0.2">
      <c r="B192">
        <v>177</v>
      </c>
      <c r="C192" s="48">
        <f t="shared" ca="1" si="12"/>
        <v>-0.20757776266591951</v>
      </c>
      <c r="D192" s="48">
        <f t="shared" ca="1" si="9"/>
        <v>0.65104507579477378</v>
      </c>
      <c r="E192" s="48">
        <f t="shared" ca="1" si="10"/>
        <v>0</v>
      </c>
      <c r="F192" s="17">
        <f t="shared" ca="1" si="11"/>
        <v>0</v>
      </c>
      <c r="H192" s="17">
        <v>177</v>
      </c>
      <c r="I192" s="43">
        <v>0.66986077510505404</v>
      </c>
      <c r="J192" s="43">
        <v>2.0050637380812187E-2</v>
      </c>
      <c r="K192" s="43"/>
      <c r="L192" s="43">
        <v>0.25640000000000002</v>
      </c>
      <c r="O192" s="50"/>
    </row>
    <row r="193" spans="2:15" x14ac:dyDescent="0.2">
      <c r="B193">
        <v>178</v>
      </c>
      <c r="C193" s="48">
        <f t="shared" ca="1" si="12"/>
        <v>-1.3753261246864981</v>
      </c>
      <c r="D193" s="48">
        <f t="shared" ca="1" si="9"/>
        <v>0.58024679656528932</v>
      </c>
      <c r="E193" s="48">
        <f t="shared" ca="1" si="10"/>
        <v>0</v>
      </c>
      <c r="F193" s="17">
        <f t="shared" ca="1" si="11"/>
        <v>0</v>
      </c>
      <c r="H193" s="17">
        <v>178</v>
      </c>
      <c r="I193" s="43">
        <v>0.66947409742578934</v>
      </c>
      <c r="J193" s="43">
        <v>1.9340119618537117E-2</v>
      </c>
      <c r="K193" s="43"/>
      <c r="L193" s="43">
        <v>0.24679999999999999</v>
      </c>
      <c r="O193" s="50"/>
    </row>
    <row r="194" spans="2:15" x14ac:dyDescent="0.2">
      <c r="B194">
        <v>179</v>
      </c>
      <c r="C194" s="48">
        <f t="shared" ca="1" si="12"/>
        <v>-0.81221657898382915</v>
      </c>
      <c r="D194" s="48">
        <f t="shared" ca="1" si="9"/>
        <v>0.61337044585750766</v>
      </c>
      <c r="E194" s="48">
        <f t="shared" ca="1" si="10"/>
        <v>0</v>
      </c>
      <c r="F194" s="17">
        <f t="shared" ca="1" si="11"/>
        <v>0</v>
      </c>
      <c r="H194" s="17">
        <v>179</v>
      </c>
      <c r="I194" s="43">
        <v>0.66941977830846355</v>
      </c>
      <c r="J194" s="43">
        <v>2.0083271334231337E-2</v>
      </c>
      <c r="K194" s="43"/>
      <c r="L194" s="43">
        <v>0.25419999999999998</v>
      </c>
      <c r="O194" s="50"/>
    </row>
    <row r="195" spans="2:15" x14ac:dyDescent="0.2">
      <c r="B195">
        <v>180</v>
      </c>
      <c r="C195" s="48">
        <f t="shared" ca="1" si="12"/>
        <v>0.34717491770986209</v>
      </c>
      <c r="D195" s="48">
        <f t="shared" ca="1" si="9"/>
        <v>0.68764350599771462</v>
      </c>
      <c r="E195" s="48">
        <f t="shared" ca="1" si="10"/>
        <v>0</v>
      </c>
      <c r="F195" s="17">
        <f t="shared" ca="1" si="11"/>
        <v>0</v>
      </c>
      <c r="H195" s="17">
        <v>180</v>
      </c>
      <c r="I195" s="43">
        <v>0.66920854150052322</v>
      </c>
      <c r="J195" s="43">
        <v>1.9527775159689842E-2</v>
      </c>
      <c r="K195" s="43"/>
      <c r="L195" s="43">
        <v>0.254</v>
      </c>
      <c r="O195" s="50"/>
    </row>
    <row r="196" spans="2:15" x14ac:dyDescent="0.2">
      <c r="B196">
        <v>181</v>
      </c>
      <c r="C196" s="48">
        <f t="shared" ca="1" si="12"/>
        <v>-1.2474315100374536</v>
      </c>
      <c r="D196" s="48">
        <f t="shared" ca="1" si="9"/>
        <v>0.58760933498621237</v>
      </c>
      <c r="E196" s="48">
        <f t="shared" ca="1" si="10"/>
        <v>0</v>
      </c>
      <c r="F196" s="17">
        <f t="shared" ca="1" si="11"/>
        <v>0</v>
      </c>
      <c r="H196" s="17">
        <v>181</v>
      </c>
      <c r="I196" s="43">
        <v>0.66866078860195499</v>
      </c>
      <c r="J196" s="43">
        <v>1.9091997184034749E-2</v>
      </c>
      <c r="K196" s="43"/>
      <c r="L196" s="43">
        <v>0.2492</v>
      </c>
      <c r="O196" s="50"/>
    </row>
    <row r="197" spans="2:15" x14ac:dyDescent="0.2">
      <c r="B197">
        <v>182</v>
      </c>
      <c r="C197" s="48">
        <f t="shared" ca="1" si="12"/>
        <v>-0.64302135160064888</v>
      </c>
      <c r="D197" s="48">
        <f t="shared" ca="1" si="9"/>
        <v>0.62368759814991714</v>
      </c>
      <c r="E197" s="48">
        <f t="shared" ca="1" si="10"/>
        <v>0</v>
      </c>
      <c r="F197" s="17">
        <f t="shared" ca="1" si="11"/>
        <v>0</v>
      </c>
      <c r="H197" s="17">
        <v>182</v>
      </c>
      <c r="I197" s="43">
        <v>0.66866181523520685</v>
      </c>
      <c r="J197" s="43">
        <v>1.9116069691533309E-2</v>
      </c>
      <c r="K197" s="43"/>
      <c r="L197" s="43">
        <v>0.24740000000000001</v>
      </c>
      <c r="O197" s="50"/>
    </row>
    <row r="198" spans="2:15" x14ac:dyDescent="0.2">
      <c r="B198">
        <v>183</v>
      </c>
      <c r="C198" s="48">
        <f t="shared" ca="1" si="12"/>
        <v>0.79137721323243881</v>
      </c>
      <c r="D198" s="48">
        <f t="shared" ca="1" si="9"/>
        <v>0.71842644273361189</v>
      </c>
      <c r="E198" s="48">
        <f t="shared" ca="1" si="10"/>
        <v>0</v>
      </c>
      <c r="F198" s="17">
        <f t="shared" ca="1" si="11"/>
        <v>0</v>
      </c>
      <c r="H198" s="17">
        <v>183</v>
      </c>
      <c r="I198" s="43">
        <v>0.6686355802161752</v>
      </c>
      <c r="J198" s="43">
        <v>1.9126610136718559E-2</v>
      </c>
      <c r="K198" s="43"/>
      <c r="L198" s="43">
        <v>0.24879999999999999</v>
      </c>
      <c r="O198" s="50"/>
    </row>
    <row r="199" spans="2:15" x14ac:dyDescent="0.2">
      <c r="B199">
        <v>184</v>
      </c>
      <c r="C199" s="48">
        <f t="shared" ca="1" si="12"/>
        <v>-1.7677944968292139</v>
      </c>
      <c r="D199" s="48">
        <f t="shared" ca="1" si="9"/>
        <v>0.55822441591715133</v>
      </c>
      <c r="E199" s="48">
        <f t="shared" ca="1" si="10"/>
        <v>0</v>
      </c>
      <c r="F199" s="17">
        <f t="shared" ca="1" si="11"/>
        <v>0</v>
      </c>
      <c r="H199" s="17">
        <v>184</v>
      </c>
      <c r="I199" s="43">
        <v>0.66874696193635641</v>
      </c>
      <c r="J199" s="43">
        <v>1.9023035101437481E-2</v>
      </c>
      <c r="K199" s="43"/>
      <c r="L199" s="43">
        <v>0.24879999999999999</v>
      </c>
      <c r="O199" s="50"/>
    </row>
    <row r="200" spans="2:15" x14ac:dyDescent="0.2">
      <c r="B200">
        <v>185</v>
      </c>
      <c r="C200" s="48">
        <f t="shared" ca="1" si="12"/>
        <v>0.9107276166691286</v>
      </c>
      <c r="D200" s="48">
        <f t="shared" ca="1" si="9"/>
        <v>0.72692970313772709</v>
      </c>
      <c r="E200" s="48">
        <f t="shared" ca="1" si="10"/>
        <v>0</v>
      </c>
      <c r="F200" s="17">
        <f t="shared" ca="1" si="11"/>
        <v>0</v>
      </c>
      <c r="H200" s="17">
        <v>185</v>
      </c>
      <c r="I200" s="43">
        <v>0.66859113026047767</v>
      </c>
      <c r="J200" s="43">
        <v>1.92019545563103E-2</v>
      </c>
      <c r="K200" s="43"/>
      <c r="L200" s="43">
        <v>0.2432</v>
      </c>
      <c r="O200" s="50"/>
    </row>
    <row r="201" spans="2:15" x14ac:dyDescent="0.2">
      <c r="B201">
        <v>186</v>
      </c>
      <c r="C201" s="48">
        <f t="shared" ca="1" si="12"/>
        <v>0.75830891565520264</v>
      </c>
      <c r="D201" s="48">
        <f t="shared" ca="1" si="9"/>
        <v>0.71608810018173952</v>
      </c>
      <c r="E201" s="48">
        <f t="shared" ca="1" si="10"/>
        <v>0</v>
      </c>
      <c r="F201" s="17">
        <f t="shared" ca="1" si="11"/>
        <v>0</v>
      </c>
      <c r="H201" s="17">
        <v>186</v>
      </c>
      <c r="I201" s="43">
        <v>0.66808947710778777</v>
      </c>
      <c r="J201" s="43">
        <v>1.8688846705209927E-2</v>
      </c>
      <c r="K201" s="43"/>
      <c r="L201" s="43">
        <v>0.252</v>
      </c>
      <c r="O201" s="50"/>
    </row>
    <row r="202" spans="2:15" x14ac:dyDescent="0.2">
      <c r="B202">
        <v>187</v>
      </c>
      <c r="C202" s="48">
        <f t="shared" ca="1" si="12"/>
        <v>0.65476228600560982</v>
      </c>
      <c r="D202" s="48">
        <f t="shared" ca="1" si="9"/>
        <v>0.70881517190543142</v>
      </c>
      <c r="E202" s="48">
        <f t="shared" ca="1" si="10"/>
        <v>0</v>
      </c>
      <c r="F202" s="17">
        <f t="shared" ca="1" si="11"/>
        <v>0</v>
      </c>
      <c r="H202" s="17">
        <v>187</v>
      </c>
      <c r="I202" s="43">
        <v>0.67002487489439566</v>
      </c>
      <c r="J202" s="43">
        <v>2.0162580426309494E-2</v>
      </c>
      <c r="K202" s="43"/>
      <c r="L202" s="43">
        <v>0.25559999999999999</v>
      </c>
      <c r="O202" s="50"/>
    </row>
    <row r="203" spans="2:15" x14ac:dyDescent="0.2">
      <c r="B203">
        <v>188</v>
      </c>
      <c r="C203" s="48">
        <f t="shared" ca="1" si="12"/>
        <v>-3.0009344599454305E-3</v>
      </c>
      <c r="D203" s="48">
        <f t="shared" ca="1" si="9"/>
        <v>0.66430912611868975</v>
      </c>
      <c r="E203" s="48">
        <f t="shared" ca="1" si="10"/>
        <v>0</v>
      </c>
      <c r="F203" s="17">
        <f t="shared" ca="1" si="11"/>
        <v>0</v>
      </c>
      <c r="H203" s="17">
        <v>188</v>
      </c>
      <c r="I203" s="43">
        <v>0.66951230368045989</v>
      </c>
      <c r="J203" s="43">
        <v>1.9602728715889636E-2</v>
      </c>
      <c r="K203" s="43"/>
      <c r="L203" s="43">
        <v>0.24540000000000001</v>
      </c>
      <c r="O203" s="50"/>
    </row>
    <row r="204" spans="2:15" x14ac:dyDescent="0.2">
      <c r="B204">
        <v>189</v>
      </c>
      <c r="C204" s="48">
        <f t="shared" ca="1" si="12"/>
        <v>-0.19444805198776988</v>
      </c>
      <c r="D204" s="48">
        <f t="shared" ca="1" si="9"/>
        <v>0.65188835044733362</v>
      </c>
      <c r="E204" s="48">
        <f t="shared" ca="1" si="10"/>
        <v>0</v>
      </c>
      <c r="F204" s="17">
        <f t="shared" ca="1" si="11"/>
        <v>0</v>
      </c>
      <c r="H204" s="17">
        <v>189</v>
      </c>
      <c r="I204" s="43">
        <v>0.66947681486883381</v>
      </c>
      <c r="J204" s="43">
        <v>1.9704156967992194E-2</v>
      </c>
      <c r="K204" s="43"/>
      <c r="L204" s="43">
        <v>0.2482</v>
      </c>
      <c r="O204" s="50"/>
    </row>
    <row r="205" spans="2:15" x14ac:dyDescent="0.2">
      <c r="B205">
        <v>190</v>
      </c>
      <c r="C205" s="48">
        <f t="shared" ca="1" si="12"/>
        <v>-1.4162187946445353</v>
      </c>
      <c r="D205" s="48">
        <f t="shared" ca="1" si="9"/>
        <v>0.57791223783806334</v>
      </c>
      <c r="E205" s="48">
        <f t="shared" ca="1" si="10"/>
        <v>0</v>
      </c>
      <c r="F205" s="17">
        <f t="shared" ca="1" si="11"/>
        <v>0</v>
      </c>
      <c r="H205" s="17">
        <v>190</v>
      </c>
      <c r="I205" s="43">
        <v>0.66931468791418425</v>
      </c>
      <c r="J205" s="43">
        <v>1.9806475418782641E-2</v>
      </c>
      <c r="K205" s="43"/>
      <c r="L205" s="43">
        <v>0.24859999999999999</v>
      </c>
      <c r="O205" s="50"/>
    </row>
    <row r="206" spans="2:15" x14ac:dyDescent="0.2">
      <c r="B206">
        <v>191</v>
      </c>
      <c r="C206" s="48">
        <f t="shared" ca="1" si="12"/>
        <v>-0.14354024260068929</v>
      </c>
      <c r="D206" s="48">
        <f t="shared" ca="1" si="9"/>
        <v>0.65516831869885717</v>
      </c>
      <c r="E206" s="48">
        <f t="shared" ca="1" si="10"/>
        <v>0</v>
      </c>
      <c r="F206" s="17">
        <f t="shared" ca="1" si="11"/>
        <v>0</v>
      </c>
      <c r="H206" s="17">
        <v>191</v>
      </c>
      <c r="I206" s="43">
        <v>0.67002070139047332</v>
      </c>
      <c r="J206" s="43">
        <v>2.0081153991937776E-2</v>
      </c>
      <c r="K206" s="43"/>
      <c r="L206" s="43">
        <v>0.25380000000000003</v>
      </c>
      <c r="O206" s="50"/>
    </row>
    <row r="207" spans="2:15" x14ac:dyDescent="0.2">
      <c r="B207">
        <v>192</v>
      </c>
      <c r="C207" s="48">
        <f t="shared" ca="1" si="12"/>
        <v>0.49611474223420932</v>
      </c>
      <c r="D207" s="48">
        <f t="shared" ca="1" si="9"/>
        <v>0.69781508342138387</v>
      </c>
      <c r="E207" s="48">
        <f t="shared" ca="1" si="10"/>
        <v>0</v>
      </c>
      <c r="F207" s="17">
        <f t="shared" ca="1" si="11"/>
        <v>0</v>
      </c>
      <c r="H207" s="17">
        <v>192</v>
      </c>
      <c r="I207" s="43">
        <v>0.66875699053161231</v>
      </c>
      <c r="J207" s="43">
        <v>1.9410909596892529E-2</v>
      </c>
      <c r="K207" s="43"/>
      <c r="L207" s="43">
        <v>0.25240000000000001</v>
      </c>
      <c r="O207" s="50"/>
    </row>
    <row r="208" spans="2:15" x14ac:dyDescent="0.2">
      <c r="B208">
        <v>193</v>
      </c>
      <c r="C208" s="48">
        <f t="shared" ca="1" si="12"/>
        <v>-1.4662384483457942</v>
      </c>
      <c r="D208" s="48">
        <f t="shared" ref="D208:D271" ca="1" si="13">S0*EXP((μ-0.5*σ*σ)*T+σ*SQRT(T)*$C208)</f>
        <v>0.57506938805652774</v>
      </c>
      <c r="E208" s="48">
        <f t="shared" ref="E208:E271" ca="1" si="14">MAX(0,CP*(D208-K))</f>
        <v>0</v>
      </c>
      <c r="F208" s="17">
        <f t="shared" ref="F208:F271" ca="1" si="15">(CP*(D208-K)&gt;0)*1</f>
        <v>0</v>
      </c>
      <c r="H208" s="17">
        <v>193</v>
      </c>
      <c r="I208" s="43">
        <v>0.66902997801349606</v>
      </c>
      <c r="J208" s="43">
        <v>1.9267879597825156E-2</v>
      </c>
      <c r="K208" s="43"/>
      <c r="L208" s="43">
        <v>0.24260000000000001</v>
      </c>
      <c r="O208" s="50"/>
    </row>
    <row r="209" spans="2:15" x14ac:dyDescent="0.2">
      <c r="B209">
        <v>194</v>
      </c>
      <c r="C209" s="48">
        <f t="shared" ref="C209:C272" ca="1" si="16">_xlfn.NORM.S.INV(RAND())</f>
        <v>-1.2763284418410463</v>
      </c>
      <c r="D209" s="48">
        <f t="shared" ca="1" si="13"/>
        <v>0.58593769149552521</v>
      </c>
      <c r="E209" s="48">
        <f t="shared" ca="1" si="14"/>
        <v>0</v>
      </c>
      <c r="F209" s="17">
        <f t="shared" ca="1" si="15"/>
        <v>0</v>
      </c>
      <c r="H209" s="17">
        <v>194</v>
      </c>
      <c r="I209" s="43">
        <v>0.6696117999737734</v>
      </c>
      <c r="J209" s="43">
        <v>1.9655765268288574E-2</v>
      </c>
      <c r="K209" s="43"/>
      <c r="L209" s="43">
        <v>0.255</v>
      </c>
      <c r="O209" s="50"/>
    </row>
    <row r="210" spans="2:15" x14ac:dyDescent="0.2">
      <c r="B210">
        <v>195</v>
      </c>
      <c r="C210" s="48">
        <f t="shared" ca="1" si="16"/>
        <v>-1.4264160569599835</v>
      </c>
      <c r="D210" s="48">
        <f t="shared" ca="1" si="13"/>
        <v>0.57733154172599011</v>
      </c>
      <c r="E210" s="48">
        <f t="shared" ca="1" si="14"/>
        <v>0</v>
      </c>
      <c r="F210" s="17">
        <f t="shared" ca="1" si="15"/>
        <v>0</v>
      </c>
      <c r="H210" s="17">
        <v>195</v>
      </c>
      <c r="I210" s="43">
        <v>0.66823566028740045</v>
      </c>
      <c r="J210" s="43">
        <v>1.8620403271681355E-2</v>
      </c>
      <c r="K210" s="43"/>
      <c r="L210" s="43">
        <v>0.24340000000000001</v>
      </c>
      <c r="O210" s="50"/>
    </row>
    <row r="211" spans="2:15" x14ac:dyDescent="0.2">
      <c r="B211">
        <v>196</v>
      </c>
      <c r="C211" s="48">
        <f t="shared" ca="1" si="16"/>
        <v>-0.2064897788282605</v>
      </c>
      <c r="D211" s="48">
        <f t="shared" ca="1" si="13"/>
        <v>0.65111491165942281</v>
      </c>
      <c r="E211" s="48">
        <f t="shared" ca="1" si="14"/>
        <v>0</v>
      </c>
      <c r="F211" s="17">
        <f t="shared" ca="1" si="15"/>
        <v>0</v>
      </c>
      <c r="H211" s="17">
        <v>196</v>
      </c>
      <c r="I211" s="43">
        <v>0.66970975604000382</v>
      </c>
      <c r="J211" s="43">
        <v>1.9873281430293419E-2</v>
      </c>
      <c r="K211" s="43"/>
      <c r="L211" s="43">
        <v>0.25159999999999999</v>
      </c>
      <c r="O211" s="50"/>
    </row>
    <row r="212" spans="2:15" x14ac:dyDescent="0.2">
      <c r="B212">
        <v>197</v>
      </c>
      <c r="C212" s="48">
        <f t="shared" ca="1" si="16"/>
        <v>-0.36646310629884732</v>
      </c>
      <c r="D212" s="48">
        <f t="shared" ca="1" si="13"/>
        <v>0.6409264941650773</v>
      </c>
      <c r="E212" s="48">
        <f t="shared" ca="1" si="14"/>
        <v>0</v>
      </c>
      <c r="F212" s="17">
        <f t="shared" ca="1" si="15"/>
        <v>0</v>
      </c>
      <c r="H212" s="17">
        <v>197</v>
      </c>
      <c r="I212" s="43">
        <v>0.66877999304280378</v>
      </c>
      <c r="J212" s="43">
        <v>1.9356185098045642E-2</v>
      </c>
      <c r="K212" s="43"/>
      <c r="L212" s="43">
        <v>0.24540000000000001</v>
      </c>
      <c r="O212" s="50"/>
    </row>
    <row r="213" spans="2:15" x14ac:dyDescent="0.2">
      <c r="B213">
        <v>198</v>
      </c>
      <c r="C213" s="48">
        <f t="shared" ca="1" si="16"/>
        <v>-0.9297423720409087</v>
      </c>
      <c r="D213" s="48">
        <f t="shared" ca="1" si="13"/>
        <v>0.60630459941522574</v>
      </c>
      <c r="E213" s="48">
        <f t="shared" ca="1" si="14"/>
        <v>0</v>
      </c>
      <c r="F213" s="17">
        <f t="shared" ca="1" si="15"/>
        <v>0</v>
      </c>
      <c r="H213" s="17">
        <v>198</v>
      </c>
      <c r="I213" s="43">
        <v>0.66871131276682494</v>
      </c>
      <c r="J213" s="43">
        <v>1.937273109660087E-2</v>
      </c>
      <c r="K213" s="43"/>
      <c r="L213" s="43">
        <v>0.24840000000000001</v>
      </c>
      <c r="O213" s="50"/>
    </row>
    <row r="214" spans="2:15" x14ac:dyDescent="0.2">
      <c r="B214">
        <v>199</v>
      </c>
      <c r="C214" s="48">
        <f t="shared" ca="1" si="16"/>
        <v>-0.22746598022661707</v>
      </c>
      <c r="D214" s="48">
        <f t="shared" ca="1" si="13"/>
        <v>0.64976980344408397</v>
      </c>
      <c r="E214" s="48">
        <f t="shared" ca="1" si="14"/>
        <v>0</v>
      </c>
      <c r="F214" s="17">
        <f t="shared" ca="1" si="15"/>
        <v>0</v>
      </c>
      <c r="H214" s="17">
        <v>199</v>
      </c>
      <c r="I214" s="43">
        <v>0.66876147719338852</v>
      </c>
      <c r="J214" s="43">
        <v>1.9195217348689942E-2</v>
      </c>
      <c r="K214" s="43"/>
      <c r="L214" s="43">
        <v>0.24759999999999999</v>
      </c>
      <c r="O214" s="50"/>
    </row>
    <row r="215" spans="2:15" x14ac:dyDescent="0.2">
      <c r="B215">
        <v>200</v>
      </c>
      <c r="C215" s="48">
        <f t="shared" ca="1" si="16"/>
        <v>0.55496701495436818</v>
      </c>
      <c r="D215" s="48">
        <f t="shared" ca="1" si="13"/>
        <v>0.70187564247019429</v>
      </c>
      <c r="E215" s="48">
        <f t="shared" ca="1" si="14"/>
        <v>0</v>
      </c>
      <c r="F215" s="17">
        <f t="shared" ca="1" si="15"/>
        <v>0</v>
      </c>
      <c r="H215" s="17">
        <v>200</v>
      </c>
      <c r="I215" s="43">
        <v>0.66759755843383917</v>
      </c>
      <c r="J215" s="43">
        <v>1.8363884054003979E-2</v>
      </c>
      <c r="K215" s="43"/>
      <c r="L215" s="43">
        <v>0.2452</v>
      </c>
      <c r="O215" s="50"/>
    </row>
    <row r="216" spans="2:15" x14ac:dyDescent="0.2">
      <c r="B216">
        <v>201</v>
      </c>
      <c r="C216" s="48">
        <f t="shared" ca="1" si="16"/>
        <v>-0.12679452320425477</v>
      </c>
      <c r="D216" s="48">
        <f t="shared" ca="1" si="13"/>
        <v>0.65625084126975841</v>
      </c>
      <c r="E216" s="48">
        <f t="shared" ca="1" si="14"/>
        <v>0</v>
      </c>
      <c r="F216" s="17">
        <f t="shared" ca="1" si="15"/>
        <v>0</v>
      </c>
      <c r="H216" s="17">
        <v>201</v>
      </c>
      <c r="I216" s="43">
        <v>0.66878165084721852</v>
      </c>
      <c r="J216" s="43">
        <v>1.9301301597291275E-2</v>
      </c>
      <c r="K216" s="43"/>
      <c r="L216" s="43">
        <v>0.25280000000000002</v>
      </c>
      <c r="O216" s="50"/>
    </row>
    <row r="217" spans="2:15" x14ac:dyDescent="0.2">
      <c r="B217">
        <v>202</v>
      </c>
      <c r="C217" s="48">
        <f t="shared" ca="1" si="16"/>
        <v>0.4286560543029993</v>
      </c>
      <c r="D217" s="48">
        <f t="shared" ca="1" si="13"/>
        <v>0.69318960554540177</v>
      </c>
      <c r="E217" s="48">
        <f t="shared" ca="1" si="14"/>
        <v>0</v>
      </c>
      <c r="F217" s="17">
        <f t="shared" ca="1" si="15"/>
        <v>0</v>
      </c>
      <c r="H217" s="17">
        <v>202</v>
      </c>
      <c r="I217" s="43">
        <v>0.66894047697435077</v>
      </c>
      <c r="J217" s="43">
        <v>1.9393649456582583E-2</v>
      </c>
      <c r="K217" s="43"/>
      <c r="L217" s="43">
        <v>0.24940000000000001</v>
      </c>
      <c r="O217" s="50"/>
    </row>
    <row r="218" spans="2:15" x14ac:dyDescent="0.2">
      <c r="B218">
        <v>203</v>
      </c>
      <c r="C218" s="48">
        <f t="shared" ca="1" si="16"/>
        <v>3.870837072170364E-2</v>
      </c>
      <c r="D218" s="48">
        <f t="shared" ca="1" si="13"/>
        <v>0.66704639911530084</v>
      </c>
      <c r="E218" s="48">
        <f t="shared" ca="1" si="14"/>
        <v>0</v>
      </c>
      <c r="F218" s="17">
        <f t="shared" ca="1" si="15"/>
        <v>0</v>
      </c>
      <c r="H218" s="17">
        <v>203</v>
      </c>
      <c r="I218" s="43">
        <v>0.66889771269914766</v>
      </c>
      <c r="J218" s="43">
        <v>1.9463682306682301E-2</v>
      </c>
      <c r="K218" s="43"/>
      <c r="L218" s="43">
        <v>0.255</v>
      </c>
      <c r="O218" s="50"/>
    </row>
    <row r="219" spans="2:15" x14ac:dyDescent="0.2">
      <c r="B219">
        <v>204</v>
      </c>
      <c r="C219" s="48">
        <f t="shared" ca="1" si="16"/>
        <v>0.59356862602980209</v>
      </c>
      <c r="D219" s="48">
        <f t="shared" ca="1" si="13"/>
        <v>0.70455181413249057</v>
      </c>
      <c r="E219" s="48">
        <f t="shared" ca="1" si="14"/>
        <v>0</v>
      </c>
      <c r="F219" s="17">
        <f t="shared" ca="1" si="15"/>
        <v>0</v>
      </c>
      <c r="H219" s="17">
        <v>204</v>
      </c>
      <c r="I219" s="43">
        <v>0.66878114067149319</v>
      </c>
      <c r="J219" s="43">
        <v>1.9144300359204985E-2</v>
      </c>
      <c r="K219" s="43"/>
      <c r="L219" s="43">
        <v>0.23960000000000001</v>
      </c>
      <c r="O219" s="50"/>
    </row>
    <row r="220" spans="2:15" x14ac:dyDescent="0.2">
      <c r="B220">
        <v>205</v>
      </c>
      <c r="C220" s="48">
        <f t="shared" ca="1" si="16"/>
        <v>0.96297096956453598</v>
      </c>
      <c r="D220" s="48">
        <f t="shared" ca="1" si="13"/>
        <v>0.73068344222451187</v>
      </c>
      <c r="E220" s="48">
        <f t="shared" ca="1" si="14"/>
        <v>0</v>
      </c>
      <c r="F220" s="17">
        <f t="shared" ca="1" si="15"/>
        <v>0</v>
      </c>
      <c r="H220" s="17">
        <v>205</v>
      </c>
      <c r="I220" s="43">
        <v>0.66757146871976658</v>
      </c>
      <c r="J220" s="43">
        <v>1.8323425026257115E-2</v>
      </c>
      <c r="K220" s="43"/>
      <c r="L220" s="43">
        <v>0.24360000000000001</v>
      </c>
      <c r="O220" s="50"/>
    </row>
    <row r="221" spans="2:15" x14ac:dyDescent="0.2">
      <c r="B221">
        <v>206</v>
      </c>
      <c r="C221" s="48">
        <f t="shared" ca="1" si="16"/>
        <v>-0.3027773285761311</v>
      </c>
      <c r="D221" s="48">
        <f t="shared" ca="1" si="13"/>
        <v>0.64496328735089092</v>
      </c>
      <c r="E221" s="48">
        <f t="shared" ca="1" si="14"/>
        <v>0</v>
      </c>
      <c r="F221" s="17">
        <f t="shared" ca="1" si="15"/>
        <v>0</v>
      </c>
      <c r="H221" s="17">
        <v>206</v>
      </c>
      <c r="I221" s="43">
        <v>0.66902323640088002</v>
      </c>
      <c r="J221" s="43">
        <v>1.9342961478719965E-2</v>
      </c>
      <c r="K221" s="43"/>
      <c r="L221" s="43">
        <v>0.25059999999999999</v>
      </c>
      <c r="O221" s="50"/>
    </row>
    <row r="222" spans="2:15" x14ac:dyDescent="0.2">
      <c r="B222">
        <v>207</v>
      </c>
      <c r="C222" s="48">
        <f t="shared" ca="1" si="16"/>
        <v>-0.45183117212794915</v>
      </c>
      <c r="D222" s="48">
        <f t="shared" ca="1" si="13"/>
        <v>0.63555495051404098</v>
      </c>
      <c r="E222" s="48">
        <f t="shared" ca="1" si="14"/>
        <v>0</v>
      </c>
      <c r="F222" s="17">
        <f t="shared" ca="1" si="15"/>
        <v>0</v>
      </c>
      <c r="H222" s="17">
        <v>207</v>
      </c>
      <c r="I222" s="43">
        <v>0.67053136121622059</v>
      </c>
      <c r="J222" s="43">
        <v>2.0657682313818412E-2</v>
      </c>
      <c r="K222" s="43"/>
      <c r="L222" s="43">
        <v>0.2606</v>
      </c>
      <c r="O222" s="50"/>
    </row>
    <row r="223" spans="2:15" x14ac:dyDescent="0.2">
      <c r="B223">
        <v>208</v>
      </c>
      <c r="C223" s="48">
        <f t="shared" ca="1" si="16"/>
        <v>1.0265059707868185</v>
      </c>
      <c r="D223" s="48">
        <f t="shared" ca="1" si="13"/>
        <v>0.73527462831825852</v>
      </c>
      <c r="E223" s="48">
        <f t="shared" ca="1" si="14"/>
        <v>0</v>
      </c>
      <c r="F223" s="17">
        <f t="shared" ca="1" si="15"/>
        <v>0</v>
      </c>
      <c r="H223" s="17">
        <v>208</v>
      </c>
      <c r="I223" s="43">
        <v>0.6702144773398232</v>
      </c>
      <c r="J223" s="43">
        <v>2.0357743615821707E-2</v>
      </c>
      <c r="K223" s="43"/>
      <c r="L223" s="43">
        <v>0.25559999999999999</v>
      </c>
      <c r="O223" s="50"/>
    </row>
    <row r="224" spans="2:15" x14ac:dyDescent="0.2">
      <c r="B224">
        <v>209</v>
      </c>
      <c r="C224" s="48">
        <f t="shared" ca="1" si="16"/>
        <v>-3.735306536993023E-2</v>
      </c>
      <c r="D224" s="48">
        <f t="shared" ca="1" si="13"/>
        <v>0.66206312267084977</v>
      </c>
      <c r="E224" s="48">
        <f t="shared" ca="1" si="14"/>
        <v>0</v>
      </c>
      <c r="F224" s="17">
        <f t="shared" ca="1" si="15"/>
        <v>0</v>
      </c>
      <c r="H224" s="17">
        <v>209</v>
      </c>
      <c r="I224" s="43">
        <v>0.66900784566686955</v>
      </c>
      <c r="J224" s="43">
        <v>1.947573204436772E-2</v>
      </c>
      <c r="K224" s="43"/>
      <c r="L224" s="43">
        <v>0.25040000000000001</v>
      </c>
      <c r="O224" s="50"/>
    </row>
    <row r="225" spans="2:15" x14ac:dyDescent="0.2">
      <c r="B225">
        <v>210</v>
      </c>
      <c r="C225" s="48">
        <f t="shared" ca="1" si="16"/>
        <v>0.87045569442085236</v>
      </c>
      <c r="D225" s="48">
        <f t="shared" ca="1" si="13"/>
        <v>0.72404929095375969</v>
      </c>
      <c r="E225" s="48">
        <f t="shared" ca="1" si="14"/>
        <v>0</v>
      </c>
      <c r="F225" s="17">
        <f t="shared" ca="1" si="15"/>
        <v>0</v>
      </c>
      <c r="H225" s="17">
        <v>210</v>
      </c>
      <c r="I225" s="43">
        <v>0.66921343350774043</v>
      </c>
      <c r="J225" s="43">
        <v>1.9597193376124377E-2</v>
      </c>
      <c r="K225" s="43"/>
      <c r="L225" s="43">
        <v>0.25319999999999998</v>
      </c>
      <c r="O225" s="50"/>
    </row>
    <row r="226" spans="2:15" x14ac:dyDescent="0.2">
      <c r="B226">
        <v>211</v>
      </c>
      <c r="C226" s="48">
        <f t="shared" ca="1" si="16"/>
        <v>-0.60187414992528265</v>
      </c>
      <c r="D226" s="48">
        <f t="shared" ca="1" si="13"/>
        <v>0.62622278697014744</v>
      </c>
      <c r="E226" s="48">
        <f t="shared" ca="1" si="14"/>
        <v>0</v>
      </c>
      <c r="F226" s="17">
        <f t="shared" ca="1" si="15"/>
        <v>0</v>
      </c>
      <c r="H226" s="17">
        <v>211</v>
      </c>
      <c r="I226" s="43">
        <v>0.66921647235387105</v>
      </c>
      <c r="J226" s="43">
        <v>1.9777794370913714E-2</v>
      </c>
      <c r="K226" s="43"/>
      <c r="L226" s="43">
        <v>0.252</v>
      </c>
      <c r="O226" s="50"/>
    </row>
    <row r="227" spans="2:15" x14ac:dyDescent="0.2">
      <c r="B227">
        <v>212</v>
      </c>
      <c r="C227" s="48">
        <f t="shared" ca="1" si="16"/>
        <v>-0.29050397923668614</v>
      </c>
      <c r="D227" s="48">
        <f t="shared" ca="1" si="13"/>
        <v>0.64574416426783832</v>
      </c>
      <c r="E227" s="48">
        <f t="shared" ca="1" si="14"/>
        <v>0</v>
      </c>
      <c r="F227" s="17">
        <f t="shared" ca="1" si="15"/>
        <v>0</v>
      </c>
      <c r="H227" s="17">
        <v>212</v>
      </c>
      <c r="I227" s="43">
        <v>0.66838808146119655</v>
      </c>
      <c r="J227" s="43">
        <v>1.9131305376730759E-2</v>
      </c>
      <c r="K227" s="43"/>
      <c r="L227" s="43">
        <v>0.253</v>
      </c>
      <c r="O227" s="50"/>
    </row>
    <row r="228" spans="2:15" x14ac:dyDescent="0.2">
      <c r="B228">
        <v>213</v>
      </c>
      <c r="C228" s="48">
        <f t="shared" ca="1" si="16"/>
        <v>0.48626432432369665</v>
      </c>
      <c r="D228" s="48">
        <f t="shared" ca="1" si="13"/>
        <v>0.69713774475459955</v>
      </c>
      <c r="E228" s="48">
        <f t="shared" ca="1" si="14"/>
        <v>0</v>
      </c>
      <c r="F228" s="17">
        <f t="shared" ca="1" si="15"/>
        <v>0</v>
      </c>
      <c r="H228" s="17">
        <v>213</v>
      </c>
      <c r="I228" s="43">
        <v>0.66890855162294882</v>
      </c>
      <c r="J228" s="43">
        <v>1.926975222028798E-2</v>
      </c>
      <c r="K228" s="43"/>
      <c r="L228" s="43">
        <v>0.252</v>
      </c>
      <c r="O228" s="50"/>
    </row>
    <row r="229" spans="2:15" x14ac:dyDescent="0.2">
      <c r="B229">
        <v>214</v>
      </c>
      <c r="C229" s="48">
        <f t="shared" ca="1" si="16"/>
        <v>-2.1097122279235356</v>
      </c>
      <c r="D229" s="48">
        <f t="shared" ca="1" si="13"/>
        <v>0.53972095533793385</v>
      </c>
      <c r="E229" s="48">
        <f t="shared" ca="1" si="14"/>
        <v>0</v>
      </c>
      <c r="F229" s="17">
        <f t="shared" ca="1" si="15"/>
        <v>0</v>
      </c>
      <c r="H229" s="17">
        <v>214</v>
      </c>
      <c r="I229" s="43">
        <v>0.66977601626263816</v>
      </c>
      <c r="J229" s="43">
        <v>2.0114628150435868E-2</v>
      </c>
      <c r="K229" s="43"/>
      <c r="L229" s="43">
        <v>0.25259999999999999</v>
      </c>
      <c r="O229" s="50"/>
    </row>
    <row r="230" spans="2:15" x14ac:dyDescent="0.2">
      <c r="B230">
        <v>215</v>
      </c>
      <c r="C230" s="48">
        <f t="shared" ca="1" si="16"/>
        <v>0.78440405858983531</v>
      </c>
      <c r="D230" s="48">
        <f t="shared" ca="1" si="13"/>
        <v>0.71793271894465405</v>
      </c>
      <c r="E230" s="48">
        <f t="shared" ca="1" si="14"/>
        <v>0</v>
      </c>
      <c r="F230" s="17">
        <f t="shared" ca="1" si="15"/>
        <v>0</v>
      </c>
      <c r="H230" s="17">
        <v>215</v>
      </c>
      <c r="I230" s="43">
        <v>0.66998649639768704</v>
      </c>
      <c r="J230" s="43">
        <v>2.0258218394318992E-2</v>
      </c>
      <c r="K230" s="43"/>
      <c r="L230" s="43">
        <v>0.26</v>
      </c>
      <c r="O230" s="50"/>
    </row>
    <row r="231" spans="2:15" x14ac:dyDescent="0.2">
      <c r="B231">
        <v>216</v>
      </c>
      <c r="C231" s="48">
        <f t="shared" ca="1" si="16"/>
        <v>-0.75719701332474998</v>
      </c>
      <c r="D231" s="48">
        <f t="shared" ca="1" si="13"/>
        <v>0.61670655396585805</v>
      </c>
      <c r="E231" s="48">
        <f t="shared" ca="1" si="14"/>
        <v>0</v>
      </c>
      <c r="F231" s="17">
        <f t="shared" ca="1" si="15"/>
        <v>0</v>
      </c>
      <c r="H231" s="17">
        <v>216</v>
      </c>
      <c r="I231" s="43">
        <v>0.66920715684393717</v>
      </c>
      <c r="J231" s="43">
        <v>1.9571307442181878E-2</v>
      </c>
      <c r="K231" s="43"/>
      <c r="L231" s="43">
        <v>0.25359999999999999</v>
      </c>
      <c r="O231" s="50"/>
    </row>
    <row r="232" spans="2:15" x14ac:dyDescent="0.2">
      <c r="B232">
        <v>217</v>
      </c>
      <c r="C232" s="48">
        <f t="shared" ca="1" si="16"/>
        <v>-1.7293184562978039</v>
      </c>
      <c r="D232" s="48">
        <f t="shared" ca="1" si="13"/>
        <v>0.56034592491184188</v>
      </c>
      <c r="E232" s="48">
        <f t="shared" ca="1" si="14"/>
        <v>0</v>
      </c>
      <c r="F232" s="17">
        <f t="shared" ca="1" si="15"/>
        <v>0</v>
      </c>
      <c r="H232" s="17">
        <v>217</v>
      </c>
      <c r="I232" s="43">
        <v>0.66839628514349669</v>
      </c>
      <c r="J232" s="43">
        <v>1.9015377009328364E-2</v>
      </c>
      <c r="K232" s="43"/>
      <c r="L232" s="43">
        <v>0.246</v>
      </c>
      <c r="O232" s="50"/>
    </row>
    <row r="233" spans="2:15" x14ac:dyDescent="0.2">
      <c r="B233">
        <v>218</v>
      </c>
      <c r="C233" s="48">
        <f t="shared" ca="1" si="16"/>
        <v>0.77396520630960119</v>
      </c>
      <c r="D233" s="48">
        <f t="shared" ca="1" si="13"/>
        <v>0.71719424570371781</v>
      </c>
      <c r="E233" s="48">
        <f t="shared" ca="1" si="14"/>
        <v>0</v>
      </c>
      <c r="F233" s="17">
        <f t="shared" ca="1" si="15"/>
        <v>0</v>
      </c>
      <c r="H233" s="17">
        <v>218</v>
      </c>
      <c r="I233" s="43">
        <v>0.66807989056985673</v>
      </c>
      <c r="J233" s="43">
        <v>1.8630312041508851E-2</v>
      </c>
      <c r="K233" s="43"/>
      <c r="L233" s="43">
        <v>0.24660000000000001</v>
      </c>
      <c r="O233" s="50"/>
    </row>
    <row r="234" spans="2:15" x14ac:dyDescent="0.2">
      <c r="B234">
        <v>219</v>
      </c>
      <c r="C234" s="48">
        <f t="shared" ca="1" si="16"/>
        <v>0.4666044473568382</v>
      </c>
      <c r="D234" s="48">
        <f t="shared" ca="1" si="13"/>
        <v>0.69578784877855904</v>
      </c>
      <c r="E234" s="48">
        <f t="shared" ca="1" si="14"/>
        <v>0</v>
      </c>
      <c r="F234" s="17">
        <f t="shared" ca="1" si="15"/>
        <v>0</v>
      </c>
      <c r="H234" s="17">
        <v>219</v>
      </c>
      <c r="I234" s="43">
        <v>0.67052946962967708</v>
      </c>
      <c r="J234" s="43">
        <v>2.0472070745171267E-2</v>
      </c>
      <c r="K234" s="43"/>
      <c r="L234" s="43">
        <v>0.25</v>
      </c>
      <c r="O234" s="50"/>
    </row>
    <row r="235" spans="2:15" x14ac:dyDescent="0.2">
      <c r="B235">
        <v>220</v>
      </c>
      <c r="C235" s="48">
        <f t="shared" ca="1" si="16"/>
        <v>-0.1780314678780307</v>
      </c>
      <c r="D235" s="48">
        <f t="shared" ca="1" si="13"/>
        <v>0.65294426610604406</v>
      </c>
      <c r="E235" s="48">
        <f t="shared" ca="1" si="14"/>
        <v>0</v>
      </c>
      <c r="F235" s="17">
        <f t="shared" ca="1" si="15"/>
        <v>0</v>
      </c>
      <c r="H235" s="17">
        <v>220</v>
      </c>
      <c r="I235" s="43">
        <v>0.66802350752328188</v>
      </c>
      <c r="J235" s="43">
        <v>1.8722559333793073E-2</v>
      </c>
      <c r="K235" s="43"/>
      <c r="L235" s="43">
        <v>0.24460000000000001</v>
      </c>
      <c r="O235" s="50"/>
    </row>
    <row r="236" spans="2:15" x14ac:dyDescent="0.2">
      <c r="B236">
        <v>221</v>
      </c>
      <c r="C236" s="48">
        <f t="shared" ca="1" si="16"/>
        <v>4.1976000708105261E-2</v>
      </c>
      <c r="D236" s="48">
        <f t="shared" ca="1" si="13"/>
        <v>0.66726132097645274</v>
      </c>
      <c r="E236" s="48">
        <f t="shared" ca="1" si="14"/>
        <v>0</v>
      </c>
      <c r="F236" s="17">
        <f t="shared" ca="1" si="15"/>
        <v>0</v>
      </c>
      <c r="H236" s="17">
        <v>221</v>
      </c>
      <c r="I236" s="43">
        <v>0.66802452478009067</v>
      </c>
      <c r="J236" s="43">
        <v>1.8419630210901976E-2</v>
      </c>
      <c r="K236" s="43"/>
      <c r="L236" s="43">
        <v>0.24</v>
      </c>
      <c r="O236" s="50"/>
    </row>
    <row r="237" spans="2:15" x14ac:dyDescent="0.2">
      <c r="B237">
        <v>222</v>
      </c>
      <c r="C237" s="48">
        <f t="shared" ca="1" si="16"/>
        <v>-0.20512554227108104</v>
      </c>
      <c r="D237" s="48">
        <f t="shared" ca="1" si="13"/>
        <v>0.65120249031036592</v>
      </c>
      <c r="E237" s="48">
        <f t="shared" ca="1" si="14"/>
        <v>0</v>
      </c>
      <c r="F237" s="17">
        <f t="shared" ca="1" si="15"/>
        <v>0</v>
      </c>
      <c r="H237" s="17">
        <v>222</v>
      </c>
      <c r="I237" s="43">
        <v>0.66788575145535156</v>
      </c>
      <c r="J237" s="43">
        <v>1.8593799565280112E-2</v>
      </c>
      <c r="K237" s="43"/>
      <c r="L237" s="43">
        <v>0.24660000000000001</v>
      </c>
      <c r="O237" s="50"/>
    </row>
    <row r="238" spans="2:15" x14ac:dyDescent="0.2">
      <c r="B238">
        <v>223</v>
      </c>
      <c r="C238" s="48">
        <f t="shared" ca="1" si="16"/>
        <v>0.68854866667392656</v>
      </c>
      <c r="D238" s="48">
        <f t="shared" ca="1" si="13"/>
        <v>0.7111801106472676</v>
      </c>
      <c r="E238" s="48">
        <f t="shared" ca="1" si="14"/>
        <v>0</v>
      </c>
      <c r="F238" s="17">
        <f t="shared" ca="1" si="15"/>
        <v>0</v>
      </c>
      <c r="H238" s="17">
        <v>223</v>
      </c>
      <c r="I238" s="43">
        <v>0.66945879638373817</v>
      </c>
      <c r="J238" s="43">
        <v>1.944270527707978E-2</v>
      </c>
      <c r="K238" s="43"/>
      <c r="L238" s="43">
        <v>0.24660000000000001</v>
      </c>
      <c r="O238" s="50"/>
    </row>
    <row r="239" spans="2:15" x14ac:dyDescent="0.2">
      <c r="B239">
        <v>224</v>
      </c>
      <c r="C239" s="48">
        <f t="shared" ca="1" si="16"/>
        <v>0.53979782931323883</v>
      </c>
      <c r="D239" s="48">
        <f t="shared" ca="1" si="13"/>
        <v>0.70082677780093339</v>
      </c>
      <c r="E239" s="48">
        <f t="shared" ca="1" si="14"/>
        <v>0</v>
      </c>
      <c r="F239" s="17">
        <f t="shared" ca="1" si="15"/>
        <v>0</v>
      </c>
      <c r="H239" s="17">
        <v>224</v>
      </c>
      <c r="I239" s="43">
        <v>0.66863475744491274</v>
      </c>
      <c r="J239" s="43">
        <v>1.8993102286439481E-2</v>
      </c>
      <c r="K239" s="43"/>
      <c r="L239" s="43">
        <v>0.2424</v>
      </c>
      <c r="O239" s="50"/>
    </row>
    <row r="240" spans="2:15" x14ac:dyDescent="0.2">
      <c r="B240">
        <v>225</v>
      </c>
      <c r="C240" s="48">
        <f t="shared" ca="1" si="16"/>
        <v>-1.2489954894114967</v>
      </c>
      <c r="D240" s="48">
        <f t="shared" ca="1" si="13"/>
        <v>0.58751873921067543</v>
      </c>
      <c r="E240" s="48">
        <f t="shared" ca="1" si="14"/>
        <v>0</v>
      </c>
      <c r="F240" s="17">
        <f t="shared" ca="1" si="15"/>
        <v>0</v>
      </c>
      <c r="H240" s="17">
        <v>225</v>
      </c>
      <c r="I240" s="43">
        <v>0.66890894793919775</v>
      </c>
      <c r="J240" s="43">
        <v>1.9205334944452989E-2</v>
      </c>
      <c r="K240" s="43"/>
      <c r="L240" s="43">
        <v>0.24940000000000001</v>
      </c>
      <c r="O240" s="50"/>
    </row>
    <row r="241" spans="2:15" x14ac:dyDescent="0.2">
      <c r="B241">
        <v>226</v>
      </c>
      <c r="C241" s="48">
        <f t="shared" ca="1" si="16"/>
        <v>1.5953851588128121</v>
      </c>
      <c r="D241" s="48">
        <f t="shared" ca="1" si="13"/>
        <v>0.7776903468055657</v>
      </c>
      <c r="E241" s="48">
        <f t="shared" ca="1" si="14"/>
        <v>0</v>
      </c>
      <c r="F241" s="17">
        <f t="shared" ca="1" si="15"/>
        <v>0</v>
      </c>
      <c r="H241" s="17">
        <v>226</v>
      </c>
      <c r="I241" s="43">
        <v>0.66872962077667286</v>
      </c>
      <c r="J241" s="43">
        <v>1.9109540656366962E-2</v>
      </c>
      <c r="K241" s="43"/>
      <c r="L241" s="43">
        <v>0.24199999999999999</v>
      </c>
      <c r="O241" s="50"/>
    </row>
    <row r="242" spans="2:15" x14ac:dyDescent="0.2">
      <c r="B242">
        <v>227</v>
      </c>
      <c r="C242" s="48">
        <f t="shared" ca="1" si="16"/>
        <v>0.76850572473838863</v>
      </c>
      <c r="D242" s="48">
        <f t="shared" ca="1" si="13"/>
        <v>0.71680832946799722</v>
      </c>
      <c r="E242" s="48">
        <f t="shared" ca="1" si="14"/>
        <v>0</v>
      </c>
      <c r="F242" s="17">
        <f t="shared" ca="1" si="15"/>
        <v>0</v>
      </c>
      <c r="H242" s="17">
        <v>227</v>
      </c>
      <c r="I242" s="43">
        <v>0.66991034890868351</v>
      </c>
      <c r="J242" s="43">
        <v>2.0095083185302069E-2</v>
      </c>
      <c r="K242" s="43"/>
      <c r="L242" s="43">
        <v>0.25480000000000003</v>
      </c>
      <c r="O242" s="50"/>
    </row>
    <row r="243" spans="2:15" x14ac:dyDescent="0.2">
      <c r="B243">
        <v>228</v>
      </c>
      <c r="C243" s="48">
        <f t="shared" ca="1" si="16"/>
        <v>1.5211437749770229</v>
      </c>
      <c r="D243" s="48">
        <f t="shared" ca="1" si="13"/>
        <v>0.77201900141214441</v>
      </c>
      <c r="E243" s="48">
        <f t="shared" ca="1" si="14"/>
        <v>0</v>
      </c>
      <c r="F243" s="17">
        <f t="shared" ca="1" si="15"/>
        <v>0</v>
      </c>
      <c r="H243" s="17">
        <v>228</v>
      </c>
      <c r="I243" s="43">
        <v>0.66833771386748619</v>
      </c>
      <c r="J243" s="43">
        <v>1.9036489577708104E-2</v>
      </c>
      <c r="K243" s="43"/>
      <c r="L243" s="43">
        <v>0.25180000000000002</v>
      </c>
      <c r="O243" s="50"/>
    </row>
    <row r="244" spans="2:15" x14ac:dyDescent="0.2">
      <c r="B244">
        <v>229</v>
      </c>
      <c r="C244" s="48">
        <f t="shared" ca="1" si="16"/>
        <v>0.40575741629176304</v>
      </c>
      <c r="D244" s="48">
        <f t="shared" ca="1" si="13"/>
        <v>0.69162648204552268</v>
      </c>
      <c r="E244" s="48">
        <f t="shared" ca="1" si="14"/>
        <v>0</v>
      </c>
      <c r="F244" s="17">
        <f t="shared" ca="1" si="15"/>
        <v>0</v>
      </c>
      <c r="H244" s="17">
        <v>229</v>
      </c>
      <c r="I244" s="43">
        <v>0.66877511984529237</v>
      </c>
      <c r="J244" s="43">
        <v>1.9334162071155108E-2</v>
      </c>
      <c r="K244" s="43"/>
      <c r="L244" s="43">
        <v>0.24679999999999999</v>
      </c>
      <c r="O244" s="50"/>
    </row>
    <row r="245" spans="2:15" x14ac:dyDescent="0.2">
      <c r="B245">
        <v>230</v>
      </c>
      <c r="C245" s="48">
        <f t="shared" ca="1" si="16"/>
        <v>1.6028062379398915</v>
      </c>
      <c r="D245" s="48">
        <f t="shared" ca="1" si="13"/>
        <v>0.77825953301759365</v>
      </c>
      <c r="E245" s="48">
        <f t="shared" ca="1" si="14"/>
        <v>0</v>
      </c>
      <c r="F245" s="17">
        <f t="shared" ca="1" si="15"/>
        <v>0</v>
      </c>
      <c r="H245" s="17">
        <v>230</v>
      </c>
      <c r="I245" s="43">
        <v>0.66925916057247503</v>
      </c>
      <c r="J245" s="43">
        <v>1.9621666494515012E-2</v>
      </c>
      <c r="K245" s="43"/>
      <c r="L245" s="43">
        <v>0.24560000000000001</v>
      </c>
      <c r="O245" s="50"/>
    </row>
    <row r="246" spans="2:15" x14ac:dyDescent="0.2">
      <c r="B246">
        <v>231</v>
      </c>
      <c r="C246" s="48">
        <f t="shared" ca="1" si="16"/>
        <v>-2.4985024721372922</v>
      </c>
      <c r="D246" s="48">
        <f t="shared" ca="1" si="13"/>
        <v>0.51942498943205562</v>
      </c>
      <c r="E246" s="48">
        <f t="shared" ca="1" si="14"/>
        <v>0</v>
      </c>
      <c r="F246" s="17">
        <f t="shared" ca="1" si="15"/>
        <v>0</v>
      </c>
      <c r="H246" s="17">
        <v>231</v>
      </c>
      <c r="I246" s="43">
        <v>0.66825132875318538</v>
      </c>
      <c r="J246" s="43">
        <v>1.8948409603527526E-2</v>
      </c>
      <c r="K246" s="43"/>
      <c r="L246" s="43">
        <v>0.25459999999999999</v>
      </c>
      <c r="O246" s="50"/>
    </row>
    <row r="247" spans="2:15" x14ac:dyDescent="0.2">
      <c r="B247">
        <v>232</v>
      </c>
      <c r="C247" s="48">
        <f t="shared" ca="1" si="16"/>
        <v>1.2613478754112732</v>
      </c>
      <c r="D247" s="48">
        <f t="shared" ca="1" si="13"/>
        <v>0.75249664832673913</v>
      </c>
      <c r="E247" s="48">
        <f t="shared" ca="1" si="14"/>
        <v>0</v>
      </c>
      <c r="F247" s="17">
        <f t="shared" ca="1" si="15"/>
        <v>0</v>
      </c>
      <c r="H247" s="17">
        <v>232</v>
      </c>
      <c r="I247" s="43">
        <v>0.67033431311517566</v>
      </c>
      <c r="J247" s="43">
        <v>2.0311467217928272E-2</v>
      </c>
      <c r="K247" s="43"/>
      <c r="L247" s="43">
        <v>0.26040000000000002</v>
      </c>
      <c r="O247" s="50"/>
    </row>
    <row r="248" spans="2:15" x14ac:dyDescent="0.2">
      <c r="B248">
        <v>233</v>
      </c>
      <c r="C248" s="48">
        <f t="shared" ca="1" si="16"/>
        <v>-1.3604934294228352</v>
      </c>
      <c r="D248" s="48">
        <f t="shared" ca="1" si="13"/>
        <v>0.5810959225344583</v>
      </c>
      <c r="E248" s="48">
        <f t="shared" ca="1" si="14"/>
        <v>0</v>
      </c>
      <c r="F248" s="17">
        <f t="shared" ca="1" si="15"/>
        <v>0</v>
      </c>
      <c r="H248" s="17">
        <v>233</v>
      </c>
      <c r="I248" s="43">
        <v>0.66927608355962109</v>
      </c>
      <c r="J248" s="43">
        <v>1.9819986230497331E-2</v>
      </c>
      <c r="K248" s="43"/>
      <c r="L248" s="43">
        <v>0.25359999999999999</v>
      </c>
      <c r="O248" s="50"/>
    </row>
    <row r="249" spans="2:15" x14ac:dyDescent="0.2">
      <c r="B249">
        <v>234</v>
      </c>
      <c r="C249" s="48">
        <f t="shared" ca="1" si="16"/>
        <v>-0.20041017385841997</v>
      </c>
      <c r="D249" s="48">
        <f t="shared" ca="1" si="13"/>
        <v>0.65150528925256612</v>
      </c>
      <c r="E249" s="48">
        <f t="shared" ca="1" si="14"/>
        <v>0</v>
      </c>
      <c r="F249" s="17">
        <f t="shared" ca="1" si="15"/>
        <v>0</v>
      </c>
      <c r="H249" s="17">
        <v>234</v>
      </c>
      <c r="I249" s="43">
        <v>0.66841655650674969</v>
      </c>
      <c r="J249" s="43">
        <v>1.907288458738312E-2</v>
      </c>
      <c r="K249" s="43"/>
      <c r="L249" s="43">
        <v>0.25059999999999999</v>
      </c>
      <c r="O249" s="50"/>
    </row>
    <row r="250" spans="2:15" x14ac:dyDescent="0.2">
      <c r="B250">
        <v>235</v>
      </c>
      <c r="C250" s="48">
        <f t="shared" ca="1" si="16"/>
        <v>-0.98331564608484634</v>
      </c>
      <c r="D250" s="48">
        <f t="shared" ca="1" si="13"/>
        <v>0.60311075041167583</v>
      </c>
      <c r="E250" s="48">
        <f t="shared" ca="1" si="14"/>
        <v>0</v>
      </c>
      <c r="F250" s="17">
        <f t="shared" ca="1" si="15"/>
        <v>0</v>
      </c>
      <c r="H250" s="17">
        <v>235</v>
      </c>
      <c r="I250" s="43">
        <v>0.66880952683002459</v>
      </c>
      <c r="J250" s="43">
        <v>1.9318545516308325E-2</v>
      </c>
      <c r="K250" s="43"/>
      <c r="L250" s="43">
        <v>0.24640000000000001</v>
      </c>
      <c r="O250" s="50"/>
    </row>
    <row r="251" spans="2:15" x14ac:dyDescent="0.2">
      <c r="B251">
        <v>236</v>
      </c>
      <c r="C251" s="48">
        <f t="shared" ca="1" si="16"/>
        <v>0.92982979609707483</v>
      </c>
      <c r="D251" s="48">
        <f t="shared" ca="1" si="13"/>
        <v>0.72829997285245385</v>
      </c>
      <c r="E251" s="48">
        <f t="shared" ca="1" si="14"/>
        <v>0</v>
      </c>
      <c r="F251" s="17">
        <f t="shared" ca="1" si="15"/>
        <v>0</v>
      </c>
      <c r="H251" s="17">
        <v>236</v>
      </c>
      <c r="I251" s="43">
        <v>0.66970035407048811</v>
      </c>
      <c r="J251" s="43">
        <v>1.9675921292866168E-2</v>
      </c>
      <c r="K251" s="43"/>
      <c r="L251" s="43">
        <v>0.25140000000000001</v>
      </c>
      <c r="O251" s="50"/>
    </row>
    <row r="252" spans="2:15" x14ac:dyDescent="0.2">
      <c r="B252">
        <v>237</v>
      </c>
      <c r="C252" s="48">
        <f t="shared" ca="1" si="16"/>
        <v>5.0302278757122038E-2</v>
      </c>
      <c r="D252" s="48">
        <f t="shared" ca="1" si="13"/>
        <v>0.66780927843442628</v>
      </c>
      <c r="E252" s="48">
        <f t="shared" ca="1" si="14"/>
        <v>0</v>
      </c>
      <c r="F252" s="17">
        <f t="shared" ca="1" si="15"/>
        <v>0</v>
      </c>
      <c r="H252" s="17">
        <v>237</v>
      </c>
      <c r="I252" s="43">
        <v>0.66781543903147522</v>
      </c>
      <c r="J252" s="43">
        <v>1.8760386259103048E-2</v>
      </c>
      <c r="K252" s="43"/>
      <c r="L252" s="43">
        <v>0.25259999999999999</v>
      </c>
      <c r="O252" s="50"/>
    </row>
    <row r="253" spans="2:15" x14ac:dyDescent="0.2">
      <c r="B253">
        <v>238</v>
      </c>
      <c r="C253" s="48">
        <f t="shared" ca="1" si="16"/>
        <v>1.5182956820656908</v>
      </c>
      <c r="D253" s="48">
        <f t="shared" ca="1" si="13"/>
        <v>0.77180225950399639</v>
      </c>
      <c r="E253" s="48">
        <f t="shared" ca="1" si="14"/>
        <v>0</v>
      </c>
      <c r="F253" s="17">
        <f t="shared" ca="1" si="15"/>
        <v>0</v>
      </c>
      <c r="H253" s="17">
        <v>238</v>
      </c>
      <c r="I253" s="43">
        <v>0.66832308280660713</v>
      </c>
      <c r="J253" s="43">
        <v>1.8696395437906181E-2</v>
      </c>
      <c r="K253" s="43"/>
      <c r="L253" s="43">
        <v>0.25080000000000002</v>
      </c>
      <c r="O253" s="50"/>
    </row>
    <row r="254" spans="2:15" x14ac:dyDescent="0.2">
      <c r="B254">
        <v>239</v>
      </c>
      <c r="C254" s="48">
        <f t="shared" ca="1" si="16"/>
        <v>1.2219503768250561</v>
      </c>
      <c r="D254" s="48">
        <f t="shared" ca="1" si="13"/>
        <v>0.7495795451479913</v>
      </c>
      <c r="E254" s="48">
        <f t="shared" ca="1" si="14"/>
        <v>0</v>
      </c>
      <c r="F254" s="17">
        <f t="shared" ca="1" si="15"/>
        <v>0</v>
      </c>
      <c r="H254" s="17">
        <v>239</v>
      </c>
      <c r="I254" s="43">
        <v>0.67037132232449126</v>
      </c>
      <c r="J254" s="43">
        <v>2.0453744689879417E-2</v>
      </c>
      <c r="K254" s="43"/>
      <c r="L254" s="43">
        <v>0.25619999999999998</v>
      </c>
      <c r="O254" s="50"/>
    </row>
    <row r="255" spans="2:15" x14ac:dyDescent="0.2">
      <c r="B255">
        <v>240</v>
      </c>
      <c r="C255" s="48">
        <f t="shared" ca="1" si="16"/>
        <v>-0.53880597710234424</v>
      </c>
      <c r="D255" s="48">
        <f t="shared" ca="1" si="13"/>
        <v>0.63012860224094935</v>
      </c>
      <c r="E255" s="48">
        <f t="shared" ca="1" si="14"/>
        <v>0</v>
      </c>
      <c r="F255" s="17">
        <f t="shared" ca="1" si="15"/>
        <v>0</v>
      </c>
      <c r="H255" s="17">
        <v>240</v>
      </c>
      <c r="I255" s="43">
        <v>0.66845148685420819</v>
      </c>
      <c r="J255" s="43">
        <v>1.8846054868147291E-2</v>
      </c>
      <c r="K255" s="43"/>
      <c r="L255" s="43">
        <v>0.25180000000000002</v>
      </c>
      <c r="O255" s="50"/>
    </row>
    <row r="256" spans="2:15" x14ac:dyDescent="0.2">
      <c r="B256">
        <v>241</v>
      </c>
      <c r="C256" s="48">
        <f t="shared" ca="1" si="16"/>
        <v>0.58033854955927611</v>
      </c>
      <c r="D256" s="48">
        <f t="shared" ca="1" si="13"/>
        <v>0.70363345232566676</v>
      </c>
      <c r="E256" s="48">
        <f t="shared" ca="1" si="14"/>
        <v>0</v>
      </c>
      <c r="F256" s="17">
        <f t="shared" ca="1" si="15"/>
        <v>0</v>
      </c>
      <c r="H256" s="17">
        <v>241</v>
      </c>
      <c r="I256" s="43">
        <v>0.66903790572515365</v>
      </c>
      <c r="J256" s="43">
        <v>1.9607428276219471E-2</v>
      </c>
      <c r="K256" s="43"/>
      <c r="L256" s="43">
        <v>0.24979999999999999</v>
      </c>
      <c r="O256" s="50"/>
    </row>
    <row r="257" spans="2:15" x14ac:dyDescent="0.2">
      <c r="B257">
        <v>242</v>
      </c>
      <c r="C257" s="48">
        <f t="shared" ca="1" si="16"/>
        <v>1.381136477120722</v>
      </c>
      <c r="D257" s="48">
        <f t="shared" ca="1" si="13"/>
        <v>0.76143605600689179</v>
      </c>
      <c r="E257" s="48">
        <f t="shared" ca="1" si="14"/>
        <v>0</v>
      </c>
      <c r="F257" s="17">
        <f t="shared" ca="1" si="15"/>
        <v>0</v>
      </c>
      <c r="H257" s="17">
        <v>242</v>
      </c>
      <c r="I257" s="43">
        <v>0.66855054713476147</v>
      </c>
      <c r="J257" s="43">
        <v>1.9048133616203489E-2</v>
      </c>
      <c r="K257" s="43"/>
      <c r="L257" s="43">
        <v>0.25140000000000001</v>
      </c>
      <c r="O257" s="50"/>
    </row>
    <row r="258" spans="2:15" x14ac:dyDescent="0.2">
      <c r="B258">
        <v>243</v>
      </c>
      <c r="C258" s="48">
        <f t="shared" ca="1" si="16"/>
        <v>-0.39575283643186437</v>
      </c>
      <c r="D258" s="48">
        <f t="shared" ca="1" si="13"/>
        <v>0.63907842410292681</v>
      </c>
      <c r="E258" s="48">
        <f t="shared" ca="1" si="14"/>
        <v>0</v>
      </c>
      <c r="F258" s="17">
        <f t="shared" ca="1" si="15"/>
        <v>0</v>
      </c>
      <c r="H258" s="17">
        <v>243</v>
      </c>
      <c r="I258" s="43">
        <v>0.66789642540216732</v>
      </c>
      <c r="J258" s="43">
        <v>1.8566432117352854E-2</v>
      </c>
      <c r="K258" s="43"/>
      <c r="L258" s="43">
        <v>0.252</v>
      </c>
      <c r="O258" s="50"/>
    </row>
    <row r="259" spans="2:15" x14ac:dyDescent="0.2">
      <c r="B259">
        <v>244</v>
      </c>
      <c r="C259" s="48">
        <f t="shared" ca="1" si="16"/>
        <v>0.78491561501161644</v>
      </c>
      <c r="D259" s="48">
        <f t="shared" ca="1" si="13"/>
        <v>0.71796892739674512</v>
      </c>
      <c r="E259" s="48">
        <f t="shared" ca="1" si="14"/>
        <v>0</v>
      </c>
      <c r="F259" s="17">
        <f t="shared" ca="1" si="15"/>
        <v>0</v>
      </c>
      <c r="H259" s="17">
        <v>244</v>
      </c>
      <c r="I259" s="43">
        <v>0.66804254894010184</v>
      </c>
      <c r="J259" s="43">
        <v>1.8612518421155935E-2</v>
      </c>
      <c r="K259" s="43"/>
      <c r="L259" s="43">
        <v>0.247</v>
      </c>
      <c r="O259" s="50"/>
    </row>
    <row r="260" spans="2:15" x14ac:dyDescent="0.2">
      <c r="B260">
        <v>245</v>
      </c>
      <c r="C260" s="48">
        <f t="shared" ca="1" si="16"/>
        <v>1.1298528186269858</v>
      </c>
      <c r="D260" s="48">
        <f t="shared" ca="1" si="13"/>
        <v>0.74280441830018618</v>
      </c>
      <c r="E260" s="48">
        <f t="shared" ca="1" si="14"/>
        <v>0</v>
      </c>
      <c r="F260" s="17">
        <f t="shared" ca="1" si="15"/>
        <v>0</v>
      </c>
      <c r="H260" s="17">
        <v>245</v>
      </c>
      <c r="I260" s="43">
        <v>0.669855560765373</v>
      </c>
      <c r="J260" s="43">
        <v>2.0038875075464289E-2</v>
      </c>
      <c r="K260" s="43"/>
      <c r="L260" s="43">
        <v>0.25459999999999999</v>
      </c>
      <c r="O260" s="50"/>
    </row>
    <row r="261" spans="2:15" x14ac:dyDescent="0.2">
      <c r="B261">
        <v>246</v>
      </c>
      <c r="C261" s="48">
        <f t="shared" ca="1" si="16"/>
        <v>-1.979866471742028</v>
      </c>
      <c r="D261" s="48">
        <f t="shared" ca="1" si="13"/>
        <v>0.54667442339241934</v>
      </c>
      <c r="E261" s="48">
        <f t="shared" ca="1" si="14"/>
        <v>0</v>
      </c>
      <c r="F261" s="17">
        <f t="shared" ca="1" si="15"/>
        <v>0</v>
      </c>
      <c r="H261" s="17">
        <v>246</v>
      </c>
      <c r="I261" s="43">
        <v>0.67020876970573895</v>
      </c>
      <c r="J261" s="43">
        <v>2.0176286612381737E-2</v>
      </c>
      <c r="K261" s="43"/>
      <c r="L261" s="43">
        <v>0.25580000000000003</v>
      </c>
      <c r="O261" s="50"/>
    </row>
    <row r="262" spans="2:15" x14ac:dyDescent="0.2">
      <c r="B262">
        <v>247</v>
      </c>
      <c r="C262" s="48">
        <f t="shared" ca="1" si="16"/>
        <v>0.55848567130756022</v>
      </c>
      <c r="D262" s="48">
        <f t="shared" ca="1" si="13"/>
        <v>0.70211916215620929</v>
      </c>
      <c r="E262" s="48">
        <f t="shared" ca="1" si="14"/>
        <v>0</v>
      </c>
      <c r="F262" s="17">
        <f t="shared" ca="1" si="15"/>
        <v>0</v>
      </c>
      <c r="H262" s="17">
        <v>247</v>
      </c>
      <c r="I262" s="43">
        <v>0.66852998771025474</v>
      </c>
      <c r="J262" s="43">
        <v>1.9267201469067952E-2</v>
      </c>
      <c r="K262" s="43"/>
      <c r="L262" s="43">
        <v>0.25719999999999998</v>
      </c>
      <c r="O262" s="50"/>
    </row>
    <row r="263" spans="2:15" x14ac:dyDescent="0.2">
      <c r="B263">
        <v>248</v>
      </c>
      <c r="C263" s="48">
        <f t="shared" ca="1" si="16"/>
        <v>0.45148619731663031</v>
      </c>
      <c r="D263" s="48">
        <f t="shared" ca="1" si="13"/>
        <v>0.69475157031361656</v>
      </c>
      <c r="E263" s="48">
        <f t="shared" ca="1" si="14"/>
        <v>0</v>
      </c>
      <c r="F263" s="17">
        <f t="shared" ca="1" si="15"/>
        <v>0</v>
      </c>
      <c r="H263" s="17">
        <v>248</v>
      </c>
      <c r="I263" s="43">
        <v>0.66871341782340843</v>
      </c>
      <c r="J263" s="43">
        <v>1.9265565869111167E-2</v>
      </c>
      <c r="K263" s="43"/>
      <c r="L263" s="43">
        <v>0.2452</v>
      </c>
      <c r="O263" s="50"/>
    </row>
    <row r="264" spans="2:15" x14ac:dyDescent="0.2">
      <c r="B264">
        <v>249</v>
      </c>
      <c r="C264" s="48">
        <f t="shared" ca="1" si="16"/>
        <v>-0.7892908761483417</v>
      </c>
      <c r="D264" s="48">
        <f t="shared" ca="1" si="13"/>
        <v>0.61475834565238618</v>
      </c>
      <c r="E264" s="48">
        <f t="shared" ca="1" si="14"/>
        <v>0</v>
      </c>
      <c r="F264" s="17">
        <f t="shared" ca="1" si="15"/>
        <v>0</v>
      </c>
      <c r="H264" s="17">
        <v>249</v>
      </c>
      <c r="I264" s="43">
        <v>0.67010849135702488</v>
      </c>
      <c r="J264" s="43">
        <v>2.0102557671820925E-2</v>
      </c>
      <c r="K264" s="43"/>
      <c r="L264" s="43">
        <v>0.25219999999999998</v>
      </c>
      <c r="O264" s="50"/>
    </row>
    <row r="265" spans="2:15" x14ac:dyDescent="0.2">
      <c r="B265">
        <v>250</v>
      </c>
      <c r="C265" s="48">
        <f t="shared" ca="1" si="16"/>
        <v>0.83570867927472725</v>
      </c>
      <c r="D265" s="48">
        <f t="shared" ca="1" si="13"/>
        <v>0.72157321646818429</v>
      </c>
      <c r="E265" s="48">
        <f t="shared" ca="1" si="14"/>
        <v>0</v>
      </c>
      <c r="F265" s="17">
        <f t="shared" ca="1" si="15"/>
        <v>0</v>
      </c>
      <c r="H265" s="17">
        <v>250</v>
      </c>
      <c r="I265" s="43">
        <v>0.66990326176602344</v>
      </c>
      <c r="J265" s="43">
        <v>1.9836428674450422E-2</v>
      </c>
      <c r="K265" s="43"/>
      <c r="L265" s="43">
        <v>0.252</v>
      </c>
      <c r="O265" s="50"/>
    </row>
    <row r="266" spans="2:15" x14ac:dyDescent="0.2">
      <c r="B266">
        <v>251</v>
      </c>
      <c r="C266" s="48">
        <f t="shared" ca="1" si="16"/>
        <v>0.7063127011787832</v>
      </c>
      <c r="D266" s="48">
        <f t="shared" ca="1" si="13"/>
        <v>0.71242669961440475</v>
      </c>
      <c r="E266" s="48">
        <f t="shared" ca="1" si="14"/>
        <v>0</v>
      </c>
      <c r="F266" s="17">
        <f t="shared" ca="1" si="15"/>
        <v>0</v>
      </c>
      <c r="H266" s="17">
        <v>251</v>
      </c>
      <c r="I266" s="43">
        <v>0.66854124705798379</v>
      </c>
      <c r="J266" s="43">
        <v>1.9115925016092692E-2</v>
      </c>
      <c r="K266" s="43"/>
      <c r="L266" s="43">
        <v>0.24479999999999999</v>
      </c>
      <c r="O266" s="50"/>
    </row>
    <row r="267" spans="2:15" x14ac:dyDescent="0.2">
      <c r="B267">
        <v>252</v>
      </c>
      <c r="C267" s="48">
        <f t="shared" ca="1" si="16"/>
        <v>1.2206968522472392</v>
      </c>
      <c r="D267" s="48">
        <f t="shared" ca="1" si="13"/>
        <v>0.74948691647000298</v>
      </c>
      <c r="E267" s="48">
        <f t="shared" ca="1" si="14"/>
        <v>0</v>
      </c>
      <c r="F267" s="17">
        <f t="shared" ca="1" si="15"/>
        <v>0</v>
      </c>
      <c r="H267" s="17">
        <v>252</v>
      </c>
      <c r="I267" s="43">
        <v>0.66963842246751515</v>
      </c>
      <c r="J267" s="43">
        <v>1.9975176765441739E-2</v>
      </c>
      <c r="K267" s="43"/>
      <c r="L267" s="43">
        <v>0.2606</v>
      </c>
      <c r="O267" s="50"/>
    </row>
    <row r="268" spans="2:15" x14ac:dyDescent="0.2">
      <c r="B268">
        <v>253</v>
      </c>
      <c r="C268" s="48">
        <f t="shared" ca="1" si="16"/>
        <v>1.6242958889422467</v>
      </c>
      <c r="D268" s="48">
        <f t="shared" ca="1" si="13"/>
        <v>0.7799101095411527</v>
      </c>
      <c r="E268" s="48">
        <f t="shared" ca="1" si="14"/>
        <v>0</v>
      </c>
      <c r="F268" s="17">
        <f t="shared" ca="1" si="15"/>
        <v>0</v>
      </c>
      <c r="H268" s="17">
        <v>253</v>
      </c>
      <c r="I268" s="43">
        <v>0.66919967241255107</v>
      </c>
      <c r="J268" s="43">
        <v>1.9534823214552927E-2</v>
      </c>
      <c r="K268" s="43"/>
      <c r="L268" s="43">
        <v>0.24959999999999999</v>
      </c>
      <c r="O268" s="50"/>
    </row>
    <row r="269" spans="2:15" x14ac:dyDescent="0.2">
      <c r="B269">
        <v>254</v>
      </c>
      <c r="C269" s="48">
        <f t="shared" ca="1" si="16"/>
        <v>-0.50520649284508745</v>
      </c>
      <c r="D269" s="48">
        <f t="shared" ca="1" si="13"/>
        <v>0.63221935664886952</v>
      </c>
      <c r="E269" s="48">
        <f t="shared" ca="1" si="14"/>
        <v>0</v>
      </c>
      <c r="F269" s="17">
        <f t="shared" ca="1" si="15"/>
        <v>0</v>
      </c>
      <c r="H269" s="17">
        <v>254</v>
      </c>
      <c r="I269" s="43">
        <v>0.66823635549324323</v>
      </c>
      <c r="J269" s="43">
        <v>1.9158443245917558E-2</v>
      </c>
      <c r="K269" s="43"/>
      <c r="L269" s="43">
        <v>0.252</v>
      </c>
      <c r="O269" s="50"/>
    </row>
    <row r="270" spans="2:15" x14ac:dyDescent="0.2">
      <c r="B270">
        <v>255</v>
      </c>
      <c r="C270" s="48">
        <f t="shared" ca="1" si="16"/>
        <v>1.7872351733274139</v>
      </c>
      <c r="D270" s="48">
        <f t="shared" ca="1" si="13"/>
        <v>0.7925395743823086</v>
      </c>
      <c r="E270" s="48">
        <f t="shared" ca="1" si="14"/>
        <v>4.3395743823085864E-3</v>
      </c>
      <c r="F270" s="17">
        <f t="shared" ca="1" si="15"/>
        <v>1</v>
      </c>
      <c r="H270" s="17">
        <v>255</v>
      </c>
      <c r="I270" s="43">
        <v>0.66860106768839001</v>
      </c>
      <c r="J270" s="43">
        <v>1.9215560042781517E-2</v>
      </c>
      <c r="K270" s="43"/>
      <c r="L270" s="43">
        <v>0.246</v>
      </c>
      <c r="O270" s="50"/>
    </row>
    <row r="271" spans="2:15" x14ac:dyDescent="0.2">
      <c r="B271">
        <v>256</v>
      </c>
      <c r="C271" s="48">
        <f t="shared" ca="1" si="16"/>
        <v>-0.41907805868454706</v>
      </c>
      <c r="D271" s="48">
        <f t="shared" ca="1" si="13"/>
        <v>0.63761050400670238</v>
      </c>
      <c r="E271" s="48">
        <f t="shared" ca="1" si="14"/>
        <v>0</v>
      </c>
      <c r="F271" s="17">
        <f t="shared" ca="1" si="15"/>
        <v>0</v>
      </c>
      <c r="H271" s="17">
        <v>256</v>
      </c>
      <c r="I271" s="43">
        <v>0.66884897302596502</v>
      </c>
      <c r="J271" s="43">
        <v>1.9238113369096324E-2</v>
      </c>
      <c r="K271" s="43"/>
      <c r="L271" s="43">
        <v>0.25159999999999999</v>
      </c>
      <c r="O271" s="50"/>
    </row>
    <row r="272" spans="2:15" x14ac:dyDescent="0.2">
      <c r="B272">
        <v>257</v>
      </c>
      <c r="C272" s="48">
        <f t="shared" ca="1" si="16"/>
        <v>0.17880713833330586</v>
      </c>
      <c r="D272" s="48">
        <f t="shared" ref="D272:D335" ca="1" si="17">S0*EXP((μ-0.5*σ*σ)*T+σ*SQRT(T)*$C272)</f>
        <v>0.67632355311165782</v>
      </c>
      <c r="E272" s="48">
        <f t="shared" ref="E272:E335" ca="1" si="18">MAX(0,CP*(D272-K))</f>
        <v>0</v>
      </c>
      <c r="F272" s="17">
        <f t="shared" ref="F272:F335" ca="1" si="19">(CP*(D272-K)&gt;0)*1</f>
        <v>0</v>
      </c>
      <c r="H272" s="17">
        <v>257</v>
      </c>
      <c r="I272" s="43">
        <v>0.67009357672062408</v>
      </c>
      <c r="J272" s="43">
        <v>2.0128772768678024E-2</v>
      </c>
      <c r="K272" s="43"/>
      <c r="L272" s="43">
        <v>0.255</v>
      </c>
      <c r="O272" s="50"/>
    </row>
    <row r="273" spans="2:15" x14ac:dyDescent="0.2">
      <c r="B273">
        <v>258</v>
      </c>
      <c r="C273" s="48">
        <f t="shared" ref="C273:C336" ca="1" si="20">_xlfn.NORM.S.INV(RAND())</f>
        <v>1.0048918068750676</v>
      </c>
      <c r="D273" s="48">
        <f t="shared" ca="1" si="17"/>
        <v>0.73370951024076592</v>
      </c>
      <c r="E273" s="48">
        <f t="shared" ca="1" si="18"/>
        <v>0</v>
      </c>
      <c r="F273" s="17">
        <f t="shared" ca="1" si="19"/>
        <v>0</v>
      </c>
      <c r="H273" s="17">
        <v>258</v>
      </c>
      <c r="I273" s="43">
        <v>0.66903958202149583</v>
      </c>
      <c r="J273" s="43">
        <v>1.9570385309050406E-2</v>
      </c>
      <c r="K273" s="43"/>
      <c r="L273" s="43">
        <v>0.25640000000000002</v>
      </c>
      <c r="O273" s="50"/>
    </row>
    <row r="274" spans="2:15" x14ac:dyDescent="0.2">
      <c r="B274">
        <v>259</v>
      </c>
      <c r="C274" s="48">
        <f t="shared" ca="1" si="20"/>
        <v>0.61718222042640158</v>
      </c>
      <c r="D274" s="48">
        <f t="shared" ca="1" si="17"/>
        <v>0.70619392462123698</v>
      </c>
      <c r="E274" s="48">
        <f t="shared" ca="1" si="18"/>
        <v>0</v>
      </c>
      <c r="F274" s="17">
        <f t="shared" ca="1" si="19"/>
        <v>0</v>
      </c>
      <c r="H274" s="17">
        <v>259</v>
      </c>
      <c r="I274" s="43">
        <v>0.66977618275593009</v>
      </c>
      <c r="J274" s="43">
        <v>2.0075986828876839E-2</v>
      </c>
      <c r="K274" s="43"/>
      <c r="L274" s="43">
        <v>0.25619999999999998</v>
      </c>
      <c r="O274" s="50"/>
    </row>
    <row r="275" spans="2:15" x14ac:dyDescent="0.2">
      <c r="B275">
        <v>260</v>
      </c>
      <c r="C275" s="48">
        <f t="shared" ca="1" si="20"/>
        <v>-0.78932342404950984</v>
      </c>
      <c r="D275" s="48">
        <f t="shared" ca="1" si="17"/>
        <v>0.61475637300961394</v>
      </c>
      <c r="E275" s="48">
        <f t="shared" ca="1" si="18"/>
        <v>0</v>
      </c>
      <c r="F275" s="17">
        <f t="shared" ca="1" si="19"/>
        <v>0</v>
      </c>
      <c r="H275" s="17">
        <v>260</v>
      </c>
      <c r="I275" s="43">
        <v>0.66978826980071715</v>
      </c>
      <c r="J275" s="43">
        <v>2.0010508785738727E-2</v>
      </c>
      <c r="K275" s="43"/>
      <c r="L275" s="43">
        <v>0.25180000000000002</v>
      </c>
      <c r="O275" s="50"/>
    </row>
    <row r="276" spans="2:15" x14ac:dyDescent="0.2">
      <c r="B276">
        <v>261</v>
      </c>
      <c r="C276" s="48">
        <f t="shared" ca="1" si="20"/>
        <v>1.1787475578549158</v>
      </c>
      <c r="D276" s="48">
        <f t="shared" ca="1" si="17"/>
        <v>0.74639368303550113</v>
      </c>
      <c r="E276" s="48">
        <f t="shared" ca="1" si="18"/>
        <v>0</v>
      </c>
      <c r="F276" s="17">
        <f t="shared" ca="1" si="19"/>
        <v>0</v>
      </c>
      <c r="H276" s="17">
        <v>261</v>
      </c>
      <c r="I276" s="43">
        <v>0.66817584924859996</v>
      </c>
      <c r="J276" s="43">
        <v>1.8797857694388527E-2</v>
      </c>
      <c r="K276" s="43"/>
      <c r="L276" s="43">
        <v>0.251</v>
      </c>
      <c r="O276" s="50"/>
    </row>
    <row r="277" spans="2:15" x14ac:dyDescent="0.2">
      <c r="B277">
        <v>262</v>
      </c>
      <c r="C277" s="48">
        <f t="shared" ca="1" si="20"/>
        <v>-0.2927697063666635</v>
      </c>
      <c r="D277" s="48">
        <f t="shared" ca="1" si="17"/>
        <v>0.64559993901407142</v>
      </c>
      <c r="E277" s="48">
        <f t="shared" ca="1" si="18"/>
        <v>0</v>
      </c>
      <c r="F277" s="17">
        <f t="shared" ca="1" si="19"/>
        <v>0</v>
      </c>
      <c r="H277" s="17">
        <v>262</v>
      </c>
      <c r="I277" s="43">
        <v>0.66925021058755307</v>
      </c>
      <c r="J277" s="43">
        <v>1.9594300532958825E-2</v>
      </c>
      <c r="K277" s="43"/>
      <c r="L277" s="43">
        <v>0.25619999999999998</v>
      </c>
      <c r="O277" s="50"/>
    </row>
    <row r="278" spans="2:15" x14ac:dyDescent="0.2">
      <c r="B278">
        <v>263</v>
      </c>
      <c r="C278" s="48">
        <f t="shared" ca="1" si="20"/>
        <v>-0.14620352152093799</v>
      </c>
      <c r="D278" s="48">
        <f t="shared" ca="1" si="17"/>
        <v>0.65499631640193279</v>
      </c>
      <c r="E278" s="48">
        <f t="shared" ca="1" si="18"/>
        <v>0</v>
      </c>
      <c r="F278" s="17">
        <f t="shared" ca="1" si="19"/>
        <v>0</v>
      </c>
      <c r="H278" s="17">
        <v>263</v>
      </c>
      <c r="I278" s="43">
        <v>0.66995453832651009</v>
      </c>
      <c r="J278" s="43">
        <v>2.0223291163442802E-2</v>
      </c>
      <c r="K278" s="43"/>
      <c r="L278" s="43">
        <v>0.25540000000000002</v>
      </c>
      <c r="O278" s="50"/>
    </row>
    <row r="279" spans="2:15" x14ac:dyDescent="0.2">
      <c r="B279">
        <v>264</v>
      </c>
      <c r="C279" s="48">
        <f t="shared" ca="1" si="20"/>
        <v>2.1566213631951858</v>
      </c>
      <c r="D279" s="48">
        <f t="shared" ca="1" si="17"/>
        <v>0.82193333471785257</v>
      </c>
      <c r="E279" s="48">
        <f t="shared" ca="1" si="18"/>
        <v>3.3733334717852559E-2</v>
      </c>
      <c r="F279" s="17">
        <f t="shared" ca="1" si="19"/>
        <v>1</v>
      </c>
      <c r="H279" s="17">
        <v>264</v>
      </c>
      <c r="I279" s="43">
        <v>0.66916984483120323</v>
      </c>
      <c r="J279" s="43">
        <v>1.9576492588880431E-2</v>
      </c>
      <c r="K279" s="43"/>
      <c r="L279" s="43">
        <v>0.25519999999999998</v>
      </c>
      <c r="O279" s="50"/>
    </row>
    <row r="280" spans="2:15" x14ac:dyDescent="0.2">
      <c r="B280">
        <v>265</v>
      </c>
      <c r="C280" s="48">
        <f t="shared" ca="1" si="20"/>
        <v>0.29365417488025169</v>
      </c>
      <c r="D280" s="48">
        <f t="shared" ca="1" si="17"/>
        <v>0.68402472808541903</v>
      </c>
      <c r="E280" s="48">
        <f t="shared" ca="1" si="18"/>
        <v>0</v>
      </c>
      <c r="F280" s="17">
        <f t="shared" ca="1" si="19"/>
        <v>0</v>
      </c>
      <c r="H280" s="17">
        <v>265</v>
      </c>
      <c r="I280" s="43">
        <v>0.67025140558807728</v>
      </c>
      <c r="J280" s="43">
        <v>2.0411974311927303E-2</v>
      </c>
      <c r="K280" s="43"/>
      <c r="L280" s="43">
        <v>0.2586</v>
      </c>
      <c r="O280" s="50"/>
    </row>
    <row r="281" spans="2:15" x14ac:dyDescent="0.2">
      <c r="B281">
        <v>266</v>
      </c>
      <c r="C281" s="48">
        <f t="shared" ca="1" si="20"/>
        <v>0.70578337663114243</v>
      </c>
      <c r="D281" s="48">
        <f t="shared" ca="1" si="17"/>
        <v>0.71238952276253431</v>
      </c>
      <c r="E281" s="48">
        <f t="shared" ca="1" si="18"/>
        <v>0</v>
      </c>
      <c r="F281" s="17">
        <f t="shared" ca="1" si="19"/>
        <v>0</v>
      </c>
      <c r="H281" s="17">
        <v>266</v>
      </c>
      <c r="I281" s="43">
        <v>0.66735264371539527</v>
      </c>
      <c r="J281" s="43">
        <v>1.8277237180600862E-2</v>
      </c>
      <c r="K281" s="43"/>
      <c r="L281" s="43">
        <v>0.24479999999999999</v>
      </c>
      <c r="O281" s="50"/>
    </row>
    <row r="282" spans="2:15" x14ac:dyDescent="0.2">
      <c r="B282">
        <v>267</v>
      </c>
      <c r="C282" s="48">
        <f t="shared" ca="1" si="20"/>
        <v>0.82865040225015696</v>
      </c>
      <c r="D282" s="48">
        <f t="shared" ca="1" si="17"/>
        <v>0.72107127886798339</v>
      </c>
      <c r="E282" s="48">
        <f t="shared" ca="1" si="18"/>
        <v>0</v>
      </c>
      <c r="F282" s="17">
        <f t="shared" ca="1" si="19"/>
        <v>0</v>
      </c>
      <c r="H282" s="17">
        <v>267</v>
      </c>
      <c r="I282" s="43">
        <v>0.66954672859695419</v>
      </c>
      <c r="J282" s="43">
        <v>1.9621028032393163E-2</v>
      </c>
      <c r="K282" s="43"/>
      <c r="L282" s="43">
        <v>0.247</v>
      </c>
      <c r="O282" s="50"/>
    </row>
    <row r="283" spans="2:15" x14ac:dyDescent="0.2">
      <c r="B283">
        <v>268</v>
      </c>
      <c r="C283" s="48">
        <f t="shared" ca="1" si="20"/>
        <v>1.1644215677141287</v>
      </c>
      <c r="D283" s="48">
        <f t="shared" ca="1" si="17"/>
        <v>0.74534024821627953</v>
      </c>
      <c r="E283" s="48">
        <f t="shared" ca="1" si="18"/>
        <v>0</v>
      </c>
      <c r="F283" s="17">
        <f t="shared" ca="1" si="19"/>
        <v>0</v>
      </c>
      <c r="H283" s="17">
        <v>268</v>
      </c>
      <c r="I283" s="43">
        <v>0.66870295036810012</v>
      </c>
      <c r="J283" s="43">
        <v>1.9060095430204788E-2</v>
      </c>
      <c r="K283" s="43"/>
      <c r="L283" s="43">
        <v>0.24759999999999999</v>
      </c>
      <c r="O283" s="50"/>
    </row>
    <row r="284" spans="2:15" x14ac:dyDescent="0.2">
      <c r="B284">
        <v>269</v>
      </c>
      <c r="C284" s="48">
        <f t="shared" ca="1" si="20"/>
        <v>-0.44993086593201648</v>
      </c>
      <c r="D284" s="48">
        <f t="shared" ca="1" si="17"/>
        <v>0.63567403058731475</v>
      </c>
      <c r="E284" s="48">
        <f t="shared" ca="1" si="18"/>
        <v>0</v>
      </c>
      <c r="F284" s="17">
        <f t="shared" ca="1" si="19"/>
        <v>0</v>
      </c>
      <c r="H284" s="17">
        <v>269</v>
      </c>
      <c r="I284" s="43">
        <v>0.66765611269224123</v>
      </c>
      <c r="J284" s="43">
        <v>1.8616954418052428E-2</v>
      </c>
      <c r="K284" s="43"/>
      <c r="L284" s="43">
        <v>0.25259999999999999</v>
      </c>
      <c r="O284" s="50"/>
    </row>
    <row r="285" spans="2:15" x14ac:dyDescent="0.2">
      <c r="B285">
        <v>270</v>
      </c>
      <c r="C285" s="48">
        <f t="shared" ca="1" si="20"/>
        <v>-1.1783878215545498</v>
      </c>
      <c r="D285" s="48">
        <f t="shared" ca="1" si="17"/>
        <v>0.59162274303213314</v>
      </c>
      <c r="E285" s="48">
        <f t="shared" ca="1" si="18"/>
        <v>0</v>
      </c>
      <c r="F285" s="17">
        <f t="shared" ca="1" si="19"/>
        <v>0</v>
      </c>
      <c r="H285" s="17">
        <v>270</v>
      </c>
      <c r="I285" s="43">
        <v>0.66886667489353491</v>
      </c>
      <c r="J285" s="43">
        <v>1.928247059060231E-2</v>
      </c>
      <c r="K285" s="43"/>
      <c r="L285" s="43">
        <v>0.24840000000000001</v>
      </c>
      <c r="O285" s="50"/>
    </row>
    <row r="286" spans="2:15" x14ac:dyDescent="0.2">
      <c r="B286">
        <v>271</v>
      </c>
      <c r="C286" s="48">
        <f t="shared" ca="1" si="20"/>
        <v>-0.81156346921875211</v>
      </c>
      <c r="D286" s="48">
        <f t="shared" ca="1" si="17"/>
        <v>0.61340994109467462</v>
      </c>
      <c r="E286" s="48">
        <f t="shared" ca="1" si="18"/>
        <v>0</v>
      </c>
      <c r="F286" s="17">
        <f t="shared" ca="1" si="19"/>
        <v>0</v>
      </c>
      <c r="H286" s="17">
        <v>271</v>
      </c>
      <c r="I286" s="43">
        <v>0.6689552314648971</v>
      </c>
      <c r="J286" s="43">
        <v>1.9565409267292319E-2</v>
      </c>
      <c r="K286" s="43"/>
      <c r="L286" s="43">
        <v>0.25319999999999998</v>
      </c>
      <c r="O286" s="50"/>
    </row>
    <row r="287" spans="2:15" x14ac:dyDescent="0.2">
      <c r="B287">
        <v>272</v>
      </c>
      <c r="C287" s="48">
        <f t="shared" ca="1" si="20"/>
        <v>0.13874556016334735</v>
      </c>
      <c r="D287" s="48">
        <f t="shared" ca="1" si="17"/>
        <v>0.67365763423076486</v>
      </c>
      <c r="E287" s="48">
        <f t="shared" ca="1" si="18"/>
        <v>0</v>
      </c>
      <c r="F287" s="17">
        <f t="shared" ca="1" si="19"/>
        <v>0</v>
      </c>
      <c r="H287" s="17">
        <v>272</v>
      </c>
      <c r="I287" s="43">
        <v>0.66882637241434928</v>
      </c>
      <c r="J287" s="43">
        <v>1.9088639173454446E-2</v>
      </c>
      <c r="K287" s="43"/>
      <c r="L287" s="43">
        <v>0.24660000000000001</v>
      </c>
      <c r="O287" s="50"/>
    </row>
    <row r="288" spans="2:15" x14ac:dyDescent="0.2">
      <c r="B288">
        <v>273</v>
      </c>
      <c r="C288" s="48">
        <f t="shared" ca="1" si="20"/>
        <v>-0.9733195893215405</v>
      </c>
      <c r="D288" s="48">
        <f t="shared" ca="1" si="17"/>
        <v>0.60370540054024691</v>
      </c>
      <c r="E288" s="48">
        <f t="shared" ca="1" si="18"/>
        <v>0</v>
      </c>
      <c r="F288" s="17">
        <f t="shared" ca="1" si="19"/>
        <v>0</v>
      </c>
      <c r="H288" s="17">
        <v>273</v>
      </c>
      <c r="I288" s="43">
        <v>0.66856512645548583</v>
      </c>
      <c r="J288" s="43">
        <v>1.9086592561248422E-2</v>
      </c>
      <c r="K288" s="43"/>
      <c r="L288" s="43">
        <v>0.25580000000000003</v>
      </c>
      <c r="O288" s="50"/>
    </row>
    <row r="289" spans="2:15" x14ac:dyDescent="0.2">
      <c r="B289">
        <v>274</v>
      </c>
      <c r="C289" s="48">
        <f t="shared" ca="1" si="20"/>
        <v>1.3463891074092433</v>
      </c>
      <c r="D289" s="48">
        <f t="shared" ca="1" si="17"/>
        <v>0.75883210124855216</v>
      </c>
      <c r="E289" s="48">
        <f t="shared" ca="1" si="18"/>
        <v>0</v>
      </c>
      <c r="F289" s="17">
        <f t="shared" ca="1" si="19"/>
        <v>0</v>
      </c>
      <c r="H289" s="17">
        <v>274</v>
      </c>
      <c r="I289" s="43">
        <v>0.67010838440572396</v>
      </c>
      <c r="J289" s="43">
        <v>2.0240010008578838E-2</v>
      </c>
      <c r="K289" s="43"/>
      <c r="L289" s="43">
        <v>0.25900000000000001</v>
      </c>
      <c r="O289" s="50"/>
    </row>
    <row r="290" spans="2:15" x14ac:dyDescent="0.2">
      <c r="B290">
        <v>275</v>
      </c>
      <c r="C290" s="48">
        <f t="shared" ca="1" si="20"/>
        <v>-0.28556256384467749</v>
      </c>
      <c r="D290" s="48">
        <f t="shared" ca="1" si="17"/>
        <v>0.64605882269274628</v>
      </c>
      <c r="E290" s="48">
        <f t="shared" ca="1" si="18"/>
        <v>0</v>
      </c>
      <c r="F290" s="17">
        <f t="shared" ca="1" si="19"/>
        <v>0</v>
      </c>
      <c r="H290" s="17">
        <v>275</v>
      </c>
      <c r="I290" s="43">
        <v>0.6682608399385459</v>
      </c>
      <c r="J290" s="43">
        <v>1.8817691978211312E-2</v>
      </c>
      <c r="K290" s="43"/>
      <c r="L290" s="43">
        <v>0.25040000000000001</v>
      </c>
      <c r="O290" s="50"/>
    </row>
    <row r="291" spans="2:15" x14ac:dyDescent="0.2">
      <c r="B291">
        <v>276</v>
      </c>
      <c r="C291" s="48">
        <f t="shared" ca="1" si="20"/>
        <v>-1.3119425837573848</v>
      </c>
      <c r="D291" s="48">
        <f t="shared" ca="1" si="17"/>
        <v>0.5838840083597866</v>
      </c>
      <c r="E291" s="48">
        <f t="shared" ca="1" si="18"/>
        <v>0</v>
      </c>
      <c r="F291" s="17">
        <f t="shared" ca="1" si="19"/>
        <v>0</v>
      </c>
      <c r="H291" s="17">
        <v>276</v>
      </c>
      <c r="I291" s="43">
        <v>0.66942778875945574</v>
      </c>
      <c r="J291" s="43">
        <v>1.9650398813848943E-2</v>
      </c>
      <c r="K291" s="43"/>
      <c r="L291" s="43">
        <v>0.25440000000000002</v>
      </c>
      <c r="O291" s="50"/>
    </row>
    <row r="292" spans="2:15" x14ac:dyDescent="0.2">
      <c r="B292">
        <v>277</v>
      </c>
      <c r="C292" s="48">
        <f t="shared" ca="1" si="20"/>
        <v>-0.73174888044766562</v>
      </c>
      <c r="D292" s="48">
        <f t="shared" ca="1" si="17"/>
        <v>0.61825573123359723</v>
      </c>
      <c r="E292" s="48">
        <f t="shared" ca="1" si="18"/>
        <v>0</v>
      </c>
      <c r="F292" s="17">
        <f t="shared" ca="1" si="19"/>
        <v>0</v>
      </c>
      <c r="H292" s="17">
        <v>277</v>
      </c>
      <c r="I292" s="43">
        <v>0.66883762474511654</v>
      </c>
      <c r="J292" s="43">
        <v>1.926052562957669E-2</v>
      </c>
      <c r="K292" s="43"/>
      <c r="L292" s="43">
        <v>0.24660000000000001</v>
      </c>
      <c r="O292" s="50"/>
    </row>
    <row r="293" spans="2:15" x14ac:dyDescent="0.2">
      <c r="B293">
        <v>278</v>
      </c>
      <c r="C293" s="48">
        <f t="shared" ca="1" si="20"/>
        <v>-0.85608229106459455</v>
      </c>
      <c r="D293" s="48">
        <f t="shared" ca="1" si="17"/>
        <v>0.61072358560575135</v>
      </c>
      <c r="E293" s="48">
        <f t="shared" ca="1" si="18"/>
        <v>0</v>
      </c>
      <c r="F293" s="17">
        <f t="shared" ca="1" si="19"/>
        <v>0</v>
      </c>
      <c r="H293" s="17">
        <v>278</v>
      </c>
      <c r="I293" s="43">
        <v>0.66714613334383188</v>
      </c>
      <c r="J293" s="43">
        <v>1.8266798007375643E-2</v>
      </c>
      <c r="K293" s="43"/>
      <c r="L293" s="43">
        <v>0.24879999999999999</v>
      </c>
      <c r="O293" s="50"/>
    </row>
    <row r="294" spans="2:15" x14ac:dyDescent="0.2">
      <c r="B294">
        <v>279</v>
      </c>
      <c r="C294" s="48">
        <f t="shared" ca="1" si="20"/>
        <v>0.50214286049326662</v>
      </c>
      <c r="D294" s="48">
        <f t="shared" ca="1" si="17"/>
        <v>0.69822991603537099</v>
      </c>
      <c r="E294" s="48">
        <f t="shared" ca="1" si="18"/>
        <v>0</v>
      </c>
      <c r="F294" s="17">
        <f t="shared" ca="1" si="19"/>
        <v>0</v>
      </c>
      <c r="H294" s="17">
        <v>279</v>
      </c>
      <c r="I294" s="43">
        <v>0.66902709691043794</v>
      </c>
      <c r="J294" s="43">
        <v>1.9393316900985402E-2</v>
      </c>
      <c r="K294" s="43"/>
      <c r="L294" s="43">
        <v>0.25059999999999999</v>
      </c>
      <c r="O294" s="50"/>
    </row>
    <row r="295" spans="2:15" x14ac:dyDescent="0.2">
      <c r="B295">
        <v>280</v>
      </c>
      <c r="C295" s="48">
        <f t="shared" ca="1" si="20"/>
        <v>9.3801954656913156E-2</v>
      </c>
      <c r="D295" s="48">
        <f t="shared" ca="1" si="17"/>
        <v>0.67067934364390602</v>
      </c>
      <c r="E295" s="48">
        <f t="shared" ca="1" si="18"/>
        <v>0</v>
      </c>
      <c r="F295" s="17">
        <f t="shared" ca="1" si="19"/>
        <v>0</v>
      </c>
      <c r="H295" s="17">
        <v>280</v>
      </c>
      <c r="I295" s="43">
        <v>0.66829408100019905</v>
      </c>
      <c r="J295" s="43">
        <v>1.9115712551564239E-2</v>
      </c>
      <c r="K295" s="43"/>
      <c r="L295" s="43">
        <v>0.25059999999999999</v>
      </c>
      <c r="O295" s="50"/>
    </row>
    <row r="296" spans="2:15" x14ac:dyDescent="0.2">
      <c r="B296">
        <v>281</v>
      </c>
      <c r="C296" s="48">
        <f t="shared" ca="1" si="20"/>
        <v>-6.8995333150329116E-2</v>
      </c>
      <c r="D296" s="48">
        <f t="shared" ca="1" si="17"/>
        <v>0.660001014235991</v>
      </c>
      <c r="E296" s="48">
        <f t="shared" ca="1" si="18"/>
        <v>0</v>
      </c>
      <c r="F296" s="17">
        <f t="shared" ca="1" si="19"/>
        <v>0</v>
      </c>
      <c r="H296" s="17">
        <v>281</v>
      </c>
      <c r="I296" s="43">
        <v>0.66957721638692114</v>
      </c>
      <c r="J296" s="43">
        <v>1.9809961444719935E-2</v>
      </c>
      <c r="K296" s="43"/>
      <c r="L296" s="43">
        <v>0.25359999999999999</v>
      </c>
      <c r="O296" s="50"/>
    </row>
    <row r="297" spans="2:15" x14ac:dyDescent="0.2">
      <c r="B297">
        <v>282</v>
      </c>
      <c r="C297" s="48">
        <f t="shared" ca="1" si="20"/>
        <v>-0.34640659066389745</v>
      </c>
      <c r="D297" s="48">
        <f t="shared" ca="1" si="17"/>
        <v>0.64219506543675065</v>
      </c>
      <c r="E297" s="48">
        <f t="shared" ca="1" si="18"/>
        <v>0</v>
      </c>
      <c r="F297" s="17">
        <f t="shared" ca="1" si="19"/>
        <v>0</v>
      </c>
      <c r="H297" s="17">
        <v>282</v>
      </c>
      <c r="I297" s="43">
        <v>0.66800646252849494</v>
      </c>
      <c r="J297" s="43">
        <v>1.8854250226201724E-2</v>
      </c>
      <c r="K297" s="43"/>
      <c r="L297" s="43">
        <v>0.24479999999999999</v>
      </c>
      <c r="O297" s="50"/>
    </row>
    <row r="298" spans="2:15" x14ac:dyDescent="0.2">
      <c r="B298">
        <v>283</v>
      </c>
      <c r="C298" s="48">
        <f t="shared" ca="1" si="20"/>
        <v>-1.0703192774385737</v>
      </c>
      <c r="D298" s="48">
        <f t="shared" ca="1" si="17"/>
        <v>0.59795971034752138</v>
      </c>
      <c r="E298" s="48">
        <f t="shared" ca="1" si="18"/>
        <v>0</v>
      </c>
      <c r="F298" s="17">
        <f t="shared" ca="1" si="19"/>
        <v>0</v>
      </c>
      <c r="H298" s="17">
        <v>283</v>
      </c>
      <c r="I298" s="43">
        <v>0.6693983407158336</v>
      </c>
      <c r="J298" s="43">
        <v>1.9797052390236092E-2</v>
      </c>
      <c r="K298" s="43"/>
      <c r="L298" s="43">
        <v>0.25280000000000002</v>
      </c>
      <c r="O298" s="50"/>
    </row>
    <row r="299" spans="2:15" x14ac:dyDescent="0.2">
      <c r="B299">
        <v>284</v>
      </c>
      <c r="C299" s="48">
        <f t="shared" ca="1" si="20"/>
        <v>0.54427311271247236</v>
      </c>
      <c r="D299" s="48">
        <f t="shared" ca="1" si="17"/>
        <v>0.70113605561040515</v>
      </c>
      <c r="E299" s="48">
        <f t="shared" ca="1" si="18"/>
        <v>0</v>
      </c>
      <c r="F299" s="17">
        <f t="shared" ca="1" si="19"/>
        <v>0</v>
      </c>
      <c r="H299" s="17">
        <v>284</v>
      </c>
      <c r="I299" s="43">
        <v>0.6679848452213446</v>
      </c>
      <c r="J299" s="43">
        <v>1.8770353220917406E-2</v>
      </c>
      <c r="K299" s="43"/>
      <c r="L299" s="43">
        <v>0.25040000000000001</v>
      </c>
      <c r="O299" s="50"/>
    </row>
    <row r="300" spans="2:15" x14ac:dyDescent="0.2">
      <c r="B300">
        <v>285</v>
      </c>
      <c r="C300" s="48">
        <f t="shared" ca="1" si="20"/>
        <v>-0.29383662789924364</v>
      </c>
      <c r="D300" s="48">
        <f t="shared" ca="1" si="17"/>
        <v>0.64553203509490142</v>
      </c>
      <c r="E300" s="48">
        <f t="shared" ca="1" si="18"/>
        <v>0</v>
      </c>
      <c r="F300" s="17">
        <f t="shared" ca="1" si="19"/>
        <v>0</v>
      </c>
      <c r="H300" s="17">
        <v>285</v>
      </c>
      <c r="I300" s="43">
        <v>0.6689519056881883</v>
      </c>
      <c r="J300" s="43">
        <v>1.954188317651501E-2</v>
      </c>
      <c r="K300" s="43"/>
      <c r="L300" s="43">
        <v>0.26240000000000002</v>
      </c>
      <c r="O300" s="50"/>
    </row>
    <row r="301" spans="2:15" x14ac:dyDescent="0.2">
      <c r="B301">
        <v>286</v>
      </c>
      <c r="C301" s="48">
        <f t="shared" ca="1" si="20"/>
        <v>-1.0884741222040786</v>
      </c>
      <c r="D301" s="48">
        <f t="shared" ca="1" si="17"/>
        <v>0.5968904152337301</v>
      </c>
      <c r="E301" s="48">
        <f t="shared" ca="1" si="18"/>
        <v>0</v>
      </c>
      <c r="F301" s="17">
        <f t="shared" ca="1" si="19"/>
        <v>0</v>
      </c>
      <c r="H301" s="17">
        <v>286</v>
      </c>
      <c r="I301" s="43">
        <v>0.66853942419420076</v>
      </c>
      <c r="J301" s="43">
        <v>1.9354106850540898E-2</v>
      </c>
      <c r="K301" s="43"/>
      <c r="L301" s="43">
        <v>0.24959999999999999</v>
      </c>
      <c r="O301" s="50"/>
    </row>
    <row r="302" spans="2:15" x14ac:dyDescent="0.2">
      <c r="B302">
        <v>287</v>
      </c>
      <c r="C302" s="48">
        <f t="shared" ca="1" si="20"/>
        <v>-0.44148313661782906</v>
      </c>
      <c r="D302" s="48">
        <f t="shared" ca="1" si="17"/>
        <v>0.63620366603129996</v>
      </c>
      <c r="E302" s="48">
        <f t="shared" ca="1" si="18"/>
        <v>0</v>
      </c>
      <c r="F302" s="17">
        <f t="shared" ca="1" si="19"/>
        <v>0</v>
      </c>
      <c r="H302" s="17">
        <v>287</v>
      </c>
      <c r="I302" s="43">
        <v>0.66905471090810409</v>
      </c>
      <c r="J302" s="43">
        <v>1.9427010895242416E-2</v>
      </c>
      <c r="K302" s="43"/>
      <c r="L302" s="43">
        <v>0.25</v>
      </c>
      <c r="O302" s="50"/>
    </row>
    <row r="303" spans="2:15" x14ac:dyDescent="0.2">
      <c r="B303">
        <v>288</v>
      </c>
      <c r="C303" s="48">
        <f t="shared" ca="1" si="20"/>
        <v>0.29046903915909439</v>
      </c>
      <c r="D303" s="48">
        <f t="shared" ca="1" si="17"/>
        <v>0.68380996814254091</v>
      </c>
      <c r="E303" s="48">
        <f t="shared" ca="1" si="18"/>
        <v>0</v>
      </c>
      <c r="F303" s="17">
        <f t="shared" ca="1" si="19"/>
        <v>0</v>
      </c>
      <c r="H303" s="17">
        <v>288</v>
      </c>
      <c r="I303" s="43">
        <v>0.66908057189628678</v>
      </c>
      <c r="J303" s="43">
        <v>1.9470896359769018E-2</v>
      </c>
      <c r="K303" s="43"/>
      <c r="L303" s="43">
        <v>0.25059999999999999</v>
      </c>
      <c r="O303" s="50"/>
    </row>
    <row r="304" spans="2:15" x14ac:dyDescent="0.2">
      <c r="B304">
        <v>289</v>
      </c>
      <c r="C304" s="48">
        <f t="shared" ca="1" si="20"/>
        <v>3.0123618558093881</v>
      </c>
      <c r="D304" s="48">
        <f t="shared" ca="1" si="17"/>
        <v>0.89428505728588104</v>
      </c>
      <c r="E304" s="48">
        <f t="shared" ca="1" si="18"/>
        <v>0.10608505728588102</v>
      </c>
      <c r="F304" s="17">
        <f t="shared" ca="1" si="19"/>
        <v>1</v>
      </c>
      <c r="H304" s="17">
        <v>289</v>
      </c>
      <c r="I304" s="43">
        <v>0.66843094405420311</v>
      </c>
      <c r="J304" s="43">
        <v>1.8720609790585357E-2</v>
      </c>
      <c r="K304" s="43"/>
      <c r="L304" s="43">
        <v>0.249</v>
      </c>
      <c r="O304" s="50"/>
    </row>
    <row r="305" spans="2:15" x14ac:dyDescent="0.2">
      <c r="B305">
        <v>290</v>
      </c>
      <c r="C305" s="48">
        <f t="shared" ca="1" si="20"/>
        <v>-0.89000596221204475</v>
      </c>
      <c r="D305" s="48">
        <f t="shared" ca="1" si="17"/>
        <v>0.60868446355039607</v>
      </c>
      <c r="E305" s="48">
        <f t="shared" ca="1" si="18"/>
        <v>0</v>
      </c>
      <c r="F305" s="17">
        <f t="shared" ca="1" si="19"/>
        <v>0</v>
      </c>
      <c r="H305" s="17">
        <v>290</v>
      </c>
      <c r="I305" s="43">
        <v>0.66960566379573949</v>
      </c>
      <c r="J305" s="43">
        <v>1.9994786778500348E-2</v>
      </c>
      <c r="K305" s="43"/>
      <c r="L305" s="43">
        <v>0.25080000000000002</v>
      </c>
      <c r="O305" s="50"/>
    </row>
    <row r="306" spans="2:15" x14ac:dyDescent="0.2">
      <c r="B306">
        <v>291</v>
      </c>
      <c r="C306" s="48">
        <f t="shared" ca="1" si="20"/>
        <v>-5.0973605190393768E-2</v>
      </c>
      <c r="D306" s="48">
        <f t="shared" ca="1" si="17"/>
        <v>0.66117469130457218</v>
      </c>
      <c r="E306" s="48">
        <f t="shared" ca="1" si="18"/>
        <v>0</v>
      </c>
      <c r="F306" s="17">
        <f t="shared" ca="1" si="19"/>
        <v>0</v>
      </c>
      <c r="H306" s="17">
        <v>291</v>
      </c>
      <c r="I306" s="43">
        <v>0.66927443085121407</v>
      </c>
      <c r="J306" s="43">
        <v>1.9761748662093952E-2</v>
      </c>
      <c r="K306" s="43"/>
      <c r="L306" s="43">
        <v>0.25280000000000002</v>
      </c>
      <c r="O306" s="50"/>
    </row>
    <row r="307" spans="2:15" x14ac:dyDescent="0.2">
      <c r="B307">
        <v>292</v>
      </c>
      <c r="C307" s="48">
        <f t="shared" ca="1" si="20"/>
        <v>-0.69828022394112443</v>
      </c>
      <c r="D307" s="48">
        <f t="shared" ca="1" si="17"/>
        <v>0.62029909103221159</v>
      </c>
      <c r="E307" s="48">
        <f t="shared" ca="1" si="18"/>
        <v>0</v>
      </c>
      <c r="F307" s="17">
        <f t="shared" ca="1" si="19"/>
        <v>0</v>
      </c>
      <c r="H307" s="17">
        <v>292</v>
      </c>
      <c r="I307" s="43">
        <v>0.66988338406195402</v>
      </c>
      <c r="J307" s="43">
        <v>1.9998516418107435E-2</v>
      </c>
      <c r="K307" s="43"/>
      <c r="L307" s="43">
        <v>0.25419999999999998</v>
      </c>
      <c r="O307" s="50"/>
    </row>
    <row r="308" spans="2:15" x14ac:dyDescent="0.2">
      <c r="B308">
        <v>293</v>
      </c>
      <c r="C308" s="48">
        <f t="shared" ca="1" si="20"/>
        <v>1.566230650253946</v>
      </c>
      <c r="D308" s="48">
        <f t="shared" ca="1" si="17"/>
        <v>0.77545826471007451</v>
      </c>
      <c r="E308" s="48">
        <f t="shared" ca="1" si="18"/>
        <v>0</v>
      </c>
      <c r="F308" s="17">
        <f t="shared" ca="1" si="19"/>
        <v>0</v>
      </c>
      <c r="H308" s="17">
        <v>293</v>
      </c>
      <c r="I308" s="43">
        <v>0.66824019438832627</v>
      </c>
      <c r="J308" s="43">
        <v>1.8940597320226574E-2</v>
      </c>
      <c r="K308" s="43"/>
      <c r="L308" s="43">
        <v>0.25140000000000001</v>
      </c>
      <c r="O308" s="50"/>
    </row>
    <row r="309" spans="2:15" x14ac:dyDescent="0.2">
      <c r="B309">
        <v>294</v>
      </c>
      <c r="C309" s="48">
        <f t="shared" ca="1" si="20"/>
        <v>0.30862503460744978</v>
      </c>
      <c r="D309" s="48">
        <f t="shared" ca="1" si="17"/>
        <v>0.68503505238715323</v>
      </c>
      <c r="E309" s="48">
        <f t="shared" ca="1" si="18"/>
        <v>0</v>
      </c>
      <c r="F309" s="17">
        <f t="shared" ca="1" si="19"/>
        <v>0</v>
      </c>
      <c r="H309" s="17">
        <v>294</v>
      </c>
      <c r="I309" s="43">
        <v>0.66709238363108858</v>
      </c>
      <c r="J309" s="43">
        <v>1.7909809956806785E-2</v>
      </c>
      <c r="K309" s="43"/>
      <c r="L309" s="43">
        <v>0.24579999999999999</v>
      </c>
      <c r="O309" s="50"/>
    </row>
    <row r="310" spans="2:15" x14ac:dyDescent="0.2">
      <c r="B310">
        <v>295</v>
      </c>
      <c r="C310" s="48">
        <f t="shared" ca="1" si="20"/>
        <v>0.29815829619151346</v>
      </c>
      <c r="D310" s="48">
        <f t="shared" ca="1" si="17"/>
        <v>0.6843285366616878</v>
      </c>
      <c r="E310" s="48">
        <f t="shared" ca="1" si="18"/>
        <v>0</v>
      </c>
      <c r="F310" s="17">
        <f t="shared" ca="1" si="19"/>
        <v>0</v>
      </c>
      <c r="H310" s="17">
        <v>295</v>
      </c>
      <c r="I310" s="43">
        <v>0.66802395092598088</v>
      </c>
      <c r="J310" s="43">
        <v>1.8615926396812171E-2</v>
      </c>
      <c r="K310" s="43"/>
      <c r="L310" s="43">
        <v>0.25040000000000001</v>
      </c>
      <c r="O310" s="50"/>
    </row>
    <row r="311" spans="2:15" x14ac:dyDescent="0.2">
      <c r="B311">
        <v>296</v>
      </c>
      <c r="C311" s="48">
        <f t="shared" ca="1" si="20"/>
        <v>0.59502559304849789</v>
      </c>
      <c r="D311" s="48">
        <f t="shared" ca="1" si="17"/>
        <v>0.70465302230195914</v>
      </c>
      <c r="E311" s="48">
        <f t="shared" ca="1" si="18"/>
        <v>0</v>
      </c>
      <c r="F311" s="17">
        <f t="shared" ca="1" si="19"/>
        <v>0</v>
      </c>
      <c r="H311" s="17">
        <v>296</v>
      </c>
      <c r="I311" s="43">
        <v>0.66832448165064628</v>
      </c>
      <c r="J311" s="43">
        <v>1.8666330536637118E-2</v>
      </c>
      <c r="K311" s="43"/>
      <c r="L311" s="43">
        <v>0.2462</v>
      </c>
      <c r="O311" s="50"/>
    </row>
    <row r="312" spans="2:15" x14ac:dyDescent="0.2">
      <c r="B312">
        <v>297</v>
      </c>
      <c r="C312" s="48">
        <f t="shared" ca="1" si="20"/>
        <v>0.29618897119102117</v>
      </c>
      <c r="D312" s="48">
        <f t="shared" ca="1" si="17"/>
        <v>0.68419568664699826</v>
      </c>
      <c r="E312" s="48">
        <f t="shared" ca="1" si="18"/>
        <v>0</v>
      </c>
      <c r="F312" s="17">
        <f t="shared" ca="1" si="19"/>
        <v>0</v>
      </c>
      <c r="H312" s="17">
        <v>297</v>
      </c>
      <c r="I312" s="43">
        <v>0.66837826121552557</v>
      </c>
      <c r="J312" s="43">
        <v>1.8699844202301717E-2</v>
      </c>
      <c r="K312" s="43"/>
      <c r="L312" s="43">
        <v>0.2432</v>
      </c>
      <c r="O312" s="50"/>
    </row>
    <row r="313" spans="2:15" x14ac:dyDescent="0.2">
      <c r="B313">
        <v>298</v>
      </c>
      <c r="C313" s="48">
        <f t="shared" ca="1" si="20"/>
        <v>-1.4165236596780546</v>
      </c>
      <c r="D313" s="48">
        <f t="shared" ca="1" si="17"/>
        <v>0.57789486844268845</v>
      </c>
      <c r="E313" s="48">
        <f t="shared" ca="1" si="18"/>
        <v>0</v>
      </c>
      <c r="F313" s="17">
        <f t="shared" ca="1" si="19"/>
        <v>0</v>
      </c>
      <c r="H313" s="17">
        <v>298</v>
      </c>
      <c r="I313" s="43">
        <v>0.66765407592945181</v>
      </c>
      <c r="J313" s="43">
        <v>1.8546873226216693E-2</v>
      </c>
      <c r="K313" s="43"/>
      <c r="L313" s="43">
        <v>0.246</v>
      </c>
      <c r="O313" s="50"/>
    </row>
    <row r="314" spans="2:15" x14ac:dyDescent="0.2">
      <c r="B314">
        <v>299</v>
      </c>
      <c r="C314" s="48">
        <f t="shared" ca="1" si="20"/>
        <v>1.3587173349847879</v>
      </c>
      <c r="D314" s="48">
        <f t="shared" ca="1" si="17"/>
        <v>0.75975495314165653</v>
      </c>
      <c r="E314" s="48">
        <f t="shared" ca="1" si="18"/>
        <v>0</v>
      </c>
      <c r="F314" s="17">
        <f t="shared" ca="1" si="19"/>
        <v>0</v>
      </c>
      <c r="H314" s="17">
        <v>299</v>
      </c>
      <c r="I314" s="43">
        <v>0.66828868787144413</v>
      </c>
      <c r="J314" s="43">
        <v>1.9130915936445215E-2</v>
      </c>
      <c r="K314" s="43"/>
      <c r="L314" s="43">
        <v>0.252</v>
      </c>
      <c r="O314" s="50"/>
    </row>
    <row r="315" spans="2:15" x14ac:dyDescent="0.2">
      <c r="B315">
        <v>300</v>
      </c>
      <c r="C315" s="48">
        <f t="shared" ca="1" si="20"/>
        <v>-1.0654508371874822</v>
      </c>
      <c r="D315" s="48">
        <f t="shared" ca="1" si="17"/>
        <v>0.59824678028553446</v>
      </c>
      <c r="E315" s="48">
        <f t="shared" ca="1" si="18"/>
        <v>0</v>
      </c>
      <c r="F315" s="17">
        <f t="shared" ca="1" si="19"/>
        <v>0</v>
      </c>
      <c r="H315" s="17">
        <v>300</v>
      </c>
      <c r="I315" s="43">
        <v>0.66851128810144633</v>
      </c>
      <c r="J315" s="43">
        <v>1.9175635991875554E-2</v>
      </c>
      <c r="K315" s="43"/>
      <c r="L315" s="43">
        <v>0.25519999999999998</v>
      </c>
      <c r="O315" s="50"/>
    </row>
    <row r="316" spans="2:15" x14ac:dyDescent="0.2">
      <c r="B316">
        <v>301</v>
      </c>
      <c r="C316" s="48">
        <f t="shared" ca="1" si="20"/>
        <v>2.5023390870624995</v>
      </c>
      <c r="D316" s="48">
        <f t="shared" ca="1" si="17"/>
        <v>0.85043052911237482</v>
      </c>
      <c r="E316" s="48">
        <f t="shared" ca="1" si="18"/>
        <v>6.2230529112374811E-2</v>
      </c>
      <c r="F316" s="17">
        <f t="shared" ca="1" si="19"/>
        <v>1</v>
      </c>
      <c r="H316" s="17">
        <v>301</v>
      </c>
      <c r="I316" s="43">
        <v>0.66915716531384017</v>
      </c>
      <c r="J316" s="43">
        <v>1.9378869625627935E-2</v>
      </c>
      <c r="K316" s="43"/>
      <c r="L316" s="43">
        <v>0.24779999999999999</v>
      </c>
      <c r="O316" s="50"/>
    </row>
    <row r="317" spans="2:15" x14ac:dyDescent="0.2">
      <c r="B317">
        <v>302</v>
      </c>
      <c r="C317" s="48">
        <f t="shared" ca="1" si="20"/>
        <v>0.43496442099265292</v>
      </c>
      <c r="D317" s="48">
        <f t="shared" ca="1" si="17"/>
        <v>0.69362085220956937</v>
      </c>
      <c r="E317" s="48">
        <f t="shared" ca="1" si="18"/>
        <v>0</v>
      </c>
      <c r="F317" s="17">
        <f t="shared" ca="1" si="19"/>
        <v>0</v>
      </c>
      <c r="H317" s="17">
        <v>302</v>
      </c>
      <c r="I317" s="43">
        <v>0.66880913446501278</v>
      </c>
      <c r="J317" s="43">
        <v>1.9204592868572342E-2</v>
      </c>
      <c r="K317" s="43"/>
      <c r="L317" s="43">
        <v>0.24679999999999999</v>
      </c>
      <c r="O317" s="50"/>
    </row>
    <row r="318" spans="2:15" x14ac:dyDescent="0.2">
      <c r="B318">
        <v>303</v>
      </c>
      <c r="C318" s="48">
        <f t="shared" ca="1" si="20"/>
        <v>0.50627145380993488</v>
      </c>
      <c r="D318" s="48">
        <f t="shared" ca="1" si="17"/>
        <v>0.69851417270670646</v>
      </c>
      <c r="E318" s="48">
        <f t="shared" ca="1" si="18"/>
        <v>0</v>
      </c>
      <c r="F318" s="17">
        <f t="shared" ca="1" si="19"/>
        <v>0</v>
      </c>
      <c r="H318" s="17">
        <v>303</v>
      </c>
      <c r="I318" s="43">
        <v>0.6688100683792666</v>
      </c>
      <c r="J318" s="43">
        <v>1.9250670095790567E-2</v>
      </c>
      <c r="K318" s="43"/>
      <c r="L318" s="43">
        <v>0.25440000000000002</v>
      </c>
      <c r="O318" s="50"/>
    </row>
    <row r="319" spans="2:15" x14ac:dyDescent="0.2">
      <c r="B319">
        <v>304</v>
      </c>
      <c r="C319" s="48">
        <f t="shared" ca="1" si="20"/>
        <v>-0.31889138645845883</v>
      </c>
      <c r="D319" s="48">
        <f t="shared" ca="1" si="17"/>
        <v>0.643939483614409</v>
      </c>
      <c r="E319" s="48">
        <f t="shared" ca="1" si="18"/>
        <v>0</v>
      </c>
      <c r="F319" s="17">
        <f t="shared" ca="1" si="19"/>
        <v>0</v>
      </c>
      <c r="H319" s="17">
        <v>304</v>
      </c>
      <c r="I319" s="43">
        <v>0.66835497107820574</v>
      </c>
      <c r="J319" s="43">
        <v>1.8883322511179294E-2</v>
      </c>
      <c r="K319" s="43"/>
      <c r="L319" s="43">
        <v>0.2402</v>
      </c>
      <c r="O319" s="50"/>
    </row>
    <row r="320" spans="2:15" x14ac:dyDescent="0.2">
      <c r="B320">
        <v>305</v>
      </c>
      <c r="C320" s="48">
        <f t="shared" ca="1" si="20"/>
        <v>0.19228650940722802</v>
      </c>
      <c r="D320" s="48">
        <f t="shared" ca="1" si="17"/>
        <v>0.67722291495918518</v>
      </c>
      <c r="E320" s="48">
        <f t="shared" ca="1" si="18"/>
        <v>0</v>
      </c>
      <c r="F320" s="17">
        <f t="shared" ca="1" si="19"/>
        <v>0</v>
      </c>
      <c r="H320" s="17">
        <v>305</v>
      </c>
      <c r="I320" s="43">
        <v>0.66892021466331841</v>
      </c>
      <c r="J320" s="43">
        <v>1.9517109646878229E-2</v>
      </c>
      <c r="K320" s="43"/>
      <c r="L320" s="43">
        <v>0.24779999999999999</v>
      </c>
      <c r="O320" s="50"/>
    </row>
    <row r="321" spans="2:15" x14ac:dyDescent="0.2">
      <c r="B321">
        <v>306</v>
      </c>
      <c r="C321" s="48">
        <f t="shared" ca="1" si="20"/>
        <v>-0.28887989262581454</v>
      </c>
      <c r="D321" s="48">
        <f t="shared" ca="1" si="17"/>
        <v>0.64584756560750334</v>
      </c>
      <c r="E321" s="48">
        <f t="shared" ca="1" si="18"/>
        <v>0</v>
      </c>
      <c r="F321" s="17">
        <f t="shared" ca="1" si="19"/>
        <v>0</v>
      </c>
      <c r="H321" s="17">
        <v>306</v>
      </c>
      <c r="I321" s="43">
        <v>0.66766008220361395</v>
      </c>
      <c r="J321" s="43">
        <v>1.8293028064164274E-2</v>
      </c>
      <c r="K321" s="43"/>
      <c r="L321" s="43">
        <v>0.2472</v>
      </c>
      <c r="O321" s="50"/>
    </row>
    <row r="322" spans="2:15" x14ac:dyDescent="0.2">
      <c r="B322">
        <v>307</v>
      </c>
      <c r="C322" s="48">
        <f t="shared" ca="1" si="20"/>
        <v>-0.56281144848963438</v>
      </c>
      <c r="D322" s="48">
        <f t="shared" ca="1" si="17"/>
        <v>0.62863907879209358</v>
      </c>
      <c r="E322" s="48">
        <f t="shared" ca="1" si="18"/>
        <v>0</v>
      </c>
      <c r="F322" s="17">
        <f t="shared" ca="1" si="19"/>
        <v>0</v>
      </c>
      <c r="H322" s="17">
        <v>307</v>
      </c>
      <c r="I322" s="43">
        <v>0.66821156202104814</v>
      </c>
      <c r="J322" s="43">
        <v>1.8854103631370963E-2</v>
      </c>
      <c r="K322" s="43"/>
      <c r="L322" s="43">
        <v>0.25440000000000002</v>
      </c>
      <c r="O322" s="50"/>
    </row>
    <row r="323" spans="2:15" x14ac:dyDescent="0.2">
      <c r="B323">
        <v>308</v>
      </c>
      <c r="C323" s="48">
        <f t="shared" ca="1" si="20"/>
        <v>0.8063375955577633</v>
      </c>
      <c r="D323" s="48">
        <f t="shared" ca="1" si="17"/>
        <v>0.71948683617509079</v>
      </c>
      <c r="E323" s="48">
        <f t="shared" ca="1" si="18"/>
        <v>0</v>
      </c>
      <c r="F323" s="17">
        <f t="shared" ca="1" si="19"/>
        <v>0</v>
      </c>
      <c r="H323" s="17">
        <v>308</v>
      </c>
      <c r="I323" s="43">
        <v>0.66823743396263335</v>
      </c>
      <c r="J323" s="43">
        <v>1.9093130078990685E-2</v>
      </c>
      <c r="K323" s="43"/>
      <c r="L323" s="43">
        <v>0.25380000000000003</v>
      </c>
      <c r="O323" s="50"/>
    </row>
    <row r="324" spans="2:15" x14ac:dyDescent="0.2">
      <c r="B324">
        <v>309</v>
      </c>
      <c r="C324" s="48">
        <f t="shared" ca="1" si="20"/>
        <v>0.66427631579388924</v>
      </c>
      <c r="D324" s="48">
        <f t="shared" ca="1" si="17"/>
        <v>0.70948032700418828</v>
      </c>
      <c r="E324" s="48">
        <f t="shared" ca="1" si="18"/>
        <v>0</v>
      </c>
      <c r="F324" s="17">
        <f t="shared" ca="1" si="19"/>
        <v>0</v>
      </c>
      <c r="H324" s="17">
        <v>309</v>
      </c>
      <c r="I324" s="43">
        <v>0.66949996046161597</v>
      </c>
      <c r="J324" s="43">
        <v>1.9654598656712829E-2</v>
      </c>
      <c r="K324" s="43"/>
      <c r="L324" s="43">
        <v>0.24859999999999999</v>
      </c>
      <c r="O324" s="50"/>
    </row>
    <row r="325" spans="2:15" x14ac:dyDescent="0.2">
      <c r="B325">
        <v>310</v>
      </c>
      <c r="C325" s="48">
        <f t="shared" ca="1" si="20"/>
        <v>-0.44919639150561047</v>
      </c>
      <c r="D325" s="48">
        <f t="shared" ca="1" si="17"/>
        <v>0.63572006139468695</v>
      </c>
      <c r="E325" s="48">
        <f t="shared" ca="1" si="18"/>
        <v>0</v>
      </c>
      <c r="F325" s="17">
        <f t="shared" ca="1" si="19"/>
        <v>0</v>
      </c>
      <c r="H325" s="17">
        <v>310</v>
      </c>
      <c r="I325" s="43">
        <v>0.66878796537718954</v>
      </c>
      <c r="J325" s="43">
        <v>1.9192012853358763E-2</v>
      </c>
      <c r="K325" s="43"/>
      <c r="L325" s="43">
        <v>0.24940000000000001</v>
      </c>
      <c r="O325" s="50"/>
    </row>
    <row r="326" spans="2:15" x14ac:dyDescent="0.2">
      <c r="B326">
        <v>311</v>
      </c>
      <c r="C326" s="48">
        <f t="shared" ca="1" si="20"/>
        <v>-0.1655405193640862</v>
      </c>
      <c r="D326" s="48">
        <f t="shared" ca="1" si="17"/>
        <v>0.6537488302701524</v>
      </c>
      <c r="E326" s="48">
        <f t="shared" ca="1" si="18"/>
        <v>0</v>
      </c>
      <c r="F326" s="17">
        <f t="shared" ca="1" si="19"/>
        <v>0</v>
      </c>
      <c r="H326" s="17">
        <v>311</v>
      </c>
      <c r="I326" s="43">
        <v>0.66927522848029553</v>
      </c>
      <c r="J326" s="43">
        <v>1.9375107970383502E-2</v>
      </c>
      <c r="K326" s="43"/>
      <c r="L326" s="43">
        <v>0.24879999999999999</v>
      </c>
      <c r="O326" s="50"/>
    </row>
    <row r="327" spans="2:15" x14ac:dyDescent="0.2">
      <c r="B327">
        <v>312</v>
      </c>
      <c r="C327" s="48">
        <f t="shared" ca="1" si="20"/>
        <v>1.781709160267646</v>
      </c>
      <c r="D327" s="48">
        <f t="shared" ca="1" si="17"/>
        <v>0.79210791986586104</v>
      </c>
      <c r="E327" s="48">
        <f t="shared" ca="1" si="18"/>
        <v>3.9079198658610315E-3</v>
      </c>
      <c r="F327" s="17">
        <f t="shared" ca="1" si="19"/>
        <v>1</v>
      </c>
      <c r="H327" s="17">
        <v>312</v>
      </c>
      <c r="I327" s="43">
        <v>0.66847781529905037</v>
      </c>
      <c r="J327" s="43">
        <v>1.9136251077740543E-2</v>
      </c>
      <c r="K327" s="43"/>
      <c r="L327" s="43">
        <v>0.24959999999999999</v>
      </c>
      <c r="O327" s="50"/>
    </row>
    <row r="328" spans="2:15" x14ac:dyDescent="0.2">
      <c r="B328">
        <v>313</v>
      </c>
      <c r="C328" s="48">
        <f t="shared" ca="1" si="20"/>
        <v>0.62711979985069322</v>
      </c>
      <c r="D328" s="48">
        <f t="shared" ca="1" si="17"/>
        <v>0.70688613653749766</v>
      </c>
      <c r="E328" s="48">
        <f t="shared" ca="1" si="18"/>
        <v>0</v>
      </c>
      <c r="F328" s="17">
        <f t="shared" ca="1" si="19"/>
        <v>0</v>
      </c>
      <c r="H328" s="17">
        <v>313</v>
      </c>
      <c r="I328" s="43">
        <v>0.66883827862804313</v>
      </c>
      <c r="J328" s="43">
        <v>1.9228497564339312E-2</v>
      </c>
      <c r="K328" s="43"/>
      <c r="L328" s="43">
        <v>0.25119999999999998</v>
      </c>
      <c r="O328" s="50"/>
    </row>
    <row r="329" spans="2:15" x14ac:dyDescent="0.2">
      <c r="B329">
        <v>314</v>
      </c>
      <c r="C329" s="48">
        <f t="shared" ca="1" si="20"/>
        <v>-1.7755049268589316E-2</v>
      </c>
      <c r="D329" s="48">
        <f t="shared" ca="1" si="17"/>
        <v>0.66334354385440719</v>
      </c>
      <c r="E329" s="48">
        <f t="shared" ca="1" si="18"/>
        <v>0</v>
      </c>
      <c r="F329" s="17">
        <f t="shared" ca="1" si="19"/>
        <v>0</v>
      </c>
      <c r="H329" s="17">
        <v>314</v>
      </c>
      <c r="I329" s="43">
        <v>0.66860970884148319</v>
      </c>
      <c r="J329" s="43">
        <v>1.8921031072487982E-2</v>
      </c>
      <c r="K329" s="43"/>
      <c r="L329" s="43">
        <v>0.24199999999999999</v>
      </c>
      <c r="O329" s="50"/>
    </row>
    <row r="330" spans="2:15" x14ac:dyDescent="0.2">
      <c r="B330">
        <v>315</v>
      </c>
      <c r="C330" s="48">
        <f t="shared" ca="1" si="20"/>
        <v>0.12703284855186189</v>
      </c>
      <c r="D330" s="48">
        <f t="shared" ca="1" si="17"/>
        <v>0.67288019279268552</v>
      </c>
      <c r="E330" s="48">
        <f t="shared" ca="1" si="18"/>
        <v>0</v>
      </c>
      <c r="F330" s="17">
        <f t="shared" ca="1" si="19"/>
        <v>0</v>
      </c>
      <c r="H330" s="17">
        <v>315</v>
      </c>
      <c r="I330" s="43">
        <v>0.66805571064797409</v>
      </c>
      <c r="J330" s="43">
        <v>1.8692329382068239E-2</v>
      </c>
      <c r="K330" s="43"/>
      <c r="L330" s="43">
        <v>0.24460000000000001</v>
      </c>
      <c r="O330" s="50"/>
    </row>
    <row r="331" spans="2:15" x14ac:dyDescent="0.2">
      <c r="B331">
        <v>316</v>
      </c>
      <c r="C331" s="48">
        <f t="shared" ca="1" si="20"/>
        <v>0.5936046097994967</v>
      </c>
      <c r="D331" s="48">
        <f t="shared" ca="1" si="17"/>
        <v>0.70455431356887099</v>
      </c>
      <c r="E331" s="48">
        <f t="shared" ca="1" si="18"/>
        <v>0</v>
      </c>
      <c r="F331" s="17">
        <f t="shared" ca="1" si="19"/>
        <v>0</v>
      </c>
      <c r="H331" s="17">
        <v>316</v>
      </c>
      <c r="I331" s="43">
        <v>0.6678466557356959</v>
      </c>
      <c r="J331" s="43">
        <v>1.8602767520086577E-2</v>
      </c>
      <c r="K331" s="43"/>
      <c r="L331" s="43">
        <v>0.248</v>
      </c>
      <c r="O331" s="50"/>
    </row>
    <row r="332" spans="2:15" x14ac:dyDescent="0.2">
      <c r="B332">
        <v>317</v>
      </c>
      <c r="C332" s="48">
        <f t="shared" ca="1" si="20"/>
        <v>1.3517851371819989</v>
      </c>
      <c r="D332" s="48">
        <f t="shared" ca="1" si="17"/>
        <v>0.75923589284457216</v>
      </c>
      <c r="E332" s="48">
        <f t="shared" ca="1" si="18"/>
        <v>0</v>
      </c>
      <c r="F332" s="17">
        <f t="shared" ca="1" si="19"/>
        <v>0</v>
      </c>
      <c r="H332" s="17">
        <v>317</v>
      </c>
      <c r="I332" s="43">
        <v>0.66852242880495261</v>
      </c>
      <c r="J332" s="43">
        <v>1.9154070508279098E-2</v>
      </c>
      <c r="K332" s="43"/>
      <c r="L332" s="43">
        <v>0.2482</v>
      </c>
      <c r="O332" s="50"/>
    </row>
    <row r="333" spans="2:15" x14ac:dyDescent="0.2">
      <c r="B333">
        <v>318</v>
      </c>
      <c r="C333" s="48">
        <f t="shared" ca="1" si="20"/>
        <v>-2.3424147629860421</v>
      </c>
      <c r="D333" s="48">
        <f t="shared" ca="1" si="17"/>
        <v>0.52747986947460268</v>
      </c>
      <c r="E333" s="48">
        <f t="shared" ca="1" si="18"/>
        <v>0</v>
      </c>
      <c r="F333" s="17">
        <f t="shared" ca="1" si="19"/>
        <v>0</v>
      </c>
      <c r="H333" s="17">
        <v>318</v>
      </c>
      <c r="I333" s="43">
        <v>0.66869132840356449</v>
      </c>
      <c r="J333" s="43">
        <v>1.9529873517620026E-2</v>
      </c>
      <c r="K333" s="43"/>
      <c r="L333" s="43">
        <v>0.25319999999999998</v>
      </c>
      <c r="O333" s="50"/>
    </row>
    <row r="334" spans="2:15" x14ac:dyDescent="0.2">
      <c r="B334">
        <v>319</v>
      </c>
      <c r="C334" s="48">
        <f t="shared" ca="1" si="20"/>
        <v>0.61857142665815523</v>
      </c>
      <c r="D334" s="48">
        <f t="shared" ca="1" si="17"/>
        <v>0.70629065038347871</v>
      </c>
      <c r="E334" s="48">
        <f t="shared" ca="1" si="18"/>
        <v>0</v>
      </c>
      <c r="F334" s="17">
        <f t="shared" ca="1" si="19"/>
        <v>0</v>
      </c>
      <c r="H334" s="17">
        <v>319</v>
      </c>
      <c r="I334" s="43">
        <v>0.66946791898750868</v>
      </c>
      <c r="J334" s="43">
        <v>1.9717848014328399E-2</v>
      </c>
      <c r="K334" s="43"/>
      <c r="L334" s="43">
        <v>0.25440000000000002</v>
      </c>
      <c r="O334" s="50"/>
    </row>
    <row r="335" spans="2:15" x14ac:dyDescent="0.2">
      <c r="B335">
        <v>320</v>
      </c>
      <c r="C335" s="48">
        <f t="shared" ca="1" si="20"/>
        <v>-0.75913042601449732</v>
      </c>
      <c r="D335" s="48">
        <f t="shared" ca="1" si="17"/>
        <v>0.61658901456861159</v>
      </c>
      <c r="E335" s="48">
        <f t="shared" ca="1" si="18"/>
        <v>0</v>
      </c>
      <c r="F335" s="17">
        <f t="shared" ca="1" si="19"/>
        <v>0</v>
      </c>
      <c r="H335" s="17">
        <v>320</v>
      </c>
      <c r="I335" s="43">
        <v>0.66774879988841185</v>
      </c>
      <c r="J335" s="43">
        <v>1.8467077628477473E-2</v>
      </c>
      <c r="K335" s="43"/>
      <c r="L335" s="43">
        <v>0.24479999999999999</v>
      </c>
      <c r="O335" s="50"/>
    </row>
    <row r="336" spans="2:15" x14ac:dyDescent="0.2">
      <c r="B336">
        <v>321</v>
      </c>
      <c r="C336" s="48">
        <f t="shared" ca="1" si="20"/>
        <v>1.21377795122724</v>
      </c>
      <c r="D336" s="48">
        <f t="shared" ref="D336:D399" ca="1" si="21">S0*EXP((μ-0.5*σ*σ)*T+σ*SQRT(T)*$C336)</f>
        <v>0.74897585306656989</v>
      </c>
      <c r="E336" s="48">
        <f t="shared" ref="E336:E399" ca="1" si="22">MAX(0,CP*(D336-K))</f>
        <v>0</v>
      </c>
      <c r="F336" s="17">
        <f t="shared" ref="F336:F399" ca="1" si="23">(CP*(D336-K)&gt;0)*1</f>
        <v>0</v>
      </c>
      <c r="H336" s="17">
        <v>321</v>
      </c>
      <c r="I336" s="43">
        <v>0.6690590116218933</v>
      </c>
      <c r="J336" s="43">
        <v>1.9268896457084433E-2</v>
      </c>
      <c r="K336" s="43"/>
      <c r="L336" s="43">
        <v>0.24560000000000001</v>
      </c>
      <c r="O336" s="50"/>
    </row>
    <row r="337" spans="2:15" x14ac:dyDescent="0.2">
      <c r="B337">
        <v>322</v>
      </c>
      <c r="C337" s="48">
        <f t="shared" ref="C337:C400" ca="1" si="24">_xlfn.NORM.S.INV(RAND())</f>
        <v>0.31693450135192658</v>
      </c>
      <c r="D337" s="48">
        <f t="shared" ca="1" si="21"/>
        <v>0.68559646940137442</v>
      </c>
      <c r="E337" s="48">
        <f t="shared" ca="1" si="22"/>
        <v>0</v>
      </c>
      <c r="F337" s="17">
        <f t="shared" ca="1" si="23"/>
        <v>0</v>
      </c>
      <c r="H337" s="17">
        <v>322</v>
      </c>
      <c r="I337" s="43">
        <v>0.6696960063081081</v>
      </c>
      <c r="J337" s="43">
        <v>2.0019587943396724E-2</v>
      </c>
      <c r="K337" s="43"/>
      <c r="L337" s="43">
        <v>0.251</v>
      </c>
      <c r="O337" s="50"/>
    </row>
    <row r="338" spans="2:15" x14ac:dyDescent="0.2">
      <c r="B338">
        <v>323</v>
      </c>
      <c r="C338" s="48">
        <f t="shared" ca="1" si="24"/>
        <v>1.2450563417577201</v>
      </c>
      <c r="D338" s="48">
        <f t="shared" ca="1" si="21"/>
        <v>0.75128900263073928</v>
      </c>
      <c r="E338" s="48">
        <f t="shared" ca="1" si="22"/>
        <v>0</v>
      </c>
      <c r="F338" s="17">
        <f t="shared" ca="1" si="23"/>
        <v>0</v>
      </c>
      <c r="H338" s="17">
        <v>323</v>
      </c>
      <c r="I338" s="43">
        <v>0.6691815824642352</v>
      </c>
      <c r="J338" s="43">
        <v>1.9624954159669316E-2</v>
      </c>
      <c r="K338" s="43"/>
      <c r="L338" s="43">
        <v>0.25019999999999998</v>
      </c>
      <c r="O338" s="50"/>
    </row>
    <row r="339" spans="2:15" x14ac:dyDescent="0.2">
      <c r="B339">
        <v>324</v>
      </c>
      <c r="C339" s="48">
        <f t="shared" ca="1" si="24"/>
        <v>0.70933118433309961</v>
      </c>
      <c r="D339" s="48">
        <f t="shared" ca="1" si="21"/>
        <v>0.71263873838887148</v>
      </c>
      <c r="E339" s="48">
        <f t="shared" ca="1" si="22"/>
        <v>0</v>
      </c>
      <c r="F339" s="17">
        <f t="shared" ca="1" si="23"/>
        <v>0</v>
      </c>
      <c r="H339" s="17">
        <v>324</v>
      </c>
      <c r="I339" s="43">
        <v>0.66793050224411388</v>
      </c>
      <c r="J339" s="43">
        <v>1.8402366791304855E-2</v>
      </c>
      <c r="K339" s="43"/>
      <c r="L339" s="43">
        <v>0.24360000000000001</v>
      </c>
      <c r="O339" s="50"/>
    </row>
    <row r="340" spans="2:15" x14ac:dyDescent="0.2">
      <c r="B340">
        <v>325</v>
      </c>
      <c r="C340" s="48">
        <f t="shared" ca="1" si="24"/>
        <v>1.4570355790527139</v>
      </c>
      <c r="D340" s="48">
        <f t="shared" ca="1" si="21"/>
        <v>0.76715502387686785</v>
      </c>
      <c r="E340" s="48">
        <f t="shared" ca="1" si="22"/>
        <v>0</v>
      </c>
      <c r="F340" s="17">
        <f t="shared" ca="1" si="23"/>
        <v>0</v>
      </c>
      <c r="H340" s="17">
        <v>325</v>
      </c>
      <c r="I340" s="43">
        <v>0.66828954483678804</v>
      </c>
      <c r="J340" s="43">
        <v>1.8959159764787258E-2</v>
      </c>
      <c r="K340" s="43"/>
      <c r="L340" s="43">
        <v>0.25040000000000001</v>
      </c>
      <c r="O340" s="50"/>
    </row>
    <row r="341" spans="2:15" x14ac:dyDescent="0.2">
      <c r="B341">
        <v>326</v>
      </c>
      <c r="C341" s="48">
        <f t="shared" ca="1" si="24"/>
        <v>5.67544168919581E-2</v>
      </c>
      <c r="D341" s="48">
        <f t="shared" ca="1" si="21"/>
        <v>0.66823420703271152</v>
      </c>
      <c r="E341" s="48">
        <f t="shared" ca="1" si="22"/>
        <v>0</v>
      </c>
      <c r="F341" s="17">
        <f t="shared" ca="1" si="23"/>
        <v>0</v>
      </c>
      <c r="H341" s="17">
        <v>326</v>
      </c>
      <c r="I341" s="43">
        <v>0.66919065128742417</v>
      </c>
      <c r="J341" s="43">
        <v>1.9419559225887773E-2</v>
      </c>
      <c r="K341" s="43"/>
      <c r="L341" s="43">
        <v>0.249</v>
      </c>
      <c r="O341" s="50"/>
    </row>
    <row r="342" spans="2:15" x14ac:dyDescent="0.2">
      <c r="B342">
        <v>327</v>
      </c>
      <c r="C342" s="48">
        <f t="shared" ca="1" si="24"/>
        <v>0.31068767415592696</v>
      </c>
      <c r="D342" s="48">
        <f t="shared" ca="1" si="21"/>
        <v>0.6851743687132491</v>
      </c>
      <c r="E342" s="48">
        <f t="shared" ca="1" si="22"/>
        <v>0</v>
      </c>
      <c r="F342" s="17">
        <f t="shared" ca="1" si="23"/>
        <v>0</v>
      </c>
      <c r="H342" s="17">
        <v>327</v>
      </c>
      <c r="I342" s="43">
        <v>0.66916035030041532</v>
      </c>
      <c r="J342" s="43">
        <v>1.9128969332423008E-2</v>
      </c>
      <c r="K342" s="43"/>
      <c r="L342" s="43">
        <v>0.24759999999999999</v>
      </c>
      <c r="O342" s="50"/>
    </row>
    <row r="343" spans="2:15" x14ac:dyDescent="0.2">
      <c r="B343">
        <v>328</v>
      </c>
      <c r="C343" s="48">
        <f t="shared" ca="1" si="24"/>
        <v>-0.56042613798082419</v>
      </c>
      <c r="D343" s="48">
        <f t="shared" ca="1" si="21"/>
        <v>0.62878692802746783</v>
      </c>
      <c r="E343" s="48">
        <f t="shared" ca="1" si="22"/>
        <v>0</v>
      </c>
      <c r="F343" s="17">
        <f t="shared" ca="1" si="23"/>
        <v>0</v>
      </c>
      <c r="H343" s="17">
        <v>328</v>
      </c>
      <c r="I343" s="43">
        <v>0.66974050564248566</v>
      </c>
      <c r="J343" s="43">
        <v>2.0181491175401765E-2</v>
      </c>
      <c r="K343" s="43"/>
      <c r="L343" s="43">
        <v>0.25419999999999998</v>
      </c>
      <c r="O343" s="50"/>
    </row>
    <row r="344" spans="2:15" x14ac:dyDescent="0.2">
      <c r="B344">
        <v>329</v>
      </c>
      <c r="C344" s="48">
        <f t="shared" ca="1" si="24"/>
        <v>0.91659865231106374</v>
      </c>
      <c r="D344" s="48">
        <f t="shared" ca="1" si="21"/>
        <v>0.72735057951016491</v>
      </c>
      <c r="E344" s="48">
        <f t="shared" ca="1" si="22"/>
        <v>0</v>
      </c>
      <c r="F344" s="17">
        <f t="shared" ca="1" si="23"/>
        <v>0</v>
      </c>
      <c r="H344" s="17">
        <v>329</v>
      </c>
      <c r="I344" s="43">
        <v>0.66900131516385519</v>
      </c>
      <c r="J344" s="43">
        <v>1.9469213928511898E-2</v>
      </c>
      <c r="K344" s="43"/>
      <c r="L344" s="43">
        <v>0.25180000000000002</v>
      </c>
      <c r="O344" s="50"/>
    </row>
    <row r="345" spans="2:15" x14ac:dyDescent="0.2">
      <c r="B345">
        <v>330</v>
      </c>
      <c r="C345" s="48">
        <f t="shared" ca="1" si="24"/>
        <v>5.654972340940722E-2</v>
      </c>
      <c r="D345" s="48">
        <f t="shared" ca="1" si="21"/>
        <v>0.66822072206046745</v>
      </c>
      <c r="E345" s="48">
        <f t="shared" ca="1" si="22"/>
        <v>0</v>
      </c>
      <c r="F345" s="17">
        <f t="shared" ca="1" si="23"/>
        <v>0</v>
      </c>
      <c r="H345" s="17">
        <v>330</v>
      </c>
      <c r="I345" s="43">
        <v>0.6692910863125251</v>
      </c>
      <c r="J345" s="43">
        <v>1.9747964756144022E-2</v>
      </c>
      <c r="K345" s="43"/>
      <c r="L345" s="43">
        <v>0.25359999999999999</v>
      </c>
      <c r="O345" s="50"/>
    </row>
    <row r="346" spans="2:15" x14ac:dyDescent="0.2">
      <c r="B346">
        <v>331</v>
      </c>
      <c r="C346" s="48">
        <f t="shared" ca="1" si="24"/>
        <v>-0.6101896217530014</v>
      </c>
      <c r="D346" s="48">
        <f t="shared" ca="1" si="21"/>
        <v>0.62570961907485945</v>
      </c>
      <c r="E346" s="48">
        <f t="shared" ca="1" si="22"/>
        <v>0</v>
      </c>
      <c r="F346" s="17">
        <f t="shared" ca="1" si="23"/>
        <v>0</v>
      </c>
      <c r="H346" s="17">
        <v>331</v>
      </c>
      <c r="I346" s="43">
        <v>0.66904077191292122</v>
      </c>
      <c r="J346" s="43">
        <v>1.95796792930777E-2</v>
      </c>
      <c r="K346" s="43"/>
      <c r="L346" s="43">
        <v>0.25459999999999999</v>
      </c>
      <c r="O346" s="50"/>
    </row>
    <row r="347" spans="2:15" x14ac:dyDescent="0.2">
      <c r="B347">
        <v>332</v>
      </c>
      <c r="C347" s="48">
        <f t="shared" ca="1" si="24"/>
        <v>1.9146244074501275</v>
      </c>
      <c r="D347" s="48">
        <f t="shared" ca="1" si="21"/>
        <v>0.8025558301771003</v>
      </c>
      <c r="E347" s="48">
        <f t="shared" ca="1" si="22"/>
        <v>1.4355830177100293E-2</v>
      </c>
      <c r="F347" s="17">
        <f t="shared" ca="1" si="23"/>
        <v>1</v>
      </c>
      <c r="H347" s="17">
        <v>332</v>
      </c>
      <c r="I347" s="43">
        <v>0.66758684701384863</v>
      </c>
      <c r="J347" s="43">
        <v>1.8202350064910625E-2</v>
      </c>
      <c r="K347" s="43"/>
      <c r="L347" s="43">
        <v>0.24560000000000001</v>
      </c>
      <c r="O347" s="50"/>
    </row>
    <row r="348" spans="2:15" x14ac:dyDescent="0.2">
      <c r="B348">
        <v>333</v>
      </c>
      <c r="C348" s="48">
        <f t="shared" ca="1" si="24"/>
        <v>-1.1011670668632774</v>
      </c>
      <c r="D348" s="48">
        <f t="shared" ca="1" si="21"/>
        <v>0.59614395442665669</v>
      </c>
      <c r="E348" s="48">
        <f t="shared" ca="1" si="22"/>
        <v>0</v>
      </c>
      <c r="F348" s="17">
        <f t="shared" ca="1" si="23"/>
        <v>0</v>
      </c>
      <c r="H348" s="17">
        <v>333</v>
      </c>
      <c r="I348" s="43">
        <v>0.66930128676534673</v>
      </c>
      <c r="J348" s="43">
        <v>1.9820054060244882E-2</v>
      </c>
      <c r="K348" s="43"/>
      <c r="L348" s="43">
        <v>0.25619999999999998</v>
      </c>
      <c r="O348" s="50"/>
    </row>
    <row r="349" spans="2:15" x14ac:dyDescent="0.2">
      <c r="B349">
        <v>334</v>
      </c>
      <c r="C349" s="48">
        <f t="shared" ca="1" si="24"/>
        <v>1.2278402465688272</v>
      </c>
      <c r="D349" s="48">
        <f t="shared" ca="1" si="21"/>
        <v>0.75001492791399604</v>
      </c>
      <c r="E349" s="48">
        <f t="shared" ca="1" si="22"/>
        <v>0</v>
      </c>
      <c r="F349" s="17">
        <f t="shared" ca="1" si="23"/>
        <v>0</v>
      </c>
      <c r="H349" s="17">
        <v>334</v>
      </c>
      <c r="I349" s="43">
        <v>0.66976405387280125</v>
      </c>
      <c r="J349" s="43">
        <v>1.9967722590587066E-2</v>
      </c>
      <c r="K349" s="43"/>
      <c r="L349" s="43">
        <v>0.25159999999999999</v>
      </c>
      <c r="O349" s="50"/>
    </row>
    <row r="350" spans="2:15" x14ac:dyDescent="0.2">
      <c r="B350">
        <v>335</v>
      </c>
      <c r="C350" s="48">
        <f t="shared" ca="1" si="24"/>
        <v>1.8039803382890451</v>
      </c>
      <c r="D350" s="48">
        <f t="shared" ca="1" si="21"/>
        <v>0.79384902956202597</v>
      </c>
      <c r="E350" s="48">
        <f t="shared" ca="1" si="22"/>
        <v>5.6490295620259534E-3</v>
      </c>
      <c r="F350" s="17">
        <f t="shared" ca="1" si="23"/>
        <v>1</v>
      </c>
      <c r="H350" s="17">
        <v>335</v>
      </c>
      <c r="I350" s="43">
        <v>0.66786510637429042</v>
      </c>
      <c r="J350" s="43">
        <v>1.839026944056011E-2</v>
      </c>
      <c r="K350" s="43"/>
      <c r="L350" s="43">
        <v>0.2356</v>
      </c>
      <c r="O350" s="50"/>
    </row>
    <row r="351" spans="2:15" x14ac:dyDescent="0.2">
      <c r="B351">
        <v>336</v>
      </c>
      <c r="C351" s="48">
        <f t="shared" ca="1" si="24"/>
        <v>-0.61348910537952328</v>
      </c>
      <c r="D351" s="48">
        <f t="shared" ca="1" si="21"/>
        <v>0.62550611650583965</v>
      </c>
      <c r="E351" s="48">
        <f t="shared" ca="1" si="22"/>
        <v>0</v>
      </c>
      <c r="F351" s="17">
        <f t="shared" ca="1" si="23"/>
        <v>0</v>
      </c>
      <c r="H351" s="17">
        <v>336</v>
      </c>
      <c r="I351" s="43">
        <v>0.67029839206349817</v>
      </c>
      <c r="J351" s="43">
        <v>2.0511662132411099E-2</v>
      </c>
      <c r="K351" s="43"/>
      <c r="L351" s="43">
        <v>0.25480000000000003</v>
      </c>
      <c r="O351" s="50"/>
    </row>
    <row r="352" spans="2:15" x14ac:dyDescent="0.2">
      <c r="B352">
        <v>337</v>
      </c>
      <c r="C352" s="48">
        <f t="shared" ca="1" si="24"/>
        <v>3.9537258892573431E-2</v>
      </c>
      <c r="D352" s="48">
        <f t="shared" ca="1" si="21"/>
        <v>0.66710091103185476</v>
      </c>
      <c r="E352" s="48">
        <f t="shared" ca="1" si="22"/>
        <v>0</v>
      </c>
      <c r="F352" s="17">
        <f t="shared" ca="1" si="23"/>
        <v>0</v>
      </c>
      <c r="H352" s="17">
        <v>337</v>
      </c>
      <c r="I352" s="43">
        <v>0.66937024300379777</v>
      </c>
      <c r="J352" s="43">
        <v>1.9464260125030414E-2</v>
      </c>
      <c r="K352" s="43"/>
      <c r="L352" s="43">
        <v>0.24399999999999999</v>
      </c>
      <c r="O352" s="50"/>
    </row>
    <row r="353" spans="2:15" x14ac:dyDescent="0.2">
      <c r="B353">
        <v>338</v>
      </c>
      <c r="C353" s="48">
        <f t="shared" ca="1" si="24"/>
        <v>-1.8520263743538481</v>
      </c>
      <c r="D353" s="48">
        <f t="shared" ca="1" si="21"/>
        <v>0.55360799880920863</v>
      </c>
      <c r="E353" s="48">
        <f t="shared" ca="1" si="22"/>
        <v>0</v>
      </c>
      <c r="F353" s="17">
        <f t="shared" ca="1" si="23"/>
        <v>0</v>
      </c>
      <c r="H353" s="17">
        <v>338</v>
      </c>
      <c r="I353" s="43">
        <v>0.66909419660617286</v>
      </c>
      <c r="J353" s="43">
        <v>1.9768768999228473E-2</v>
      </c>
      <c r="K353" s="43"/>
      <c r="L353" s="43">
        <v>0.2576</v>
      </c>
      <c r="O353" s="50"/>
    </row>
    <row r="354" spans="2:15" x14ac:dyDescent="0.2">
      <c r="B354">
        <v>339</v>
      </c>
      <c r="C354" s="48">
        <f t="shared" ca="1" si="24"/>
        <v>-0.84100024941522733</v>
      </c>
      <c r="D354" s="48">
        <f t="shared" ca="1" si="21"/>
        <v>0.61163234615428019</v>
      </c>
      <c r="E354" s="48">
        <f t="shared" ca="1" si="22"/>
        <v>0</v>
      </c>
      <c r="F354" s="17">
        <f t="shared" ca="1" si="23"/>
        <v>0</v>
      </c>
      <c r="H354" s="17">
        <v>339</v>
      </c>
      <c r="I354" s="43">
        <v>0.66823449860993756</v>
      </c>
      <c r="J354" s="43">
        <v>1.8645455366564846E-2</v>
      </c>
      <c r="K354" s="43"/>
      <c r="L354" s="43">
        <v>0.24260000000000001</v>
      </c>
      <c r="O354" s="50"/>
    </row>
    <row r="355" spans="2:15" x14ac:dyDescent="0.2">
      <c r="B355">
        <v>340</v>
      </c>
      <c r="C355" s="48">
        <f t="shared" ca="1" si="24"/>
        <v>0.23304221178846246</v>
      </c>
      <c r="D355" s="48">
        <f t="shared" ca="1" si="21"/>
        <v>0.67994947168476849</v>
      </c>
      <c r="E355" s="48">
        <f t="shared" ca="1" si="22"/>
        <v>0</v>
      </c>
      <c r="F355" s="17">
        <f t="shared" ca="1" si="23"/>
        <v>0</v>
      </c>
      <c r="H355" s="17">
        <v>340</v>
      </c>
      <c r="I355" s="43">
        <v>0.66825880364912582</v>
      </c>
      <c r="J355" s="43">
        <v>1.8826535256019152E-2</v>
      </c>
      <c r="K355" s="43"/>
      <c r="L355" s="43">
        <v>0.24460000000000001</v>
      </c>
      <c r="O355" s="50"/>
    </row>
    <row r="356" spans="2:15" x14ac:dyDescent="0.2">
      <c r="B356">
        <v>341</v>
      </c>
      <c r="C356" s="48">
        <f t="shared" ca="1" si="24"/>
        <v>-5.0613841822130703E-2</v>
      </c>
      <c r="D356" s="48">
        <f t="shared" ca="1" si="21"/>
        <v>0.66119814237031316</v>
      </c>
      <c r="E356" s="48">
        <f t="shared" ca="1" si="22"/>
        <v>0</v>
      </c>
      <c r="F356" s="17">
        <f t="shared" ca="1" si="23"/>
        <v>0</v>
      </c>
      <c r="H356" s="17">
        <v>341</v>
      </c>
      <c r="I356" s="43">
        <v>0.66876541865314643</v>
      </c>
      <c r="J356" s="43">
        <v>1.9498393360826323E-2</v>
      </c>
      <c r="K356" s="43"/>
      <c r="L356" s="43">
        <v>0.25219999999999998</v>
      </c>
      <c r="O356" s="50"/>
    </row>
    <row r="357" spans="2:15" x14ac:dyDescent="0.2">
      <c r="B357">
        <v>342</v>
      </c>
      <c r="C357" s="48">
        <f t="shared" ca="1" si="24"/>
        <v>-0.54378304410697242</v>
      </c>
      <c r="D357" s="48">
        <f t="shared" ca="1" si="21"/>
        <v>0.62981948882347893</v>
      </c>
      <c r="E357" s="48">
        <f t="shared" ca="1" si="22"/>
        <v>0</v>
      </c>
      <c r="F357" s="17">
        <f t="shared" ca="1" si="23"/>
        <v>0</v>
      </c>
      <c r="H357" s="17">
        <v>342</v>
      </c>
      <c r="I357" s="43">
        <v>0.66912999996345379</v>
      </c>
      <c r="J357" s="43">
        <v>1.9862053362716937E-2</v>
      </c>
      <c r="K357" s="43"/>
      <c r="L357" s="43">
        <v>0.25640000000000002</v>
      </c>
      <c r="O357" s="50"/>
    </row>
    <row r="358" spans="2:15" x14ac:dyDescent="0.2">
      <c r="B358">
        <v>343</v>
      </c>
      <c r="C358" s="48">
        <f t="shared" ca="1" si="24"/>
        <v>0.46836669828195121</v>
      </c>
      <c r="D358" s="48">
        <f t="shared" ca="1" si="21"/>
        <v>0.69590874258016677</v>
      </c>
      <c r="E358" s="48">
        <f t="shared" ca="1" si="22"/>
        <v>0</v>
      </c>
      <c r="F358" s="17">
        <f t="shared" ca="1" si="23"/>
        <v>0</v>
      </c>
      <c r="H358" s="17">
        <v>343</v>
      </c>
      <c r="I358" s="43">
        <v>0.66930028244585871</v>
      </c>
      <c r="J358" s="43">
        <v>1.9627316913729754E-2</v>
      </c>
      <c r="K358" s="43"/>
      <c r="L358" s="43">
        <v>0.25619999999999998</v>
      </c>
      <c r="O358" s="50"/>
    </row>
    <row r="359" spans="2:15" x14ac:dyDescent="0.2">
      <c r="B359">
        <v>344</v>
      </c>
      <c r="C359" s="48">
        <f t="shared" ca="1" si="24"/>
        <v>0.16432304272741136</v>
      </c>
      <c r="D359" s="48">
        <f t="shared" ca="1" si="21"/>
        <v>0.67535848586390368</v>
      </c>
      <c r="E359" s="48">
        <f t="shared" ca="1" si="22"/>
        <v>0</v>
      </c>
      <c r="F359" s="17">
        <f t="shared" ca="1" si="23"/>
        <v>0</v>
      </c>
      <c r="H359" s="17">
        <v>344</v>
      </c>
      <c r="I359" s="43">
        <v>0.6690303606866852</v>
      </c>
      <c r="J359" s="43">
        <v>1.937780315040908E-2</v>
      </c>
      <c r="K359" s="43"/>
      <c r="L359" s="43">
        <v>0.25080000000000002</v>
      </c>
      <c r="O359" s="50"/>
    </row>
    <row r="360" spans="2:15" x14ac:dyDescent="0.2">
      <c r="B360">
        <v>345</v>
      </c>
      <c r="C360" s="48">
        <f t="shared" ca="1" si="24"/>
        <v>-1.2628408620555243</v>
      </c>
      <c r="D360" s="48">
        <f t="shared" ca="1" si="21"/>
        <v>0.5867173348062813</v>
      </c>
      <c r="E360" s="48">
        <f t="shared" ca="1" si="22"/>
        <v>0</v>
      </c>
      <c r="F360" s="17">
        <f t="shared" ca="1" si="23"/>
        <v>0</v>
      </c>
      <c r="H360" s="17">
        <v>345</v>
      </c>
      <c r="I360" s="43">
        <v>0.66857267836600964</v>
      </c>
      <c r="J360" s="43">
        <v>1.8910207866188723E-2</v>
      </c>
      <c r="K360" s="43"/>
      <c r="L360" s="43">
        <v>0.24579999999999999</v>
      </c>
      <c r="O360" s="50"/>
    </row>
    <row r="361" spans="2:15" x14ac:dyDescent="0.2">
      <c r="B361">
        <v>346</v>
      </c>
      <c r="C361" s="48">
        <f t="shared" ca="1" si="24"/>
        <v>0.6673993522181475</v>
      </c>
      <c r="D361" s="48">
        <f t="shared" ca="1" si="21"/>
        <v>0.70969880413675646</v>
      </c>
      <c r="E361" s="48">
        <f t="shared" ca="1" si="22"/>
        <v>0</v>
      </c>
      <c r="F361" s="17">
        <f t="shared" ca="1" si="23"/>
        <v>0</v>
      </c>
      <c r="H361" s="17">
        <v>346</v>
      </c>
      <c r="I361" s="43">
        <v>0.66867443046774233</v>
      </c>
      <c r="J361" s="43">
        <v>1.908800570406147E-2</v>
      </c>
      <c r="K361" s="43"/>
      <c r="L361" s="43">
        <v>0.24959999999999999</v>
      </c>
      <c r="O361" s="50"/>
    </row>
    <row r="362" spans="2:15" x14ac:dyDescent="0.2">
      <c r="B362">
        <v>347</v>
      </c>
      <c r="C362" s="48">
        <f t="shared" ca="1" si="24"/>
        <v>-0.76784902924979159</v>
      </c>
      <c r="D362" s="48">
        <f t="shared" ca="1" si="21"/>
        <v>0.61605925625212732</v>
      </c>
      <c r="E362" s="48">
        <f t="shared" ca="1" si="22"/>
        <v>0</v>
      </c>
      <c r="F362" s="17">
        <f t="shared" ca="1" si="23"/>
        <v>0</v>
      </c>
      <c r="H362" s="17">
        <v>347</v>
      </c>
      <c r="I362" s="43">
        <v>0.66824198332052709</v>
      </c>
      <c r="J362" s="43">
        <v>1.8676518138308017E-2</v>
      </c>
      <c r="K362" s="43"/>
      <c r="L362" s="43">
        <v>0.24479999999999999</v>
      </c>
      <c r="O362" s="50"/>
    </row>
    <row r="363" spans="2:15" x14ac:dyDescent="0.2">
      <c r="B363">
        <v>348</v>
      </c>
      <c r="C363" s="48">
        <f t="shared" ca="1" si="24"/>
        <v>1.1363080311649176</v>
      </c>
      <c r="D363" s="48">
        <f t="shared" ca="1" si="21"/>
        <v>0.74327729176607504</v>
      </c>
      <c r="E363" s="48">
        <f t="shared" ca="1" si="22"/>
        <v>0</v>
      </c>
      <c r="F363" s="17">
        <f t="shared" ca="1" si="23"/>
        <v>0</v>
      </c>
      <c r="H363" s="17">
        <v>348</v>
      </c>
      <c r="I363" s="43">
        <v>0.66994829515271992</v>
      </c>
      <c r="J363" s="43">
        <v>2.0003764591655138E-2</v>
      </c>
      <c r="K363" s="43"/>
      <c r="L363" s="43">
        <v>0.24959999999999999</v>
      </c>
      <c r="O363" s="50"/>
    </row>
    <row r="364" spans="2:15" x14ac:dyDescent="0.2">
      <c r="B364">
        <v>349</v>
      </c>
      <c r="C364" s="48">
        <f t="shared" ca="1" si="24"/>
        <v>0.24606440943328531</v>
      </c>
      <c r="D364" s="48">
        <f t="shared" ca="1" si="21"/>
        <v>0.68082296875524739</v>
      </c>
      <c r="E364" s="48">
        <f t="shared" ca="1" si="22"/>
        <v>0</v>
      </c>
      <c r="F364" s="17">
        <f t="shared" ca="1" si="23"/>
        <v>0</v>
      </c>
      <c r="H364" s="17">
        <v>349</v>
      </c>
      <c r="I364" s="43">
        <v>0.668677005458301</v>
      </c>
      <c r="J364" s="43">
        <v>1.9106151461177182E-2</v>
      </c>
      <c r="K364" s="43"/>
      <c r="L364" s="43">
        <v>0.24540000000000001</v>
      </c>
      <c r="O364" s="50"/>
    </row>
    <row r="365" spans="2:15" x14ac:dyDescent="0.2">
      <c r="B365">
        <v>350</v>
      </c>
      <c r="C365" s="48">
        <f t="shared" ca="1" si="24"/>
        <v>-0.14780401411432897</v>
      </c>
      <c r="D365" s="48">
        <f t="shared" ca="1" si="21"/>
        <v>0.65489297365911892</v>
      </c>
      <c r="E365" s="48">
        <f t="shared" ca="1" si="22"/>
        <v>0</v>
      </c>
      <c r="F365" s="17">
        <f t="shared" ca="1" si="23"/>
        <v>0</v>
      </c>
      <c r="H365" s="17">
        <v>350</v>
      </c>
      <c r="I365" s="43">
        <v>0.66858825566199753</v>
      </c>
      <c r="J365" s="43">
        <v>1.9332172637608638E-2</v>
      </c>
      <c r="K365" s="43"/>
      <c r="L365" s="43">
        <v>0.25040000000000001</v>
      </c>
      <c r="O365" s="50"/>
    </row>
    <row r="366" spans="2:15" x14ac:dyDescent="0.2">
      <c r="B366">
        <v>351</v>
      </c>
      <c r="C366" s="48">
        <f t="shared" ca="1" si="24"/>
        <v>-1.0824014052965305</v>
      </c>
      <c r="D366" s="48">
        <f t="shared" ca="1" si="21"/>
        <v>0.59724787681559377</v>
      </c>
      <c r="E366" s="48">
        <f t="shared" ca="1" si="22"/>
        <v>0</v>
      </c>
      <c r="F366" s="17">
        <f t="shared" ca="1" si="23"/>
        <v>0</v>
      </c>
      <c r="H366" s="17">
        <v>351</v>
      </c>
      <c r="I366" s="43">
        <v>0.67012733156724258</v>
      </c>
      <c r="J366" s="43">
        <v>2.0323381345393465E-2</v>
      </c>
      <c r="K366" s="43"/>
      <c r="L366" s="43">
        <v>0.25979999999999998</v>
      </c>
      <c r="O366" s="50"/>
    </row>
    <row r="367" spans="2:15" x14ac:dyDescent="0.2">
      <c r="B367">
        <v>352</v>
      </c>
      <c r="C367" s="48">
        <f t="shared" ca="1" si="24"/>
        <v>0.14071678390225364</v>
      </c>
      <c r="D367" s="48">
        <f t="shared" ca="1" si="21"/>
        <v>0.67378856420354194</v>
      </c>
      <c r="E367" s="48">
        <f t="shared" ca="1" si="22"/>
        <v>0</v>
      </c>
      <c r="F367" s="17">
        <f t="shared" ca="1" si="23"/>
        <v>0</v>
      </c>
      <c r="H367" s="17">
        <v>352</v>
      </c>
      <c r="I367" s="43">
        <v>0.66890576028567217</v>
      </c>
      <c r="J367" s="43">
        <v>1.9164081248974004E-2</v>
      </c>
      <c r="K367" s="43"/>
      <c r="L367" s="43">
        <v>0.24840000000000001</v>
      </c>
      <c r="O367" s="50"/>
    </row>
    <row r="368" spans="2:15" x14ac:dyDescent="0.2">
      <c r="B368">
        <v>353</v>
      </c>
      <c r="C368" s="48">
        <f t="shared" ca="1" si="24"/>
        <v>-1.3951386840741991</v>
      </c>
      <c r="D368" s="48">
        <f t="shared" ca="1" si="21"/>
        <v>0.57911452402446439</v>
      </c>
      <c r="E368" s="48">
        <f t="shared" ca="1" si="22"/>
        <v>0</v>
      </c>
      <c r="F368" s="17">
        <f t="shared" ca="1" si="23"/>
        <v>0</v>
      </c>
      <c r="H368" s="17">
        <v>353</v>
      </c>
      <c r="I368" s="43">
        <v>0.66977936017579953</v>
      </c>
      <c r="J368" s="43">
        <v>2.0109763557807893E-2</v>
      </c>
      <c r="K368" s="43"/>
      <c r="L368" s="43">
        <v>0.24940000000000001</v>
      </c>
      <c r="O368" s="50"/>
    </row>
    <row r="369" spans="2:15" x14ac:dyDescent="0.2">
      <c r="B369">
        <v>354</v>
      </c>
      <c r="C369" s="48">
        <f t="shared" ca="1" si="24"/>
        <v>-1.9845989318721844</v>
      </c>
      <c r="D369" s="48">
        <f t="shared" ca="1" si="21"/>
        <v>0.54641942576985714</v>
      </c>
      <c r="E369" s="48">
        <f t="shared" ca="1" si="22"/>
        <v>0</v>
      </c>
      <c r="F369" s="17">
        <f t="shared" ca="1" si="23"/>
        <v>0</v>
      </c>
      <c r="H369" s="17">
        <v>354</v>
      </c>
      <c r="I369" s="43">
        <v>0.66801479004007469</v>
      </c>
      <c r="J369" s="43">
        <v>1.8630221140871667E-2</v>
      </c>
      <c r="K369" s="43"/>
      <c r="L369" s="43">
        <v>0.24660000000000001</v>
      </c>
      <c r="O369" s="50"/>
    </row>
    <row r="370" spans="2:15" x14ac:dyDescent="0.2">
      <c r="B370">
        <v>355</v>
      </c>
      <c r="C370" s="48">
        <f t="shared" ca="1" si="24"/>
        <v>-0.84013140076012316</v>
      </c>
      <c r="D370" s="48">
        <f t="shared" ca="1" si="21"/>
        <v>0.61168473935122691</v>
      </c>
      <c r="E370" s="48">
        <f t="shared" ca="1" si="22"/>
        <v>0</v>
      </c>
      <c r="F370" s="17">
        <f t="shared" ca="1" si="23"/>
        <v>0</v>
      </c>
      <c r="H370" s="17">
        <v>355</v>
      </c>
      <c r="I370" s="43">
        <v>0.66892779213834297</v>
      </c>
      <c r="J370" s="43">
        <v>1.9253223218918487E-2</v>
      </c>
      <c r="K370" s="43"/>
      <c r="L370" s="43">
        <v>0.251</v>
      </c>
      <c r="O370" s="50"/>
    </row>
    <row r="371" spans="2:15" x14ac:dyDescent="0.2">
      <c r="B371">
        <v>356</v>
      </c>
      <c r="C371" s="48">
        <f t="shared" ca="1" si="24"/>
        <v>-0.27817726372687651</v>
      </c>
      <c r="D371" s="48">
        <f t="shared" ca="1" si="21"/>
        <v>0.64652938815107408</v>
      </c>
      <c r="E371" s="48">
        <f t="shared" ca="1" si="22"/>
        <v>0</v>
      </c>
      <c r="F371" s="17">
        <f t="shared" ca="1" si="23"/>
        <v>0</v>
      </c>
      <c r="H371" s="17">
        <v>356</v>
      </c>
      <c r="I371" s="43">
        <v>0.66921998963920271</v>
      </c>
      <c r="J371" s="43">
        <v>1.965276555885016E-2</v>
      </c>
      <c r="K371" s="43"/>
      <c r="L371" s="43">
        <v>0.253</v>
      </c>
      <c r="O371" s="50"/>
    </row>
    <row r="372" spans="2:15" x14ac:dyDescent="0.2">
      <c r="B372">
        <v>357</v>
      </c>
      <c r="C372" s="48">
        <f t="shared" ca="1" si="24"/>
        <v>-1.2019712844278423</v>
      </c>
      <c r="D372" s="48">
        <f t="shared" ca="1" si="21"/>
        <v>0.59024879793279772</v>
      </c>
      <c r="E372" s="48">
        <f t="shared" ca="1" si="22"/>
        <v>0</v>
      </c>
      <c r="F372" s="17">
        <f t="shared" ca="1" si="23"/>
        <v>0</v>
      </c>
      <c r="H372" s="17">
        <v>357</v>
      </c>
      <c r="I372" s="43">
        <v>0.66955158210913246</v>
      </c>
      <c r="J372" s="43">
        <v>1.9628932365291597E-2</v>
      </c>
      <c r="K372" s="43"/>
      <c r="L372" s="43">
        <v>0.2412</v>
      </c>
      <c r="O372" s="50"/>
    </row>
    <row r="373" spans="2:15" x14ac:dyDescent="0.2">
      <c r="B373">
        <v>358</v>
      </c>
      <c r="C373" s="48">
        <f t="shared" ca="1" si="24"/>
        <v>1.0694606306653065</v>
      </c>
      <c r="D373" s="48">
        <f t="shared" ca="1" si="21"/>
        <v>0.73839496519111514</v>
      </c>
      <c r="E373" s="48">
        <f t="shared" ca="1" si="22"/>
        <v>0</v>
      </c>
      <c r="F373" s="17">
        <f t="shared" ca="1" si="23"/>
        <v>0</v>
      </c>
      <c r="H373" s="17">
        <v>358</v>
      </c>
      <c r="I373" s="43">
        <v>0.6688489818439598</v>
      </c>
      <c r="J373" s="43">
        <v>1.921796683907534E-2</v>
      </c>
      <c r="K373" s="43"/>
      <c r="L373" s="43">
        <v>0.25019999999999998</v>
      </c>
      <c r="O373" s="50"/>
    </row>
    <row r="374" spans="2:15" x14ac:dyDescent="0.2">
      <c r="B374">
        <v>359</v>
      </c>
      <c r="C374" s="48">
        <f t="shared" ca="1" si="24"/>
        <v>0.69438894883206737</v>
      </c>
      <c r="D374" s="48">
        <f t="shared" ca="1" si="21"/>
        <v>0.711589710872781</v>
      </c>
      <c r="E374" s="48">
        <f t="shared" ca="1" si="22"/>
        <v>0</v>
      </c>
      <c r="F374" s="17">
        <f t="shared" ca="1" si="23"/>
        <v>0</v>
      </c>
      <c r="H374" s="17">
        <v>359</v>
      </c>
      <c r="I374" s="43">
        <v>0.66898826993879945</v>
      </c>
      <c r="J374" s="43">
        <v>1.9347030199461129E-2</v>
      </c>
      <c r="K374" s="43"/>
      <c r="L374" s="43">
        <v>0.24560000000000001</v>
      </c>
      <c r="O374" s="50"/>
    </row>
    <row r="375" spans="2:15" x14ac:dyDescent="0.2">
      <c r="B375">
        <v>360</v>
      </c>
      <c r="C375" s="48">
        <f t="shared" ca="1" si="24"/>
        <v>-0.15554706009107933</v>
      </c>
      <c r="D375" s="48">
        <f t="shared" ca="1" si="21"/>
        <v>0.65439324053508907</v>
      </c>
      <c r="E375" s="48">
        <f t="shared" ca="1" si="22"/>
        <v>0</v>
      </c>
      <c r="F375" s="17">
        <f t="shared" ca="1" si="23"/>
        <v>0</v>
      </c>
      <c r="H375" s="17">
        <v>360</v>
      </c>
      <c r="I375" s="43">
        <v>0.66925752142830786</v>
      </c>
      <c r="J375" s="43">
        <v>1.9705327948128185E-2</v>
      </c>
      <c r="K375" s="43"/>
      <c r="L375" s="43">
        <v>0.25640000000000002</v>
      </c>
      <c r="O375" s="50"/>
    </row>
    <row r="376" spans="2:15" x14ac:dyDescent="0.2">
      <c r="B376">
        <v>361</v>
      </c>
      <c r="C376" s="48">
        <f t="shared" ca="1" si="24"/>
        <v>-1.2051600768988795</v>
      </c>
      <c r="D376" s="48">
        <f t="shared" ca="1" si="21"/>
        <v>0.59006326764258066</v>
      </c>
      <c r="E376" s="48">
        <f t="shared" ca="1" si="22"/>
        <v>0</v>
      </c>
      <c r="F376" s="17">
        <f t="shared" ca="1" si="23"/>
        <v>0</v>
      </c>
      <c r="H376" s="17">
        <v>361</v>
      </c>
      <c r="I376" s="43">
        <v>0.66903181538814249</v>
      </c>
      <c r="J376" s="43">
        <v>1.926070222258507E-2</v>
      </c>
      <c r="K376" s="43"/>
      <c r="L376" s="43">
        <v>0.247</v>
      </c>
      <c r="O376" s="50"/>
    </row>
    <row r="377" spans="2:15" x14ac:dyDescent="0.2">
      <c r="B377">
        <v>362</v>
      </c>
      <c r="C377" s="48">
        <f t="shared" ca="1" si="24"/>
        <v>-0.17224503183686893</v>
      </c>
      <c r="D377" s="48">
        <f t="shared" ca="1" si="21"/>
        <v>0.65331685754510282</v>
      </c>
      <c r="E377" s="48">
        <f t="shared" ca="1" si="22"/>
        <v>0</v>
      </c>
      <c r="F377" s="17">
        <f t="shared" ca="1" si="23"/>
        <v>0</v>
      </c>
      <c r="H377" s="17">
        <v>362</v>
      </c>
      <c r="I377" s="43">
        <v>0.66779690218200582</v>
      </c>
      <c r="J377" s="43">
        <v>1.8747347029969826E-2</v>
      </c>
      <c r="K377" s="43"/>
      <c r="L377" s="43">
        <v>0.25259999999999999</v>
      </c>
      <c r="O377" s="50"/>
    </row>
    <row r="378" spans="2:15" x14ac:dyDescent="0.2">
      <c r="B378">
        <v>363</v>
      </c>
      <c r="C378" s="48">
        <f t="shared" ca="1" si="24"/>
        <v>0.58825657441365831</v>
      </c>
      <c r="D378" s="48">
        <f t="shared" ca="1" si="21"/>
        <v>0.70418293572953772</v>
      </c>
      <c r="E378" s="48">
        <f t="shared" ca="1" si="22"/>
        <v>0</v>
      </c>
      <c r="F378" s="17">
        <f t="shared" ca="1" si="23"/>
        <v>0</v>
      </c>
      <c r="H378" s="17">
        <v>363</v>
      </c>
      <c r="I378" s="43">
        <v>0.66970848264431038</v>
      </c>
      <c r="J378" s="43">
        <v>1.9394596555958699E-2</v>
      </c>
      <c r="K378" s="43"/>
      <c r="L378" s="43">
        <v>0.24640000000000001</v>
      </c>
      <c r="O378" s="50"/>
    </row>
    <row r="379" spans="2:15" x14ac:dyDescent="0.2">
      <c r="B379">
        <v>364</v>
      </c>
      <c r="C379" s="48">
        <f t="shared" ca="1" si="24"/>
        <v>-0.42298040703311507</v>
      </c>
      <c r="D379" s="48">
        <f t="shared" ca="1" si="21"/>
        <v>0.63736524798489669</v>
      </c>
      <c r="E379" s="48">
        <f t="shared" ca="1" si="22"/>
        <v>0</v>
      </c>
      <c r="F379" s="17">
        <f t="shared" ca="1" si="23"/>
        <v>0</v>
      </c>
      <c r="H379" s="17">
        <v>364</v>
      </c>
      <c r="I379" s="43">
        <v>0.66907238905507216</v>
      </c>
      <c r="J379" s="43">
        <v>1.9648289909147576E-2</v>
      </c>
      <c r="K379" s="43"/>
      <c r="L379" s="43">
        <v>0.24579999999999999</v>
      </c>
      <c r="O379" s="50"/>
    </row>
    <row r="380" spans="2:15" x14ac:dyDescent="0.2">
      <c r="B380">
        <v>365</v>
      </c>
      <c r="C380" s="48">
        <f t="shared" ca="1" si="24"/>
        <v>-1.2936170694615559</v>
      </c>
      <c r="D380" s="48">
        <f t="shared" ca="1" si="21"/>
        <v>0.5849398452811313</v>
      </c>
      <c r="E380" s="48">
        <f t="shared" ca="1" si="22"/>
        <v>0</v>
      </c>
      <c r="F380" s="17">
        <f t="shared" ca="1" si="23"/>
        <v>0</v>
      </c>
      <c r="H380" s="17">
        <v>365</v>
      </c>
      <c r="I380" s="43">
        <v>0.669704080571493</v>
      </c>
      <c r="J380" s="43">
        <v>2.0030272705636433E-2</v>
      </c>
      <c r="K380" s="43"/>
      <c r="L380" s="43">
        <v>0.25340000000000001</v>
      </c>
      <c r="O380" s="50"/>
    </row>
    <row r="381" spans="2:15" x14ac:dyDescent="0.2">
      <c r="B381">
        <v>366</v>
      </c>
      <c r="C381" s="48">
        <f t="shared" ca="1" si="24"/>
        <v>0.7211394406075321</v>
      </c>
      <c r="D381" s="48">
        <f t="shared" ca="1" si="21"/>
        <v>0.71346883708703601</v>
      </c>
      <c r="E381" s="48">
        <f t="shared" ca="1" si="22"/>
        <v>0</v>
      </c>
      <c r="F381" s="17">
        <f t="shared" ca="1" si="23"/>
        <v>0</v>
      </c>
      <c r="H381" s="17">
        <v>366</v>
      </c>
      <c r="I381" s="43">
        <v>0.66887102354567007</v>
      </c>
      <c r="J381" s="43">
        <v>1.9366438183317475E-2</v>
      </c>
      <c r="K381" s="43"/>
      <c r="L381" s="43">
        <v>0.25080000000000002</v>
      </c>
      <c r="O381" s="50"/>
    </row>
    <row r="382" spans="2:15" x14ac:dyDescent="0.2">
      <c r="B382">
        <v>367</v>
      </c>
      <c r="C382" s="48">
        <f t="shared" ca="1" si="24"/>
        <v>2.027370793004875</v>
      </c>
      <c r="D382" s="48">
        <f t="shared" ca="1" si="21"/>
        <v>0.81152630667441306</v>
      </c>
      <c r="E382" s="48">
        <f t="shared" ca="1" si="22"/>
        <v>2.3326306674413044E-2</v>
      </c>
      <c r="F382" s="17">
        <f t="shared" ca="1" si="23"/>
        <v>1</v>
      </c>
      <c r="H382" s="17">
        <v>367</v>
      </c>
      <c r="I382" s="43">
        <v>0.66839004621253617</v>
      </c>
      <c r="J382" s="43">
        <v>1.900964469603289E-2</v>
      </c>
      <c r="K382" s="43"/>
      <c r="L382" s="43">
        <v>0.24399999999999999</v>
      </c>
      <c r="O382" s="50"/>
    </row>
    <row r="383" spans="2:15" x14ac:dyDescent="0.2">
      <c r="B383">
        <v>368</v>
      </c>
      <c r="C383" s="48">
        <f t="shared" ca="1" si="24"/>
        <v>-0.28091752540571008</v>
      </c>
      <c r="D383" s="48">
        <f t="shared" ca="1" si="21"/>
        <v>0.64635474829437389</v>
      </c>
      <c r="E383" s="48">
        <f t="shared" ca="1" si="22"/>
        <v>0</v>
      </c>
      <c r="F383" s="17">
        <f t="shared" ca="1" si="23"/>
        <v>0</v>
      </c>
      <c r="H383" s="17">
        <v>368</v>
      </c>
      <c r="I383" s="43">
        <v>0.66893016978266251</v>
      </c>
      <c r="J383" s="43">
        <v>1.941188619110179E-2</v>
      </c>
      <c r="K383" s="43"/>
      <c r="L383" s="43">
        <v>0.24740000000000001</v>
      </c>
      <c r="O383" s="50"/>
    </row>
    <row r="384" spans="2:15" x14ac:dyDescent="0.2">
      <c r="B384">
        <v>369</v>
      </c>
      <c r="C384" s="48">
        <f t="shared" ca="1" si="24"/>
        <v>-0.54340821138765882</v>
      </c>
      <c r="D384" s="48">
        <f t="shared" ca="1" si="21"/>
        <v>0.62984276348284995</v>
      </c>
      <c r="E384" s="48">
        <f t="shared" ca="1" si="22"/>
        <v>0</v>
      </c>
      <c r="F384" s="17">
        <f t="shared" ca="1" si="23"/>
        <v>0</v>
      </c>
      <c r="H384" s="17">
        <v>369</v>
      </c>
      <c r="I384" s="43">
        <v>0.66852361942076288</v>
      </c>
      <c r="J384" s="43">
        <v>1.9141421867842578E-2</v>
      </c>
      <c r="K384" s="43"/>
      <c r="L384" s="43">
        <v>0.25040000000000001</v>
      </c>
      <c r="O384" s="50"/>
    </row>
    <row r="385" spans="2:15" x14ac:dyDescent="0.2">
      <c r="B385">
        <v>370</v>
      </c>
      <c r="C385" s="48">
        <f t="shared" ca="1" si="24"/>
        <v>-1.2556109420703554</v>
      </c>
      <c r="D385" s="48">
        <f t="shared" ca="1" si="21"/>
        <v>0.58713568398290883</v>
      </c>
      <c r="E385" s="48">
        <f t="shared" ca="1" si="22"/>
        <v>0</v>
      </c>
      <c r="F385" s="17">
        <f t="shared" ca="1" si="23"/>
        <v>0</v>
      </c>
      <c r="H385" s="17">
        <v>370</v>
      </c>
      <c r="I385" s="43">
        <v>0.66861526299388896</v>
      </c>
      <c r="J385" s="43">
        <v>1.8858488068085977E-2</v>
      </c>
      <c r="K385" s="43"/>
      <c r="L385" s="43">
        <v>0.247</v>
      </c>
      <c r="O385" s="50"/>
    </row>
    <row r="386" spans="2:15" x14ac:dyDescent="0.2">
      <c r="B386">
        <v>371</v>
      </c>
      <c r="C386" s="48">
        <f t="shared" ca="1" si="24"/>
        <v>-0.82122733321667996</v>
      </c>
      <c r="D386" s="48">
        <f t="shared" ca="1" si="21"/>
        <v>0.61282580173214229</v>
      </c>
      <c r="E386" s="48">
        <f t="shared" ca="1" si="22"/>
        <v>0</v>
      </c>
      <c r="F386" s="17">
        <f t="shared" ca="1" si="23"/>
        <v>0</v>
      </c>
      <c r="H386" s="17">
        <v>371</v>
      </c>
      <c r="I386" s="43">
        <v>0.66939442816010453</v>
      </c>
      <c r="J386" s="43">
        <v>1.9725048735566856E-2</v>
      </c>
      <c r="K386" s="43"/>
      <c r="L386" s="43">
        <v>0.249</v>
      </c>
      <c r="O386" s="50"/>
    </row>
    <row r="387" spans="2:15" x14ac:dyDescent="0.2">
      <c r="B387">
        <v>372</v>
      </c>
      <c r="C387" s="48">
        <f t="shared" ca="1" si="24"/>
        <v>0.59957927737756178</v>
      </c>
      <c r="D387" s="48">
        <f t="shared" ca="1" si="21"/>
        <v>0.70496943758321695</v>
      </c>
      <c r="E387" s="48">
        <f t="shared" ca="1" si="22"/>
        <v>0</v>
      </c>
      <c r="F387" s="17">
        <f t="shared" ca="1" si="23"/>
        <v>0</v>
      </c>
      <c r="H387" s="17">
        <v>372</v>
      </c>
      <c r="I387" s="43">
        <v>0.66975198060599261</v>
      </c>
      <c r="J387" s="43">
        <v>2.0000985107582425E-2</v>
      </c>
      <c r="K387" s="43"/>
      <c r="L387" s="43">
        <v>0.25779999999999997</v>
      </c>
      <c r="O387" s="50"/>
    </row>
    <row r="388" spans="2:15" x14ac:dyDescent="0.2">
      <c r="B388">
        <v>373</v>
      </c>
      <c r="C388" s="48">
        <f t="shared" ca="1" si="24"/>
        <v>-0.57374850294644475</v>
      </c>
      <c r="D388" s="48">
        <f t="shared" ca="1" si="21"/>
        <v>0.62796160991156191</v>
      </c>
      <c r="E388" s="48">
        <f t="shared" ca="1" si="22"/>
        <v>0</v>
      </c>
      <c r="F388" s="17">
        <f t="shared" ca="1" si="23"/>
        <v>0</v>
      </c>
      <c r="H388" s="17">
        <v>373</v>
      </c>
      <c r="I388" s="43">
        <v>0.66834045455060542</v>
      </c>
      <c r="J388" s="43">
        <v>1.8954167530679418E-2</v>
      </c>
      <c r="K388" s="43"/>
      <c r="L388" s="43">
        <v>0.25480000000000003</v>
      </c>
      <c r="O388" s="50"/>
    </row>
    <row r="389" spans="2:15" x14ac:dyDescent="0.2">
      <c r="B389">
        <v>374</v>
      </c>
      <c r="C389" s="48">
        <f t="shared" ca="1" si="24"/>
        <v>-6.7992960179783943E-2</v>
      </c>
      <c r="D389" s="48">
        <f t="shared" ca="1" si="21"/>
        <v>0.66006623969283917</v>
      </c>
      <c r="E389" s="48">
        <f t="shared" ca="1" si="22"/>
        <v>0</v>
      </c>
      <c r="F389" s="17">
        <f t="shared" ca="1" si="23"/>
        <v>0</v>
      </c>
      <c r="H389" s="17">
        <v>374</v>
      </c>
      <c r="I389" s="43">
        <v>0.6696544472451732</v>
      </c>
      <c r="J389" s="43">
        <v>1.9811573335734828E-2</v>
      </c>
      <c r="K389" s="43"/>
      <c r="L389" s="43">
        <v>0.25800000000000001</v>
      </c>
      <c r="O389" s="50"/>
    </row>
    <row r="390" spans="2:15" x14ac:dyDescent="0.2">
      <c r="B390">
        <v>375</v>
      </c>
      <c r="C390" s="48">
        <f t="shared" ca="1" si="24"/>
        <v>-0.2491981670780565</v>
      </c>
      <c r="D390" s="48">
        <f t="shared" ca="1" si="21"/>
        <v>0.6483791480775829</v>
      </c>
      <c r="E390" s="48">
        <f t="shared" ca="1" si="22"/>
        <v>0</v>
      </c>
      <c r="F390" s="17">
        <f t="shared" ca="1" si="23"/>
        <v>0</v>
      </c>
      <c r="H390" s="17">
        <v>375</v>
      </c>
      <c r="I390" s="43">
        <v>0.67008165194060254</v>
      </c>
      <c r="J390" s="43">
        <v>2.0015597379272266E-2</v>
      </c>
      <c r="K390" s="43"/>
      <c r="L390" s="43">
        <v>0.24940000000000001</v>
      </c>
      <c r="O390" s="50"/>
    </row>
    <row r="391" spans="2:15" x14ac:dyDescent="0.2">
      <c r="B391">
        <v>376</v>
      </c>
      <c r="C391" s="48">
        <f t="shared" ca="1" si="24"/>
        <v>-2.1579179637937047</v>
      </c>
      <c r="D391" s="48">
        <f t="shared" ca="1" si="21"/>
        <v>0.53716202691458104</v>
      </c>
      <c r="E391" s="48">
        <f t="shared" ca="1" si="22"/>
        <v>0</v>
      </c>
      <c r="F391" s="17">
        <f t="shared" ca="1" si="23"/>
        <v>0</v>
      </c>
      <c r="H391" s="17">
        <v>376</v>
      </c>
      <c r="I391" s="43">
        <v>0.66855358049915214</v>
      </c>
      <c r="J391" s="43">
        <v>1.9070247878534098E-2</v>
      </c>
      <c r="K391" s="43"/>
      <c r="L391" s="43">
        <v>0.2462</v>
      </c>
      <c r="O391" s="50"/>
    </row>
    <row r="392" spans="2:15" x14ac:dyDescent="0.2">
      <c r="B392">
        <v>377</v>
      </c>
      <c r="C392" s="48">
        <f t="shared" ca="1" si="24"/>
        <v>0.90108441671142703</v>
      </c>
      <c r="D392" s="48">
        <f t="shared" ca="1" si="21"/>
        <v>0.72623894043117931</v>
      </c>
      <c r="E392" s="48">
        <f t="shared" ca="1" si="22"/>
        <v>0</v>
      </c>
      <c r="F392" s="17">
        <f t="shared" ca="1" si="23"/>
        <v>0</v>
      </c>
      <c r="H392" s="17">
        <v>377</v>
      </c>
      <c r="I392" s="43">
        <v>0.66834845178643043</v>
      </c>
      <c r="J392" s="43">
        <v>1.8989008642739665E-2</v>
      </c>
      <c r="K392" s="43"/>
      <c r="L392" s="43">
        <v>0.24940000000000001</v>
      </c>
      <c r="O392" s="50"/>
    </row>
    <row r="393" spans="2:15" x14ac:dyDescent="0.2">
      <c r="B393">
        <v>378</v>
      </c>
      <c r="C393" s="48">
        <f t="shared" ca="1" si="24"/>
        <v>-0.57315617919159778</v>
      </c>
      <c r="D393" s="48">
        <f t="shared" ca="1" si="21"/>
        <v>0.62799828124022194</v>
      </c>
      <c r="E393" s="48">
        <f t="shared" ca="1" si="22"/>
        <v>0</v>
      </c>
      <c r="F393" s="17">
        <f t="shared" ca="1" si="23"/>
        <v>0</v>
      </c>
      <c r="H393" s="17">
        <v>378</v>
      </c>
      <c r="I393" s="43">
        <v>0.66954164232376423</v>
      </c>
      <c r="J393" s="43">
        <v>1.9591112924247079E-2</v>
      </c>
      <c r="K393" s="43"/>
      <c r="L393" s="43">
        <v>0.252</v>
      </c>
      <c r="O393" s="50"/>
    </row>
    <row r="394" spans="2:15" x14ac:dyDescent="0.2">
      <c r="B394">
        <v>379</v>
      </c>
      <c r="C394" s="48">
        <f t="shared" ca="1" si="24"/>
        <v>0.38774893667511151</v>
      </c>
      <c r="D394" s="48">
        <f t="shared" ca="1" si="21"/>
        <v>0.69039965055615993</v>
      </c>
      <c r="E394" s="48">
        <f t="shared" ca="1" si="22"/>
        <v>0</v>
      </c>
      <c r="F394" s="17">
        <f t="shared" ca="1" si="23"/>
        <v>0</v>
      </c>
      <c r="H394" s="17">
        <v>379</v>
      </c>
      <c r="I394" s="43">
        <v>0.66846289776812506</v>
      </c>
      <c r="J394" s="43">
        <v>1.885202786225354E-2</v>
      </c>
      <c r="K394" s="43"/>
      <c r="L394" s="43">
        <v>0.2424</v>
      </c>
      <c r="O394" s="50"/>
    </row>
    <row r="395" spans="2:15" x14ac:dyDescent="0.2">
      <c r="B395">
        <v>380</v>
      </c>
      <c r="C395" s="48">
        <f t="shared" ca="1" si="24"/>
        <v>0.83090438776041631</v>
      </c>
      <c r="D395" s="48">
        <f t="shared" ca="1" si="21"/>
        <v>0.72123152933064449</v>
      </c>
      <c r="E395" s="48">
        <f t="shared" ca="1" si="22"/>
        <v>0</v>
      </c>
      <c r="F395" s="17">
        <f t="shared" ca="1" si="23"/>
        <v>0</v>
      </c>
      <c r="H395" s="17">
        <v>380</v>
      </c>
      <c r="I395" s="43">
        <v>0.66838277372391741</v>
      </c>
      <c r="J395" s="43">
        <v>1.8912679732454356E-2</v>
      </c>
      <c r="K395" s="43"/>
      <c r="L395" s="43">
        <v>0.23899999999999999</v>
      </c>
      <c r="O395" s="50"/>
    </row>
    <row r="396" spans="2:15" x14ac:dyDescent="0.2">
      <c r="B396">
        <v>381</v>
      </c>
      <c r="C396" s="48">
        <f t="shared" ca="1" si="24"/>
        <v>0.17126162854628976</v>
      </c>
      <c r="D396" s="48">
        <f t="shared" ca="1" si="21"/>
        <v>0.67582062802995135</v>
      </c>
      <c r="E396" s="48">
        <f t="shared" ca="1" si="22"/>
        <v>0</v>
      </c>
      <c r="F396" s="17">
        <f t="shared" ca="1" si="23"/>
        <v>0</v>
      </c>
      <c r="H396" s="17">
        <v>381</v>
      </c>
      <c r="I396" s="43">
        <v>0.66837920679934226</v>
      </c>
      <c r="J396" s="43">
        <v>1.8934766217383412E-2</v>
      </c>
      <c r="K396" s="43"/>
      <c r="L396" s="43">
        <v>0.25119999999999998</v>
      </c>
      <c r="O396" s="50"/>
    </row>
    <row r="397" spans="2:15" x14ac:dyDescent="0.2">
      <c r="B397">
        <v>382</v>
      </c>
      <c r="C397" s="48">
        <f t="shared" ca="1" si="24"/>
        <v>-1.9586950892814832</v>
      </c>
      <c r="D397" s="48">
        <f t="shared" ca="1" si="21"/>
        <v>0.54781665193823992</v>
      </c>
      <c r="E397" s="48">
        <f t="shared" ca="1" si="22"/>
        <v>0</v>
      </c>
      <c r="F397" s="17">
        <f t="shared" ca="1" si="23"/>
        <v>0</v>
      </c>
      <c r="H397" s="17">
        <v>382</v>
      </c>
      <c r="I397" s="43">
        <v>0.66935374084044053</v>
      </c>
      <c r="J397" s="43">
        <v>1.9416884432295115E-2</v>
      </c>
      <c r="K397" s="43"/>
      <c r="L397" s="43">
        <v>0.25559999999999999</v>
      </c>
      <c r="O397" s="50"/>
    </row>
    <row r="398" spans="2:15" x14ac:dyDescent="0.2">
      <c r="B398">
        <v>383</v>
      </c>
      <c r="C398" s="48">
        <f t="shared" ca="1" si="24"/>
        <v>0.26855185238934504</v>
      </c>
      <c r="D398" s="48">
        <f t="shared" ca="1" si="21"/>
        <v>0.68233401408980121</v>
      </c>
      <c r="E398" s="48">
        <f t="shared" ca="1" si="22"/>
        <v>0</v>
      </c>
      <c r="F398" s="17">
        <f t="shared" ca="1" si="23"/>
        <v>0</v>
      </c>
      <c r="H398" s="17">
        <v>383</v>
      </c>
      <c r="I398" s="43">
        <v>0.66870692856052272</v>
      </c>
      <c r="J398" s="43">
        <v>1.9383206433844381E-2</v>
      </c>
      <c r="K398" s="43"/>
      <c r="L398" s="43">
        <v>0.24840000000000001</v>
      </c>
      <c r="O398" s="50"/>
    </row>
    <row r="399" spans="2:15" x14ac:dyDescent="0.2">
      <c r="B399">
        <v>384</v>
      </c>
      <c r="C399" s="48">
        <f t="shared" ca="1" si="24"/>
        <v>1.0708899679586257</v>
      </c>
      <c r="D399" s="48">
        <f t="shared" ca="1" si="21"/>
        <v>0.73849902326242367</v>
      </c>
      <c r="E399" s="48">
        <f t="shared" ca="1" si="22"/>
        <v>0</v>
      </c>
      <c r="F399" s="17">
        <f t="shared" ca="1" si="23"/>
        <v>0</v>
      </c>
      <c r="H399" s="17">
        <v>384</v>
      </c>
      <c r="I399" s="43">
        <v>0.66901925924114869</v>
      </c>
      <c r="J399" s="43">
        <v>1.9458125562265775E-2</v>
      </c>
      <c r="K399" s="43"/>
      <c r="L399" s="43">
        <v>0.24759999999999999</v>
      </c>
      <c r="O399" s="50"/>
    </row>
    <row r="400" spans="2:15" x14ac:dyDescent="0.2">
      <c r="B400">
        <v>385</v>
      </c>
      <c r="C400" s="48">
        <f t="shared" ca="1" si="24"/>
        <v>-9.7447306989465979E-2</v>
      </c>
      <c r="D400" s="48">
        <f t="shared" ref="D400:D463" ca="1" si="25">S0*EXP((μ-0.5*σ*σ)*T+σ*SQRT(T)*$C400)</f>
        <v>0.65815230007970738</v>
      </c>
      <c r="E400" s="48">
        <f t="shared" ref="E400:E463" ca="1" si="26">MAX(0,CP*(D400-K))</f>
        <v>0</v>
      </c>
      <c r="F400" s="17">
        <f t="shared" ref="F400:F463" ca="1" si="27">(CP*(D400-K)&gt;0)*1</f>
        <v>0</v>
      </c>
      <c r="H400" s="17">
        <v>385</v>
      </c>
      <c r="I400" s="43">
        <v>0.66950956756173541</v>
      </c>
      <c r="J400" s="43">
        <v>1.991149803977971E-2</v>
      </c>
      <c r="K400" s="43"/>
      <c r="L400" s="43">
        <v>0.25159999999999999</v>
      </c>
      <c r="O400" s="50"/>
    </row>
    <row r="401" spans="2:15" x14ac:dyDescent="0.2">
      <c r="B401">
        <v>386</v>
      </c>
      <c r="C401" s="48">
        <f t="shared" ref="C401:C464" ca="1" si="28">_xlfn.NORM.S.INV(RAND())</f>
        <v>1.8282931852177537</v>
      </c>
      <c r="D401" s="48">
        <f t="shared" ca="1" si="25"/>
        <v>0.79575412197698059</v>
      </c>
      <c r="E401" s="48">
        <f t="shared" ca="1" si="26"/>
        <v>7.5541219769805767E-3</v>
      </c>
      <c r="F401" s="17">
        <f t="shared" ca="1" si="27"/>
        <v>1</v>
      </c>
      <c r="H401" s="17">
        <v>386</v>
      </c>
      <c r="I401" s="43">
        <v>0.66911455470394621</v>
      </c>
      <c r="J401" s="43">
        <v>1.9823872415640442E-2</v>
      </c>
      <c r="K401" s="43"/>
      <c r="L401" s="43">
        <v>0.25119999999999998</v>
      </c>
      <c r="O401" s="50"/>
    </row>
    <row r="402" spans="2:15" x14ac:dyDescent="0.2">
      <c r="B402">
        <v>387</v>
      </c>
      <c r="C402" s="48">
        <f t="shared" ca="1" si="28"/>
        <v>-0.33605487514106996</v>
      </c>
      <c r="D402" s="48">
        <f t="shared" ca="1" si="25"/>
        <v>0.64285079179539883</v>
      </c>
      <c r="E402" s="48">
        <f t="shared" ca="1" si="26"/>
        <v>0</v>
      </c>
      <c r="F402" s="17">
        <f t="shared" ca="1" si="27"/>
        <v>0</v>
      </c>
      <c r="H402" s="17">
        <v>387</v>
      </c>
      <c r="I402" s="43">
        <v>0.66854827186578125</v>
      </c>
      <c r="J402" s="43">
        <v>1.9237830926545851E-2</v>
      </c>
      <c r="K402" s="43"/>
      <c r="L402" s="43">
        <v>0.24859999999999999</v>
      </c>
      <c r="O402" s="50"/>
    </row>
    <row r="403" spans="2:15" x14ac:dyDescent="0.2">
      <c r="B403">
        <v>388</v>
      </c>
      <c r="C403" s="48">
        <f t="shared" ca="1" si="28"/>
        <v>-0.65089059254317339</v>
      </c>
      <c r="D403" s="48">
        <f t="shared" ca="1" si="25"/>
        <v>0.62320392362035026</v>
      </c>
      <c r="E403" s="48">
        <f t="shared" ca="1" si="26"/>
        <v>0</v>
      </c>
      <c r="F403" s="17">
        <f t="shared" ca="1" si="27"/>
        <v>0</v>
      </c>
      <c r="H403" s="17">
        <v>388</v>
      </c>
      <c r="I403" s="43">
        <v>0.66882990563578459</v>
      </c>
      <c r="J403" s="43">
        <v>1.9222317847173591E-2</v>
      </c>
      <c r="K403" s="43"/>
      <c r="L403" s="43">
        <v>0.25259999999999999</v>
      </c>
      <c r="O403" s="50"/>
    </row>
    <row r="404" spans="2:15" x14ac:dyDescent="0.2">
      <c r="B404">
        <v>389</v>
      </c>
      <c r="C404" s="48">
        <f t="shared" ca="1" si="28"/>
        <v>-5.865768622873628E-2</v>
      </c>
      <c r="D404" s="48">
        <f t="shared" ca="1" si="25"/>
        <v>0.66067400537410237</v>
      </c>
      <c r="E404" s="48">
        <f t="shared" ca="1" si="26"/>
        <v>0</v>
      </c>
      <c r="F404" s="17">
        <f t="shared" ca="1" si="27"/>
        <v>0</v>
      </c>
      <c r="H404" s="17">
        <v>389</v>
      </c>
      <c r="I404" s="43">
        <v>0.66973830656192423</v>
      </c>
      <c r="J404" s="43">
        <v>1.9985699430022704E-2</v>
      </c>
      <c r="K404" s="43"/>
      <c r="L404" s="43">
        <v>0.25180000000000002</v>
      </c>
      <c r="O404" s="50"/>
    </row>
    <row r="405" spans="2:15" x14ac:dyDescent="0.2">
      <c r="B405">
        <v>390</v>
      </c>
      <c r="C405" s="48">
        <f t="shared" ca="1" si="28"/>
        <v>-0.70509069243747913</v>
      </c>
      <c r="D405" s="48">
        <f t="shared" ca="1" si="25"/>
        <v>0.61988274535170873</v>
      </c>
      <c r="E405" s="48">
        <f t="shared" ca="1" si="26"/>
        <v>0</v>
      </c>
      <c r="F405" s="17">
        <f t="shared" ca="1" si="27"/>
        <v>0</v>
      </c>
      <c r="H405" s="17">
        <v>390</v>
      </c>
      <c r="I405" s="43">
        <v>0.6697817966519567</v>
      </c>
      <c r="J405" s="43">
        <v>1.9899010687910987E-2</v>
      </c>
      <c r="K405" s="43"/>
      <c r="L405" s="43">
        <v>0.24979999999999999</v>
      </c>
      <c r="O405" s="50"/>
    </row>
    <row r="406" spans="2:15" x14ac:dyDescent="0.2">
      <c r="B406">
        <v>391</v>
      </c>
      <c r="C406" s="48">
        <f t="shared" ca="1" si="28"/>
        <v>0.64619791252896097</v>
      </c>
      <c r="D406" s="48">
        <f t="shared" ca="1" si="25"/>
        <v>0.70821694355584786</v>
      </c>
      <c r="E406" s="48">
        <f t="shared" ca="1" si="26"/>
        <v>0</v>
      </c>
      <c r="F406" s="17">
        <f t="shared" ca="1" si="27"/>
        <v>0</v>
      </c>
      <c r="H406" s="17">
        <v>391</v>
      </c>
      <c r="I406" s="43">
        <v>0.66896488109215824</v>
      </c>
      <c r="J406" s="43">
        <v>1.9370407294746816E-2</v>
      </c>
      <c r="K406" s="43"/>
      <c r="L406" s="43">
        <v>0.24540000000000001</v>
      </c>
      <c r="O406" s="50"/>
    </row>
    <row r="407" spans="2:15" x14ac:dyDescent="0.2">
      <c r="B407">
        <v>392</v>
      </c>
      <c r="C407" s="48">
        <f t="shared" ca="1" si="28"/>
        <v>1.4172748128594421</v>
      </c>
      <c r="D407" s="48">
        <f t="shared" ca="1" si="25"/>
        <v>0.76415372892064748</v>
      </c>
      <c r="E407" s="48">
        <f t="shared" ca="1" si="26"/>
        <v>0</v>
      </c>
      <c r="F407" s="17">
        <f t="shared" ca="1" si="27"/>
        <v>0</v>
      </c>
      <c r="H407" s="17">
        <v>392</v>
      </c>
      <c r="I407" s="43">
        <v>0.67153236539526662</v>
      </c>
      <c r="J407" s="43">
        <v>2.1282641047615472E-2</v>
      </c>
      <c r="K407" s="43"/>
      <c r="L407" s="43">
        <v>0.2626</v>
      </c>
      <c r="O407" s="50"/>
    </row>
    <row r="408" spans="2:15" x14ac:dyDescent="0.2">
      <c r="B408">
        <v>393</v>
      </c>
      <c r="C408" s="48">
        <f t="shared" ca="1" si="28"/>
        <v>1.8279692767539948</v>
      </c>
      <c r="D408" s="48">
        <f t="shared" ca="1" si="25"/>
        <v>0.79572871131497402</v>
      </c>
      <c r="E408" s="48">
        <f t="shared" ca="1" si="26"/>
        <v>7.5287113149740126E-3</v>
      </c>
      <c r="F408" s="17">
        <f t="shared" ca="1" si="27"/>
        <v>1</v>
      </c>
      <c r="H408" s="17">
        <v>393</v>
      </c>
      <c r="I408" s="43">
        <v>0.66858082578529998</v>
      </c>
      <c r="J408" s="43">
        <v>1.9038892783889587E-2</v>
      </c>
      <c r="K408" s="43"/>
      <c r="L408" s="43">
        <v>0.25</v>
      </c>
      <c r="O408" s="50"/>
    </row>
    <row r="409" spans="2:15" x14ac:dyDescent="0.2">
      <c r="B409">
        <v>394</v>
      </c>
      <c r="C409" s="48">
        <f t="shared" ca="1" si="28"/>
        <v>1.2966928345409727</v>
      </c>
      <c r="D409" s="48">
        <f t="shared" ca="1" si="25"/>
        <v>0.75512334944363269</v>
      </c>
      <c r="E409" s="48">
        <f t="shared" ca="1" si="26"/>
        <v>0</v>
      </c>
      <c r="F409" s="17">
        <f t="shared" ca="1" si="27"/>
        <v>0</v>
      </c>
      <c r="H409" s="17">
        <v>394</v>
      </c>
      <c r="I409" s="43">
        <v>0.66839691622375075</v>
      </c>
      <c r="J409" s="43">
        <v>1.9002560906842075E-2</v>
      </c>
      <c r="K409" s="43"/>
      <c r="L409" s="43">
        <v>0.25019999999999998</v>
      </c>
      <c r="O409" s="50"/>
    </row>
    <row r="410" spans="2:15" x14ac:dyDescent="0.2">
      <c r="B410">
        <v>395</v>
      </c>
      <c r="C410" s="48">
        <f t="shared" ca="1" si="28"/>
        <v>5.9875196962908689E-2</v>
      </c>
      <c r="D410" s="48">
        <f t="shared" ca="1" si="25"/>
        <v>0.66843983415577923</v>
      </c>
      <c r="E410" s="48">
        <f t="shared" ca="1" si="26"/>
        <v>0</v>
      </c>
      <c r="F410" s="17">
        <f t="shared" ca="1" si="27"/>
        <v>0</v>
      </c>
      <c r="H410" s="17">
        <v>395</v>
      </c>
      <c r="I410" s="43">
        <v>0.66876334910479307</v>
      </c>
      <c r="J410" s="43">
        <v>1.9171870096462644E-2</v>
      </c>
      <c r="K410" s="43"/>
      <c r="L410" s="43">
        <v>0.24879999999999999</v>
      </c>
      <c r="O410" s="50"/>
    </row>
    <row r="411" spans="2:15" x14ac:dyDescent="0.2">
      <c r="B411">
        <v>396</v>
      </c>
      <c r="C411" s="48">
        <f t="shared" ca="1" si="28"/>
        <v>-0.3302258341319943</v>
      </c>
      <c r="D411" s="48">
        <f t="shared" ca="1" si="25"/>
        <v>0.64322032528951534</v>
      </c>
      <c r="E411" s="48">
        <f t="shared" ca="1" si="26"/>
        <v>0</v>
      </c>
      <c r="F411" s="17">
        <f t="shared" ca="1" si="27"/>
        <v>0</v>
      </c>
      <c r="H411" s="17">
        <v>396</v>
      </c>
      <c r="I411" s="43">
        <v>0.66851603259429393</v>
      </c>
      <c r="J411" s="43">
        <v>1.8911257859706251E-2</v>
      </c>
      <c r="K411" s="43"/>
      <c r="L411" s="43">
        <v>0.2482</v>
      </c>
      <c r="O411" s="50"/>
    </row>
    <row r="412" spans="2:15" x14ac:dyDescent="0.2">
      <c r="B412">
        <v>397</v>
      </c>
      <c r="C412" s="48">
        <f t="shared" ca="1" si="28"/>
        <v>-1.4855360128905089</v>
      </c>
      <c r="D412" s="48">
        <f t="shared" ca="1" si="25"/>
        <v>0.57397635973282035</v>
      </c>
      <c r="E412" s="48">
        <f t="shared" ca="1" si="26"/>
        <v>0</v>
      </c>
      <c r="F412" s="17">
        <f t="shared" ca="1" si="27"/>
        <v>0</v>
      </c>
      <c r="H412" s="17">
        <v>397</v>
      </c>
      <c r="I412" s="43">
        <v>0.66998656711666638</v>
      </c>
      <c r="J412" s="43">
        <v>2.0137599202518619E-2</v>
      </c>
      <c r="K412" s="43"/>
      <c r="L412" s="43">
        <v>0.25519999999999998</v>
      </c>
      <c r="O412" s="50"/>
    </row>
    <row r="413" spans="2:15" x14ac:dyDescent="0.2">
      <c r="B413">
        <v>398</v>
      </c>
      <c r="C413" s="48">
        <f t="shared" ca="1" si="28"/>
        <v>-0.44696037098207142</v>
      </c>
      <c r="D413" s="48">
        <f t="shared" ca="1" si="25"/>
        <v>0.63586021726490749</v>
      </c>
      <c r="E413" s="48">
        <f t="shared" ca="1" si="26"/>
        <v>0</v>
      </c>
      <c r="F413" s="17">
        <f t="shared" ca="1" si="27"/>
        <v>0</v>
      </c>
      <c r="H413" s="17">
        <v>398</v>
      </c>
      <c r="I413" s="43">
        <v>0.66809123521854041</v>
      </c>
      <c r="J413" s="43">
        <v>1.880225211708204E-2</v>
      </c>
      <c r="K413" s="43"/>
      <c r="L413" s="43">
        <v>0.2452</v>
      </c>
      <c r="O413" s="50"/>
    </row>
    <row r="414" spans="2:15" x14ac:dyDescent="0.2">
      <c r="B414">
        <v>399</v>
      </c>
      <c r="C414" s="48">
        <f t="shared" ca="1" si="28"/>
        <v>0.63981341521977597</v>
      </c>
      <c r="D414" s="48">
        <f t="shared" ca="1" si="25"/>
        <v>0.70777130981122327</v>
      </c>
      <c r="E414" s="48">
        <f t="shared" ca="1" si="26"/>
        <v>0</v>
      </c>
      <c r="F414" s="17">
        <f t="shared" ca="1" si="27"/>
        <v>0</v>
      </c>
      <c r="H414" s="17">
        <v>399</v>
      </c>
      <c r="I414" s="43">
        <v>0.66931895983327516</v>
      </c>
      <c r="J414" s="43">
        <v>1.9720131358249918E-2</v>
      </c>
      <c r="K414" s="43"/>
      <c r="L414" s="43">
        <v>0.24959999999999999</v>
      </c>
      <c r="O414" s="50"/>
    </row>
    <row r="415" spans="2:15" x14ac:dyDescent="0.2">
      <c r="B415">
        <v>400</v>
      </c>
      <c r="C415" s="48">
        <f t="shared" ca="1" si="28"/>
        <v>-1.3346884569151343</v>
      </c>
      <c r="D415" s="48">
        <f t="shared" ca="1" si="25"/>
        <v>0.582576139914602</v>
      </c>
      <c r="E415" s="48">
        <f t="shared" ca="1" si="26"/>
        <v>0</v>
      </c>
      <c r="F415" s="17">
        <f t="shared" ca="1" si="27"/>
        <v>0</v>
      </c>
      <c r="H415" s="17">
        <v>400</v>
      </c>
      <c r="I415" s="43">
        <v>0.66933093838470381</v>
      </c>
      <c r="J415" s="43">
        <v>1.9729189700175252E-2</v>
      </c>
      <c r="K415" s="43"/>
      <c r="L415" s="43">
        <v>0.25659999999999999</v>
      </c>
      <c r="O415" s="50"/>
    </row>
    <row r="416" spans="2:15" x14ac:dyDescent="0.2">
      <c r="B416">
        <v>401</v>
      </c>
      <c r="C416" s="48">
        <f t="shared" ca="1" si="28"/>
        <v>0.64743174189071884</v>
      </c>
      <c r="D416" s="48">
        <f t="shared" ca="1" si="25"/>
        <v>0.70830309638592903</v>
      </c>
      <c r="E416" s="48">
        <f t="shared" ca="1" si="26"/>
        <v>0</v>
      </c>
      <c r="F416" s="17">
        <f t="shared" ca="1" si="27"/>
        <v>0</v>
      </c>
      <c r="H416" s="17">
        <v>401</v>
      </c>
      <c r="I416" s="43">
        <v>0.66900556919205767</v>
      </c>
      <c r="J416" s="43">
        <v>1.9684751324366728E-2</v>
      </c>
      <c r="K416" s="43"/>
      <c r="L416" s="43">
        <v>0.251</v>
      </c>
      <c r="O416" s="50"/>
    </row>
    <row r="417" spans="2:15" x14ac:dyDescent="0.2">
      <c r="B417">
        <v>402</v>
      </c>
      <c r="C417" s="48">
        <f t="shared" ca="1" si="28"/>
        <v>0.10023571244531182</v>
      </c>
      <c r="D417" s="48">
        <f t="shared" ca="1" si="25"/>
        <v>0.6711048823799981</v>
      </c>
      <c r="E417" s="48">
        <f t="shared" ca="1" si="26"/>
        <v>0</v>
      </c>
      <c r="F417" s="17">
        <f t="shared" ca="1" si="27"/>
        <v>0</v>
      </c>
      <c r="H417" s="17">
        <v>402</v>
      </c>
      <c r="I417" s="43">
        <v>0.66832984827582365</v>
      </c>
      <c r="J417" s="43">
        <v>1.8750603880410995E-2</v>
      </c>
      <c r="K417" s="43"/>
      <c r="L417" s="43">
        <v>0.24579999999999999</v>
      </c>
      <c r="O417" s="50"/>
    </row>
    <row r="418" spans="2:15" x14ac:dyDescent="0.2">
      <c r="B418">
        <v>403</v>
      </c>
      <c r="C418" s="48">
        <f t="shared" ca="1" si="28"/>
        <v>-0.51174729320577184</v>
      </c>
      <c r="D418" s="48">
        <f t="shared" ca="1" si="25"/>
        <v>0.63181180712991425</v>
      </c>
      <c r="E418" s="48">
        <f t="shared" ca="1" si="26"/>
        <v>0</v>
      </c>
      <c r="F418" s="17">
        <f t="shared" ca="1" si="27"/>
        <v>0</v>
      </c>
      <c r="H418" s="17">
        <v>403</v>
      </c>
      <c r="I418" s="43">
        <v>0.66905518640418682</v>
      </c>
      <c r="J418" s="43">
        <v>1.9403570143154879E-2</v>
      </c>
      <c r="K418" s="43"/>
      <c r="L418" s="43">
        <v>0.248</v>
      </c>
      <c r="O418" s="50"/>
    </row>
    <row r="419" spans="2:15" x14ac:dyDescent="0.2">
      <c r="B419">
        <v>404</v>
      </c>
      <c r="C419" s="48">
        <f t="shared" ca="1" si="28"/>
        <v>0.79721008208574795</v>
      </c>
      <c r="D419" s="48">
        <f t="shared" ca="1" si="25"/>
        <v>0.71883969107312418</v>
      </c>
      <c r="E419" s="48">
        <f t="shared" ca="1" si="26"/>
        <v>0</v>
      </c>
      <c r="F419" s="17">
        <f t="shared" ca="1" si="27"/>
        <v>0</v>
      </c>
      <c r="H419" s="17">
        <v>404</v>
      </c>
      <c r="I419" s="43">
        <v>0.66916157183698644</v>
      </c>
      <c r="J419" s="43">
        <v>1.948287290033263E-2</v>
      </c>
      <c r="K419" s="43"/>
      <c r="L419" s="43">
        <v>0.25019999999999998</v>
      </c>
      <c r="O419" s="50"/>
    </row>
    <row r="420" spans="2:15" x14ac:dyDescent="0.2">
      <c r="B420">
        <v>405</v>
      </c>
      <c r="C420" s="48">
        <f t="shared" ca="1" si="28"/>
        <v>8.0537377884009487E-3</v>
      </c>
      <c r="D420" s="48">
        <f t="shared" ca="1" si="25"/>
        <v>0.66503351952771339</v>
      </c>
      <c r="E420" s="48">
        <f t="shared" ca="1" si="26"/>
        <v>0</v>
      </c>
      <c r="F420" s="17">
        <f t="shared" ca="1" si="27"/>
        <v>0</v>
      </c>
      <c r="H420" s="17">
        <v>405</v>
      </c>
      <c r="I420" s="43">
        <v>0.66761808830714398</v>
      </c>
      <c r="J420" s="43">
        <v>1.8253026874936816E-2</v>
      </c>
      <c r="K420" s="43"/>
      <c r="L420" s="43">
        <v>0.24060000000000001</v>
      </c>
      <c r="O420" s="50"/>
    </row>
    <row r="421" spans="2:15" x14ac:dyDescent="0.2">
      <c r="B421">
        <v>406</v>
      </c>
      <c r="C421" s="48">
        <f t="shared" ca="1" si="28"/>
        <v>0.88570922342660319</v>
      </c>
      <c r="D421" s="48">
        <f t="shared" ca="1" si="25"/>
        <v>0.7251389403280033</v>
      </c>
      <c r="E421" s="48">
        <f t="shared" ca="1" si="26"/>
        <v>0</v>
      </c>
      <c r="F421" s="17">
        <f t="shared" ca="1" si="27"/>
        <v>0</v>
      </c>
      <c r="H421" s="17">
        <v>406</v>
      </c>
      <c r="I421" s="43">
        <v>0.6693237992768597</v>
      </c>
      <c r="J421" s="43">
        <v>1.9702497964758932E-2</v>
      </c>
      <c r="K421" s="43"/>
      <c r="L421" s="43">
        <v>0.25540000000000002</v>
      </c>
      <c r="O421" s="50"/>
    </row>
    <row r="422" spans="2:15" x14ac:dyDescent="0.2">
      <c r="B422">
        <v>407</v>
      </c>
      <c r="C422" s="48">
        <f t="shared" ca="1" si="28"/>
        <v>-0.79312109126421371</v>
      </c>
      <c r="D422" s="48">
        <f t="shared" ca="1" si="25"/>
        <v>0.6145262498291697</v>
      </c>
      <c r="E422" s="48">
        <f t="shared" ca="1" si="26"/>
        <v>0</v>
      </c>
      <c r="F422" s="17">
        <f t="shared" ca="1" si="27"/>
        <v>0</v>
      </c>
      <c r="H422" s="17">
        <v>407</v>
      </c>
      <c r="I422" s="43">
        <v>0.67084730280488947</v>
      </c>
      <c r="J422" s="43">
        <v>2.066476962242084E-2</v>
      </c>
      <c r="K422" s="43"/>
      <c r="L422" s="43">
        <v>0.25659999999999999</v>
      </c>
      <c r="O422" s="50"/>
    </row>
    <row r="423" spans="2:15" x14ac:dyDescent="0.2">
      <c r="B423">
        <v>408</v>
      </c>
      <c r="C423" s="48">
        <f t="shared" ca="1" si="28"/>
        <v>-0.24497568770275219</v>
      </c>
      <c r="D423" s="48">
        <f t="shared" ca="1" si="25"/>
        <v>0.6486491138433087</v>
      </c>
      <c r="E423" s="48">
        <f t="shared" ca="1" si="26"/>
        <v>0</v>
      </c>
      <c r="F423" s="17">
        <f t="shared" ca="1" si="27"/>
        <v>0</v>
      </c>
      <c r="H423" s="17">
        <v>408</v>
      </c>
      <c r="I423" s="43">
        <v>0.6672901182824057</v>
      </c>
      <c r="J423" s="43">
        <v>1.8078498399720328E-2</v>
      </c>
      <c r="K423" s="43"/>
      <c r="L423" s="43">
        <v>0.24460000000000001</v>
      </c>
      <c r="O423" s="50"/>
    </row>
    <row r="424" spans="2:15" x14ac:dyDescent="0.2">
      <c r="B424">
        <v>409</v>
      </c>
      <c r="C424" s="48">
        <f t="shared" ca="1" si="28"/>
        <v>0.44014537488912153</v>
      </c>
      <c r="D424" s="48">
        <f t="shared" ca="1" si="25"/>
        <v>0.6939752283775068</v>
      </c>
      <c r="E424" s="48">
        <f t="shared" ca="1" si="26"/>
        <v>0</v>
      </c>
      <c r="F424" s="17">
        <f t="shared" ca="1" si="27"/>
        <v>0</v>
      </c>
      <c r="H424" s="17">
        <v>409</v>
      </c>
      <c r="I424" s="43">
        <v>0.66946861857595774</v>
      </c>
      <c r="J424" s="43">
        <v>1.9682162772197875E-2</v>
      </c>
      <c r="K424" s="43"/>
      <c r="L424" s="43">
        <v>0.25319999999999998</v>
      </c>
      <c r="O424" s="50"/>
    </row>
    <row r="425" spans="2:15" x14ac:dyDescent="0.2">
      <c r="B425">
        <v>410</v>
      </c>
      <c r="C425" s="48">
        <f t="shared" ca="1" si="28"/>
        <v>-0.79788610915859115</v>
      </c>
      <c r="D425" s="48">
        <f t="shared" ca="1" si="25"/>
        <v>0.614237630980633</v>
      </c>
      <c r="E425" s="48">
        <f t="shared" ca="1" si="26"/>
        <v>0</v>
      </c>
      <c r="F425" s="17">
        <f t="shared" ca="1" si="27"/>
        <v>0</v>
      </c>
      <c r="H425" s="17">
        <v>410</v>
      </c>
      <c r="I425" s="43">
        <v>0.66798231240966</v>
      </c>
      <c r="J425" s="43">
        <v>1.8977801581112765E-2</v>
      </c>
      <c r="K425" s="43"/>
      <c r="L425" s="43">
        <v>0.248</v>
      </c>
      <c r="O425" s="50"/>
    </row>
    <row r="426" spans="2:15" x14ac:dyDescent="0.2">
      <c r="B426">
        <v>411</v>
      </c>
      <c r="C426" s="48">
        <f t="shared" ca="1" si="28"/>
        <v>-1.0024538624964809</v>
      </c>
      <c r="D426" s="48">
        <f t="shared" ca="1" si="25"/>
        <v>0.60197388093854431</v>
      </c>
      <c r="E426" s="48">
        <f t="shared" ca="1" si="26"/>
        <v>0</v>
      </c>
      <c r="F426" s="17">
        <f t="shared" ca="1" si="27"/>
        <v>0</v>
      </c>
      <c r="H426" s="17">
        <v>411</v>
      </c>
      <c r="I426" s="43">
        <v>0.66938409932596343</v>
      </c>
      <c r="J426" s="43">
        <v>1.9413094378298815E-2</v>
      </c>
      <c r="K426" s="43"/>
      <c r="L426" s="43">
        <v>0.25240000000000001</v>
      </c>
      <c r="O426" s="50"/>
    </row>
    <row r="427" spans="2:15" x14ac:dyDescent="0.2">
      <c r="B427">
        <v>412</v>
      </c>
      <c r="C427" s="48">
        <f t="shared" ca="1" si="28"/>
        <v>-0.20212761515970051</v>
      </c>
      <c r="D427" s="48">
        <f t="shared" ca="1" si="25"/>
        <v>0.65139498689306119</v>
      </c>
      <c r="E427" s="48">
        <f t="shared" ca="1" si="26"/>
        <v>0</v>
      </c>
      <c r="F427" s="17">
        <f t="shared" ca="1" si="27"/>
        <v>0</v>
      </c>
      <c r="H427" s="17">
        <v>412</v>
      </c>
      <c r="I427" s="43">
        <v>0.66944395427759895</v>
      </c>
      <c r="J427" s="43">
        <v>1.9694448573505097E-2</v>
      </c>
      <c r="K427" s="43"/>
      <c r="L427" s="43">
        <v>0.24979999999999999</v>
      </c>
      <c r="O427" s="50"/>
    </row>
    <row r="428" spans="2:15" x14ac:dyDescent="0.2">
      <c r="B428">
        <v>413</v>
      </c>
      <c r="C428" s="48">
        <f t="shared" ca="1" si="28"/>
        <v>0.82755917736857332</v>
      </c>
      <c r="D428" s="48">
        <f t="shared" ca="1" si="25"/>
        <v>0.72099370939920659</v>
      </c>
      <c r="E428" s="48">
        <f t="shared" ca="1" si="26"/>
        <v>0</v>
      </c>
      <c r="F428" s="17">
        <f t="shared" ca="1" si="27"/>
        <v>0</v>
      </c>
      <c r="H428" s="17">
        <v>413</v>
      </c>
      <c r="I428" s="43">
        <v>0.66961351276640591</v>
      </c>
      <c r="J428" s="43">
        <v>1.9692665827427548E-2</v>
      </c>
      <c r="K428" s="43"/>
      <c r="L428" s="43">
        <v>0.24679999999999999</v>
      </c>
      <c r="O428" s="50"/>
    </row>
    <row r="429" spans="2:15" x14ac:dyDescent="0.2">
      <c r="B429">
        <v>414</v>
      </c>
      <c r="C429" s="48">
        <f t="shared" ca="1" si="28"/>
        <v>-2.2396831580130323</v>
      </c>
      <c r="D429" s="48">
        <f t="shared" ca="1" si="25"/>
        <v>0.53284935675374101</v>
      </c>
      <c r="E429" s="48">
        <f t="shared" ca="1" si="26"/>
        <v>0</v>
      </c>
      <c r="F429" s="17">
        <f t="shared" ca="1" si="27"/>
        <v>0</v>
      </c>
      <c r="H429" s="17">
        <v>414</v>
      </c>
      <c r="I429" s="43">
        <v>0.66861698866501973</v>
      </c>
      <c r="J429" s="43">
        <v>1.9148576764447166E-2</v>
      </c>
      <c r="K429" s="43"/>
      <c r="L429" s="43">
        <v>0.24879999999999999</v>
      </c>
      <c r="O429" s="50"/>
    </row>
    <row r="430" spans="2:15" x14ac:dyDescent="0.2">
      <c r="B430">
        <v>415</v>
      </c>
      <c r="C430" s="48">
        <f t="shared" ca="1" si="28"/>
        <v>0.25337567246731635</v>
      </c>
      <c r="D430" s="48">
        <f t="shared" ca="1" si="25"/>
        <v>0.68131388212164035</v>
      </c>
      <c r="E430" s="48">
        <f t="shared" ca="1" si="26"/>
        <v>0</v>
      </c>
      <c r="F430" s="17">
        <f t="shared" ca="1" si="27"/>
        <v>0</v>
      </c>
      <c r="H430" s="17">
        <v>415</v>
      </c>
      <c r="I430" s="43">
        <v>0.6697840605803016</v>
      </c>
      <c r="J430" s="43">
        <v>1.9729678803498244E-2</v>
      </c>
      <c r="K430" s="43"/>
      <c r="L430" s="43">
        <v>0.24959999999999999</v>
      </c>
      <c r="O430" s="50"/>
    </row>
    <row r="431" spans="2:15" x14ac:dyDescent="0.2">
      <c r="B431">
        <v>416</v>
      </c>
      <c r="C431" s="48">
        <f t="shared" ca="1" si="28"/>
        <v>1.2351446603934593</v>
      </c>
      <c r="D431" s="48">
        <f t="shared" ca="1" si="25"/>
        <v>0.75055522593898616</v>
      </c>
      <c r="E431" s="48">
        <f t="shared" ca="1" si="26"/>
        <v>0</v>
      </c>
      <c r="F431" s="17">
        <f t="shared" ca="1" si="27"/>
        <v>0</v>
      </c>
      <c r="H431" s="17">
        <v>416</v>
      </c>
      <c r="I431" s="43">
        <v>0.66921183670497952</v>
      </c>
      <c r="J431" s="43">
        <v>1.9422250730357023E-2</v>
      </c>
      <c r="K431" s="43"/>
      <c r="L431" s="43">
        <v>0.25</v>
      </c>
      <c r="O431" s="50"/>
    </row>
    <row r="432" spans="2:15" x14ac:dyDescent="0.2">
      <c r="B432">
        <v>417</v>
      </c>
      <c r="C432" s="48">
        <f t="shared" ca="1" si="28"/>
        <v>0.46604278435227586</v>
      </c>
      <c r="D432" s="48">
        <f t="shared" ca="1" si="25"/>
        <v>0.6957493220302845</v>
      </c>
      <c r="E432" s="48">
        <f t="shared" ca="1" si="26"/>
        <v>0</v>
      </c>
      <c r="F432" s="17">
        <f t="shared" ca="1" si="27"/>
        <v>0</v>
      </c>
      <c r="H432" s="17">
        <v>417</v>
      </c>
      <c r="I432" s="43">
        <v>0.66811295136023752</v>
      </c>
      <c r="J432" s="43">
        <v>1.8600346019718612E-2</v>
      </c>
      <c r="K432" s="43"/>
      <c r="L432" s="43">
        <v>0.24360000000000001</v>
      </c>
      <c r="O432" s="50"/>
    </row>
    <row r="433" spans="2:15" x14ac:dyDescent="0.2">
      <c r="B433">
        <v>418</v>
      </c>
      <c r="C433" s="48">
        <f t="shared" ca="1" si="28"/>
        <v>-1.2454038007716199</v>
      </c>
      <c r="D433" s="48">
        <f t="shared" ca="1" si="25"/>
        <v>0.5877268137864835</v>
      </c>
      <c r="E433" s="48">
        <f t="shared" ca="1" si="26"/>
        <v>0</v>
      </c>
      <c r="F433" s="17">
        <f t="shared" ca="1" si="27"/>
        <v>0</v>
      </c>
      <c r="H433" s="17">
        <v>418</v>
      </c>
      <c r="I433" s="43">
        <v>0.66973957582474075</v>
      </c>
      <c r="J433" s="43">
        <v>2.0042299443164147E-2</v>
      </c>
      <c r="K433" s="43"/>
      <c r="L433" s="43">
        <v>0.25140000000000001</v>
      </c>
      <c r="O433" s="50"/>
    </row>
    <row r="434" spans="2:15" x14ac:dyDescent="0.2">
      <c r="B434">
        <v>419</v>
      </c>
      <c r="C434" s="48">
        <f t="shared" ca="1" si="28"/>
        <v>-1.9463845049187629</v>
      </c>
      <c r="D434" s="48">
        <f t="shared" ca="1" si="25"/>
        <v>0.54848192385385475</v>
      </c>
      <c r="E434" s="48">
        <f t="shared" ca="1" si="26"/>
        <v>0</v>
      </c>
      <c r="F434" s="17">
        <f t="shared" ca="1" si="27"/>
        <v>0</v>
      </c>
      <c r="H434" s="17">
        <v>419</v>
      </c>
      <c r="I434" s="43">
        <v>0.66885835377848268</v>
      </c>
      <c r="J434" s="43">
        <v>1.9388992209598669E-2</v>
      </c>
      <c r="K434" s="43"/>
      <c r="L434" s="43">
        <v>0.24759999999999999</v>
      </c>
      <c r="O434" s="50"/>
    </row>
    <row r="435" spans="2:15" x14ac:dyDescent="0.2">
      <c r="B435">
        <v>420</v>
      </c>
      <c r="C435" s="48">
        <f t="shared" ca="1" si="28"/>
        <v>-0.79291719331195609</v>
      </c>
      <c r="D435" s="48">
        <f t="shared" ca="1" si="25"/>
        <v>0.6145386030267741</v>
      </c>
      <c r="E435" s="48">
        <f t="shared" ca="1" si="26"/>
        <v>0</v>
      </c>
      <c r="F435" s="17">
        <f t="shared" ca="1" si="27"/>
        <v>0</v>
      </c>
      <c r="H435" s="17">
        <v>420</v>
      </c>
      <c r="I435" s="43">
        <v>0.67003687976270332</v>
      </c>
      <c r="J435" s="43">
        <v>2.0049531658310856E-2</v>
      </c>
      <c r="K435" s="43"/>
      <c r="L435" s="43">
        <v>0.2462</v>
      </c>
      <c r="O435" s="50"/>
    </row>
    <row r="436" spans="2:15" x14ac:dyDescent="0.2">
      <c r="B436">
        <v>421</v>
      </c>
      <c r="C436" s="48">
        <f t="shared" ca="1" si="28"/>
        <v>-7.9416215702583587E-2</v>
      </c>
      <c r="D436" s="48">
        <f t="shared" ca="1" si="25"/>
        <v>0.65932329821304669</v>
      </c>
      <c r="E436" s="48">
        <f t="shared" ca="1" si="26"/>
        <v>0</v>
      </c>
      <c r="F436" s="17">
        <f t="shared" ca="1" si="27"/>
        <v>0</v>
      </c>
      <c r="H436" s="17">
        <v>421</v>
      </c>
      <c r="I436" s="43">
        <v>0.66937706272861652</v>
      </c>
      <c r="J436" s="43">
        <v>1.941416296774208E-2</v>
      </c>
      <c r="K436" s="43"/>
      <c r="L436" s="43">
        <v>0.24299999999999999</v>
      </c>
      <c r="O436" s="50"/>
    </row>
    <row r="437" spans="2:15" x14ac:dyDescent="0.2">
      <c r="B437">
        <v>422</v>
      </c>
      <c r="C437" s="48">
        <f t="shared" ca="1" si="28"/>
        <v>0.27829055453273033</v>
      </c>
      <c r="D437" s="48">
        <f t="shared" ca="1" si="25"/>
        <v>0.6829894471262502</v>
      </c>
      <c r="E437" s="48">
        <f t="shared" ca="1" si="26"/>
        <v>0</v>
      </c>
      <c r="F437" s="17">
        <f t="shared" ca="1" si="27"/>
        <v>0</v>
      </c>
      <c r="H437" s="17">
        <v>422</v>
      </c>
      <c r="I437" s="43">
        <v>0.66891611005529439</v>
      </c>
      <c r="J437" s="43">
        <v>1.9476474776722763E-2</v>
      </c>
      <c r="K437" s="43"/>
      <c r="L437" s="43">
        <v>0.25819999999999999</v>
      </c>
      <c r="O437" s="50"/>
    </row>
    <row r="438" spans="2:15" x14ac:dyDescent="0.2">
      <c r="B438">
        <v>423</v>
      </c>
      <c r="C438" s="48">
        <f t="shared" ca="1" si="28"/>
        <v>-0.25961212820374074</v>
      </c>
      <c r="D438" s="48">
        <f t="shared" ca="1" si="25"/>
        <v>0.64771380783960975</v>
      </c>
      <c r="E438" s="48">
        <f t="shared" ca="1" si="26"/>
        <v>0</v>
      </c>
      <c r="F438" s="17">
        <f t="shared" ca="1" si="27"/>
        <v>0</v>
      </c>
      <c r="H438" s="17">
        <v>423</v>
      </c>
      <c r="I438" s="43">
        <v>0.66853431138296981</v>
      </c>
      <c r="J438" s="43">
        <v>1.9072086673501729E-2</v>
      </c>
      <c r="K438" s="43"/>
      <c r="L438" s="43">
        <v>0.245</v>
      </c>
      <c r="O438" s="50"/>
    </row>
    <row r="439" spans="2:15" x14ac:dyDescent="0.2">
      <c r="B439">
        <v>424</v>
      </c>
      <c r="C439" s="48">
        <f t="shared" ca="1" si="28"/>
        <v>0.36178935345990559</v>
      </c>
      <c r="D439" s="48">
        <f t="shared" ca="1" si="25"/>
        <v>0.68863497701210619</v>
      </c>
      <c r="E439" s="48">
        <f t="shared" ca="1" si="26"/>
        <v>0</v>
      </c>
      <c r="F439" s="17">
        <f t="shared" ca="1" si="27"/>
        <v>0</v>
      </c>
      <c r="H439" s="17">
        <v>424</v>
      </c>
      <c r="I439" s="43">
        <v>0.66946802502081326</v>
      </c>
      <c r="J439" s="43">
        <v>1.9656615050377458E-2</v>
      </c>
      <c r="K439" s="43"/>
      <c r="L439" s="43">
        <v>0.25600000000000001</v>
      </c>
      <c r="O439" s="50"/>
    </row>
    <row r="440" spans="2:15" x14ac:dyDescent="0.2">
      <c r="B440">
        <v>425</v>
      </c>
      <c r="C440" s="48">
        <f t="shared" ca="1" si="28"/>
        <v>0.32547784552871523</v>
      </c>
      <c r="D440" s="48">
        <f t="shared" ca="1" si="25"/>
        <v>0.68617416772114215</v>
      </c>
      <c r="E440" s="48">
        <f t="shared" ca="1" si="26"/>
        <v>0</v>
      </c>
      <c r="F440" s="17">
        <f t="shared" ca="1" si="27"/>
        <v>0</v>
      </c>
      <c r="H440" s="17">
        <v>425</v>
      </c>
      <c r="I440" s="43">
        <v>0.66989083027991714</v>
      </c>
      <c r="J440" s="43">
        <v>2.0132288269325234E-2</v>
      </c>
      <c r="K440" s="43"/>
      <c r="L440" s="43">
        <v>0.2472</v>
      </c>
      <c r="O440" s="50"/>
    </row>
    <row r="441" spans="2:15" x14ac:dyDescent="0.2">
      <c r="B441">
        <v>426</v>
      </c>
      <c r="C441" s="48">
        <f t="shared" ca="1" si="28"/>
        <v>1.7306520568861716</v>
      </c>
      <c r="D441" s="48">
        <f t="shared" ca="1" si="25"/>
        <v>0.7881307908756906</v>
      </c>
      <c r="E441" s="48">
        <f t="shared" ca="1" si="26"/>
        <v>0</v>
      </c>
      <c r="F441" s="17">
        <f t="shared" ca="1" si="27"/>
        <v>0</v>
      </c>
      <c r="H441" s="17">
        <v>426</v>
      </c>
      <c r="I441" s="43">
        <v>0.66808845260177507</v>
      </c>
      <c r="J441" s="43">
        <v>1.8662555921686797E-2</v>
      </c>
      <c r="K441" s="43"/>
      <c r="L441" s="43">
        <v>0.24440000000000001</v>
      </c>
      <c r="O441" s="50"/>
    </row>
    <row r="442" spans="2:15" x14ac:dyDescent="0.2">
      <c r="B442">
        <v>427</v>
      </c>
      <c r="C442" s="48">
        <f t="shared" ca="1" si="28"/>
        <v>-0.94672304170976307</v>
      </c>
      <c r="D442" s="48">
        <f t="shared" ca="1" si="25"/>
        <v>0.6052904453741822</v>
      </c>
      <c r="E442" s="48">
        <f t="shared" ca="1" si="26"/>
        <v>0</v>
      </c>
      <c r="F442" s="17">
        <f t="shared" ca="1" si="27"/>
        <v>0</v>
      </c>
      <c r="H442" s="17">
        <v>427</v>
      </c>
      <c r="I442" s="43">
        <v>0.66786276582414961</v>
      </c>
      <c r="J442" s="43">
        <v>1.8515389058366093E-2</v>
      </c>
      <c r="K442" s="43"/>
      <c r="L442" s="43">
        <v>0.25180000000000002</v>
      </c>
      <c r="O442" s="50"/>
    </row>
    <row r="443" spans="2:15" x14ac:dyDescent="0.2">
      <c r="B443">
        <v>428</v>
      </c>
      <c r="C443" s="48">
        <f t="shared" ca="1" si="28"/>
        <v>0.56368312461211334</v>
      </c>
      <c r="D443" s="48">
        <f t="shared" ca="1" si="25"/>
        <v>0.70247902285128516</v>
      </c>
      <c r="E443" s="48">
        <f t="shared" ca="1" si="26"/>
        <v>0</v>
      </c>
      <c r="F443" s="17">
        <f t="shared" ca="1" si="27"/>
        <v>0</v>
      </c>
      <c r="H443" s="17">
        <v>428</v>
      </c>
      <c r="I443" s="43">
        <v>0.66956109880400816</v>
      </c>
      <c r="J443" s="43">
        <v>1.9733958194739755E-2</v>
      </c>
      <c r="K443" s="43"/>
      <c r="L443" s="43">
        <v>0.25240000000000001</v>
      </c>
      <c r="O443" s="50"/>
    </row>
    <row r="444" spans="2:15" x14ac:dyDescent="0.2">
      <c r="B444">
        <v>429</v>
      </c>
      <c r="C444" s="48">
        <f t="shared" ca="1" si="28"/>
        <v>-1.6184940462790013E-2</v>
      </c>
      <c r="D444" s="48">
        <f t="shared" ca="1" si="25"/>
        <v>0.66344623277522785</v>
      </c>
      <c r="E444" s="48">
        <f t="shared" ca="1" si="26"/>
        <v>0</v>
      </c>
      <c r="F444" s="17">
        <f t="shared" ca="1" si="27"/>
        <v>0</v>
      </c>
      <c r="H444" s="17">
        <v>429</v>
      </c>
      <c r="I444" s="43">
        <v>0.67040272401689271</v>
      </c>
      <c r="J444" s="43">
        <v>2.0528540318987425E-2</v>
      </c>
      <c r="K444" s="43"/>
      <c r="L444" s="43">
        <v>0.25600000000000001</v>
      </c>
      <c r="O444" s="50"/>
    </row>
    <row r="445" spans="2:15" x14ac:dyDescent="0.2">
      <c r="B445">
        <v>430</v>
      </c>
      <c r="C445" s="48">
        <f t="shared" ca="1" si="28"/>
        <v>0.17311980681110206</v>
      </c>
      <c r="D445" s="48">
        <f t="shared" ca="1" si="25"/>
        <v>0.67594444504228823</v>
      </c>
      <c r="E445" s="48">
        <f t="shared" ca="1" si="26"/>
        <v>0</v>
      </c>
      <c r="F445" s="17">
        <f t="shared" ca="1" si="27"/>
        <v>0</v>
      </c>
      <c r="H445" s="17">
        <v>430</v>
      </c>
      <c r="I445" s="43">
        <v>0.66795851583950661</v>
      </c>
      <c r="J445" s="43">
        <v>1.8617898798571529E-2</v>
      </c>
      <c r="K445" s="43"/>
      <c r="L445" s="43">
        <v>0.24679999999999999</v>
      </c>
      <c r="O445" s="50"/>
    </row>
    <row r="446" spans="2:15" x14ac:dyDescent="0.2">
      <c r="B446">
        <v>431</v>
      </c>
      <c r="C446" s="48">
        <f t="shared" ca="1" si="28"/>
        <v>1.4751521480159806</v>
      </c>
      <c r="D446" s="48">
        <f t="shared" ca="1" si="25"/>
        <v>0.76852643826875489</v>
      </c>
      <c r="E446" s="48">
        <f t="shared" ca="1" si="26"/>
        <v>0</v>
      </c>
      <c r="F446" s="17">
        <f t="shared" ca="1" si="27"/>
        <v>0</v>
      </c>
      <c r="H446" s="17">
        <v>431</v>
      </c>
      <c r="I446" s="43">
        <v>0.66773517716650954</v>
      </c>
      <c r="J446" s="43">
        <v>1.859859482582206E-2</v>
      </c>
      <c r="K446" s="43"/>
      <c r="L446" s="43">
        <v>0.25419999999999998</v>
      </c>
      <c r="O446" s="50"/>
    </row>
    <row r="447" spans="2:15" x14ac:dyDescent="0.2">
      <c r="B447">
        <v>432</v>
      </c>
      <c r="C447" s="48">
        <f t="shared" ca="1" si="28"/>
        <v>2.0426565436693727</v>
      </c>
      <c r="D447" s="48">
        <f t="shared" ca="1" si="25"/>
        <v>0.81275018536394217</v>
      </c>
      <c r="E447" s="48">
        <f t="shared" ca="1" si="26"/>
        <v>2.4550185363942156E-2</v>
      </c>
      <c r="F447" s="17">
        <f t="shared" ca="1" si="27"/>
        <v>1</v>
      </c>
      <c r="H447" s="17">
        <v>432</v>
      </c>
      <c r="I447" s="43">
        <v>0.66949694988144071</v>
      </c>
      <c r="J447" s="43">
        <v>1.9932636465845754E-2</v>
      </c>
      <c r="K447" s="43"/>
      <c r="L447" s="43">
        <v>0.25600000000000001</v>
      </c>
      <c r="O447" s="50"/>
    </row>
    <row r="448" spans="2:15" x14ac:dyDescent="0.2">
      <c r="B448">
        <v>433</v>
      </c>
      <c r="C448" s="48">
        <f t="shared" ca="1" si="28"/>
        <v>-0.96735374532666385</v>
      </c>
      <c r="D448" s="48">
        <f t="shared" ca="1" si="25"/>
        <v>0.60406057881797337</v>
      </c>
      <c r="E448" s="48">
        <f t="shared" ca="1" si="26"/>
        <v>0</v>
      </c>
      <c r="F448" s="17">
        <f t="shared" ca="1" si="27"/>
        <v>0</v>
      </c>
      <c r="H448" s="17">
        <v>433</v>
      </c>
      <c r="I448" s="43">
        <v>0.66876553378920567</v>
      </c>
      <c r="J448" s="43">
        <v>1.8988371643594387E-2</v>
      </c>
      <c r="K448" s="43"/>
      <c r="L448" s="43">
        <v>0.25140000000000001</v>
      </c>
      <c r="O448" s="50"/>
    </row>
    <row r="449" spans="2:15" x14ac:dyDescent="0.2">
      <c r="B449">
        <v>434</v>
      </c>
      <c r="C449" s="48">
        <f t="shared" ca="1" si="28"/>
        <v>-0.99729450136879128</v>
      </c>
      <c r="D449" s="48">
        <f t="shared" ca="1" si="25"/>
        <v>0.60228015185078121</v>
      </c>
      <c r="E449" s="48">
        <f t="shared" ca="1" si="26"/>
        <v>0</v>
      </c>
      <c r="F449" s="17">
        <f t="shared" ca="1" si="27"/>
        <v>0</v>
      </c>
      <c r="H449" s="17">
        <v>434</v>
      </c>
      <c r="I449" s="43">
        <v>0.66957478251980218</v>
      </c>
      <c r="J449" s="43">
        <v>1.9680817229904907E-2</v>
      </c>
      <c r="K449" s="43"/>
      <c r="L449" s="43">
        <v>0.252</v>
      </c>
      <c r="O449" s="50"/>
    </row>
    <row r="450" spans="2:15" x14ac:dyDescent="0.2">
      <c r="B450">
        <v>435</v>
      </c>
      <c r="C450" s="48">
        <f t="shared" ca="1" si="28"/>
        <v>1.4609431553071128</v>
      </c>
      <c r="D450" s="48">
        <f t="shared" ca="1" si="25"/>
        <v>0.76745061812014403</v>
      </c>
      <c r="E450" s="48">
        <f t="shared" ca="1" si="26"/>
        <v>0</v>
      </c>
      <c r="F450" s="17">
        <f t="shared" ca="1" si="27"/>
        <v>0</v>
      </c>
      <c r="H450" s="17">
        <v>435</v>
      </c>
      <c r="I450" s="43">
        <v>0.66875559400344786</v>
      </c>
      <c r="J450" s="43">
        <v>1.9199985111299962E-2</v>
      </c>
      <c r="K450" s="43"/>
      <c r="L450" s="43">
        <v>0.249</v>
      </c>
      <c r="O450" s="50"/>
    </row>
    <row r="451" spans="2:15" x14ac:dyDescent="0.2">
      <c r="B451">
        <v>436</v>
      </c>
      <c r="C451" s="48">
        <f t="shared" ca="1" si="28"/>
        <v>0.75738751926523451</v>
      </c>
      <c r="D451" s="48">
        <f t="shared" ca="1" si="25"/>
        <v>0.71602305502589658</v>
      </c>
      <c r="E451" s="48">
        <f t="shared" ca="1" si="26"/>
        <v>0</v>
      </c>
      <c r="F451" s="17">
        <f t="shared" ca="1" si="27"/>
        <v>0</v>
      </c>
      <c r="H451" s="17">
        <v>436</v>
      </c>
      <c r="I451" s="43">
        <v>0.66918245755279793</v>
      </c>
      <c r="J451" s="43">
        <v>1.9527530836928163E-2</v>
      </c>
      <c r="K451" s="43"/>
      <c r="L451" s="43">
        <v>0.25900000000000001</v>
      </c>
      <c r="O451" s="50"/>
    </row>
    <row r="452" spans="2:15" x14ac:dyDescent="0.2">
      <c r="B452">
        <v>437</v>
      </c>
      <c r="C452" s="48">
        <f t="shared" ca="1" si="28"/>
        <v>0.7836008708231178</v>
      </c>
      <c r="D452" s="48">
        <f t="shared" ca="1" si="25"/>
        <v>0.71787587223171756</v>
      </c>
      <c r="E452" s="48">
        <f t="shared" ca="1" si="26"/>
        <v>0</v>
      </c>
      <c r="F452" s="17">
        <f t="shared" ca="1" si="27"/>
        <v>0</v>
      </c>
      <c r="H452" s="17">
        <v>437</v>
      </c>
      <c r="I452" s="43">
        <v>0.66864397757690908</v>
      </c>
      <c r="J452" s="43">
        <v>1.890198262004299E-2</v>
      </c>
      <c r="K452" s="43"/>
      <c r="L452" s="43">
        <v>0.24859999999999999</v>
      </c>
      <c r="O452" s="50"/>
    </row>
    <row r="453" spans="2:15" x14ac:dyDescent="0.2">
      <c r="B453">
        <v>438</v>
      </c>
      <c r="C453" s="48">
        <f t="shared" ca="1" si="28"/>
        <v>-0.72485868841872803</v>
      </c>
      <c r="D453" s="48">
        <f t="shared" ca="1" si="25"/>
        <v>0.61867584673933151</v>
      </c>
      <c r="E453" s="48">
        <f t="shared" ca="1" si="26"/>
        <v>0</v>
      </c>
      <c r="F453" s="17">
        <f t="shared" ca="1" si="27"/>
        <v>0</v>
      </c>
      <c r="H453" s="17">
        <v>438</v>
      </c>
      <c r="I453" s="43">
        <v>0.66901408267388107</v>
      </c>
      <c r="J453" s="43">
        <v>1.9741283924108878E-2</v>
      </c>
      <c r="K453" s="43"/>
      <c r="L453" s="43">
        <v>0.2596</v>
      </c>
      <c r="O453" s="50"/>
    </row>
    <row r="454" spans="2:15" x14ac:dyDescent="0.2">
      <c r="B454">
        <v>439</v>
      </c>
      <c r="C454" s="48">
        <f t="shared" ca="1" si="28"/>
        <v>0.1036944748043736</v>
      </c>
      <c r="D454" s="48">
        <f t="shared" ca="1" si="25"/>
        <v>0.67133376187691318</v>
      </c>
      <c r="E454" s="48">
        <f t="shared" ca="1" si="26"/>
        <v>0</v>
      </c>
      <c r="F454" s="17">
        <f t="shared" ca="1" si="27"/>
        <v>0</v>
      </c>
      <c r="H454" s="17">
        <v>439</v>
      </c>
      <c r="I454" s="43">
        <v>0.66870539621032321</v>
      </c>
      <c r="J454" s="43">
        <v>1.9209610454741344E-2</v>
      </c>
      <c r="K454" s="43"/>
      <c r="L454" s="43">
        <v>0.25159999999999999</v>
      </c>
      <c r="O454" s="50"/>
    </row>
    <row r="455" spans="2:15" x14ac:dyDescent="0.2">
      <c r="B455">
        <v>440</v>
      </c>
      <c r="C455" s="48">
        <f t="shared" ca="1" si="28"/>
        <v>-1.1524165094348553</v>
      </c>
      <c r="D455" s="48">
        <f t="shared" ca="1" si="25"/>
        <v>0.59313950204824395</v>
      </c>
      <c r="E455" s="48">
        <f t="shared" ca="1" si="26"/>
        <v>0</v>
      </c>
      <c r="F455" s="17">
        <f t="shared" ca="1" si="27"/>
        <v>0</v>
      </c>
      <c r="H455" s="17">
        <v>440</v>
      </c>
      <c r="I455" s="43">
        <v>0.66909150649318594</v>
      </c>
      <c r="J455" s="43">
        <v>1.9246269728690604E-2</v>
      </c>
      <c r="K455" s="43"/>
      <c r="L455" s="43">
        <v>0.24979999999999999</v>
      </c>
      <c r="O455" s="50"/>
    </row>
    <row r="456" spans="2:15" x14ac:dyDescent="0.2">
      <c r="B456">
        <v>441</v>
      </c>
      <c r="C456" s="48">
        <f t="shared" ca="1" si="28"/>
        <v>-0.60599003309930122</v>
      </c>
      <c r="D456" s="48">
        <f t="shared" ca="1" si="25"/>
        <v>0.62596873327468139</v>
      </c>
      <c r="E456" s="48">
        <f t="shared" ca="1" si="26"/>
        <v>0</v>
      </c>
      <c r="F456" s="17">
        <f t="shared" ca="1" si="27"/>
        <v>0</v>
      </c>
      <c r="H456" s="17">
        <v>441</v>
      </c>
      <c r="I456" s="43">
        <v>0.66862881275866881</v>
      </c>
      <c r="J456" s="43">
        <v>1.9181515325246128E-2</v>
      </c>
      <c r="K456" s="43"/>
      <c r="L456" s="43">
        <v>0.25359999999999999</v>
      </c>
      <c r="O456" s="50"/>
    </row>
    <row r="457" spans="2:15" x14ac:dyDescent="0.2">
      <c r="B457">
        <v>442</v>
      </c>
      <c r="C457" s="48">
        <f t="shared" ca="1" si="28"/>
        <v>4.5130678938976685E-3</v>
      </c>
      <c r="D457" s="48">
        <f t="shared" ca="1" si="25"/>
        <v>0.66480141965735084</v>
      </c>
      <c r="E457" s="48">
        <f t="shared" ca="1" si="26"/>
        <v>0</v>
      </c>
      <c r="F457" s="17">
        <f t="shared" ca="1" si="27"/>
        <v>0</v>
      </c>
      <c r="H457" s="17">
        <v>442</v>
      </c>
      <c r="I457" s="43">
        <v>0.67029419334747531</v>
      </c>
      <c r="J457" s="43">
        <v>2.0289474538012223E-2</v>
      </c>
      <c r="K457" s="43"/>
      <c r="L457" s="43">
        <v>0.25800000000000001</v>
      </c>
      <c r="O457" s="50"/>
    </row>
    <row r="458" spans="2:15" x14ac:dyDescent="0.2">
      <c r="B458">
        <v>443</v>
      </c>
      <c r="C458" s="48">
        <f t="shared" ca="1" si="28"/>
        <v>0.79300482487561708</v>
      </c>
      <c r="D458" s="48">
        <f t="shared" ca="1" si="25"/>
        <v>0.71854173220864603</v>
      </c>
      <c r="E458" s="48">
        <f t="shared" ca="1" si="26"/>
        <v>0</v>
      </c>
      <c r="F458" s="17">
        <f t="shared" ca="1" si="27"/>
        <v>0</v>
      </c>
      <c r="H458" s="17">
        <v>443</v>
      </c>
      <c r="I458" s="43">
        <v>0.66904636561208186</v>
      </c>
      <c r="J458" s="43">
        <v>1.903249805483918E-2</v>
      </c>
      <c r="K458" s="43"/>
      <c r="L458" s="43">
        <v>0.248</v>
      </c>
      <c r="O458" s="50"/>
    </row>
    <row r="459" spans="2:15" x14ac:dyDescent="0.2">
      <c r="B459">
        <v>444</v>
      </c>
      <c r="C459" s="48">
        <f t="shared" ca="1" si="28"/>
        <v>-0.33994653636753253</v>
      </c>
      <c r="D459" s="48">
        <f t="shared" ca="1" si="25"/>
        <v>0.64260419716186878</v>
      </c>
      <c r="E459" s="48">
        <f t="shared" ca="1" si="26"/>
        <v>0</v>
      </c>
      <c r="F459" s="17">
        <f t="shared" ca="1" si="27"/>
        <v>0</v>
      </c>
      <c r="H459" s="17">
        <v>444</v>
      </c>
      <c r="I459" s="43">
        <v>0.66904929693878734</v>
      </c>
      <c r="J459" s="43">
        <v>1.9315395043651276E-2</v>
      </c>
      <c r="K459" s="43"/>
      <c r="L459" s="43">
        <v>0.24679999999999999</v>
      </c>
      <c r="O459" s="50"/>
    </row>
    <row r="460" spans="2:15" x14ac:dyDescent="0.2">
      <c r="B460">
        <v>445</v>
      </c>
      <c r="C460" s="48">
        <f t="shared" ca="1" si="28"/>
        <v>-5.2205941922188942E-2</v>
      </c>
      <c r="D460" s="48">
        <f t="shared" ca="1" si="25"/>
        <v>0.66109436811352729</v>
      </c>
      <c r="E460" s="48">
        <f t="shared" ca="1" si="26"/>
        <v>0</v>
      </c>
      <c r="F460" s="17">
        <f t="shared" ca="1" si="27"/>
        <v>0</v>
      </c>
      <c r="H460" s="17">
        <v>445</v>
      </c>
      <c r="I460" s="43">
        <v>0.66963800741062562</v>
      </c>
      <c r="J460" s="43">
        <v>1.9900219416336656E-2</v>
      </c>
      <c r="K460" s="43"/>
      <c r="L460" s="43">
        <v>0.254</v>
      </c>
      <c r="O460" s="50"/>
    </row>
    <row r="461" spans="2:15" x14ac:dyDescent="0.2">
      <c r="B461">
        <v>446</v>
      </c>
      <c r="C461" s="48">
        <f t="shared" ca="1" si="28"/>
        <v>-5.8702634790945223E-2</v>
      </c>
      <c r="D461" s="48">
        <f t="shared" ca="1" si="25"/>
        <v>0.66067107769291422</v>
      </c>
      <c r="E461" s="48">
        <f t="shared" ca="1" si="26"/>
        <v>0</v>
      </c>
      <c r="F461" s="17">
        <f t="shared" ca="1" si="27"/>
        <v>0</v>
      </c>
      <c r="H461" s="17">
        <v>446</v>
      </c>
      <c r="I461" s="43">
        <v>0.66930600944341911</v>
      </c>
      <c r="J461" s="43">
        <v>1.9717838517782176E-2</v>
      </c>
      <c r="K461" s="43"/>
      <c r="L461" s="43">
        <v>0.25019999999999998</v>
      </c>
      <c r="O461" s="50"/>
    </row>
    <row r="462" spans="2:15" x14ac:dyDescent="0.2">
      <c r="B462">
        <v>447</v>
      </c>
      <c r="C462" s="48">
        <f t="shared" ca="1" si="28"/>
        <v>-0.48715851784269409</v>
      </c>
      <c r="D462" s="48">
        <f t="shared" ca="1" si="25"/>
        <v>0.63334526857167328</v>
      </c>
      <c r="E462" s="48">
        <f t="shared" ca="1" si="26"/>
        <v>0</v>
      </c>
      <c r="F462" s="17">
        <f t="shared" ca="1" si="27"/>
        <v>0</v>
      </c>
      <c r="H462" s="17">
        <v>447</v>
      </c>
      <c r="I462" s="43">
        <v>0.66873146629731584</v>
      </c>
      <c r="J462" s="43">
        <v>1.9399238245698596E-2</v>
      </c>
      <c r="K462" s="43"/>
      <c r="L462" s="43">
        <v>0.247</v>
      </c>
      <c r="O462" s="50"/>
    </row>
    <row r="463" spans="2:15" x14ac:dyDescent="0.2">
      <c r="B463">
        <v>448</v>
      </c>
      <c r="C463" s="48">
        <f t="shared" ca="1" si="28"/>
        <v>-0.89126379556062729</v>
      </c>
      <c r="D463" s="48">
        <f t="shared" ca="1" si="25"/>
        <v>0.60860898733509028</v>
      </c>
      <c r="E463" s="48">
        <f t="shared" ca="1" si="26"/>
        <v>0</v>
      </c>
      <c r="F463" s="17">
        <f t="shared" ca="1" si="27"/>
        <v>0</v>
      </c>
      <c r="H463" s="17">
        <v>448</v>
      </c>
      <c r="I463" s="43">
        <v>0.6684709847209529</v>
      </c>
      <c r="J463" s="43">
        <v>1.9055395841917087E-2</v>
      </c>
      <c r="K463" s="43"/>
      <c r="L463" s="43">
        <v>0.2472</v>
      </c>
      <c r="O463" s="50"/>
    </row>
    <row r="464" spans="2:15" x14ac:dyDescent="0.2">
      <c r="B464">
        <v>449</v>
      </c>
      <c r="C464" s="48">
        <f t="shared" ca="1" si="28"/>
        <v>0.15170344538021821</v>
      </c>
      <c r="D464" s="48">
        <f t="shared" ref="D464:D527" ca="1" si="29">S0*EXP((μ-0.5*σ*σ)*T+σ*SQRT(T)*$C464)</f>
        <v>0.67451877176035635</v>
      </c>
      <c r="E464" s="48">
        <f t="shared" ref="E464:E527" ca="1" si="30">MAX(0,CP*(D464-K))</f>
        <v>0</v>
      </c>
      <c r="F464" s="17">
        <f t="shared" ref="F464:F527" ca="1" si="31">(CP*(D464-K)&gt;0)*1</f>
        <v>0</v>
      </c>
      <c r="H464" s="17">
        <v>449</v>
      </c>
      <c r="I464" s="43">
        <v>0.66852777080383508</v>
      </c>
      <c r="J464" s="43">
        <v>1.9014670927601902E-2</v>
      </c>
      <c r="K464" s="43"/>
      <c r="L464" s="43">
        <v>0.25040000000000001</v>
      </c>
      <c r="O464" s="50"/>
    </row>
    <row r="465" spans="2:15" x14ac:dyDescent="0.2">
      <c r="B465">
        <v>450</v>
      </c>
      <c r="C465" s="48">
        <f t="shared" ref="C465:C528" ca="1" si="32">_xlfn.NORM.S.INV(RAND())</f>
        <v>-1.2012365158419835</v>
      </c>
      <c r="D465" s="48">
        <f t="shared" ca="1" si="29"/>
        <v>0.59029155649981846</v>
      </c>
      <c r="E465" s="48">
        <f t="shared" ca="1" si="30"/>
        <v>0</v>
      </c>
      <c r="F465" s="17">
        <f t="shared" ca="1" si="31"/>
        <v>0</v>
      </c>
      <c r="H465" s="17">
        <v>450</v>
      </c>
      <c r="I465" s="43">
        <v>0.66824305662984418</v>
      </c>
      <c r="J465" s="43">
        <v>1.8811228804264973E-2</v>
      </c>
      <c r="K465" s="43"/>
      <c r="L465" s="43">
        <v>0.248</v>
      </c>
      <c r="O465" s="50"/>
    </row>
    <row r="466" spans="2:15" x14ac:dyDescent="0.2">
      <c r="B466">
        <v>451</v>
      </c>
      <c r="C466" s="48">
        <f t="shared" ca="1" si="32"/>
        <v>-1.5131153074023955</v>
      </c>
      <c r="D466" s="48">
        <f t="shared" ca="1" si="29"/>
        <v>0.57241785331504991</v>
      </c>
      <c r="E466" s="48">
        <f t="shared" ca="1" si="30"/>
        <v>0</v>
      </c>
      <c r="F466" s="17">
        <f t="shared" ca="1" si="31"/>
        <v>0</v>
      </c>
      <c r="H466" s="17">
        <v>451</v>
      </c>
      <c r="I466" s="43">
        <v>0.66894644380416035</v>
      </c>
      <c r="J466" s="43">
        <v>1.9353748605448823E-2</v>
      </c>
      <c r="K466" s="43"/>
      <c r="L466" s="43">
        <v>0.25600000000000001</v>
      </c>
      <c r="O466" s="50"/>
    </row>
    <row r="467" spans="2:15" x14ac:dyDescent="0.2">
      <c r="B467">
        <v>452</v>
      </c>
      <c r="C467" s="48">
        <f t="shared" ca="1" si="32"/>
        <v>-1.2593377241900794</v>
      </c>
      <c r="D467" s="48">
        <f t="shared" ca="1" si="29"/>
        <v>0.58692000172605308</v>
      </c>
      <c r="E467" s="48">
        <f t="shared" ca="1" si="30"/>
        <v>0</v>
      </c>
      <c r="F467" s="17">
        <f t="shared" ca="1" si="31"/>
        <v>0</v>
      </c>
      <c r="H467" s="17">
        <v>452</v>
      </c>
      <c r="I467" s="43">
        <v>0.67040871845676397</v>
      </c>
      <c r="J467" s="43">
        <v>2.0241722464286533E-2</v>
      </c>
      <c r="K467" s="43"/>
      <c r="L467" s="43">
        <v>0.25559999999999999</v>
      </c>
      <c r="O467" s="50"/>
    </row>
    <row r="468" spans="2:15" x14ac:dyDescent="0.2">
      <c r="B468">
        <v>453</v>
      </c>
      <c r="C468" s="48">
        <f t="shared" ca="1" si="32"/>
        <v>-0.55887431947260879</v>
      </c>
      <c r="D468" s="48">
        <f t="shared" ca="1" si="29"/>
        <v>0.62888313341073465</v>
      </c>
      <c r="E468" s="48">
        <f t="shared" ca="1" si="30"/>
        <v>0</v>
      </c>
      <c r="F468" s="17">
        <f t="shared" ca="1" si="31"/>
        <v>0</v>
      </c>
      <c r="H468" s="17">
        <v>453</v>
      </c>
      <c r="I468" s="43">
        <v>0.66852268176022667</v>
      </c>
      <c r="J468" s="43">
        <v>1.9384669706258274E-2</v>
      </c>
      <c r="K468" s="43"/>
      <c r="L468" s="43">
        <v>0.24979999999999999</v>
      </c>
      <c r="O468" s="50"/>
    </row>
    <row r="469" spans="2:15" x14ac:dyDescent="0.2">
      <c r="B469">
        <v>454</v>
      </c>
      <c r="C469" s="48">
        <f t="shared" ca="1" si="32"/>
        <v>-0.97573248094445675</v>
      </c>
      <c r="D469" s="48">
        <f t="shared" ca="1" si="29"/>
        <v>0.60356180764806466</v>
      </c>
      <c r="E469" s="48">
        <f t="shared" ca="1" si="30"/>
        <v>0</v>
      </c>
      <c r="F469" s="17">
        <f t="shared" ca="1" si="31"/>
        <v>0</v>
      </c>
      <c r="H469" s="17">
        <v>454</v>
      </c>
      <c r="I469" s="43">
        <v>0.66875258448907016</v>
      </c>
      <c r="J469" s="43">
        <v>1.8884561813745673E-2</v>
      </c>
      <c r="K469" s="43"/>
      <c r="L469" s="43">
        <v>0.247</v>
      </c>
      <c r="O469" s="50"/>
    </row>
    <row r="470" spans="2:15" x14ac:dyDescent="0.2">
      <c r="B470">
        <v>455</v>
      </c>
      <c r="C470" s="48">
        <f t="shared" ca="1" si="32"/>
        <v>9.1135180939862184E-2</v>
      </c>
      <c r="D470" s="48">
        <f t="shared" ca="1" si="29"/>
        <v>0.67050303819763224</v>
      </c>
      <c r="E470" s="48">
        <f t="shared" ca="1" si="30"/>
        <v>0</v>
      </c>
      <c r="F470" s="17">
        <f t="shared" ca="1" si="31"/>
        <v>0</v>
      </c>
      <c r="H470" s="17">
        <v>455</v>
      </c>
      <c r="I470" s="43">
        <v>0.67006721727093455</v>
      </c>
      <c r="J470" s="43">
        <v>2.012334527568908E-2</v>
      </c>
      <c r="K470" s="43"/>
      <c r="L470" s="43">
        <v>0.251</v>
      </c>
      <c r="O470" s="50"/>
    </row>
    <row r="471" spans="2:15" x14ac:dyDescent="0.2">
      <c r="B471">
        <v>456</v>
      </c>
      <c r="C471" s="48">
        <f t="shared" ca="1" si="32"/>
        <v>0.73564816158621749</v>
      </c>
      <c r="D471" s="48">
        <f t="shared" ca="1" si="29"/>
        <v>0.71449009749999237</v>
      </c>
      <c r="E471" s="48">
        <f t="shared" ca="1" si="30"/>
        <v>0</v>
      </c>
      <c r="F471" s="17">
        <f t="shared" ca="1" si="31"/>
        <v>0</v>
      </c>
      <c r="H471" s="17">
        <v>456</v>
      </c>
      <c r="I471" s="43">
        <v>0.66937905569108269</v>
      </c>
      <c r="J471" s="43">
        <v>2.0128651234184777E-2</v>
      </c>
      <c r="K471" s="43"/>
      <c r="L471" s="43">
        <v>0.26240000000000002</v>
      </c>
      <c r="O471" s="50"/>
    </row>
    <row r="472" spans="2:15" x14ac:dyDescent="0.2">
      <c r="B472">
        <v>457</v>
      </c>
      <c r="C472" s="48">
        <f t="shared" ca="1" si="32"/>
        <v>1.2417007042065862</v>
      </c>
      <c r="D472" s="48">
        <f t="shared" ca="1" si="29"/>
        <v>0.75104049944396789</v>
      </c>
      <c r="E472" s="48">
        <f t="shared" ca="1" si="30"/>
        <v>0</v>
      </c>
      <c r="F472" s="17">
        <f t="shared" ca="1" si="31"/>
        <v>0</v>
      </c>
      <c r="H472" s="17">
        <v>457</v>
      </c>
      <c r="I472" s="43">
        <v>0.66843525632009537</v>
      </c>
      <c r="J472" s="43">
        <v>1.8879974780853404E-2</v>
      </c>
      <c r="K472" s="43"/>
      <c r="L472" s="43">
        <v>0.24579999999999999</v>
      </c>
      <c r="O472" s="50"/>
    </row>
    <row r="473" spans="2:15" x14ac:dyDescent="0.2">
      <c r="B473">
        <v>458</v>
      </c>
      <c r="C473" s="48">
        <f t="shared" ca="1" si="32"/>
        <v>1.760488887586545</v>
      </c>
      <c r="D473" s="48">
        <f t="shared" ca="1" si="29"/>
        <v>0.79045252031855273</v>
      </c>
      <c r="E473" s="48">
        <f t="shared" ca="1" si="30"/>
        <v>2.2525203185527198E-3</v>
      </c>
      <c r="F473" s="17">
        <f t="shared" ca="1" si="31"/>
        <v>1</v>
      </c>
      <c r="H473" s="17">
        <v>458</v>
      </c>
      <c r="I473" s="43">
        <v>0.66853976797012515</v>
      </c>
      <c r="J473" s="43">
        <v>1.928433170579966E-2</v>
      </c>
      <c r="K473" s="43"/>
      <c r="L473" s="43">
        <v>0.24959999999999999</v>
      </c>
      <c r="O473" s="50"/>
    </row>
    <row r="474" spans="2:15" x14ac:dyDescent="0.2">
      <c r="B474">
        <v>459</v>
      </c>
      <c r="C474" s="48">
        <f t="shared" ca="1" si="32"/>
        <v>-0.40678994460084877</v>
      </c>
      <c r="D474" s="48">
        <f t="shared" ca="1" si="29"/>
        <v>0.63838340792458781</v>
      </c>
      <c r="E474" s="48">
        <f t="shared" ca="1" si="30"/>
        <v>0</v>
      </c>
      <c r="F474" s="17">
        <f t="shared" ca="1" si="31"/>
        <v>0</v>
      </c>
      <c r="H474" s="17">
        <v>459</v>
      </c>
      <c r="I474" s="43">
        <v>0.66854014323168875</v>
      </c>
      <c r="J474" s="43">
        <v>1.9444003772849217E-2</v>
      </c>
      <c r="K474" s="43"/>
      <c r="L474" s="43">
        <v>0.255</v>
      </c>
      <c r="O474" s="50"/>
    </row>
    <row r="475" spans="2:15" x14ac:dyDescent="0.2">
      <c r="B475">
        <v>460</v>
      </c>
      <c r="C475" s="48">
        <f t="shared" ca="1" si="32"/>
        <v>-1.7002755557537335</v>
      </c>
      <c r="D475" s="48">
        <f t="shared" ca="1" si="29"/>
        <v>0.56195264352469909</v>
      </c>
      <c r="E475" s="48">
        <f t="shared" ca="1" si="30"/>
        <v>0</v>
      </c>
      <c r="F475" s="17">
        <f t="shared" ca="1" si="31"/>
        <v>0</v>
      </c>
      <c r="H475" s="17">
        <v>460</v>
      </c>
      <c r="I475" s="43">
        <v>0.6685863894197448</v>
      </c>
      <c r="J475" s="43">
        <v>1.91313945308123E-2</v>
      </c>
      <c r="K475" s="43"/>
      <c r="L475" s="43">
        <v>0.251</v>
      </c>
      <c r="O475" s="50"/>
    </row>
    <row r="476" spans="2:15" x14ac:dyDescent="0.2">
      <c r="B476">
        <v>461</v>
      </c>
      <c r="C476" s="48">
        <f t="shared" ca="1" si="32"/>
        <v>1.4161012815739951</v>
      </c>
      <c r="D476" s="48">
        <f t="shared" ca="1" si="29"/>
        <v>0.76406532490218393</v>
      </c>
      <c r="E476" s="48">
        <f t="shared" ca="1" si="30"/>
        <v>0</v>
      </c>
      <c r="F476" s="17">
        <f t="shared" ca="1" si="31"/>
        <v>0</v>
      </c>
      <c r="H476" s="17">
        <v>461</v>
      </c>
      <c r="I476" s="43">
        <v>0.66829877468061361</v>
      </c>
      <c r="J476" s="43">
        <v>1.8929025939271402E-2</v>
      </c>
      <c r="K476" s="43"/>
      <c r="L476" s="43">
        <v>0.24859999999999999</v>
      </c>
      <c r="O476" s="50"/>
    </row>
    <row r="477" spans="2:15" x14ac:dyDescent="0.2">
      <c r="B477">
        <v>462</v>
      </c>
      <c r="C477" s="48">
        <f t="shared" ca="1" si="32"/>
        <v>0.45800513669195558</v>
      </c>
      <c r="D477" s="48">
        <f t="shared" ca="1" si="29"/>
        <v>0.69519822075216231</v>
      </c>
      <c r="E477" s="48">
        <f t="shared" ca="1" si="30"/>
        <v>0</v>
      </c>
      <c r="F477" s="17">
        <f t="shared" ca="1" si="31"/>
        <v>0</v>
      </c>
      <c r="H477" s="17">
        <v>462</v>
      </c>
      <c r="I477" s="43">
        <v>0.66830627851969704</v>
      </c>
      <c r="J477" s="43">
        <v>1.8849236546470888E-2</v>
      </c>
      <c r="K477" s="43"/>
      <c r="L477" s="43">
        <v>0.24859999999999999</v>
      </c>
      <c r="O477" s="50"/>
    </row>
    <row r="478" spans="2:15" x14ac:dyDescent="0.2">
      <c r="B478">
        <v>463</v>
      </c>
      <c r="C478" s="48">
        <f t="shared" ca="1" si="32"/>
        <v>-0.89558160887102423</v>
      </c>
      <c r="D478" s="48">
        <f t="shared" ca="1" si="29"/>
        <v>0.60834996840199562</v>
      </c>
      <c r="E478" s="48">
        <f t="shared" ca="1" si="30"/>
        <v>0</v>
      </c>
      <c r="F478" s="17">
        <f t="shared" ca="1" si="31"/>
        <v>0</v>
      </c>
      <c r="H478" s="17">
        <v>463</v>
      </c>
      <c r="I478" s="43">
        <v>0.66874489395732184</v>
      </c>
      <c r="J478" s="43">
        <v>1.9113847801157588E-2</v>
      </c>
      <c r="K478" s="43"/>
      <c r="L478" s="43">
        <v>0.24540000000000001</v>
      </c>
      <c r="O478" s="50"/>
    </row>
    <row r="479" spans="2:15" x14ac:dyDescent="0.2">
      <c r="B479">
        <v>464</v>
      </c>
      <c r="C479" s="48">
        <f t="shared" ca="1" si="32"/>
        <v>-0.60213659452347679</v>
      </c>
      <c r="D479" s="48">
        <f t="shared" ca="1" si="29"/>
        <v>0.62620658444862309</v>
      </c>
      <c r="E479" s="48">
        <f t="shared" ca="1" si="30"/>
        <v>0</v>
      </c>
      <c r="F479" s="17">
        <f t="shared" ca="1" si="31"/>
        <v>0</v>
      </c>
      <c r="H479" s="17">
        <v>464</v>
      </c>
      <c r="I479" s="43">
        <v>0.66842146443095107</v>
      </c>
      <c r="J479" s="43">
        <v>1.8562751527609375E-2</v>
      </c>
      <c r="K479" s="43"/>
      <c r="L479" s="43">
        <v>0.24399999999999999</v>
      </c>
      <c r="O479" s="50"/>
    </row>
    <row r="480" spans="2:15" x14ac:dyDescent="0.2">
      <c r="B480">
        <v>465</v>
      </c>
      <c r="C480" s="48">
        <f t="shared" ca="1" si="32"/>
        <v>-1.671007358886605</v>
      </c>
      <c r="D480" s="48">
        <f t="shared" ca="1" si="29"/>
        <v>0.56357648687354822</v>
      </c>
      <c r="E480" s="48">
        <f t="shared" ca="1" si="30"/>
        <v>0</v>
      </c>
      <c r="F480" s="17">
        <f t="shared" ca="1" si="31"/>
        <v>0</v>
      </c>
      <c r="H480" s="17">
        <v>465</v>
      </c>
      <c r="I480" s="43">
        <v>0.66910575658704596</v>
      </c>
      <c r="J480" s="43">
        <v>1.923619143957354E-2</v>
      </c>
      <c r="K480" s="43"/>
      <c r="L480" s="43">
        <v>0.25240000000000001</v>
      </c>
      <c r="O480" s="50"/>
    </row>
    <row r="481" spans="2:15" x14ac:dyDescent="0.2">
      <c r="B481">
        <v>466</v>
      </c>
      <c r="C481" s="48">
        <f t="shared" ca="1" si="32"/>
        <v>0.57835114948907018</v>
      </c>
      <c r="D481" s="48">
        <f t="shared" ca="1" si="29"/>
        <v>0.70349560099761499</v>
      </c>
      <c r="E481" s="48">
        <f t="shared" ca="1" si="30"/>
        <v>0</v>
      </c>
      <c r="F481" s="17">
        <f t="shared" ca="1" si="31"/>
        <v>0</v>
      </c>
      <c r="H481" s="17">
        <v>466</v>
      </c>
      <c r="I481" s="43">
        <v>0.66989806913729999</v>
      </c>
      <c r="J481" s="43">
        <v>1.9936203524142763E-2</v>
      </c>
      <c r="K481" s="43"/>
      <c r="L481" s="43">
        <v>0.25340000000000001</v>
      </c>
      <c r="O481" s="50"/>
    </row>
    <row r="482" spans="2:15" x14ac:dyDescent="0.2">
      <c r="B482">
        <v>467</v>
      </c>
      <c r="C482" s="48">
        <f t="shared" ca="1" si="32"/>
        <v>0.95099325797362699</v>
      </c>
      <c r="D482" s="48">
        <f t="shared" ca="1" si="29"/>
        <v>0.72982112225294515</v>
      </c>
      <c r="E482" s="48">
        <f t="shared" ca="1" si="30"/>
        <v>0</v>
      </c>
      <c r="F482" s="17">
        <f t="shared" ca="1" si="31"/>
        <v>0</v>
      </c>
      <c r="H482" s="17">
        <v>467</v>
      </c>
      <c r="I482" s="43">
        <v>0.66882804711105959</v>
      </c>
      <c r="J482" s="43">
        <v>1.9228674943357307E-2</v>
      </c>
      <c r="K482" s="43"/>
      <c r="L482" s="43">
        <v>0.2452</v>
      </c>
      <c r="O482" s="50"/>
    </row>
    <row r="483" spans="2:15" x14ac:dyDescent="0.2">
      <c r="B483">
        <v>468</v>
      </c>
      <c r="C483" s="48">
        <f t="shared" ca="1" si="32"/>
        <v>-0.78724897739381827</v>
      </c>
      <c r="D483" s="48">
        <f t="shared" ca="1" si="29"/>
        <v>0.61488211242654445</v>
      </c>
      <c r="E483" s="48">
        <f t="shared" ca="1" si="30"/>
        <v>0</v>
      </c>
      <c r="F483" s="17">
        <f t="shared" ca="1" si="31"/>
        <v>0</v>
      </c>
      <c r="H483" s="17">
        <v>468</v>
      </c>
      <c r="I483" s="43">
        <v>0.66896031417998536</v>
      </c>
      <c r="J483" s="43">
        <v>1.9203092998822533E-2</v>
      </c>
      <c r="K483" s="43"/>
      <c r="L483" s="43">
        <v>0.245</v>
      </c>
      <c r="O483" s="50"/>
    </row>
    <row r="484" spans="2:15" x14ac:dyDescent="0.2">
      <c r="B484">
        <v>469</v>
      </c>
      <c r="C484" s="48">
        <f t="shared" ca="1" si="32"/>
        <v>0.93036181078372615</v>
      </c>
      <c r="D484" s="48">
        <f t="shared" ca="1" si="29"/>
        <v>0.72833817317458605</v>
      </c>
      <c r="E484" s="48">
        <f t="shared" ca="1" si="30"/>
        <v>0</v>
      </c>
      <c r="F484" s="17">
        <f t="shared" ca="1" si="31"/>
        <v>0</v>
      </c>
      <c r="H484" s="17">
        <v>469</v>
      </c>
      <c r="I484" s="43">
        <v>0.6689507705547032</v>
      </c>
      <c r="J484" s="43">
        <v>1.9111244195200747E-2</v>
      </c>
      <c r="K484" s="43"/>
      <c r="L484" s="43">
        <v>0.24479999999999999</v>
      </c>
      <c r="O484" s="50"/>
    </row>
    <row r="485" spans="2:15" x14ac:dyDescent="0.2">
      <c r="B485">
        <v>470</v>
      </c>
      <c r="C485" s="48">
        <f t="shared" ca="1" si="32"/>
        <v>0.3536283151615997</v>
      </c>
      <c r="D485" s="48">
        <f t="shared" ca="1" si="29"/>
        <v>0.68808114058840619</v>
      </c>
      <c r="E485" s="48">
        <f t="shared" ca="1" si="30"/>
        <v>0</v>
      </c>
      <c r="F485" s="17">
        <f t="shared" ca="1" si="31"/>
        <v>0</v>
      </c>
      <c r="H485" s="17">
        <v>470</v>
      </c>
      <c r="I485" s="43">
        <v>0.66848443072838148</v>
      </c>
      <c r="J485" s="43">
        <v>1.9246390222633001E-2</v>
      </c>
      <c r="K485" s="43"/>
      <c r="L485" s="43">
        <v>0.25259999999999999</v>
      </c>
      <c r="O485" s="50"/>
    </row>
    <row r="486" spans="2:15" x14ac:dyDescent="0.2">
      <c r="B486">
        <v>471</v>
      </c>
      <c r="C486" s="48">
        <f t="shared" ca="1" si="32"/>
        <v>1.1424093056059297</v>
      </c>
      <c r="D486" s="48">
        <f t="shared" ca="1" si="29"/>
        <v>0.74372451439295073</v>
      </c>
      <c r="E486" s="48">
        <f t="shared" ca="1" si="30"/>
        <v>0</v>
      </c>
      <c r="F486" s="17">
        <f t="shared" ca="1" si="31"/>
        <v>0</v>
      </c>
      <c r="H486" s="17">
        <v>471</v>
      </c>
      <c r="I486" s="43">
        <v>0.66972021321053232</v>
      </c>
      <c r="J486" s="43">
        <v>1.992110901940871E-2</v>
      </c>
      <c r="K486" s="43"/>
      <c r="L486" s="43">
        <v>0.25180000000000002</v>
      </c>
      <c r="O486" s="50"/>
    </row>
    <row r="487" spans="2:15" x14ac:dyDescent="0.2">
      <c r="B487">
        <v>472</v>
      </c>
      <c r="C487" s="48">
        <f t="shared" ca="1" si="32"/>
        <v>1.1160848789707405</v>
      </c>
      <c r="D487" s="48">
        <f t="shared" ca="1" si="29"/>
        <v>0.74179685940379769</v>
      </c>
      <c r="E487" s="48">
        <f t="shared" ca="1" si="30"/>
        <v>0</v>
      </c>
      <c r="F487" s="17">
        <f t="shared" ca="1" si="31"/>
        <v>0</v>
      </c>
      <c r="H487" s="17">
        <v>472</v>
      </c>
      <c r="I487" s="43">
        <v>0.66832909861125067</v>
      </c>
      <c r="J487" s="43">
        <v>1.8621405170414419E-2</v>
      </c>
      <c r="K487" s="43"/>
      <c r="L487" s="43">
        <v>0.2414</v>
      </c>
      <c r="O487" s="50"/>
    </row>
    <row r="488" spans="2:15" x14ac:dyDescent="0.2">
      <c r="B488">
        <v>473</v>
      </c>
      <c r="C488" s="48">
        <f t="shared" ca="1" si="32"/>
        <v>1.6971647225186106</v>
      </c>
      <c r="D488" s="48">
        <f t="shared" ca="1" si="29"/>
        <v>0.7855331213798068</v>
      </c>
      <c r="E488" s="48">
        <f t="shared" ca="1" si="30"/>
        <v>0</v>
      </c>
      <c r="F488" s="17">
        <f t="shared" ca="1" si="31"/>
        <v>0</v>
      </c>
      <c r="H488" s="17">
        <v>473</v>
      </c>
      <c r="I488" s="43">
        <v>0.66889231100387803</v>
      </c>
      <c r="J488" s="43">
        <v>1.9458763264189473E-2</v>
      </c>
      <c r="K488" s="43"/>
      <c r="L488" s="43">
        <v>0.25619999999999998</v>
      </c>
      <c r="O488" s="50"/>
    </row>
    <row r="489" spans="2:15" x14ac:dyDescent="0.2">
      <c r="B489">
        <v>474</v>
      </c>
      <c r="C489" s="48">
        <f t="shared" ca="1" si="32"/>
        <v>-0.74999993104508467</v>
      </c>
      <c r="D489" s="48">
        <f t="shared" ca="1" si="29"/>
        <v>0.61714428852585068</v>
      </c>
      <c r="E489" s="48">
        <f t="shared" ca="1" si="30"/>
        <v>0</v>
      </c>
      <c r="F489" s="17">
        <f t="shared" ca="1" si="31"/>
        <v>0</v>
      </c>
      <c r="H489" s="17">
        <v>474</v>
      </c>
      <c r="I489" s="43">
        <v>0.66852322903038242</v>
      </c>
      <c r="J489" s="43">
        <v>1.918774090266195E-2</v>
      </c>
      <c r="K489" s="43"/>
      <c r="L489" s="43">
        <v>0.24660000000000001</v>
      </c>
      <c r="O489" s="50"/>
    </row>
    <row r="490" spans="2:15" x14ac:dyDescent="0.2">
      <c r="B490">
        <v>475</v>
      </c>
      <c r="C490" s="48">
        <f t="shared" ca="1" si="32"/>
        <v>0.30967890262503728</v>
      </c>
      <c r="D490" s="48">
        <f t="shared" ca="1" si="29"/>
        <v>0.6851062299807682</v>
      </c>
      <c r="E490" s="48">
        <f t="shared" ca="1" si="30"/>
        <v>0</v>
      </c>
      <c r="F490" s="17">
        <f t="shared" ca="1" si="31"/>
        <v>0</v>
      </c>
      <c r="H490" s="17">
        <v>475</v>
      </c>
      <c r="I490" s="43">
        <v>0.6682685043215647</v>
      </c>
      <c r="J490" s="43">
        <v>1.9143345423042305E-2</v>
      </c>
      <c r="K490" s="43"/>
      <c r="L490" s="43">
        <v>0.25740000000000002</v>
      </c>
      <c r="O490" s="50"/>
    </row>
    <row r="491" spans="2:15" x14ac:dyDescent="0.2">
      <c r="B491">
        <v>476</v>
      </c>
      <c r="C491" s="48">
        <f t="shared" ca="1" si="32"/>
        <v>-9.2853236277925244E-2</v>
      </c>
      <c r="D491" s="48">
        <f t="shared" ca="1" si="29"/>
        <v>0.658450456491387</v>
      </c>
      <c r="E491" s="48">
        <f t="shared" ca="1" si="30"/>
        <v>0</v>
      </c>
      <c r="F491" s="17">
        <f t="shared" ca="1" si="31"/>
        <v>0</v>
      </c>
      <c r="H491" s="17">
        <v>476</v>
      </c>
      <c r="I491" s="43">
        <v>0.66916904525286447</v>
      </c>
      <c r="J491" s="43">
        <v>1.9473347229263169E-2</v>
      </c>
      <c r="K491" s="43"/>
      <c r="L491" s="43">
        <v>0.25540000000000002</v>
      </c>
      <c r="O491" s="50"/>
    </row>
    <row r="492" spans="2:15" x14ac:dyDescent="0.2">
      <c r="B492">
        <v>477</v>
      </c>
      <c r="C492" s="48">
        <f t="shared" ca="1" si="32"/>
        <v>0.56317480011549104</v>
      </c>
      <c r="D492" s="48">
        <f t="shared" ca="1" si="29"/>
        <v>0.70244381940043454</v>
      </c>
      <c r="E492" s="48">
        <f t="shared" ca="1" si="30"/>
        <v>0</v>
      </c>
      <c r="F492" s="17">
        <f t="shared" ca="1" si="31"/>
        <v>0</v>
      </c>
      <c r="H492" s="17">
        <v>477</v>
      </c>
      <c r="I492" s="43">
        <v>0.66927625022946136</v>
      </c>
      <c r="J492" s="43">
        <v>1.9676863399816537E-2</v>
      </c>
      <c r="K492" s="43"/>
      <c r="L492" s="43">
        <v>0.25040000000000001</v>
      </c>
      <c r="O492" s="50"/>
    </row>
    <row r="493" spans="2:15" x14ac:dyDescent="0.2">
      <c r="B493">
        <v>478</v>
      </c>
      <c r="C493" s="48">
        <f t="shared" ca="1" si="32"/>
        <v>1.7867037486715933</v>
      </c>
      <c r="D493" s="48">
        <f t="shared" ca="1" si="29"/>
        <v>0.79249805288548791</v>
      </c>
      <c r="E493" s="48">
        <f t="shared" ca="1" si="30"/>
        <v>4.2980528854879019E-3</v>
      </c>
      <c r="F493" s="17">
        <f t="shared" ca="1" si="31"/>
        <v>1</v>
      </c>
      <c r="H493" s="17">
        <v>478</v>
      </c>
      <c r="I493" s="43">
        <v>0.66936317275220769</v>
      </c>
      <c r="J493" s="43">
        <v>1.960694347496331E-2</v>
      </c>
      <c r="K493" s="43"/>
      <c r="L493" s="43">
        <v>0.25240000000000001</v>
      </c>
      <c r="O493" s="50"/>
    </row>
    <row r="494" spans="2:15" x14ac:dyDescent="0.2">
      <c r="B494">
        <v>479</v>
      </c>
      <c r="C494" s="48">
        <f t="shared" ca="1" si="32"/>
        <v>-1.2723238655938349</v>
      </c>
      <c r="D494" s="48">
        <f t="shared" ca="1" si="29"/>
        <v>0.58616906597570895</v>
      </c>
      <c r="E494" s="48">
        <f t="shared" ca="1" si="30"/>
        <v>0</v>
      </c>
      <c r="F494" s="17">
        <f t="shared" ca="1" si="31"/>
        <v>0</v>
      </c>
      <c r="H494" s="17">
        <v>479</v>
      </c>
      <c r="I494" s="43">
        <v>0.66801864586252491</v>
      </c>
      <c r="J494" s="43">
        <v>1.8338880342100419E-2</v>
      </c>
      <c r="K494" s="43"/>
      <c r="L494" s="43">
        <v>0.24740000000000001</v>
      </c>
      <c r="O494" s="50"/>
    </row>
    <row r="495" spans="2:15" x14ac:dyDescent="0.2">
      <c r="B495">
        <v>480</v>
      </c>
      <c r="C495" s="48">
        <f t="shared" ca="1" si="32"/>
        <v>-0.85081224693656277</v>
      </c>
      <c r="D495" s="48">
        <f t="shared" ca="1" si="29"/>
        <v>0.61104097578941952</v>
      </c>
      <c r="E495" s="48">
        <f t="shared" ca="1" si="30"/>
        <v>0</v>
      </c>
      <c r="F495" s="17">
        <f t="shared" ca="1" si="31"/>
        <v>0</v>
      </c>
      <c r="H495" s="17">
        <v>480</v>
      </c>
      <c r="I495" s="43">
        <v>0.66809356250073748</v>
      </c>
      <c r="J495" s="43">
        <v>1.8662157488916559E-2</v>
      </c>
      <c r="K495" s="43"/>
      <c r="L495" s="43">
        <v>0.24940000000000001</v>
      </c>
      <c r="O495" s="50"/>
    </row>
    <row r="496" spans="2:15" x14ac:dyDescent="0.2">
      <c r="B496">
        <v>481</v>
      </c>
      <c r="C496" s="48">
        <f t="shared" ca="1" si="32"/>
        <v>-0.48037849772225077</v>
      </c>
      <c r="D496" s="48">
        <f t="shared" ca="1" si="29"/>
        <v>0.63376875391919174</v>
      </c>
      <c r="E496" s="48">
        <f t="shared" ca="1" si="30"/>
        <v>0</v>
      </c>
      <c r="F496" s="17">
        <f t="shared" ca="1" si="31"/>
        <v>0</v>
      </c>
      <c r="H496" s="17">
        <v>481</v>
      </c>
      <c r="I496" s="43">
        <v>0.66772143558529862</v>
      </c>
      <c r="J496" s="43">
        <v>1.8428609517417385E-2</v>
      </c>
      <c r="K496" s="43"/>
      <c r="L496" s="43">
        <v>0.23860000000000001</v>
      </c>
      <c r="O496" s="50"/>
    </row>
    <row r="497" spans="2:15" x14ac:dyDescent="0.2">
      <c r="B497">
        <v>482</v>
      </c>
      <c r="C497" s="48">
        <f t="shared" ca="1" si="32"/>
        <v>-2.0031020080400235</v>
      </c>
      <c r="D497" s="48">
        <f t="shared" ca="1" si="29"/>
        <v>0.54542357162767208</v>
      </c>
      <c r="E497" s="48">
        <f t="shared" ca="1" si="30"/>
        <v>0</v>
      </c>
      <c r="F497" s="17">
        <f t="shared" ca="1" si="31"/>
        <v>0</v>
      </c>
      <c r="H497" s="17">
        <v>482</v>
      </c>
      <c r="I497" s="43">
        <v>0.66798316152614656</v>
      </c>
      <c r="J497" s="43">
        <v>1.8808018228545664E-2</v>
      </c>
      <c r="K497" s="43"/>
      <c r="L497" s="43">
        <v>0.25600000000000001</v>
      </c>
      <c r="O497" s="50"/>
    </row>
    <row r="498" spans="2:15" x14ac:dyDescent="0.2">
      <c r="B498">
        <v>483</v>
      </c>
      <c r="C498" s="48">
        <f t="shared" ca="1" si="32"/>
        <v>-0.56682455698525391</v>
      </c>
      <c r="D498" s="48">
        <f t="shared" ca="1" si="29"/>
        <v>0.62839041183098432</v>
      </c>
      <c r="E498" s="48">
        <f t="shared" ca="1" si="30"/>
        <v>0</v>
      </c>
      <c r="F498" s="17">
        <f t="shared" ca="1" si="31"/>
        <v>0</v>
      </c>
      <c r="H498" s="17">
        <v>483</v>
      </c>
      <c r="I498" s="43">
        <v>0.66939144471189405</v>
      </c>
      <c r="J498" s="43">
        <v>1.9741526822134561E-2</v>
      </c>
      <c r="K498" s="43"/>
      <c r="L498" s="43">
        <v>0.253</v>
      </c>
      <c r="O498" s="50"/>
    </row>
    <row r="499" spans="2:15" x14ac:dyDescent="0.2">
      <c r="B499">
        <v>484</v>
      </c>
      <c r="C499" s="48">
        <f t="shared" ca="1" si="32"/>
        <v>-0.11531471559057746</v>
      </c>
      <c r="D499" s="48">
        <f t="shared" ca="1" si="29"/>
        <v>0.65699398357701044</v>
      </c>
      <c r="E499" s="48">
        <f t="shared" ca="1" si="30"/>
        <v>0</v>
      </c>
      <c r="F499" s="17">
        <f t="shared" ca="1" si="31"/>
        <v>0</v>
      </c>
      <c r="H499" s="17">
        <v>484</v>
      </c>
      <c r="I499" s="43">
        <v>0.66923885876082601</v>
      </c>
      <c r="J499" s="43">
        <v>1.9668474871457061E-2</v>
      </c>
      <c r="K499" s="43"/>
      <c r="L499" s="43">
        <v>0.25340000000000001</v>
      </c>
      <c r="O499" s="50"/>
    </row>
    <row r="500" spans="2:15" x14ac:dyDescent="0.2">
      <c r="B500">
        <v>485</v>
      </c>
      <c r="C500" s="48">
        <f t="shared" ca="1" si="32"/>
        <v>-1.2041756481575483</v>
      </c>
      <c r="D500" s="48">
        <f t="shared" ca="1" si="29"/>
        <v>0.59012053744175497</v>
      </c>
      <c r="E500" s="48">
        <f t="shared" ca="1" si="30"/>
        <v>0</v>
      </c>
      <c r="F500" s="17">
        <f t="shared" ca="1" si="31"/>
        <v>0</v>
      </c>
      <c r="H500" s="17">
        <v>485</v>
      </c>
      <c r="I500" s="43">
        <v>0.66873743898174898</v>
      </c>
      <c r="J500" s="43">
        <v>1.9355125285091885E-2</v>
      </c>
      <c r="K500" s="43"/>
      <c r="L500" s="43">
        <v>0.25419999999999998</v>
      </c>
      <c r="O500" s="50"/>
    </row>
    <row r="501" spans="2:15" x14ac:dyDescent="0.2">
      <c r="B501">
        <v>486</v>
      </c>
      <c r="C501" s="48">
        <f t="shared" ca="1" si="32"/>
        <v>8.1312321623161585E-2</v>
      </c>
      <c r="D501" s="48">
        <f t="shared" ca="1" si="29"/>
        <v>0.66985403008735167</v>
      </c>
      <c r="E501" s="48">
        <f t="shared" ca="1" si="30"/>
        <v>0</v>
      </c>
      <c r="F501" s="17">
        <f t="shared" ca="1" si="31"/>
        <v>0</v>
      </c>
      <c r="H501" s="17">
        <v>486</v>
      </c>
      <c r="I501" s="43">
        <v>0.6680078323449451</v>
      </c>
      <c r="J501" s="43">
        <v>1.8976786276465124E-2</v>
      </c>
      <c r="K501" s="43"/>
      <c r="L501" s="43">
        <v>0.24399999999999999</v>
      </c>
      <c r="O501" s="50"/>
    </row>
    <row r="502" spans="2:15" x14ac:dyDescent="0.2">
      <c r="B502">
        <v>487</v>
      </c>
      <c r="C502" s="48">
        <f t="shared" ca="1" si="32"/>
        <v>0.11767878594338792</v>
      </c>
      <c r="D502" s="48">
        <f t="shared" ca="1" si="29"/>
        <v>0.67225995317824983</v>
      </c>
      <c r="E502" s="48">
        <f t="shared" ca="1" si="30"/>
        <v>0</v>
      </c>
      <c r="F502" s="17">
        <f t="shared" ca="1" si="31"/>
        <v>0</v>
      </c>
      <c r="H502" s="17">
        <v>487</v>
      </c>
      <c r="I502" s="43">
        <v>0.66970796729869431</v>
      </c>
      <c r="J502" s="43">
        <v>1.9714629281794547E-2</v>
      </c>
      <c r="K502" s="43"/>
      <c r="L502" s="43">
        <v>0.24879999999999999</v>
      </c>
      <c r="O502" s="50"/>
    </row>
    <row r="503" spans="2:15" x14ac:dyDescent="0.2">
      <c r="B503">
        <v>488</v>
      </c>
      <c r="C503" s="48">
        <f t="shared" ca="1" si="32"/>
        <v>1.2250947279901212</v>
      </c>
      <c r="D503" s="48">
        <f t="shared" ca="1" si="29"/>
        <v>0.74981194604821544</v>
      </c>
      <c r="E503" s="48">
        <f t="shared" ca="1" si="30"/>
        <v>0</v>
      </c>
      <c r="F503" s="17">
        <f t="shared" ca="1" si="31"/>
        <v>0</v>
      </c>
      <c r="H503" s="17">
        <v>488</v>
      </c>
      <c r="I503" s="43">
        <v>0.66894334165966396</v>
      </c>
      <c r="J503" s="43">
        <v>1.9494418082219498E-2</v>
      </c>
      <c r="K503" s="43"/>
      <c r="L503" s="43">
        <v>0.25159999999999999</v>
      </c>
      <c r="O503" s="50"/>
    </row>
    <row r="504" spans="2:15" x14ac:dyDescent="0.2">
      <c r="B504">
        <v>489</v>
      </c>
      <c r="C504" s="48">
        <f t="shared" ca="1" si="32"/>
        <v>-0.47902569485269497</v>
      </c>
      <c r="D504" s="48">
        <f t="shared" ca="1" si="29"/>
        <v>0.63385328492202686</v>
      </c>
      <c r="E504" s="48">
        <f t="shared" ca="1" si="30"/>
        <v>0</v>
      </c>
      <c r="F504" s="17">
        <f t="shared" ca="1" si="31"/>
        <v>0</v>
      </c>
      <c r="H504" s="17">
        <v>489</v>
      </c>
      <c r="I504" s="43">
        <v>0.66930078794415016</v>
      </c>
      <c r="J504" s="43">
        <v>1.9815733391971516E-2</v>
      </c>
      <c r="K504" s="43"/>
      <c r="L504" s="43">
        <v>0.26219999999999999</v>
      </c>
      <c r="O504" s="50"/>
    </row>
    <row r="505" spans="2:15" x14ac:dyDescent="0.2">
      <c r="B505">
        <v>490</v>
      </c>
      <c r="C505" s="48">
        <f t="shared" ca="1" si="32"/>
        <v>9.0608904887354735E-2</v>
      </c>
      <c r="D505" s="48">
        <f t="shared" ca="1" si="29"/>
        <v>0.67046825057000792</v>
      </c>
      <c r="E505" s="48">
        <f t="shared" ca="1" si="30"/>
        <v>0</v>
      </c>
      <c r="F505" s="17">
        <f t="shared" ca="1" si="31"/>
        <v>0</v>
      </c>
      <c r="H505" s="17">
        <v>490</v>
      </c>
      <c r="I505" s="43">
        <v>0.67042957374117607</v>
      </c>
      <c r="J505" s="43">
        <v>2.0573009167312497E-2</v>
      </c>
      <c r="K505" s="43"/>
      <c r="L505" s="43">
        <v>0.25380000000000003</v>
      </c>
      <c r="O505" s="50"/>
    </row>
    <row r="506" spans="2:15" x14ac:dyDescent="0.2">
      <c r="B506">
        <v>491</v>
      </c>
      <c r="C506" s="48">
        <f t="shared" ca="1" si="32"/>
        <v>-0.2486871411518915</v>
      </c>
      <c r="D506" s="48">
        <f t="shared" ca="1" si="29"/>
        <v>0.64841181473019271</v>
      </c>
      <c r="E506" s="48">
        <f t="shared" ca="1" si="30"/>
        <v>0</v>
      </c>
      <c r="F506" s="17">
        <f t="shared" ca="1" si="31"/>
        <v>0</v>
      </c>
      <c r="H506" s="17">
        <v>491</v>
      </c>
      <c r="I506" s="43">
        <v>0.66978486205592558</v>
      </c>
      <c r="J506" s="43">
        <v>2.0080989271855136E-2</v>
      </c>
      <c r="K506" s="43"/>
      <c r="L506" s="43">
        <v>0.2596</v>
      </c>
      <c r="O506" s="50"/>
    </row>
    <row r="507" spans="2:15" x14ac:dyDescent="0.2">
      <c r="B507">
        <v>492</v>
      </c>
      <c r="C507" s="48">
        <f t="shared" ca="1" si="32"/>
        <v>0.17782860475812332</v>
      </c>
      <c r="D507" s="48">
        <f t="shared" ca="1" si="29"/>
        <v>0.67625831054829699</v>
      </c>
      <c r="E507" s="48">
        <f t="shared" ca="1" si="30"/>
        <v>0</v>
      </c>
      <c r="F507" s="17">
        <f t="shared" ca="1" si="31"/>
        <v>0</v>
      </c>
      <c r="H507" s="17">
        <v>492</v>
      </c>
      <c r="I507" s="43">
        <v>0.6684168063414907</v>
      </c>
      <c r="J507" s="43">
        <v>1.9036640540430975E-2</v>
      </c>
      <c r="K507" s="43"/>
      <c r="L507" s="43">
        <v>0.24879999999999999</v>
      </c>
      <c r="O507" s="50"/>
    </row>
    <row r="508" spans="2:15" x14ac:dyDescent="0.2">
      <c r="B508">
        <v>493</v>
      </c>
      <c r="C508" s="48">
        <f t="shared" ca="1" si="32"/>
        <v>-0.64168153215089452</v>
      </c>
      <c r="D508" s="48">
        <f t="shared" ca="1" si="29"/>
        <v>0.6237699861176158</v>
      </c>
      <c r="E508" s="48">
        <f t="shared" ca="1" si="30"/>
        <v>0</v>
      </c>
      <c r="F508" s="17">
        <f t="shared" ca="1" si="31"/>
        <v>0</v>
      </c>
      <c r="H508" s="17">
        <v>493</v>
      </c>
      <c r="I508" s="43">
        <v>0.6698840931437906</v>
      </c>
      <c r="J508" s="43">
        <v>2.0203515657202114E-2</v>
      </c>
      <c r="K508" s="43"/>
      <c r="L508" s="43">
        <v>0.2586</v>
      </c>
      <c r="O508" s="50"/>
    </row>
    <row r="509" spans="2:15" x14ac:dyDescent="0.2">
      <c r="B509">
        <v>494</v>
      </c>
      <c r="C509" s="48">
        <f t="shared" ca="1" si="32"/>
        <v>-0.48951979809364982</v>
      </c>
      <c r="D509" s="48">
        <f t="shared" ca="1" si="29"/>
        <v>0.63319784761114051</v>
      </c>
      <c r="E509" s="48">
        <f t="shared" ca="1" si="30"/>
        <v>0</v>
      </c>
      <c r="F509" s="17">
        <f t="shared" ca="1" si="31"/>
        <v>0</v>
      </c>
      <c r="H509" s="17">
        <v>494</v>
      </c>
      <c r="I509" s="43">
        <v>0.66919189394781742</v>
      </c>
      <c r="J509" s="43">
        <v>1.9725935654509297E-2</v>
      </c>
      <c r="K509" s="43"/>
      <c r="L509" s="43">
        <v>0.25119999999999998</v>
      </c>
      <c r="O509" s="50"/>
    </row>
    <row r="510" spans="2:15" x14ac:dyDescent="0.2">
      <c r="B510">
        <v>495</v>
      </c>
      <c r="C510" s="48">
        <f t="shared" ca="1" si="32"/>
        <v>-5.6864360882556116E-3</v>
      </c>
      <c r="D510" s="48">
        <f t="shared" ca="1" si="29"/>
        <v>0.66413326903396319</v>
      </c>
      <c r="E510" s="48">
        <f t="shared" ca="1" si="30"/>
        <v>0</v>
      </c>
      <c r="F510" s="17">
        <f t="shared" ca="1" si="31"/>
        <v>0</v>
      </c>
      <c r="H510" s="17">
        <v>495</v>
      </c>
      <c r="I510" s="43">
        <v>0.66823334962423087</v>
      </c>
      <c r="J510" s="43">
        <v>1.9185825902287918E-2</v>
      </c>
      <c r="K510" s="43"/>
      <c r="L510" s="43">
        <v>0.25979999999999998</v>
      </c>
      <c r="O510" s="50"/>
    </row>
    <row r="511" spans="2:15" x14ac:dyDescent="0.2">
      <c r="B511">
        <v>496</v>
      </c>
      <c r="C511" s="48">
        <f t="shared" ca="1" si="32"/>
        <v>1.099667319267192</v>
      </c>
      <c r="D511" s="48">
        <f t="shared" ca="1" si="29"/>
        <v>0.74059718361159377</v>
      </c>
      <c r="E511" s="48">
        <f t="shared" ca="1" si="30"/>
        <v>0</v>
      </c>
      <c r="F511" s="17">
        <f t="shared" ca="1" si="31"/>
        <v>0</v>
      </c>
      <c r="H511" s="17">
        <v>496</v>
      </c>
      <c r="I511" s="43">
        <v>0.6690756052609671</v>
      </c>
      <c r="J511" s="43">
        <v>1.9342566195369233E-2</v>
      </c>
      <c r="K511" s="43"/>
      <c r="L511" s="43">
        <v>0.25359999999999999</v>
      </c>
      <c r="O511" s="50"/>
    </row>
    <row r="512" spans="2:15" x14ac:dyDescent="0.2">
      <c r="B512">
        <v>497</v>
      </c>
      <c r="C512" s="48">
        <f t="shared" ca="1" si="32"/>
        <v>-8.1190533345113419E-2</v>
      </c>
      <c r="D512" s="48">
        <f t="shared" ca="1" si="29"/>
        <v>0.65920797585078839</v>
      </c>
      <c r="E512" s="48">
        <f t="shared" ca="1" si="30"/>
        <v>0</v>
      </c>
      <c r="F512" s="17">
        <f t="shared" ca="1" si="31"/>
        <v>0</v>
      </c>
      <c r="H512" s="17">
        <v>497</v>
      </c>
      <c r="I512" s="43">
        <v>0.668675602365157</v>
      </c>
      <c r="J512" s="43">
        <v>1.9069074453071835E-2</v>
      </c>
      <c r="K512" s="43"/>
      <c r="L512" s="43">
        <v>0.248</v>
      </c>
      <c r="O512" s="50"/>
    </row>
    <row r="513" spans="2:15" x14ac:dyDescent="0.2">
      <c r="B513">
        <v>498</v>
      </c>
      <c r="C513" s="48">
        <f t="shared" ca="1" si="32"/>
        <v>-0.81679077931600275</v>
      </c>
      <c r="D513" s="48">
        <f t="shared" ca="1" si="29"/>
        <v>0.61309390339400827</v>
      </c>
      <c r="E513" s="48">
        <f t="shared" ca="1" si="30"/>
        <v>0</v>
      </c>
      <c r="F513" s="17">
        <f t="shared" ca="1" si="31"/>
        <v>0</v>
      </c>
      <c r="H513" s="17">
        <v>498</v>
      </c>
      <c r="I513" s="43">
        <v>0.66815269521313125</v>
      </c>
      <c r="J513" s="43">
        <v>1.8685994785016501E-2</v>
      </c>
      <c r="K513" s="43"/>
      <c r="L513" s="43">
        <v>0.24679999999999999</v>
      </c>
      <c r="O513" s="50"/>
    </row>
    <row r="514" spans="2:15" x14ac:dyDescent="0.2">
      <c r="B514">
        <v>499</v>
      </c>
      <c r="C514" s="48">
        <f t="shared" ca="1" si="32"/>
        <v>-1.9536404179952793</v>
      </c>
      <c r="D514" s="48">
        <f t="shared" ca="1" si="29"/>
        <v>0.54808971193623657</v>
      </c>
      <c r="E514" s="48">
        <f t="shared" ca="1" si="30"/>
        <v>0</v>
      </c>
      <c r="F514" s="17">
        <f t="shared" ca="1" si="31"/>
        <v>0</v>
      </c>
      <c r="H514" s="17">
        <v>499</v>
      </c>
      <c r="I514" s="43">
        <v>0.66904465275522174</v>
      </c>
      <c r="J514" s="43">
        <v>1.9338522743235071E-2</v>
      </c>
      <c r="K514" s="43"/>
      <c r="L514" s="43">
        <v>0.24779999999999999</v>
      </c>
      <c r="O514" s="50"/>
    </row>
    <row r="515" spans="2:15" x14ac:dyDescent="0.2">
      <c r="B515">
        <v>500</v>
      </c>
      <c r="C515" s="48">
        <f t="shared" ca="1" si="32"/>
        <v>-1.0080477188611967</v>
      </c>
      <c r="D515" s="48">
        <f t="shared" ca="1" si="29"/>
        <v>0.60164199341120694</v>
      </c>
      <c r="E515" s="48">
        <f t="shared" ca="1" si="30"/>
        <v>0</v>
      </c>
      <c r="F515" s="17">
        <f t="shared" ca="1" si="31"/>
        <v>0</v>
      </c>
      <c r="H515" s="17">
        <v>500</v>
      </c>
      <c r="I515" s="43">
        <v>0.66774573422858408</v>
      </c>
      <c r="J515" s="43">
        <v>1.8490605088834666E-2</v>
      </c>
      <c r="K515" s="43"/>
      <c r="L515" s="43">
        <v>0.247</v>
      </c>
      <c r="O515" s="50"/>
    </row>
    <row r="516" spans="2:15" x14ac:dyDescent="0.2">
      <c r="B516">
        <v>501</v>
      </c>
      <c r="C516" s="48">
        <f t="shared" ca="1" si="32"/>
        <v>0.17883076198537104</v>
      </c>
      <c r="D516" s="48">
        <f t="shared" ca="1" si="29"/>
        <v>0.6763251282683983</v>
      </c>
      <c r="E516" s="48">
        <f t="shared" ca="1" si="30"/>
        <v>0</v>
      </c>
      <c r="F516" s="17">
        <f t="shared" ca="1" si="31"/>
        <v>0</v>
      </c>
      <c r="H516" s="17">
        <v>501</v>
      </c>
      <c r="I516" s="43">
        <v>0.66967722558827125</v>
      </c>
      <c r="J516" s="43">
        <v>1.9712776212345625E-2</v>
      </c>
      <c r="K516" s="43"/>
      <c r="L516" s="43">
        <v>0.25019999999999998</v>
      </c>
      <c r="O516" s="50"/>
    </row>
    <row r="517" spans="2:15" x14ac:dyDescent="0.2">
      <c r="B517">
        <v>502</v>
      </c>
      <c r="C517" s="48">
        <f t="shared" ca="1" si="32"/>
        <v>0.69698117418776617</v>
      </c>
      <c r="D517" s="48">
        <f t="shared" ca="1" si="29"/>
        <v>0.71177158864678503</v>
      </c>
      <c r="E517" s="48">
        <f t="shared" ca="1" si="30"/>
        <v>0</v>
      </c>
      <c r="F517" s="17">
        <f t="shared" ca="1" si="31"/>
        <v>0</v>
      </c>
      <c r="H517" s="17">
        <v>502</v>
      </c>
      <c r="I517" s="43">
        <v>0.66726965285244555</v>
      </c>
      <c r="J517" s="43">
        <v>1.8142770607804008E-2</v>
      </c>
      <c r="K517" s="43"/>
      <c r="L517" s="43">
        <v>0.246</v>
      </c>
      <c r="O517" s="50"/>
    </row>
    <row r="518" spans="2:15" x14ac:dyDescent="0.2">
      <c r="B518">
        <v>503</v>
      </c>
      <c r="C518" s="48">
        <f t="shared" ca="1" si="32"/>
        <v>1.422803543095708</v>
      </c>
      <c r="D518" s="48">
        <f t="shared" ca="1" si="29"/>
        <v>0.76457035477915147</v>
      </c>
      <c r="E518" s="48">
        <f t="shared" ca="1" si="30"/>
        <v>0</v>
      </c>
      <c r="F518" s="17">
        <f t="shared" ca="1" si="31"/>
        <v>0</v>
      </c>
      <c r="H518" s="17">
        <v>503</v>
      </c>
      <c r="I518" s="43">
        <v>0.67004445007454638</v>
      </c>
      <c r="J518" s="43">
        <v>1.9865643249141043E-2</v>
      </c>
      <c r="K518" s="43"/>
      <c r="L518" s="43">
        <v>0.25119999999999998</v>
      </c>
      <c r="O518" s="50"/>
    </row>
    <row r="519" spans="2:15" x14ac:dyDescent="0.2">
      <c r="B519">
        <v>504</v>
      </c>
      <c r="C519" s="48">
        <f t="shared" ca="1" si="32"/>
        <v>1.4073674547420498</v>
      </c>
      <c r="D519" s="48">
        <f t="shared" ca="1" si="29"/>
        <v>0.76340771275335317</v>
      </c>
      <c r="E519" s="48">
        <f t="shared" ca="1" si="30"/>
        <v>0</v>
      </c>
      <c r="F519" s="17">
        <f t="shared" ca="1" si="31"/>
        <v>0</v>
      </c>
      <c r="H519" s="17">
        <v>504</v>
      </c>
      <c r="I519" s="43">
        <v>0.66889969470184063</v>
      </c>
      <c r="J519" s="43">
        <v>1.9179605116963983E-2</v>
      </c>
      <c r="K519" s="43"/>
      <c r="L519" s="43">
        <v>0.25259999999999999</v>
      </c>
      <c r="O519" s="50"/>
    </row>
    <row r="520" spans="2:15" x14ac:dyDescent="0.2">
      <c r="B520">
        <v>505</v>
      </c>
      <c r="C520" s="48">
        <f t="shared" ca="1" si="32"/>
        <v>1.8823678736496146</v>
      </c>
      <c r="D520" s="48">
        <f t="shared" ca="1" si="29"/>
        <v>0.80000768418123624</v>
      </c>
      <c r="E520" s="48">
        <f t="shared" ca="1" si="30"/>
        <v>1.1807684181236233E-2</v>
      </c>
      <c r="F520" s="17">
        <f t="shared" ca="1" si="31"/>
        <v>1</v>
      </c>
      <c r="H520" s="17">
        <v>505</v>
      </c>
      <c r="I520" s="43">
        <v>0.66829002955666528</v>
      </c>
      <c r="J520" s="43">
        <v>1.893624756232419E-2</v>
      </c>
      <c r="K520" s="43"/>
      <c r="L520" s="43">
        <v>0.2452</v>
      </c>
      <c r="O520" s="50"/>
    </row>
    <row r="521" spans="2:15" x14ac:dyDescent="0.2">
      <c r="B521">
        <v>506</v>
      </c>
      <c r="C521" s="48">
        <f t="shared" ca="1" si="32"/>
        <v>-0.53628717544507232</v>
      </c>
      <c r="D521" s="48">
        <f t="shared" ca="1" si="29"/>
        <v>0.63028509664324073</v>
      </c>
      <c r="E521" s="48">
        <f t="shared" ca="1" si="30"/>
        <v>0</v>
      </c>
      <c r="F521" s="17">
        <f t="shared" ca="1" si="31"/>
        <v>0</v>
      </c>
      <c r="H521" s="17">
        <v>506</v>
      </c>
      <c r="I521" s="43">
        <v>0.66896830590243905</v>
      </c>
      <c r="J521" s="43">
        <v>1.9194590485699832E-2</v>
      </c>
      <c r="K521" s="43"/>
      <c r="L521" s="43">
        <v>0.2462</v>
      </c>
      <c r="O521" s="50"/>
    </row>
    <row r="522" spans="2:15" x14ac:dyDescent="0.2">
      <c r="B522">
        <v>507</v>
      </c>
      <c r="C522" s="48">
        <f t="shared" ca="1" si="32"/>
        <v>0.49251920767982965</v>
      </c>
      <c r="D522" s="48">
        <f t="shared" ca="1" si="29"/>
        <v>0.69756776949691823</v>
      </c>
      <c r="E522" s="48">
        <f t="shared" ca="1" si="30"/>
        <v>0</v>
      </c>
      <c r="F522" s="17">
        <f t="shared" ca="1" si="31"/>
        <v>0</v>
      </c>
      <c r="H522" s="17">
        <v>507</v>
      </c>
      <c r="I522" s="43">
        <v>0.6697784859398459</v>
      </c>
      <c r="J522" s="43">
        <v>1.9731265995007199E-2</v>
      </c>
      <c r="K522" s="43"/>
      <c r="L522" s="43">
        <v>0.25280000000000002</v>
      </c>
      <c r="O522" s="50"/>
    </row>
    <row r="523" spans="2:15" x14ac:dyDescent="0.2">
      <c r="B523">
        <v>508</v>
      </c>
      <c r="C523" s="48">
        <f t="shared" ca="1" si="32"/>
        <v>1.2618595647512321</v>
      </c>
      <c r="D523" s="48">
        <f t="shared" ca="1" si="29"/>
        <v>0.75253460984854248</v>
      </c>
      <c r="E523" s="48">
        <f t="shared" ca="1" si="30"/>
        <v>0</v>
      </c>
      <c r="F523" s="17">
        <f t="shared" ca="1" si="31"/>
        <v>0</v>
      </c>
      <c r="H523" s="17">
        <v>508</v>
      </c>
      <c r="I523" s="43">
        <v>0.66878118540467424</v>
      </c>
      <c r="J523" s="43">
        <v>1.9076509108596373E-2</v>
      </c>
      <c r="K523" s="43"/>
      <c r="L523" s="43">
        <v>0.24640000000000001</v>
      </c>
      <c r="O523" s="50"/>
    </row>
    <row r="524" spans="2:15" x14ac:dyDescent="0.2">
      <c r="B524">
        <v>509</v>
      </c>
      <c r="C524" s="48">
        <f t="shared" ca="1" si="32"/>
        <v>0.84219921819311316</v>
      </c>
      <c r="D524" s="48">
        <f t="shared" ca="1" si="29"/>
        <v>0.72203508868670352</v>
      </c>
      <c r="E524" s="48">
        <f t="shared" ca="1" si="30"/>
        <v>0</v>
      </c>
      <c r="F524" s="17">
        <f t="shared" ca="1" si="31"/>
        <v>0</v>
      </c>
      <c r="H524" s="17">
        <v>509</v>
      </c>
      <c r="I524" s="43">
        <v>0.66800396646548388</v>
      </c>
      <c r="J524" s="43">
        <v>1.8677034146502645E-2</v>
      </c>
      <c r="K524" s="43"/>
      <c r="L524" s="43">
        <v>0.251</v>
      </c>
      <c r="O524" s="50"/>
    </row>
    <row r="525" spans="2:15" x14ac:dyDescent="0.2">
      <c r="B525">
        <v>510</v>
      </c>
      <c r="C525" s="48">
        <f t="shared" ca="1" si="32"/>
        <v>-5.0508691612178171E-2</v>
      </c>
      <c r="D525" s="48">
        <f t="shared" ca="1" si="29"/>
        <v>0.66120499671184929</v>
      </c>
      <c r="E525" s="48">
        <f t="shared" ca="1" si="30"/>
        <v>0</v>
      </c>
      <c r="F525" s="17">
        <f t="shared" ca="1" si="31"/>
        <v>0</v>
      </c>
      <c r="H525" s="17">
        <v>510</v>
      </c>
      <c r="I525" s="43">
        <v>0.66864678125596944</v>
      </c>
      <c r="J525" s="43">
        <v>1.9216333344948898E-2</v>
      </c>
      <c r="K525" s="43"/>
      <c r="L525" s="43">
        <v>0.24759999999999999</v>
      </c>
      <c r="O525" s="50"/>
    </row>
    <row r="526" spans="2:15" x14ac:dyDescent="0.2">
      <c r="B526">
        <v>511</v>
      </c>
      <c r="C526" s="48">
        <f t="shared" ca="1" si="32"/>
        <v>-4.959170242442542E-2</v>
      </c>
      <c r="D526" s="48">
        <f t="shared" ca="1" si="29"/>
        <v>0.66126477475488799</v>
      </c>
      <c r="E526" s="48">
        <f t="shared" ca="1" si="30"/>
        <v>0</v>
      </c>
      <c r="F526" s="17">
        <f t="shared" ca="1" si="31"/>
        <v>0</v>
      </c>
      <c r="H526" s="17">
        <v>511</v>
      </c>
      <c r="I526" s="43">
        <v>0.6691017014693964</v>
      </c>
      <c r="J526" s="43">
        <v>1.9613161097214431E-2</v>
      </c>
      <c r="K526" s="43"/>
      <c r="L526" s="43">
        <v>0.247</v>
      </c>
      <c r="O526" s="50"/>
    </row>
    <row r="527" spans="2:15" x14ac:dyDescent="0.2">
      <c r="B527">
        <v>512</v>
      </c>
      <c r="C527" s="48">
        <f t="shared" ca="1" si="32"/>
        <v>1.0582690848370446</v>
      </c>
      <c r="D527" s="48">
        <f t="shared" ca="1" si="29"/>
        <v>0.7375807092084371</v>
      </c>
      <c r="E527" s="48">
        <f t="shared" ca="1" si="30"/>
        <v>0</v>
      </c>
      <c r="F527" s="17">
        <f t="shared" ca="1" si="31"/>
        <v>0</v>
      </c>
      <c r="H527" s="17">
        <v>512</v>
      </c>
      <c r="I527" s="43">
        <v>0.66962621838900316</v>
      </c>
      <c r="J527" s="43">
        <v>1.9880579212813446E-2</v>
      </c>
      <c r="K527" s="43"/>
      <c r="L527" s="43">
        <v>0.255</v>
      </c>
      <c r="O527" s="50"/>
    </row>
    <row r="528" spans="2:15" x14ac:dyDescent="0.2">
      <c r="B528">
        <v>513</v>
      </c>
      <c r="C528" s="48">
        <f t="shared" ca="1" si="32"/>
        <v>-0.78155163371698888</v>
      </c>
      <c r="D528" s="48">
        <f t="shared" ref="D528:D591" ca="1" si="33">S0*EXP((μ-0.5*σ*σ)*T+σ*SQRT(T)*$C528)</f>
        <v>0.61522758054287563</v>
      </c>
      <c r="E528" s="48">
        <f t="shared" ref="E528:E591" ca="1" si="34">MAX(0,CP*(D528-K))</f>
        <v>0</v>
      </c>
      <c r="F528" s="17">
        <f t="shared" ref="F528:F591" ca="1" si="35">(CP*(D528-K)&gt;0)*1</f>
        <v>0</v>
      </c>
      <c r="H528" s="17">
        <v>513</v>
      </c>
      <c r="I528" s="43">
        <v>0.66835284131114414</v>
      </c>
      <c r="J528" s="43">
        <v>1.8721992410747235E-2</v>
      </c>
      <c r="K528" s="43"/>
      <c r="L528" s="43">
        <v>0.24440000000000001</v>
      </c>
      <c r="O528" s="50"/>
    </row>
    <row r="529" spans="2:15" x14ac:dyDescent="0.2">
      <c r="B529">
        <v>514</v>
      </c>
      <c r="C529" s="48">
        <f t="shared" ref="C529:C592" ca="1" si="36">_xlfn.NORM.S.INV(RAND())</f>
        <v>0.17235740252449624</v>
      </c>
      <c r="D529" s="48">
        <f t="shared" ca="1" si="33"/>
        <v>0.67589364059489065</v>
      </c>
      <c r="E529" s="48">
        <f t="shared" ca="1" si="34"/>
        <v>0</v>
      </c>
      <c r="F529" s="17">
        <f t="shared" ca="1" si="35"/>
        <v>0</v>
      </c>
      <c r="H529" s="17">
        <v>514</v>
      </c>
      <c r="I529" s="43">
        <v>0.66982544728816351</v>
      </c>
      <c r="J529" s="43">
        <v>1.999815617884337E-2</v>
      </c>
      <c r="K529" s="43"/>
      <c r="L529" s="43">
        <v>0.25459999999999999</v>
      </c>
      <c r="O529" s="50"/>
    </row>
    <row r="530" spans="2:15" x14ac:dyDescent="0.2">
      <c r="B530">
        <v>515</v>
      </c>
      <c r="C530" s="48">
        <f t="shared" ca="1" si="36"/>
        <v>0.42694674712812924</v>
      </c>
      <c r="D530" s="48">
        <f t="shared" ca="1" si="33"/>
        <v>0.69307280166105345</v>
      </c>
      <c r="E530" s="48">
        <f t="shared" ca="1" si="34"/>
        <v>0</v>
      </c>
      <c r="F530" s="17">
        <f t="shared" ca="1" si="35"/>
        <v>0</v>
      </c>
      <c r="H530" s="17">
        <v>515</v>
      </c>
      <c r="I530" s="43">
        <v>0.66757905794707395</v>
      </c>
      <c r="J530" s="43">
        <v>1.8330195759451707E-2</v>
      </c>
      <c r="K530" s="43"/>
      <c r="L530" s="43">
        <v>0.2492</v>
      </c>
      <c r="O530" s="50"/>
    </row>
    <row r="531" spans="2:15" x14ac:dyDescent="0.2">
      <c r="B531">
        <v>516</v>
      </c>
      <c r="C531" s="48">
        <f t="shared" ca="1" si="36"/>
        <v>-1.1756469221205919</v>
      </c>
      <c r="D531" s="48">
        <f t="shared" ca="1" si="33"/>
        <v>0.59178263194915559</v>
      </c>
      <c r="E531" s="48">
        <f t="shared" ca="1" si="34"/>
        <v>0</v>
      </c>
      <c r="F531" s="17">
        <f t="shared" ca="1" si="35"/>
        <v>0</v>
      </c>
      <c r="H531" s="17">
        <v>516</v>
      </c>
      <c r="I531" s="43">
        <v>0.66773109477043913</v>
      </c>
      <c r="J531" s="43">
        <v>1.848731935519245E-2</v>
      </c>
      <c r="K531" s="43"/>
      <c r="L531" s="43">
        <v>0.2432</v>
      </c>
      <c r="O531" s="50"/>
    </row>
    <row r="532" spans="2:15" x14ac:dyDescent="0.2">
      <c r="B532">
        <v>517</v>
      </c>
      <c r="C532" s="48">
        <f t="shared" ca="1" si="36"/>
        <v>-0.89717547855581936</v>
      </c>
      <c r="D532" s="48">
        <f t="shared" ca="1" si="33"/>
        <v>0.60825438248744979</v>
      </c>
      <c r="E532" s="48">
        <f t="shared" ca="1" si="34"/>
        <v>0</v>
      </c>
      <c r="F532" s="17">
        <f t="shared" ca="1" si="35"/>
        <v>0</v>
      </c>
      <c r="H532" s="17">
        <v>517</v>
      </c>
      <c r="I532" s="43">
        <v>0.66856497463691189</v>
      </c>
      <c r="J532" s="43">
        <v>1.9000419126473309E-2</v>
      </c>
      <c r="K532" s="43"/>
      <c r="L532" s="43">
        <v>0.24540000000000001</v>
      </c>
      <c r="O532" s="50"/>
    </row>
    <row r="533" spans="2:15" x14ac:dyDescent="0.2">
      <c r="B533">
        <v>518</v>
      </c>
      <c r="C533" s="48">
        <f t="shared" ca="1" si="36"/>
        <v>0.58258740860893388</v>
      </c>
      <c r="D533" s="48">
        <f t="shared" ca="1" si="33"/>
        <v>0.70378947171722162</v>
      </c>
      <c r="E533" s="48">
        <f t="shared" ca="1" si="34"/>
        <v>0</v>
      </c>
      <c r="F533" s="17">
        <f t="shared" ca="1" si="35"/>
        <v>0</v>
      </c>
      <c r="H533" s="17">
        <v>518</v>
      </c>
      <c r="I533" s="43">
        <v>0.66865627270750094</v>
      </c>
      <c r="J533" s="43">
        <v>1.9263637186866352E-2</v>
      </c>
      <c r="K533" s="43"/>
      <c r="L533" s="43">
        <v>0.25459999999999999</v>
      </c>
      <c r="O533" s="50"/>
    </row>
    <row r="534" spans="2:15" x14ac:dyDescent="0.2">
      <c r="B534">
        <v>519</v>
      </c>
      <c r="C534" s="48">
        <f t="shared" ca="1" si="36"/>
        <v>-1.5508085612665652</v>
      </c>
      <c r="D534" s="48">
        <f t="shared" ca="1" si="33"/>
        <v>0.57029464877839819</v>
      </c>
      <c r="E534" s="48">
        <f t="shared" ca="1" si="34"/>
        <v>0</v>
      </c>
      <c r="F534" s="17">
        <f t="shared" ca="1" si="35"/>
        <v>0</v>
      </c>
      <c r="H534" s="17">
        <v>519</v>
      </c>
      <c r="I534" s="43">
        <v>0.66813407526365087</v>
      </c>
      <c r="J534" s="43">
        <v>1.8839770447741027E-2</v>
      </c>
      <c r="K534" s="43"/>
      <c r="L534" s="43">
        <v>0.25259999999999999</v>
      </c>
      <c r="O534" s="50"/>
    </row>
    <row r="535" spans="2:15" x14ac:dyDescent="0.2">
      <c r="B535">
        <v>520</v>
      </c>
      <c r="C535" s="48">
        <f t="shared" ca="1" si="36"/>
        <v>-1.3263115656986826</v>
      </c>
      <c r="D535" s="48">
        <f t="shared" ca="1" si="33"/>
        <v>0.58305746293645622</v>
      </c>
      <c r="E535" s="48">
        <f t="shared" ca="1" si="34"/>
        <v>0</v>
      </c>
      <c r="F535" s="17">
        <f t="shared" ca="1" si="35"/>
        <v>0</v>
      </c>
      <c r="H535" s="17">
        <v>520</v>
      </c>
      <c r="I535" s="43">
        <v>0.66722550310424644</v>
      </c>
      <c r="J535" s="43">
        <v>1.7882974183972632E-2</v>
      </c>
      <c r="K535" s="43"/>
      <c r="L535" s="43">
        <v>0.23680000000000001</v>
      </c>
      <c r="O535" s="50"/>
    </row>
    <row r="536" spans="2:15" x14ac:dyDescent="0.2">
      <c r="B536">
        <v>521</v>
      </c>
      <c r="C536" s="48">
        <f t="shared" ca="1" si="36"/>
        <v>0.85127655219817933</v>
      </c>
      <c r="D536" s="48">
        <f t="shared" ca="1" si="33"/>
        <v>0.72268153532577073</v>
      </c>
      <c r="E536" s="48">
        <f t="shared" ca="1" si="34"/>
        <v>0</v>
      </c>
      <c r="F536" s="17">
        <f t="shared" ca="1" si="35"/>
        <v>0</v>
      </c>
      <c r="H536" s="17">
        <v>521</v>
      </c>
      <c r="I536" s="43">
        <v>0.66818599775482357</v>
      </c>
      <c r="J536" s="43">
        <v>1.8811955594965846E-2</v>
      </c>
      <c r="K536" s="43"/>
      <c r="L536" s="43">
        <v>0.24840000000000001</v>
      </c>
      <c r="O536" s="50"/>
    </row>
    <row r="537" spans="2:15" x14ac:dyDescent="0.2">
      <c r="B537">
        <v>522</v>
      </c>
      <c r="C537" s="48">
        <f t="shared" ca="1" si="36"/>
        <v>-0.54515517438076178</v>
      </c>
      <c r="D537" s="48">
        <f t="shared" ca="1" si="33"/>
        <v>0.62973429584779927</v>
      </c>
      <c r="E537" s="48">
        <f t="shared" ca="1" si="34"/>
        <v>0</v>
      </c>
      <c r="F537" s="17">
        <f t="shared" ca="1" si="35"/>
        <v>0</v>
      </c>
      <c r="H537" s="17">
        <v>522</v>
      </c>
      <c r="I537" s="43">
        <v>0.66937232519892953</v>
      </c>
      <c r="J537" s="43">
        <v>1.9718313747317234E-2</v>
      </c>
      <c r="K537" s="43"/>
      <c r="L537" s="43">
        <v>0.251</v>
      </c>
      <c r="O537" s="50"/>
    </row>
    <row r="538" spans="2:15" x14ac:dyDescent="0.2">
      <c r="B538">
        <v>523</v>
      </c>
      <c r="C538" s="48">
        <f t="shared" ca="1" si="36"/>
        <v>0.6857463085376726</v>
      </c>
      <c r="D538" s="48">
        <f t="shared" ca="1" si="33"/>
        <v>0.7109836547962175</v>
      </c>
      <c r="E538" s="48">
        <f t="shared" ca="1" si="34"/>
        <v>0</v>
      </c>
      <c r="F538" s="17">
        <f t="shared" ca="1" si="35"/>
        <v>0</v>
      </c>
      <c r="H538" s="17">
        <v>523</v>
      </c>
      <c r="I538" s="43">
        <v>0.66848424963790487</v>
      </c>
      <c r="J538" s="43">
        <v>1.9211809462230316E-2</v>
      </c>
      <c r="K538" s="43"/>
      <c r="L538" s="43">
        <v>0.25559999999999999</v>
      </c>
      <c r="O538" s="50"/>
    </row>
    <row r="539" spans="2:15" x14ac:dyDescent="0.2">
      <c r="B539">
        <v>524</v>
      </c>
      <c r="C539" s="48">
        <f t="shared" ca="1" si="36"/>
        <v>0.27271048695477201</v>
      </c>
      <c r="D539" s="48">
        <f t="shared" ca="1" si="33"/>
        <v>0.68261382106190227</v>
      </c>
      <c r="E539" s="48">
        <f t="shared" ca="1" si="34"/>
        <v>0</v>
      </c>
      <c r="F539" s="17">
        <f t="shared" ca="1" si="35"/>
        <v>0</v>
      </c>
      <c r="H539" s="17">
        <v>524</v>
      </c>
      <c r="I539" s="43">
        <v>0.66878606357526904</v>
      </c>
      <c r="J539" s="43">
        <v>1.9294563166799703E-2</v>
      </c>
      <c r="K539" s="43"/>
      <c r="L539" s="43">
        <v>0.25159999999999999</v>
      </c>
      <c r="O539" s="50"/>
    </row>
    <row r="540" spans="2:15" x14ac:dyDescent="0.2">
      <c r="B540">
        <v>525</v>
      </c>
      <c r="C540" s="48">
        <f t="shared" ca="1" si="36"/>
        <v>-1.3876055711151167</v>
      </c>
      <c r="D540" s="48">
        <f t="shared" ca="1" si="33"/>
        <v>0.57954477507178825</v>
      </c>
      <c r="E540" s="48">
        <f t="shared" ca="1" si="34"/>
        <v>0</v>
      </c>
      <c r="F540" s="17">
        <f t="shared" ca="1" si="35"/>
        <v>0</v>
      </c>
      <c r="H540" s="17">
        <v>525</v>
      </c>
      <c r="I540" s="43">
        <v>0.66903895736481034</v>
      </c>
      <c r="J540" s="43">
        <v>1.9486482012641141E-2</v>
      </c>
      <c r="K540" s="43"/>
      <c r="L540" s="43">
        <v>0.25619999999999998</v>
      </c>
      <c r="O540" s="50"/>
    </row>
    <row r="541" spans="2:15" x14ac:dyDescent="0.2">
      <c r="B541">
        <v>526</v>
      </c>
      <c r="C541" s="48">
        <f t="shared" ca="1" si="36"/>
        <v>0.53221906334729863</v>
      </c>
      <c r="D541" s="48">
        <f t="shared" ca="1" si="33"/>
        <v>0.70030333567882308</v>
      </c>
      <c r="E541" s="48">
        <f t="shared" ca="1" si="34"/>
        <v>0</v>
      </c>
      <c r="F541" s="17">
        <f t="shared" ca="1" si="35"/>
        <v>0</v>
      </c>
      <c r="H541" s="17">
        <v>526</v>
      </c>
      <c r="I541" s="43">
        <v>0.66629694421124996</v>
      </c>
      <c r="J541" s="43">
        <v>1.7318738761375324E-2</v>
      </c>
      <c r="K541" s="43"/>
      <c r="L541" s="43">
        <v>0.2374</v>
      </c>
      <c r="O541" s="50"/>
    </row>
    <row r="542" spans="2:15" x14ac:dyDescent="0.2">
      <c r="B542">
        <v>527</v>
      </c>
      <c r="C542" s="48">
        <f t="shared" ca="1" si="36"/>
        <v>1.2999148432909182</v>
      </c>
      <c r="D542" s="48">
        <f t="shared" ca="1" si="33"/>
        <v>0.75536325224211354</v>
      </c>
      <c r="E542" s="48">
        <f t="shared" ca="1" si="34"/>
        <v>0</v>
      </c>
      <c r="F542" s="17">
        <f t="shared" ca="1" si="35"/>
        <v>0</v>
      </c>
      <c r="H542" s="17">
        <v>527</v>
      </c>
      <c r="I542" s="43">
        <v>0.66911463526970005</v>
      </c>
      <c r="J542" s="43">
        <v>1.9540693293985223E-2</v>
      </c>
      <c r="K542" s="43"/>
      <c r="L542" s="43">
        <v>0.24779999999999999</v>
      </c>
      <c r="O542" s="50"/>
    </row>
    <row r="543" spans="2:15" x14ac:dyDescent="0.2">
      <c r="B543">
        <v>528</v>
      </c>
      <c r="C543" s="48">
        <f t="shared" ca="1" si="36"/>
        <v>1.4016886751315878</v>
      </c>
      <c r="D543" s="48">
        <f t="shared" ca="1" si="33"/>
        <v>0.76298043359194734</v>
      </c>
      <c r="E543" s="48">
        <f t="shared" ca="1" si="34"/>
        <v>0</v>
      </c>
      <c r="F543" s="17">
        <f t="shared" ca="1" si="35"/>
        <v>0</v>
      </c>
      <c r="H543" s="17">
        <v>528</v>
      </c>
      <c r="I543" s="43">
        <v>0.66873077560720706</v>
      </c>
      <c r="J543" s="43">
        <v>1.9107578639074866E-2</v>
      </c>
      <c r="K543" s="43"/>
      <c r="L543" s="43">
        <v>0.2414</v>
      </c>
      <c r="O543" s="50"/>
    </row>
    <row r="544" spans="2:15" x14ac:dyDescent="0.2">
      <c r="B544">
        <v>529</v>
      </c>
      <c r="C544" s="48">
        <f t="shared" ca="1" si="36"/>
        <v>-1.393547819898284</v>
      </c>
      <c r="D544" s="48">
        <f t="shared" ca="1" si="33"/>
        <v>0.57920535904892756</v>
      </c>
      <c r="E544" s="48">
        <f t="shared" ca="1" si="34"/>
        <v>0</v>
      </c>
      <c r="F544" s="17">
        <f t="shared" ca="1" si="35"/>
        <v>0</v>
      </c>
      <c r="H544" s="17">
        <v>529</v>
      </c>
      <c r="I544" s="43">
        <v>0.6688599725758374</v>
      </c>
      <c r="J544" s="43">
        <v>1.9176298457444146E-2</v>
      </c>
      <c r="K544" s="43"/>
      <c r="L544" s="43">
        <v>0.245</v>
      </c>
      <c r="O544" s="50"/>
    </row>
    <row r="545" spans="2:15" x14ac:dyDescent="0.2">
      <c r="B545">
        <v>530</v>
      </c>
      <c r="C545" s="48">
        <f t="shared" ca="1" si="36"/>
        <v>0.92389549754147959</v>
      </c>
      <c r="D545" s="48">
        <f t="shared" ca="1" si="33"/>
        <v>0.72787400740632102</v>
      </c>
      <c r="E545" s="48">
        <f t="shared" ca="1" si="34"/>
        <v>0</v>
      </c>
      <c r="F545" s="17">
        <f t="shared" ca="1" si="35"/>
        <v>0</v>
      </c>
      <c r="H545" s="17">
        <v>530</v>
      </c>
      <c r="I545" s="43">
        <v>0.66909679432936164</v>
      </c>
      <c r="J545" s="43">
        <v>1.9463958764106917E-2</v>
      </c>
      <c r="K545" s="43"/>
      <c r="L545" s="43">
        <v>0.252</v>
      </c>
      <c r="O545" s="50"/>
    </row>
    <row r="546" spans="2:15" x14ac:dyDescent="0.2">
      <c r="B546">
        <v>531</v>
      </c>
      <c r="C546" s="48">
        <f t="shared" ca="1" si="36"/>
        <v>-0.77767758648674234</v>
      </c>
      <c r="D546" s="48">
        <f t="shared" ca="1" si="33"/>
        <v>0.61546260083754178</v>
      </c>
      <c r="E546" s="48">
        <f t="shared" ca="1" si="34"/>
        <v>0</v>
      </c>
      <c r="F546" s="17">
        <f t="shared" ca="1" si="35"/>
        <v>0</v>
      </c>
      <c r="H546" s="17">
        <v>531</v>
      </c>
      <c r="I546" s="43">
        <v>0.66684982641031154</v>
      </c>
      <c r="J546" s="43">
        <v>1.7415470644294165E-2</v>
      </c>
      <c r="K546" s="43"/>
      <c r="L546" s="43">
        <v>0.2346</v>
      </c>
      <c r="O546" s="50"/>
    </row>
    <row r="547" spans="2:15" x14ac:dyDescent="0.2">
      <c r="B547">
        <v>532</v>
      </c>
      <c r="C547" s="48">
        <f t="shared" ca="1" si="36"/>
        <v>0.54328166952954315</v>
      </c>
      <c r="D547" s="48">
        <f t="shared" ca="1" si="33"/>
        <v>0.70106752720473908</v>
      </c>
      <c r="E547" s="48">
        <f t="shared" ca="1" si="34"/>
        <v>0</v>
      </c>
      <c r="F547" s="17">
        <f t="shared" ca="1" si="35"/>
        <v>0</v>
      </c>
      <c r="H547" s="17">
        <v>532</v>
      </c>
      <c r="I547" s="43">
        <v>0.66866131774371218</v>
      </c>
      <c r="J547" s="43">
        <v>1.9339867537830853E-2</v>
      </c>
      <c r="K547" s="43"/>
      <c r="L547" s="43">
        <v>0.252</v>
      </c>
      <c r="O547" s="50"/>
    </row>
    <row r="548" spans="2:15" x14ac:dyDescent="0.2">
      <c r="B548">
        <v>533</v>
      </c>
      <c r="C548" s="48">
        <f t="shared" ca="1" si="36"/>
        <v>0.99943630388883442</v>
      </c>
      <c r="D548" s="48">
        <f t="shared" ca="1" si="33"/>
        <v>0.73331499491349472</v>
      </c>
      <c r="E548" s="48">
        <f t="shared" ca="1" si="34"/>
        <v>0</v>
      </c>
      <c r="F548" s="17">
        <f t="shared" ca="1" si="35"/>
        <v>0</v>
      </c>
      <c r="H548" s="17">
        <v>533</v>
      </c>
      <c r="I548" s="43">
        <v>0.66851197717087396</v>
      </c>
      <c r="J548" s="43">
        <v>1.9020664133124778E-2</v>
      </c>
      <c r="K548" s="43"/>
      <c r="L548" s="43">
        <v>0.249</v>
      </c>
      <c r="O548" s="50"/>
    </row>
    <row r="549" spans="2:15" x14ac:dyDescent="0.2">
      <c r="B549">
        <v>534</v>
      </c>
      <c r="C549" s="48">
        <f t="shared" ca="1" si="36"/>
        <v>-0.42448448653496723</v>
      </c>
      <c r="D549" s="48">
        <f t="shared" ca="1" si="33"/>
        <v>0.6372707443105764</v>
      </c>
      <c r="E549" s="48">
        <f t="shared" ca="1" si="34"/>
        <v>0</v>
      </c>
      <c r="F549" s="17">
        <f t="shared" ca="1" si="35"/>
        <v>0</v>
      </c>
      <c r="H549" s="17">
        <v>534</v>
      </c>
      <c r="I549" s="43">
        <v>0.66879804831609957</v>
      </c>
      <c r="J549" s="43">
        <v>1.9359098654894387E-2</v>
      </c>
      <c r="K549" s="43"/>
      <c r="L549" s="43">
        <v>0.24879999999999999</v>
      </c>
      <c r="O549" s="50"/>
    </row>
    <row r="550" spans="2:15" x14ac:dyDescent="0.2">
      <c r="B550">
        <v>535</v>
      </c>
      <c r="C550" s="48">
        <f t="shared" ca="1" si="36"/>
        <v>8.0792958481701108E-2</v>
      </c>
      <c r="D550" s="48">
        <f t="shared" ca="1" si="33"/>
        <v>0.66981973263181749</v>
      </c>
      <c r="E550" s="48">
        <f t="shared" ca="1" si="34"/>
        <v>0</v>
      </c>
      <c r="F550" s="17">
        <f t="shared" ca="1" si="35"/>
        <v>0</v>
      </c>
      <c r="H550" s="17">
        <v>535</v>
      </c>
      <c r="I550" s="43">
        <v>0.66901633790126813</v>
      </c>
      <c r="J550" s="43">
        <v>1.9343743010735305E-2</v>
      </c>
      <c r="K550" s="43"/>
      <c r="L550" s="43">
        <v>0.25159999999999999</v>
      </c>
      <c r="O550" s="50"/>
    </row>
    <row r="551" spans="2:15" x14ac:dyDescent="0.2">
      <c r="B551">
        <v>536</v>
      </c>
      <c r="C551" s="48">
        <f t="shared" ca="1" si="36"/>
        <v>3.0508999813557932E-3</v>
      </c>
      <c r="D551" s="48">
        <f t="shared" ca="1" si="33"/>
        <v>0.66470559448565969</v>
      </c>
      <c r="E551" s="48">
        <f t="shared" ca="1" si="34"/>
        <v>0</v>
      </c>
      <c r="F551" s="17">
        <f t="shared" ca="1" si="35"/>
        <v>0</v>
      </c>
      <c r="H551" s="17">
        <v>536</v>
      </c>
      <c r="I551" s="43">
        <v>0.66923206685557213</v>
      </c>
      <c r="J551" s="43">
        <v>1.9549738319169285E-2</v>
      </c>
      <c r="K551" s="43"/>
      <c r="L551" s="43">
        <v>0.25219999999999998</v>
      </c>
      <c r="O551" s="50"/>
    </row>
    <row r="552" spans="2:15" x14ac:dyDescent="0.2">
      <c r="B552">
        <v>537</v>
      </c>
      <c r="C552" s="48">
        <f t="shared" ca="1" si="36"/>
        <v>-0.65683682561096834</v>
      </c>
      <c r="D552" s="48">
        <f t="shared" ca="1" si="33"/>
        <v>0.6228386935419421</v>
      </c>
      <c r="E552" s="48">
        <f t="shared" ca="1" si="34"/>
        <v>0</v>
      </c>
      <c r="F552" s="17">
        <f t="shared" ca="1" si="35"/>
        <v>0</v>
      </c>
      <c r="H552" s="17">
        <v>537</v>
      </c>
      <c r="I552" s="43">
        <v>0.66815651606170801</v>
      </c>
      <c r="J552" s="43">
        <v>1.8818817605083603E-2</v>
      </c>
      <c r="K552" s="43"/>
      <c r="L552" s="43">
        <v>0.25159999999999999</v>
      </c>
      <c r="O552" s="50"/>
    </row>
    <row r="553" spans="2:15" x14ac:dyDescent="0.2">
      <c r="B553">
        <v>538</v>
      </c>
      <c r="C553" s="48">
        <f t="shared" ca="1" si="36"/>
        <v>-0.49494713587198602</v>
      </c>
      <c r="D553" s="48">
        <f t="shared" ca="1" si="33"/>
        <v>0.63285913464767307</v>
      </c>
      <c r="E553" s="48">
        <f t="shared" ca="1" si="34"/>
        <v>0</v>
      </c>
      <c r="F553" s="17">
        <f t="shared" ca="1" si="35"/>
        <v>0</v>
      </c>
      <c r="H553" s="17">
        <v>538</v>
      </c>
      <c r="I553" s="43">
        <v>0.66972417618946645</v>
      </c>
      <c r="J553" s="43">
        <v>1.9938760345926482E-2</v>
      </c>
      <c r="K553" s="43"/>
      <c r="L553" s="43">
        <v>0.25480000000000003</v>
      </c>
      <c r="O553" s="50"/>
    </row>
    <row r="554" spans="2:15" x14ac:dyDescent="0.2">
      <c r="B554">
        <v>539</v>
      </c>
      <c r="C554" s="48">
        <f t="shared" ca="1" si="36"/>
        <v>-2.6647435300210454</v>
      </c>
      <c r="D554" s="48">
        <f t="shared" ca="1" si="33"/>
        <v>0.51098136658039672</v>
      </c>
      <c r="E554" s="48">
        <f t="shared" ca="1" si="34"/>
        <v>0</v>
      </c>
      <c r="F554" s="17">
        <f t="shared" ca="1" si="35"/>
        <v>0</v>
      </c>
      <c r="H554" s="17">
        <v>539</v>
      </c>
      <c r="I554" s="43">
        <v>0.66888063669193287</v>
      </c>
      <c r="J554" s="43">
        <v>1.9368716434570336E-2</v>
      </c>
      <c r="K554" s="43"/>
      <c r="L554" s="43">
        <v>0.25319999999999998</v>
      </c>
      <c r="O554" s="50"/>
    </row>
    <row r="555" spans="2:15" x14ac:dyDescent="0.2">
      <c r="B555">
        <v>540</v>
      </c>
      <c r="C555" s="48">
        <f t="shared" ca="1" si="36"/>
        <v>0.57517185388148795</v>
      </c>
      <c r="D555" s="48">
        <f t="shared" ca="1" si="33"/>
        <v>0.7032751327977268</v>
      </c>
      <c r="E555" s="48">
        <f t="shared" ca="1" si="34"/>
        <v>0</v>
      </c>
      <c r="F555" s="17">
        <f t="shared" ca="1" si="35"/>
        <v>0</v>
      </c>
      <c r="H555" s="17">
        <v>540</v>
      </c>
      <c r="I555" s="43">
        <v>0.66922883628586627</v>
      </c>
      <c r="J555" s="43">
        <v>1.9661503922520016E-2</v>
      </c>
      <c r="K555" s="43"/>
      <c r="L555" s="43">
        <v>0.26</v>
      </c>
      <c r="O555" s="50"/>
    </row>
    <row r="556" spans="2:15" x14ac:dyDescent="0.2">
      <c r="B556">
        <v>541</v>
      </c>
      <c r="C556" s="48">
        <f t="shared" ca="1" si="36"/>
        <v>-2.4024287881634891</v>
      </c>
      <c r="D556" s="48">
        <f t="shared" ca="1" si="33"/>
        <v>0.52436818022014264</v>
      </c>
      <c r="E556" s="48">
        <f t="shared" ca="1" si="34"/>
        <v>0</v>
      </c>
      <c r="F556" s="17">
        <f t="shared" ca="1" si="35"/>
        <v>0</v>
      </c>
      <c r="H556" s="17">
        <v>541</v>
      </c>
      <c r="I556" s="43">
        <v>0.66851421365058272</v>
      </c>
      <c r="J556" s="43">
        <v>1.9037498352872623E-2</v>
      </c>
      <c r="K556" s="43"/>
      <c r="L556" s="43">
        <v>0.249</v>
      </c>
      <c r="O556" s="50"/>
    </row>
    <row r="557" spans="2:15" x14ac:dyDescent="0.2">
      <c r="B557">
        <v>542</v>
      </c>
      <c r="C557" s="48">
        <f t="shared" ca="1" si="36"/>
        <v>-0.31880028708932029</v>
      </c>
      <c r="D557" s="48">
        <f t="shared" ca="1" si="33"/>
        <v>0.64394526702592314</v>
      </c>
      <c r="E557" s="48">
        <f t="shared" ca="1" si="34"/>
        <v>0</v>
      </c>
      <c r="F557" s="17">
        <f t="shared" ca="1" si="35"/>
        <v>0</v>
      </c>
      <c r="H557" s="17">
        <v>542</v>
      </c>
      <c r="I557" s="43">
        <v>0.66879642745328161</v>
      </c>
      <c r="J557" s="43">
        <v>1.9303193531274646E-2</v>
      </c>
      <c r="K557" s="43"/>
      <c r="L557" s="43">
        <v>0.248</v>
      </c>
      <c r="O557" s="50"/>
    </row>
    <row r="558" spans="2:15" x14ac:dyDescent="0.2">
      <c r="B558">
        <v>543</v>
      </c>
      <c r="C558" s="48">
        <f t="shared" ca="1" si="36"/>
        <v>1.1873037156852524</v>
      </c>
      <c r="D558" s="48">
        <f t="shared" ca="1" si="33"/>
        <v>0.74702355408273702</v>
      </c>
      <c r="E558" s="48">
        <f t="shared" ca="1" si="34"/>
        <v>0</v>
      </c>
      <c r="F558" s="17">
        <f t="shared" ca="1" si="35"/>
        <v>0</v>
      </c>
      <c r="H558" s="17">
        <v>543</v>
      </c>
      <c r="I558" s="43">
        <v>0.66920353720463466</v>
      </c>
      <c r="J558" s="43">
        <v>1.9748047373042674E-2</v>
      </c>
      <c r="K558" s="43"/>
      <c r="L558" s="43">
        <v>0.26719999999999999</v>
      </c>
      <c r="O558" s="50"/>
    </row>
    <row r="559" spans="2:15" x14ac:dyDescent="0.2">
      <c r="B559">
        <v>544</v>
      </c>
      <c r="C559" s="48">
        <f t="shared" ca="1" si="36"/>
        <v>-1.1959162712116962</v>
      </c>
      <c r="D559" s="48">
        <f t="shared" ca="1" si="33"/>
        <v>0.59060125121510598</v>
      </c>
      <c r="E559" s="48">
        <f t="shared" ca="1" si="34"/>
        <v>0</v>
      </c>
      <c r="F559" s="17">
        <f t="shared" ca="1" si="35"/>
        <v>0</v>
      </c>
      <c r="H559" s="17">
        <v>544</v>
      </c>
      <c r="I559" s="43">
        <v>0.66906755002641083</v>
      </c>
      <c r="J559" s="43">
        <v>1.9554921159957772E-2</v>
      </c>
      <c r="K559" s="43"/>
      <c r="L559" s="43">
        <v>0.24759999999999999</v>
      </c>
      <c r="O559" s="50"/>
    </row>
    <row r="560" spans="2:15" x14ac:dyDescent="0.2">
      <c r="B560">
        <v>545</v>
      </c>
      <c r="C560" s="48">
        <f t="shared" ca="1" si="36"/>
        <v>1.9828545768714769</v>
      </c>
      <c r="D560" s="48">
        <f t="shared" ca="1" si="33"/>
        <v>0.80797253181258999</v>
      </c>
      <c r="E560" s="48">
        <f t="shared" ca="1" si="34"/>
        <v>1.9772531812589977E-2</v>
      </c>
      <c r="F560" s="17">
        <f t="shared" ca="1" si="35"/>
        <v>1</v>
      </c>
      <c r="H560" s="17">
        <v>545</v>
      </c>
      <c r="I560" s="43">
        <v>0.66885423757815166</v>
      </c>
      <c r="J560" s="43">
        <v>1.934134487245279E-2</v>
      </c>
      <c r="K560" s="43"/>
      <c r="L560" s="43">
        <v>0.24940000000000001</v>
      </c>
      <c r="O560" s="50"/>
    </row>
    <row r="561" spans="2:15" x14ac:dyDescent="0.2">
      <c r="B561">
        <v>546</v>
      </c>
      <c r="C561" s="48">
        <f t="shared" ca="1" si="36"/>
        <v>-1.2350406335735842</v>
      </c>
      <c r="D561" s="48">
        <f t="shared" ca="1" si="33"/>
        <v>0.58832758844337263</v>
      </c>
      <c r="E561" s="48">
        <f t="shared" ca="1" si="34"/>
        <v>0</v>
      </c>
      <c r="F561" s="17">
        <f t="shared" ca="1" si="35"/>
        <v>0</v>
      </c>
      <c r="H561" s="17">
        <v>546</v>
      </c>
      <c r="I561" s="43">
        <v>0.66947235280022654</v>
      </c>
      <c r="J561" s="43">
        <v>1.9625011797820092E-2</v>
      </c>
      <c r="K561" s="43"/>
      <c r="L561" s="43">
        <v>0.25140000000000001</v>
      </c>
      <c r="O561" s="50"/>
    </row>
    <row r="562" spans="2:15" x14ac:dyDescent="0.2">
      <c r="B562">
        <v>547</v>
      </c>
      <c r="C562" s="48">
        <f t="shared" ca="1" si="36"/>
        <v>0.18973365283321272</v>
      </c>
      <c r="D562" s="48">
        <f t="shared" ca="1" si="33"/>
        <v>0.67705249316601324</v>
      </c>
      <c r="E562" s="48">
        <f t="shared" ca="1" si="34"/>
        <v>0</v>
      </c>
      <c r="F562" s="17">
        <f t="shared" ca="1" si="35"/>
        <v>0</v>
      </c>
      <c r="H562" s="17">
        <v>547</v>
      </c>
      <c r="I562" s="43">
        <v>0.66871083800117548</v>
      </c>
      <c r="J562" s="43">
        <v>1.9429513953541533E-2</v>
      </c>
      <c r="K562" s="43"/>
      <c r="L562" s="43">
        <v>0.24979999999999999</v>
      </c>
      <c r="O562" s="50"/>
    </row>
    <row r="563" spans="2:15" x14ac:dyDescent="0.2">
      <c r="B563">
        <v>548</v>
      </c>
      <c r="C563" s="48">
        <f t="shared" ca="1" si="36"/>
        <v>0.11878054037602676</v>
      </c>
      <c r="D563" s="48">
        <f t="shared" ca="1" si="33"/>
        <v>0.67233297747016318</v>
      </c>
      <c r="E563" s="48">
        <f t="shared" ca="1" si="34"/>
        <v>0</v>
      </c>
      <c r="F563" s="17">
        <f t="shared" ca="1" si="35"/>
        <v>0</v>
      </c>
      <c r="H563" s="17">
        <v>548</v>
      </c>
      <c r="I563" s="43">
        <v>0.66866476795735497</v>
      </c>
      <c r="J563" s="43">
        <v>1.8938935178232402E-2</v>
      </c>
      <c r="K563" s="43"/>
      <c r="L563" s="43">
        <v>0.25019999999999998</v>
      </c>
      <c r="O563" s="50"/>
    </row>
    <row r="564" spans="2:15" x14ac:dyDescent="0.2">
      <c r="B564">
        <v>549</v>
      </c>
      <c r="C564" s="48">
        <f t="shared" ca="1" si="36"/>
        <v>0.23904974262643289</v>
      </c>
      <c r="D564" s="48">
        <f t="shared" ca="1" si="33"/>
        <v>0.6803523027785694</v>
      </c>
      <c r="E564" s="48">
        <f t="shared" ca="1" si="34"/>
        <v>0</v>
      </c>
      <c r="F564" s="17">
        <f t="shared" ca="1" si="35"/>
        <v>0</v>
      </c>
      <c r="H564" s="17">
        <v>549</v>
      </c>
      <c r="I564" s="43">
        <v>0.66838433671466013</v>
      </c>
      <c r="J564" s="43">
        <v>1.9251292030805577E-2</v>
      </c>
      <c r="K564" s="43"/>
      <c r="L564" s="43">
        <v>0.25480000000000003</v>
      </c>
      <c r="O564" s="50"/>
    </row>
    <row r="565" spans="2:15" x14ac:dyDescent="0.2">
      <c r="B565">
        <v>550</v>
      </c>
      <c r="C565" s="48">
        <f t="shared" ca="1" si="36"/>
        <v>0.86108401725814399</v>
      </c>
      <c r="D565" s="48">
        <f t="shared" ca="1" si="33"/>
        <v>0.72338062908266687</v>
      </c>
      <c r="E565" s="48">
        <f t="shared" ca="1" si="34"/>
        <v>0</v>
      </c>
      <c r="F565" s="17">
        <f t="shared" ca="1" si="35"/>
        <v>0</v>
      </c>
      <c r="H565" s="17">
        <v>550</v>
      </c>
      <c r="I565" s="43">
        <v>0.66922131979587351</v>
      </c>
      <c r="J565" s="43">
        <v>1.9654554546557571E-2</v>
      </c>
      <c r="K565" s="43"/>
      <c r="L565" s="43">
        <v>0.25440000000000002</v>
      </c>
      <c r="O565" s="50"/>
    </row>
    <row r="566" spans="2:15" x14ac:dyDescent="0.2">
      <c r="B566">
        <v>551</v>
      </c>
      <c r="C566" s="48">
        <f t="shared" ca="1" si="36"/>
        <v>-0.41206142412732322</v>
      </c>
      <c r="D566" s="48">
        <f t="shared" ca="1" si="33"/>
        <v>0.63805172509587382</v>
      </c>
      <c r="E566" s="48">
        <f t="shared" ca="1" si="34"/>
        <v>0</v>
      </c>
      <c r="F566" s="17">
        <f t="shared" ca="1" si="35"/>
        <v>0</v>
      </c>
      <c r="H566" s="17">
        <v>551</v>
      </c>
      <c r="I566" s="43">
        <v>0.67024128491033186</v>
      </c>
      <c r="J566" s="43">
        <v>2.0468100506588427E-2</v>
      </c>
      <c r="K566" s="43"/>
      <c r="L566" s="43">
        <v>0.25659999999999999</v>
      </c>
      <c r="O566" s="50"/>
    </row>
    <row r="567" spans="2:15" x14ac:dyDescent="0.2">
      <c r="B567">
        <v>552</v>
      </c>
      <c r="C567" s="48">
        <f t="shared" ca="1" si="36"/>
        <v>0.34706700123223144</v>
      </c>
      <c r="D567" s="48">
        <f t="shared" ca="1" si="33"/>
        <v>0.68763619005126653</v>
      </c>
      <c r="E567" s="48">
        <f t="shared" ca="1" si="34"/>
        <v>0</v>
      </c>
      <c r="F567" s="17">
        <f t="shared" ca="1" si="35"/>
        <v>0</v>
      </c>
      <c r="H567" s="17">
        <v>552</v>
      </c>
      <c r="I567" s="43">
        <v>0.66801587237679494</v>
      </c>
      <c r="J567" s="43">
        <v>1.8502808563991783E-2</v>
      </c>
      <c r="K567" s="43"/>
      <c r="L567" s="43">
        <v>0.24340000000000001</v>
      </c>
      <c r="O567" s="50"/>
    </row>
    <row r="568" spans="2:15" x14ac:dyDescent="0.2">
      <c r="B568">
        <v>553</v>
      </c>
      <c r="C568" s="48">
        <f t="shared" ca="1" si="36"/>
        <v>-1.0106187769866672</v>
      </c>
      <c r="D568" s="48">
        <f t="shared" ca="1" si="33"/>
        <v>0.60148951206514212</v>
      </c>
      <c r="E568" s="48">
        <f t="shared" ca="1" si="34"/>
        <v>0</v>
      </c>
      <c r="F568" s="17">
        <f t="shared" ca="1" si="35"/>
        <v>0</v>
      </c>
      <c r="H568" s="17">
        <v>553</v>
      </c>
      <c r="I568" s="43">
        <v>0.66805881303557124</v>
      </c>
      <c r="J568" s="43">
        <v>1.8588302518278185E-2</v>
      </c>
      <c r="K568" s="43"/>
      <c r="L568" s="43">
        <v>0.249</v>
      </c>
      <c r="O568" s="50"/>
    </row>
    <row r="569" spans="2:15" x14ac:dyDescent="0.2">
      <c r="B569">
        <v>554</v>
      </c>
      <c r="C569" s="48">
        <f t="shared" ca="1" si="36"/>
        <v>1.0786825304864389</v>
      </c>
      <c r="D569" s="48">
        <f t="shared" ca="1" si="33"/>
        <v>0.73906659240441508</v>
      </c>
      <c r="E569" s="48">
        <f t="shared" ca="1" si="34"/>
        <v>0</v>
      </c>
      <c r="F569" s="17">
        <f t="shared" ca="1" si="35"/>
        <v>0</v>
      </c>
      <c r="H569" s="17">
        <v>554</v>
      </c>
      <c r="I569" s="43">
        <v>0.66961091999479427</v>
      </c>
      <c r="J569" s="43">
        <v>1.9835757358672233E-2</v>
      </c>
      <c r="K569" s="43"/>
      <c r="L569" s="43">
        <v>0.25380000000000003</v>
      </c>
      <c r="O569" s="50"/>
    </row>
    <row r="570" spans="2:15" x14ac:dyDescent="0.2">
      <c r="B570">
        <v>555</v>
      </c>
      <c r="C570" s="48">
        <f t="shared" ca="1" si="36"/>
        <v>-0.4505648817494593</v>
      </c>
      <c r="D570" s="48">
        <f t="shared" ca="1" si="33"/>
        <v>0.63563429837844865</v>
      </c>
      <c r="E570" s="48">
        <f t="shared" ca="1" si="34"/>
        <v>0</v>
      </c>
      <c r="F570" s="17">
        <f t="shared" ca="1" si="35"/>
        <v>0</v>
      </c>
      <c r="H570" s="17">
        <v>555</v>
      </c>
      <c r="I570" s="43">
        <v>0.66838435276299224</v>
      </c>
      <c r="J570" s="43">
        <v>1.9048289065591657E-2</v>
      </c>
      <c r="K570" s="43"/>
      <c r="L570" s="43">
        <v>0.2482</v>
      </c>
      <c r="O570" s="50"/>
    </row>
    <row r="571" spans="2:15" x14ac:dyDescent="0.2">
      <c r="B571">
        <v>556</v>
      </c>
      <c r="C571" s="48">
        <f t="shared" ca="1" si="36"/>
        <v>0.11881984242037616</v>
      </c>
      <c r="D571" s="48">
        <f t="shared" ca="1" si="33"/>
        <v>0.67233558255647485</v>
      </c>
      <c r="E571" s="48">
        <f t="shared" ca="1" si="34"/>
        <v>0</v>
      </c>
      <c r="F571" s="17">
        <f t="shared" ca="1" si="35"/>
        <v>0</v>
      </c>
      <c r="H571" s="17">
        <v>556</v>
      </c>
      <c r="I571" s="43">
        <v>0.66853472630391086</v>
      </c>
      <c r="J571" s="43">
        <v>1.9038184139811093E-2</v>
      </c>
      <c r="K571" s="43"/>
      <c r="L571" s="43">
        <v>0.249</v>
      </c>
      <c r="O571" s="50"/>
    </row>
    <row r="572" spans="2:15" x14ac:dyDescent="0.2">
      <c r="B572">
        <v>557</v>
      </c>
      <c r="C572" s="48">
        <f t="shared" ca="1" si="36"/>
        <v>0.74628199714658994</v>
      </c>
      <c r="D572" s="48">
        <f t="shared" ca="1" si="33"/>
        <v>0.71523953521304517</v>
      </c>
      <c r="E572" s="48">
        <f t="shared" ca="1" si="34"/>
        <v>0</v>
      </c>
      <c r="F572" s="17">
        <f t="shared" ca="1" si="35"/>
        <v>0</v>
      </c>
      <c r="H572" s="17">
        <v>557</v>
      </c>
      <c r="I572" s="43">
        <v>0.67006024948441578</v>
      </c>
      <c r="J572" s="43">
        <v>2.0173440877195647E-2</v>
      </c>
      <c r="K572" s="43"/>
      <c r="L572" s="43">
        <v>0.2586</v>
      </c>
      <c r="O572" s="50"/>
    </row>
    <row r="573" spans="2:15" x14ac:dyDescent="0.2">
      <c r="B573">
        <v>558</v>
      </c>
      <c r="C573" s="48">
        <f t="shared" ca="1" si="36"/>
        <v>9.6575121290330454E-2</v>
      </c>
      <c r="D573" s="48">
        <f t="shared" ca="1" si="33"/>
        <v>0.67086273209676561</v>
      </c>
      <c r="E573" s="48">
        <f t="shared" ca="1" si="34"/>
        <v>0</v>
      </c>
      <c r="F573" s="17">
        <f t="shared" ca="1" si="35"/>
        <v>0</v>
      </c>
      <c r="H573" s="17">
        <v>558</v>
      </c>
      <c r="I573" s="43">
        <v>0.66764152222836148</v>
      </c>
      <c r="J573" s="43">
        <v>1.8410395183189699E-2</v>
      </c>
      <c r="K573" s="43"/>
      <c r="L573" s="43">
        <v>0.24440000000000001</v>
      </c>
      <c r="O573" s="50"/>
    </row>
    <row r="574" spans="2:15" x14ac:dyDescent="0.2">
      <c r="B574">
        <v>559</v>
      </c>
      <c r="C574" s="48">
        <f t="shared" ca="1" si="36"/>
        <v>1.4981562439809599</v>
      </c>
      <c r="D574" s="48">
        <f t="shared" ca="1" si="33"/>
        <v>0.77027136930884033</v>
      </c>
      <c r="E574" s="48">
        <f t="shared" ca="1" si="34"/>
        <v>0</v>
      </c>
      <c r="F574" s="17">
        <f t="shared" ca="1" si="35"/>
        <v>0</v>
      </c>
      <c r="H574" s="17">
        <v>559</v>
      </c>
      <c r="I574" s="43">
        <v>0.66867620359874813</v>
      </c>
      <c r="J574" s="43">
        <v>1.9304037181396599E-2</v>
      </c>
      <c r="K574" s="43"/>
      <c r="L574" s="43">
        <v>0.25059999999999999</v>
      </c>
      <c r="O574" s="50"/>
    </row>
    <row r="575" spans="2:15" x14ac:dyDescent="0.2">
      <c r="B575">
        <v>560</v>
      </c>
      <c r="C575" s="48">
        <f t="shared" ca="1" si="36"/>
        <v>1.326216924027525</v>
      </c>
      <c r="D575" s="48">
        <f t="shared" ca="1" si="33"/>
        <v>0.75732449284893144</v>
      </c>
      <c r="E575" s="48">
        <f t="shared" ca="1" si="34"/>
        <v>0</v>
      </c>
      <c r="F575" s="17">
        <f t="shared" ca="1" si="35"/>
        <v>0</v>
      </c>
      <c r="H575" s="17">
        <v>560</v>
      </c>
      <c r="I575" s="43">
        <v>0.66830634868050776</v>
      </c>
      <c r="J575" s="43">
        <v>1.9096138774707047E-2</v>
      </c>
      <c r="K575" s="43"/>
      <c r="L575" s="43">
        <v>0.25519999999999998</v>
      </c>
      <c r="O575" s="50"/>
    </row>
    <row r="576" spans="2:15" x14ac:dyDescent="0.2">
      <c r="B576">
        <v>561</v>
      </c>
      <c r="C576" s="48">
        <f t="shared" ca="1" si="36"/>
        <v>-1.0551726980710634</v>
      </c>
      <c r="D576" s="48">
        <f t="shared" ca="1" si="33"/>
        <v>0.59885328842713714</v>
      </c>
      <c r="E576" s="48">
        <f t="shared" ca="1" si="34"/>
        <v>0</v>
      </c>
      <c r="F576" s="17">
        <f t="shared" ca="1" si="35"/>
        <v>0</v>
      </c>
      <c r="H576" s="17">
        <v>561</v>
      </c>
      <c r="I576" s="43">
        <v>0.66917411288691042</v>
      </c>
      <c r="J576" s="43">
        <v>1.9447346652644932E-2</v>
      </c>
      <c r="K576" s="43"/>
      <c r="L576" s="43">
        <v>0.254</v>
      </c>
      <c r="O576" s="50"/>
    </row>
    <row r="577" spans="2:15" x14ac:dyDescent="0.2">
      <c r="B577">
        <v>562</v>
      </c>
      <c r="C577" s="48">
        <f t="shared" ca="1" si="36"/>
        <v>1.2126763380691434</v>
      </c>
      <c r="D577" s="48">
        <f t="shared" ca="1" si="33"/>
        <v>0.74889451477085156</v>
      </c>
      <c r="E577" s="48">
        <f t="shared" ca="1" si="34"/>
        <v>0</v>
      </c>
      <c r="F577" s="17">
        <f t="shared" ca="1" si="35"/>
        <v>0</v>
      </c>
      <c r="H577" s="17">
        <v>562</v>
      </c>
      <c r="I577" s="43">
        <v>0.66847527700229747</v>
      </c>
      <c r="J577" s="43">
        <v>1.8949074481755191E-2</v>
      </c>
      <c r="K577" s="43"/>
      <c r="L577" s="43">
        <v>0.24640000000000001</v>
      </c>
      <c r="O577" s="50"/>
    </row>
    <row r="578" spans="2:15" x14ac:dyDescent="0.2">
      <c r="B578">
        <v>563</v>
      </c>
      <c r="C578" s="48">
        <f t="shared" ca="1" si="36"/>
        <v>-1.2383989961074768</v>
      </c>
      <c r="D578" s="48">
        <f t="shared" ca="1" si="33"/>
        <v>0.58813282985539594</v>
      </c>
      <c r="E578" s="48">
        <f t="shared" ca="1" si="34"/>
        <v>0</v>
      </c>
      <c r="F578" s="17">
        <f t="shared" ca="1" si="35"/>
        <v>0</v>
      </c>
      <c r="H578" s="17">
        <v>563</v>
      </c>
      <c r="I578" s="43">
        <v>0.66861613031386002</v>
      </c>
      <c r="J578" s="43">
        <v>1.9101556963825064E-2</v>
      </c>
      <c r="K578" s="43"/>
      <c r="L578" s="43">
        <v>0.246</v>
      </c>
      <c r="O578" s="50"/>
    </row>
    <row r="579" spans="2:15" x14ac:dyDescent="0.2">
      <c r="B579">
        <v>564</v>
      </c>
      <c r="C579" s="48">
        <f t="shared" ca="1" si="36"/>
        <v>0.5720292471292675</v>
      </c>
      <c r="D579" s="48">
        <f t="shared" ca="1" si="33"/>
        <v>0.70305727668702911</v>
      </c>
      <c r="E579" s="48">
        <f t="shared" ca="1" si="34"/>
        <v>0</v>
      </c>
      <c r="F579" s="17">
        <f t="shared" ca="1" si="35"/>
        <v>0</v>
      </c>
      <c r="H579" s="17">
        <v>564</v>
      </c>
      <c r="I579" s="43">
        <v>0.66907599278498275</v>
      </c>
      <c r="J579" s="43">
        <v>1.9791446161157945E-2</v>
      </c>
      <c r="K579" s="43"/>
      <c r="L579" s="43">
        <v>0.25019999999999998</v>
      </c>
      <c r="O579" s="50"/>
    </row>
    <row r="580" spans="2:15" x14ac:dyDescent="0.2">
      <c r="B580">
        <v>565</v>
      </c>
      <c r="C580" s="48">
        <f t="shared" ca="1" si="36"/>
        <v>1.1996485457957065</v>
      </c>
      <c r="D580" s="48">
        <f t="shared" ca="1" si="33"/>
        <v>0.74793326925630055</v>
      </c>
      <c r="E580" s="48">
        <f t="shared" ca="1" si="34"/>
        <v>0</v>
      </c>
      <c r="F580" s="17">
        <f t="shared" ca="1" si="35"/>
        <v>0</v>
      </c>
      <c r="H580" s="17">
        <v>565</v>
      </c>
      <c r="I580" s="43">
        <v>0.6685910505844328</v>
      </c>
      <c r="J580" s="43">
        <v>1.9337298506231174E-2</v>
      </c>
      <c r="K580" s="43"/>
      <c r="L580" s="43">
        <v>0.25419999999999998</v>
      </c>
      <c r="O580" s="50"/>
    </row>
    <row r="581" spans="2:15" x14ac:dyDescent="0.2">
      <c r="B581">
        <v>566</v>
      </c>
      <c r="C581" s="48">
        <f t="shared" ca="1" si="36"/>
        <v>-1.6199802091414879</v>
      </c>
      <c r="D581" s="48">
        <f t="shared" ca="1" si="33"/>
        <v>0.56641877920558259</v>
      </c>
      <c r="E581" s="48">
        <f t="shared" ca="1" si="34"/>
        <v>0</v>
      </c>
      <c r="F581" s="17">
        <f t="shared" ca="1" si="35"/>
        <v>0</v>
      </c>
      <c r="H581" s="17">
        <v>566</v>
      </c>
      <c r="I581" s="43">
        <v>0.66871589196755599</v>
      </c>
      <c r="J581" s="43">
        <v>1.9413793947096317E-2</v>
      </c>
      <c r="K581" s="43"/>
      <c r="L581" s="43">
        <v>0.25640000000000002</v>
      </c>
      <c r="O581" s="50"/>
    </row>
    <row r="582" spans="2:15" x14ac:dyDescent="0.2">
      <c r="B582">
        <v>567</v>
      </c>
      <c r="C582" s="48">
        <f t="shared" ca="1" si="36"/>
        <v>-0.97707357858996136</v>
      </c>
      <c r="D582" s="48">
        <f t="shared" ca="1" si="33"/>
        <v>0.60348201274320357</v>
      </c>
      <c r="E582" s="48">
        <f t="shared" ca="1" si="34"/>
        <v>0</v>
      </c>
      <c r="F582" s="17">
        <f t="shared" ca="1" si="35"/>
        <v>0</v>
      </c>
      <c r="H582" s="17">
        <v>567</v>
      </c>
      <c r="I582" s="43">
        <v>0.66906209153171281</v>
      </c>
      <c r="J582" s="43">
        <v>1.96434810562881E-2</v>
      </c>
      <c r="K582" s="43"/>
      <c r="L582" s="43">
        <v>0.252</v>
      </c>
      <c r="O582" s="50"/>
    </row>
    <row r="583" spans="2:15" x14ac:dyDescent="0.2">
      <c r="B583">
        <v>568</v>
      </c>
      <c r="C583" s="48">
        <f t="shared" ca="1" si="36"/>
        <v>0.80178389267030747</v>
      </c>
      <c r="D583" s="48">
        <f t="shared" ca="1" si="33"/>
        <v>0.71916390365476912</v>
      </c>
      <c r="E583" s="48">
        <f t="shared" ca="1" si="34"/>
        <v>0</v>
      </c>
      <c r="F583" s="17">
        <f t="shared" ca="1" si="35"/>
        <v>0</v>
      </c>
      <c r="H583" s="17">
        <v>568</v>
      </c>
      <c r="I583" s="43">
        <v>0.66915072823785815</v>
      </c>
      <c r="J583" s="43">
        <v>1.978586369534488E-2</v>
      </c>
      <c r="K583" s="43"/>
      <c r="L583" s="43">
        <v>0.24859999999999999</v>
      </c>
      <c r="O583" s="50"/>
    </row>
    <row r="584" spans="2:15" x14ac:dyDescent="0.2">
      <c r="B584">
        <v>569</v>
      </c>
      <c r="C584" s="48">
        <f t="shared" ca="1" si="36"/>
        <v>0.85181616066994548</v>
      </c>
      <c r="D584" s="48">
        <f t="shared" ca="1" si="33"/>
        <v>0.72271998201882937</v>
      </c>
      <c r="E584" s="48">
        <f t="shared" ca="1" si="34"/>
        <v>0</v>
      </c>
      <c r="F584" s="17">
        <f t="shared" ca="1" si="35"/>
        <v>0</v>
      </c>
      <c r="H584" s="17">
        <v>569</v>
      </c>
      <c r="I584" s="43">
        <v>0.66897598849737183</v>
      </c>
      <c r="J584" s="43">
        <v>1.9466863582938785E-2</v>
      </c>
      <c r="K584" s="43"/>
      <c r="L584" s="43">
        <v>0.25140000000000001</v>
      </c>
      <c r="O584" s="50"/>
    </row>
    <row r="585" spans="2:15" x14ac:dyDescent="0.2">
      <c r="B585">
        <v>570</v>
      </c>
      <c r="C585" s="48">
        <f t="shared" ca="1" si="36"/>
        <v>2.5603538434322228</v>
      </c>
      <c r="D585" s="48">
        <f t="shared" ca="1" si="33"/>
        <v>0.85530852699321436</v>
      </c>
      <c r="E585" s="48">
        <f t="shared" ca="1" si="34"/>
        <v>6.7108526993214346E-2</v>
      </c>
      <c r="F585" s="17">
        <f t="shared" ca="1" si="35"/>
        <v>1</v>
      </c>
      <c r="H585" s="17">
        <v>570</v>
      </c>
      <c r="I585" s="43">
        <v>0.66864503673230624</v>
      </c>
      <c r="J585" s="43">
        <v>1.9295836891948644E-2</v>
      </c>
      <c r="K585" s="43"/>
      <c r="L585" s="43">
        <v>0.25659999999999999</v>
      </c>
      <c r="O585" s="50"/>
    </row>
    <row r="586" spans="2:15" x14ac:dyDescent="0.2">
      <c r="B586">
        <v>571</v>
      </c>
      <c r="C586" s="48">
        <f t="shared" ca="1" si="36"/>
        <v>-1.5672837638746138</v>
      </c>
      <c r="D586" s="48">
        <f t="shared" ca="1" si="33"/>
        <v>0.56936910039231892</v>
      </c>
      <c r="E586" s="48">
        <f t="shared" ca="1" si="34"/>
        <v>0</v>
      </c>
      <c r="F586" s="17">
        <f t="shared" ca="1" si="35"/>
        <v>0</v>
      </c>
      <c r="H586" s="17">
        <v>571</v>
      </c>
      <c r="I586" s="43">
        <v>0.67039067693652721</v>
      </c>
      <c r="J586" s="43">
        <v>2.0342249451236059E-2</v>
      </c>
      <c r="K586" s="43"/>
      <c r="L586" s="43">
        <v>0.26019999999999999</v>
      </c>
      <c r="O586" s="50"/>
    </row>
    <row r="587" spans="2:15" x14ac:dyDescent="0.2">
      <c r="B587">
        <v>572</v>
      </c>
      <c r="C587" s="48">
        <f t="shared" ca="1" si="36"/>
        <v>-0.53546936690729785</v>
      </c>
      <c r="D587" s="48">
        <f t="shared" ca="1" si="33"/>
        <v>0.63033591585290716</v>
      </c>
      <c r="E587" s="48">
        <f t="shared" ca="1" si="34"/>
        <v>0</v>
      </c>
      <c r="F587" s="17">
        <f t="shared" ca="1" si="35"/>
        <v>0</v>
      </c>
      <c r="H587" s="17">
        <v>572</v>
      </c>
      <c r="I587" s="43">
        <v>0.66735791693982716</v>
      </c>
      <c r="J587" s="43">
        <v>1.8015112268049978E-2</v>
      </c>
      <c r="K587" s="43"/>
      <c r="L587" s="43">
        <v>0.24299999999999999</v>
      </c>
      <c r="O587" s="50"/>
    </row>
    <row r="588" spans="2:15" x14ac:dyDescent="0.2">
      <c r="B588">
        <v>573</v>
      </c>
      <c r="C588" s="48">
        <f t="shared" ca="1" si="36"/>
        <v>0.77136083482525319</v>
      </c>
      <c r="D588" s="48">
        <f t="shared" ca="1" si="33"/>
        <v>0.71701012369879713</v>
      </c>
      <c r="E588" s="48">
        <f t="shared" ca="1" si="34"/>
        <v>0</v>
      </c>
      <c r="F588" s="17">
        <f t="shared" ca="1" si="35"/>
        <v>0</v>
      </c>
      <c r="H588" s="17">
        <v>573</v>
      </c>
      <c r="I588" s="43">
        <v>0.66881954827504342</v>
      </c>
      <c r="J588" s="43">
        <v>1.9287134405727657E-2</v>
      </c>
      <c r="K588" s="43"/>
      <c r="L588" s="43">
        <v>0.24879999999999999</v>
      </c>
      <c r="O588" s="50"/>
    </row>
    <row r="589" spans="2:15" x14ac:dyDescent="0.2">
      <c r="B589">
        <v>574</v>
      </c>
      <c r="C589" s="48">
        <f t="shared" ca="1" si="36"/>
        <v>0.69457151906127146</v>
      </c>
      <c r="D589" s="48">
        <f t="shared" ca="1" si="33"/>
        <v>0.71160251898870464</v>
      </c>
      <c r="E589" s="48">
        <f t="shared" ca="1" si="34"/>
        <v>0</v>
      </c>
      <c r="F589" s="17">
        <f t="shared" ca="1" si="35"/>
        <v>0</v>
      </c>
      <c r="H589" s="17">
        <v>574</v>
      </c>
      <c r="I589" s="43">
        <v>0.66901206680567205</v>
      </c>
      <c r="J589" s="43">
        <v>1.944907916866867E-2</v>
      </c>
      <c r="K589" s="43"/>
      <c r="L589" s="43">
        <v>0.25080000000000002</v>
      </c>
      <c r="O589" s="50"/>
    </row>
    <row r="590" spans="2:15" x14ac:dyDescent="0.2">
      <c r="B590">
        <v>575</v>
      </c>
      <c r="C590" s="48">
        <f t="shared" ca="1" si="36"/>
        <v>-0.39148953255294766</v>
      </c>
      <c r="D590" s="48">
        <f t="shared" ca="1" si="33"/>
        <v>0.63934709055329653</v>
      </c>
      <c r="E590" s="48">
        <f t="shared" ca="1" si="34"/>
        <v>0</v>
      </c>
      <c r="F590" s="17">
        <f t="shared" ca="1" si="35"/>
        <v>0</v>
      </c>
      <c r="H590" s="17">
        <v>575</v>
      </c>
      <c r="I590" s="43">
        <v>0.66882306966265692</v>
      </c>
      <c r="J590" s="43">
        <v>1.909634154682479E-2</v>
      </c>
      <c r="K590" s="43"/>
      <c r="L590" s="43">
        <v>0.2472</v>
      </c>
      <c r="O590" s="50"/>
    </row>
    <row r="591" spans="2:15" x14ac:dyDescent="0.2">
      <c r="B591">
        <v>576</v>
      </c>
      <c r="C591" s="48">
        <f t="shared" ca="1" si="36"/>
        <v>-1.2375298781795738</v>
      </c>
      <c r="D591" s="48">
        <f t="shared" ca="1" si="33"/>
        <v>0.58818322566864067</v>
      </c>
      <c r="E591" s="48">
        <f t="shared" ca="1" si="34"/>
        <v>0</v>
      </c>
      <c r="F591" s="17">
        <f t="shared" ca="1" si="35"/>
        <v>0</v>
      </c>
      <c r="H591" s="17">
        <v>576</v>
      </c>
      <c r="I591" s="43">
        <v>0.66880529557861212</v>
      </c>
      <c r="J591" s="43">
        <v>1.9135583169783556E-2</v>
      </c>
      <c r="K591" s="43"/>
      <c r="L591" s="43">
        <v>0.252</v>
      </c>
      <c r="O591" s="50"/>
    </row>
    <row r="592" spans="2:15" x14ac:dyDescent="0.2">
      <c r="B592">
        <v>577</v>
      </c>
      <c r="C592" s="48">
        <f t="shared" ca="1" si="36"/>
        <v>-0.64609151308516766</v>
      </c>
      <c r="D592" s="48">
        <f t="shared" ref="D592:D655" ca="1" si="37">S0*EXP((μ-0.5*σ*σ)*T+σ*SQRT(T)*$C592)</f>
        <v>0.62349884929584343</v>
      </c>
      <c r="E592" s="48">
        <f t="shared" ref="E592:E655" ca="1" si="38">MAX(0,CP*(D592-K))</f>
        <v>0</v>
      </c>
      <c r="F592" s="17">
        <f t="shared" ref="F592:F655" ca="1" si="39">(CP*(D592-K)&gt;0)*1</f>
        <v>0</v>
      </c>
      <c r="H592" s="17">
        <v>577</v>
      </c>
      <c r="I592" s="43">
        <v>0.6682972212973749</v>
      </c>
      <c r="J592" s="43">
        <v>1.8847248185551613E-2</v>
      </c>
      <c r="K592" s="43"/>
      <c r="L592" s="43">
        <v>0.246</v>
      </c>
      <c r="O592" s="50"/>
    </row>
    <row r="593" spans="2:15" x14ac:dyDescent="0.2">
      <c r="B593">
        <v>578</v>
      </c>
      <c r="C593" s="48">
        <f t="shared" ref="C593:C656" ca="1" si="40">_xlfn.NORM.S.INV(RAND())</f>
        <v>-0.39975870722165019</v>
      </c>
      <c r="D593" s="48">
        <f t="shared" ca="1" si="37"/>
        <v>0.63882608354542481</v>
      </c>
      <c r="E593" s="48">
        <f t="shared" ca="1" si="38"/>
        <v>0</v>
      </c>
      <c r="F593" s="17">
        <f t="shared" ca="1" si="39"/>
        <v>0</v>
      </c>
      <c r="H593" s="17">
        <v>578</v>
      </c>
      <c r="I593" s="43">
        <v>0.66792430855383367</v>
      </c>
      <c r="J593" s="43">
        <v>1.8471907641007708E-2</v>
      </c>
      <c r="K593" s="43"/>
      <c r="L593" s="43">
        <v>0.2482</v>
      </c>
      <c r="O593" s="50"/>
    </row>
    <row r="594" spans="2:15" x14ac:dyDescent="0.2">
      <c r="B594">
        <v>579</v>
      </c>
      <c r="C594" s="48">
        <f t="shared" ca="1" si="40"/>
        <v>0.83230305485008671</v>
      </c>
      <c r="D594" s="48">
        <f t="shared" ca="1" si="37"/>
        <v>0.7213309875601146</v>
      </c>
      <c r="E594" s="48">
        <f t="shared" ca="1" si="38"/>
        <v>0</v>
      </c>
      <c r="F594" s="17">
        <f t="shared" ca="1" si="39"/>
        <v>0</v>
      </c>
      <c r="H594" s="17">
        <v>579</v>
      </c>
      <c r="I594" s="43">
        <v>0.66898317302940702</v>
      </c>
      <c r="J594" s="43">
        <v>1.9481866314568903E-2</v>
      </c>
      <c r="K594" s="43"/>
      <c r="L594" s="43">
        <v>0.246</v>
      </c>
      <c r="O594" s="50"/>
    </row>
    <row r="595" spans="2:15" x14ac:dyDescent="0.2">
      <c r="B595">
        <v>580</v>
      </c>
      <c r="C595" s="48">
        <f t="shared" ca="1" si="40"/>
        <v>-0.90660319702829495</v>
      </c>
      <c r="D595" s="48">
        <f t="shared" ca="1" si="37"/>
        <v>0.60768930011530387</v>
      </c>
      <c r="E595" s="48">
        <f t="shared" ca="1" si="38"/>
        <v>0</v>
      </c>
      <c r="F595" s="17">
        <f t="shared" ca="1" si="39"/>
        <v>0</v>
      </c>
      <c r="H595" s="17">
        <v>580</v>
      </c>
      <c r="I595" s="43">
        <v>0.66808682758843729</v>
      </c>
      <c r="J595" s="43">
        <v>1.8590523898270608E-2</v>
      </c>
      <c r="K595" s="43"/>
      <c r="L595" s="43">
        <v>0.24279999999999999</v>
      </c>
      <c r="O595" s="50"/>
    </row>
    <row r="596" spans="2:15" x14ac:dyDescent="0.2">
      <c r="B596">
        <v>581</v>
      </c>
      <c r="C596" s="48">
        <f t="shared" ca="1" si="40"/>
        <v>-0.27609172596786508</v>
      </c>
      <c r="D596" s="48">
        <f t="shared" ca="1" si="37"/>
        <v>0.64666233336168044</v>
      </c>
      <c r="E596" s="48">
        <f t="shared" ca="1" si="38"/>
        <v>0</v>
      </c>
      <c r="F596" s="17">
        <f t="shared" ca="1" si="39"/>
        <v>0</v>
      </c>
      <c r="H596" s="17">
        <v>581</v>
      </c>
      <c r="I596" s="43">
        <v>0.66773951435986034</v>
      </c>
      <c r="J596" s="43">
        <v>1.8277285204306989E-2</v>
      </c>
      <c r="K596" s="43"/>
      <c r="L596" s="43">
        <v>0.24079999999999999</v>
      </c>
      <c r="O596" s="50"/>
    </row>
    <row r="597" spans="2:15" x14ac:dyDescent="0.2">
      <c r="B597">
        <v>582</v>
      </c>
      <c r="C597" s="48">
        <f t="shared" ca="1" si="40"/>
        <v>1.2035350840411767</v>
      </c>
      <c r="D597" s="48">
        <f t="shared" ca="1" si="37"/>
        <v>0.74821990524908621</v>
      </c>
      <c r="E597" s="48">
        <f t="shared" ca="1" si="38"/>
        <v>0</v>
      </c>
      <c r="F597" s="17">
        <f t="shared" ca="1" si="39"/>
        <v>0</v>
      </c>
      <c r="H597" s="17">
        <v>582</v>
      </c>
      <c r="I597" s="43">
        <v>0.6677404878035097</v>
      </c>
      <c r="J597" s="43">
        <v>1.8359503606191166E-2</v>
      </c>
      <c r="K597" s="43"/>
      <c r="L597" s="43">
        <v>0.24260000000000001</v>
      </c>
      <c r="O597" s="50"/>
    </row>
    <row r="598" spans="2:15" x14ac:dyDescent="0.2">
      <c r="B598">
        <v>583</v>
      </c>
      <c r="C598" s="48">
        <f t="shared" ca="1" si="40"/>
        <v>-1.1679757393802537</v>
      </c>
      <c r="D598" s="48">
        <f t="shared" ca="1" si="37"/>
        <v>0.59223035607693675</v>
      </c>
      <c r="E598" s="48">
        <f t="shared" ca="1" si="38"/>
        <v>0</v>
      </c>
      <c r="F598" s="17">
        <f t="shared" ca="1" si="39"/>
        <v>0</v>
      </c>
      <c r="H598" s="17">
        <v>583</v>
      </c>
      <c r="I598" s="43">
        <v>0.66747120491313139</v>
      </c>
      <c r="J598" s="43">
        <v>1.8322460861859728E-2</v>
      </c>
      <c r="K598" s="43"/>
      <c r="L598" s="43">
        <v>0.24779999999999999</v>
      </c>
      <c r="O598" s="50"/>
    </row>
    <row r="599" spans="2:15" x14ac:dyDescent="0.2">
      <c r="B599">
        <v>584</v>
      </c>
      <c r="C599" s="48">
        <f t="shared" ca="1" si="40"/>
        <v>0.92682538029573358</v>
      </c>
      <c r="D599" s="48">
        <f t="shared" ca="1" si="37"/>
        <v>0.72808428398263514</v>
      </c>
      <c r="E599" s="48">
        <f t="shared" ca="1" si="38"/>
        <v>0</v>
      </c>
      <c r="F599" s="17">
        <f t="shared" ca="1" si="39"/>
        <v>0</v>
      </c>
      <c r="H599" s="17">
        <v>584</v>
      </c>
      <c r="I599" s="43">
        <v>0.66987559332989921</v>
      </c>
      <c r="J599" s="43">
        <v>2.0232156856467991E-2</v>
      </c>
      <c r="K599" s="43"/>
      <c r="L599" s="43">
        <v>0.25719999999999998</v>
      </c>
      <c r="O599" s="50"/>
    </row>
    <row r="600" spans="2:15" x14ac:dyDescent="0.2">
      <c r="B600">
        <v>585</v>
      </c>
      <c r="C600" s="48">
        <f t="shared" ca="1" si="40"/>
        <v>0.70375131166200011</v>
      </c>
      <c r="D600" s="48">
        <f t="shared" ca="1" si="37"/>
        <v>0.71224681968752879</v>
      </c>
      <c r="E600" s="48">
        <f t="shared" ca="1" si="38"/>
        <v>0</v>
      </c>
      <c r="F600" s="17">
        <f t="shared" ca="1" si="39"/>
        <v>0</v>
      </c>
      <c r="H600" s="17">
        <v>585</v>
      </c>
      <c r="I600" s="43">
        <v>0.66937898025428177</v>
      </c>
      <c r="J600" s="43">
        <v>1.9519687190205297E-2</v>
      </c>
      <c r="K600" s="43"/>
      <c r="L600" s="43">
        <v>0.24840000000000001</v>
      </c>
      <c r="O600" s="50"/>
    </row>
    <row r="601" spans="2:15" x14ac:dyDescent="0.2">
      <c r="B601">
        <v>586</v>
      </c>
      <c r="C601" s="48">
        <f t="shared" ca="1" si="40"/>
        <v>4.6327061612864338E-2</v>
      </c>
      <c r="D601" s="48">
        <f t="shared" ca="1" si="37"/>
        <v>0.66754761084868863</v>
      </c>
      <c r="E601" s="48">
        <f t="shared" ca="1" si="38"/>
        <v>0</v>
      </c>
      <c r="F601" s="17">
        <f t="shared" ca="1" si="39"/>
        <v>0</v>
      </c>
      <c r="H601" s="17">
        <v>586</v>
      </c>
      <c r="I601" s="43">
        <v>0.66926692386720532</v>
      </c>
      <c r="J601" s="43">
        <v>1.9768567913930613E-2</v>
      </c>
      <c r="K601" s="43"/>
      <c r="L601" s="43">
        <v>0.24859999999999999</v>
      </c>
      <c r="O601" s="50"/>
    </row>
    <row r="602" spans="2:15" x14ac:dyDescent="0.2">
      <c r="B602">
        <v>587</v>
      </c>
      <c r="C602" s="48">
        <f t="shared" ca="1" si="40"/>
        <v>0.31592371206099468</v>
      </c>
      <c r="D602" s="48">
        <f t="shared" ca="1" si="37"/>
        <v>0.68552815232283615</v>
      </c>
      <c r="E602" s="48">
        <f t="shared" ca="1" si="38"/>
        <v>0</v>
      </c>
      <c r="F602" s="17">
        <f t="shared" ca="1" si="39"/>
        <v>0</v>
      </c>
      <c r="H602" s="17">
        <v>587</v>
      </c>
      <c r="I602" s="43">
        <v>0.66948939766628524</v>
      </c>
      <c r="J602" s="43">
        <v>1.980578291764639E-2</v>
      </c>
      <c r="K602" s="43"/>
      <c r="L602" s="43">
        <v>0.25140000000000001</v>
      </c>
      <c r="O602" s="50"/>
    </row>
    <row r="603" spans="2:15" x14ac:dyDescent="0.2">
      <c r="B603">
        <v>588</v>
      </c>
      <c r="C603" s="48">
        <f t="shared" ca="1" si="40"/>
        <v>0.99577874136704814</v>
      </c>
      <c r="D603" s="48">
        <f t="shared" ca="1" si="37"/>
        <v>0.73305061664980131</v>
      </c>
      <c r="E603" s="48">
        <f t="shared" ca="1" si="38"/>
        <v>0</v>
      </c>
      <c r="F603" s="17">
        <f t="shared" ca="1" si="39"/>
        <v>0</v>
      </c>
      <c r="H603" s="17">
        <v>588</v>
      </c>
      <c r="I603" s="43">
        <v>0.66909730830618408</v>
      </c>
      <c r="J603" s="43">
        <v>1.9252471545399892E-2</v>
      </c>
      <c r="K603" s="43"/>
      <c r="L603" s="43">
        <v>0.25059999999999999</v>
      </c>
      <c r="O603" s="50"/>
    </row>
    <row r="604" spans="2:15" x14ac:dyDescent="0.2">
      <c r="B604">
        <v>589</v>
      </c>
      <c r="C604" s="48">
        <f t="shared" ca="1" si="40"/>
        <v>7.8346926089201477E-2</v>
      </c>
      <c r="D604" s="48">
        <f t="shared" ca="1" si="37"/>
        <v>0.66965822632040961</v>
      </c>
      <c r="E604" s="48">
        <f t="shared" ca="1" si="38"/>
        <v>0</v>
      </c>
      <c r="F604" s="17">
        <f t="shared" ca="1" si="39"/>
        <v>0</v>
      </c>
      <c r="H604" s="17">
        <v>589</v>
      </c>
      <c r="I604" s="43">
        <v>0.6688867186887193</v>
      </c>
      <c r="J604" s="43">
        <v>1.9332119330834667E-2</v>
      </c>
      <c r="K604" s="43"/>
      <c r="L604" s="43">
        <v>0.25080000000000002</v>
      </c>
      <c r="O604" s="50"/>
    </row>
    <row r="605" spans="2:15" x14ac:dyDescent="0.2">
      <c r="B605">
        <v>590</v>
      </c>
      <c r="C605" s="48">
        <f t="shared" ca="1" si="40"/>
        <v>0.26203832914478087</v>
      </c>
      <c r="D605" s="48">
        <f t="shared" ca="1" si="37"/>
        <v>0.6818959927441135</v>
      </c>
      <c r="E605" s="48">
        <f t="shared" ca="1" si="38"/>
        <v>0</v>
      </c>
      <c r="F605" s="17">
        <f t="shared" ca="1" si="39"/>
        <v>0</v>
      </c>
      <c r="H605" s="17">
        <v>590</v>
      </c>
      <c r="I605" s="43">
        <v>0.66795521355264231</v>
      </c>
      <c r="J605" s="43">
        <v>1.8812676510023878E-2</v>
      </c>
      <c r="K605" s="43"/>
      <c r="L605" s="43">
        <v>0.25140000000000001</v>
      </c>
      <c r="O605" s="50"/>
    </row>
    <row r="606" spans="2:15" x14ac:dyDescent="0.2">
      <c r="B606">
        <v>591</v>
      </c>
      <c r="C606" s="48">
        <f t="shared" ca="1" si="40"/>
        <v>-0.45039443079555785</v>
      </c>
      <c r="D606" s="48">
        <f t="shared" ca="1" si="37"/>
        <v>0.63564497987559965</v>
      </c>
      <c r="E606" s="48">
        <f t="shared" ca="1" si="38"/>
        <v>0</v>
      </c>
      <c r="F606" s="17">
        <f t="shared" ca="1" si="39"/>
        <v>0</v>
      </c>
      <c r="H606" s="17">
        <v>591</v>
      </c>
      <c r="I606" s="43">
        <v>0.66949133822140183</v>
      </c>
      <c r="J606" s="43">
        <v>1.9926118880354962E-2</v>
      </c>
      <c r="K606" s="43"/>
      <c r="L606" s="43">
        <v>0.25240000000000001</v>
      </c>
      <c r="O606" s="50"/>
    </row>
    <row r="607" spans="2:15" x14ac:dyDescent="0.2">
      <c r="B607">
        <v>592</v>
      </c>
      <c r="C607" s="48">
        <f t="shared" ca="1" si="40"/>
        <v>0.55720414916446936</v>
      </c>
      <c r="D607" s="48">
        <f t="shared" ca="1" si="37"/>
        <v>0.70203046060260021</v>
      </c>
      <c r="E607" s="48">
        <f t="shared" ca="1" si="38"/>
        <v>0</v>
      </c>
      <c r="F607" s="17">
        <f t="shared" ca="1" si="39"/>
        <v>0</v>
      </c>
      <c r="H607" s="17">
        <v>592</v>
      </c>
      <c r="I607" s="43">
        <v>0.66890099527082614</v>
      </c>
      <c r="J607" s="43">
        <v>1.9618141891082696E-2</v>
      </c>
      <c r="K607" s="43"/>
      <c r="L607" s="43">
        <v>0.25800000000000001</v>
      </c>
      <c r="O607" s="50"/>
    </row>
    <row r="608" spans="2:15" x14ac:dyDescent="0.2">
      <c r="B608">
        <v>593</v>
      </c>
      <c r="C608" s="48">
        <f t="shared" ca="1" si="40"/>
        <v>-5.0537205423776828E-2</v>
      </c>
      <c r="D608" s="48">
        <f t="shared" ca="1" si="37"/>
        <v>0.66120313799809494</v>
      </c>
      <c r="E608" s="48">
        <f t="shared" ca="1" si="38"/>
        <v>0</v>
      </c>
      <c r="F608" s="17">
        <f t="shared" ca="1" si="39"/>
        <v>0</v>
      </c>
      <c r="H608" s="17">
        <v>593</v>
      </c>
      <c r="I608" s="43">
        <v>0.66865645068067081</v>
      </c>
      <c r="J608" s="43">
        <v>1.9392671449729563E-2</v>
      </c>
      <c r="K608" s="43"/>
      <c r="L608" s="43">
        <v>0.24460000000000001</v>
      </c>
      <c r="O608" s="50"/>
    </row>
    <row r="609" spans="2:15" x14ac:dyDescent="0.2">
      <c r="B609">
        <v>594</v>
      </c>
      <c r="C609" s="48">
        <f t="shared" ca="1" si="40"/>
        <v>-1.2665721216452646</v>
      </c>
      <c r="D609" s="48">
        <f t="shared" ca="1" si="37"/>
        <v>0.58650154733354332</v>
      </c>
      <c r="E609" s="48">
        <f t="shared" ca="1" si="38"/>
        <v>0</v>
      </c>
      <c r="F609" s="17">
        <f t="shared" ca="1" si="39"/>
        <v>0</v>
      </c>
      <c r="H609" s="17">
        <v>594</v>
      </c>
      <c r="I609" s="43">
        <v>0.66885351327408993</v>
      </c>
      <c r="J609" s="43">
        <v>1.9348293945658419E-2</v>
      </c>
      <c r="K609" s="43"/>
      <c r="L609" s="43">
        <v>0.25240000000000001</v>
      </c>
      <c r="O609" s="50"/>
    </row>
    <row r="610" spans="2:15" x14ac:dyDescent="0.2">
      <c r="B610">
        <v>595</v>
      </c>
      <c r="C610" s="48">
        <f t="shared" ca="1" si="40"/>
        <v>0.35173278837324645</v>
      </c>
      <c r="D610" s="48">
        <f t="shared" ca="1" si="37"/>
        <v>0.68795256730854881</v>
      </c>
      <c r="E610" s="48">
        <f t="shared" ca="1" si="38"/>
        <v>0</v>
      </c>
      <c r="F610" s="17">
        <f t="shared" ca="1" si="39"/>
        <v>0</v>
      </c>
      <c r="H610" s="17">
        <v>595</v>
      </c>
      <c r="I610" s="43">
        <v>0.66923677337643295</v>
      </c>
      <c r="J610" s="43">
        <v>1.956287121906676E-2</v>
      </c>
      <c r="K610" s="43"/>
      <c r="L610" s="43">
        <v>0.25319999999999998</v>
      </c>
      <c r="O610" s="50"/>
    </row>
    <row r="611" spans="2:15" x14ac:dyDescent="0.2">
      <c r="B611">
        <v>596</v>
      </c>
      <c r="C611" s="48">
        <f t="shared" ca="1" si="40"/>
        <v>-2.0599136399403215</v>
      </c>
      <c r="D611" s="48">
        <f t="shared" ca="1" si="37"/>
        <v>0.5423772396286527</v>
      </c>
      <c r="E611" s="48">
        <f t="shared" ca="1" si="38"/>
        <v>0</v>
      </c>
      <c r="F611" s="17">
        <f t="shared" ca="1" si="39"/>
        <v>0</v>
      </c>
      <c r="H611" s="17">
        <v>596</v>
      </c>
      <c r="I611" s="43">
        <v>0.66807849971486966</v>
      </c>
      <c r="J611" s="43">
        <v>1.8597375668189853E-2</v>
      </c>
      <c r="K611" s="43"/>
      <c r="L611" s="43">
        <v>0.25519999999999998</v>
      </c>
      <c r="O611" s="50"/>
    </row>
    <row r="612" spans="2:15" x14ac:dyDescent="0.2">
      <c r="B612">
        <v>597</v>
      </c>
      <c r="C612" s="48">
        <f t="shared" ca="1" si="40"/>
        <v>0.16777713978642092</v>
      </c>
      <c r="D612" s="48">
        <f t="shared" ca="1" si="37"/>
        <v>0.6755885053167342</v>
      </c>
      <c r="E612" s="48">
        <f t="shared" ca="1" si="38"/>
        <v>0</v>
      </c>
      <c r="F612" s="17">
        <f t="shared" ca="1" si="39"/>
        <v>0</v>
      </c>
      <c r="H612" s="17">
        <v>597</v>
      </c>
      <c r="I612" s="43">
        <v>0.6701859211983282</v>
      </c>
      <c r="J612" s="43">
        <v>2.04160025628898E-2</v>
      </c>
      <c r="K612" s="43"/>
      <c r="L612" s="43">
        <v>0.252</v>
      </c>
      <c r="O612" s="50"/>
    </row>
    <row r="613" spans="2:15" x14ac:dyDescent="0.2">
      <c r="B613">
        <v>598</v>
      </c>
      <c r="C613" s="48">
        <f t="shared" ca="1" si="40"/>
        <v>0.91076683150215931</v>
      </c>
      <c r="D613" s="48">
        <f t="shared" ca="1" si="37"/>
        <v>0.72693251351966248</v>
      </c>
      <c r="E613" s="48">
        <f t="shared" ca="1" si="38"/>
        <v>0</v>
      </c>
      <c r="F613" s="17">
        <f t="shared" ca="1" si="39"/>
        <v>0</v>
      </c>
      <c r="H613" s="17">
        <v>598</v>
      </c>
      <c r="I613" s="43">
        <v>0.66827447165949838</v>
      </c>
      <c r="J613" s="43">
        <v>1.9059040135767872E-2</v>
      </c>
      <c r="K613" s="43"/>
      <c r="L613" s="43">
        <v>0.24840000000000001</v>
      </c>
      <c r="O613" s="50"/>
    </row>
    <row r="614" spans="2:15" x14ac:dyDescent="0.2">
      <c r="B614">
        <v>599</v>
      </c>
      <c r="C614" s="48">
        <f t="shared" ca="1" si="40"/>
        <v>0.8278485949034885</v>
      </c>
      <c r="D614" s="48">
        <f t="shared" ca="1" si="37"/>
        <v>0.72101428176472937</v>
      </c>
      <c r="E614" s="48">
        <f t="shared" ca="1" si="38"/>
        <v>0</v>
      </c>
      <c r="F614" s="17">
        <f t="shared" ca="1" si="39"/>
        <v>0</v>
      </c>
      <c r="H614" s="17">
        <v>599</v>
      </c>
      <c r="I614" s="43">
        <v>0.67127892565990999</v>
      </c>
      <c r="J614" s="43">
        <v>2.1051806341367555E-2</v>
      </c>
      <c r="K614" s="43"/>
      <c r="L614" s="43">
        <v>0.25940000000000002</v>
      </c>
      <c r="O614" s="50"/>
    </row>
    <row r="615" spans="2:15" x14ac:dyDescent="0.2">
      <c r="B615">
        <v>600</v>
      </c>
      <c r="C615" s="48">
        <f t="shared" ca="1" si="40"/>
        <v>-0.1589522143613801</v>
      </c>
      <c r="D615" s="48">
        <f t="shared" ca="1" si="37"/>
        <v>0.65417359396689956</v>
      </c>
      <c r="E615" s="48">
        <f t="shared" ca="1" si="38"/>
        <v>0</v>
      </c>
      <c r="F615" s="17">
        <f t="shared" ca="1" si="39"/>
        <v>0</v>
      </c>
      <c r="H615" s="17">
        <v>600</v>
      </c>
      <c r="I615" s="43">
        <v>0.66812796477847325</v>
      </c>
      <c r="J615" s="43">
        <v>1.8650302976056667E-2</v>
      </c>
      <c r="K615" s="43"/>
      <c r="L615" s="43">
        <v>0.24340000000000001</v>
      </c>
      <c r="O615" s="50"/>
    </row>
    <row r="616" spans="2:15" x14ac:dyDescent="0.2">
      <c r="B616">
        <v>601</v>
      </c>
      <c r="C616" s="48">
        <f t="shared" ca="1" si="40"/>
        <v>-8.4819601685741319E-2</v>
      </c>
      <c r="D616" s="48">
        <f t="shared" ca="1" si="37"/>
        <v>0.65897216616925347</v>
      </c>
      <c r="E616" s="48">
        <f t="shared" ca="1" si="38"/>
        <v>0</v>
      </c>
      <c r="F616" s="17">
        <f t="shared" ca="1" si="39"/>
        <v>0</v>
      </c>
      <c r="H616" s="17">
        <v>601</v>
      </c>
      <c r="I616" s="43">
        <v>0.66851812847766645</v>
      </c>
      <c r="J616" s="43">
        <v>1.9073209252109202E-2</v>
      </c>
      <c r="K616" s="43"/>
      <c r="L616" s="43">
        <v>0.252</v>
      </c>
      <c r="O616" s="50"/>
    </row>
    <row r="617" spans="2:15" x14ac:dyDescent="0.2">
      <c r="B617">
        <v>602</v>
      </c>
      <c r="C617" s="48">
        <f t="shared" ca="1" si="40"/>
        <v>-1.5875587486547349</v>
      </c>
      <c r="D617" s="48">
        <f t="shared" ca="1" si="37"/>
        <v>0.56823214826858748</v>
      </c>
      <c r="E617" s="48">
        <f t="shared" ca="1" si="38"/>
        <v>0</v>
      </c>
      <c r="F617" s="17">
        <f t="shared" ca="1" si="39"/>
        <v>0</v>
      </c>
      <c r="H617" s="17">
        <v>602</v>
      </c>
      <c r="I617" s="43">
        <v>0.66972554329608158</v>
      </c>
      <c r="J617" s="43">
        <v>1.9904230128839882E-2</v>
      </c>
      <c r="K617" s="43"/>
      <c r="L617" s="43">
        <v>0.249</v>
      </c>
      <c r="O617" s="50"/>
    </row>
    <row r="618" spans="2:15" x14ac:dyDescent="0.2">
      <c r="B618">
        <v>603</v>
      </c>
      <c r="C618" s="48">
        <f t="shared" ca="1" si="40"/>
        <v>0.45127888295575685</v>
      </c>
      <c r="D618" s="48">
        <f t="shared" ca="1" si="37"/>
        <v>0.69473737071047703</v>
      </c>
      <c r="E618" s="48">
        <f t="shared" ca="1" si="38"/>
        <v>0</v>
      </c>
      <c r="F618" s="17">
        <f t="shared" ca="1" si="39"/>
        <v>0</v>
      </c>
      <c r="H618" s="17">
        <v>603</v>
      </c>
      <c r="I618" s="43">
        <v>0.66856276803665537</v>
      </c>
      <c r="J618" s="43">
        <v>1.879099787379809E-2</v>
      </c>
      <c r="K618" s="43"/>
      <c r="L618" s="43">
        <v>0.246</v>
      </c>
      <c r="O618" s="50"/>
    </row>
    <row r="619" spans="2:15" x14ac:dyDescent="0.2">
      <c r="B619">
        <v>604</v>
      </c>
      <c r="C619" s="48">
        <f t="shared" ca="1" si="40"/>
        <v>1.2089356595479721</v>
      </c>
      <c r="D619" s="48">
        <f t="shared" ca="1" si="37"/>
        <v>0.7486183853524464</v>
      </c>
      <c r="E619" s="48">
        <f t="shared" ca="1" si="38"/>
        <v>0</v>
      </c>
      <c r="F619" s="17">
        <f t="shared" ca="1" si="39"/>
        <v>0</v>
      </c>
      <c r="H619" s="17">
        <v>604</v>
      </c>
      <c r="I619" s="43">
        <v>0.66949909320441636</v>
      </c>
      <c r="J619" s="43">
        <v>1.9869503839323916E-2</v>
      </c>
      <c r="K619" s="43"/>
      <c r="L619" s="43">
        <v>0.2646</v>
      </c>
      <c r="O619" s="50"/>
    </row>
    <row r="620" spans="2:15" x14ac:dyDescent="0.2">
      <c r="B620">
        <v>605</v>
      </c>
      <c r="C620" s="48">
        <f t="shared" ca="1" si="40"/>
        <v>1.3676516424861076</v>
      </c>
      <c r="D620" s="48">
        <f t="shared" ca="1" si="37"/>
        <v>0.76042444829328004</v>
      </c>
      <c r="E620" s="48">
        <f t="shared" ca="1" si="38"/>
        <v>0</v>
      </c>
      <c r="F620" s="17">
        <f t="shared" ca="1" si="39"/>
        <v>0</v>
      </c>
      <c r="H620" s="17">
        <v>605</v>
      </c>
      <c r="I620" s="43">
        <v>0.66887251987422947</v>
      </c>
      <c r="J620" s="43">
        <v>1.9330043598280739E-2</v>
      </c>
      <c r="K620" s="43"/>
      <c r="L620" s="43">
        <v>0.24479999999999999</v>
      </c>
      <c r="O620" s="50"/>
    </row>
    <row r="621" spans="2:15" x14ac:dyDescent="0.2">
      <c r="B621">
        <v>606</v>
      </c>
      <c r="C621" s="48">
        <f t="shared" ca="1" si="40"/>
        <v>-1.4696403236046924</v>
      </c>
      <c r="D621" s="48">
        <f t="shared" ca="1" si="37"/>
        <v>0.57487655231601598</v>
      </c>
      <c r="E621" s="48">
        <f t="shared" ca="1" si="38"/>
        <v>0</v>
      </c>
      <c r="F621" s="17">
        <f t="shared" ca="1" si="39"/>
        <v>0</v>
      </c>
      <c r="H621" s="17">
        <v>606</v>
      </c>
      <c r="I621" s="43">
        <v>0.66908156376662953</v>
      </c>
      <c r="J621" s="43">
        <v>1.9661724790774771E-2</v>
      </c>
      <c r="K621" s="43"/>
      <c r="L621" s="43">
        <v>0.25040000000000001</v>
      </c>
      <c r="O621" s="50"/>
    </row>
    <row r="622" spans="2:15" x14ac:dyDescent="0.2">
      <c r="B622">
        <v>607</v>
      </c>
      <c r="C622" s="48">
        <f t="shared" ca="1" si="40"/>
        <v>0.99659048068028333</v>
      </c>
      <c r="D622" s="48">
        <f t="shared" ca="1" si="37"/>
        <v>0.73310928307715595</v>
      </c>
      <c r="E622" s="48">
        <f t="shared" ca="1" si="38"/>
        <v>0</v>
      </c>
      <c r="F622" s="17">
        <f t="shared" ca="1" si="39"/>
        <v>0</v>
      </c>
      <c r="H622" s="17">
        <v>607</v>
      </c>
      <c r="I622" s="43">
        <v>0.66846114066713325</v>
      </c>
      <c r="J622" s="43">
        <v>1.9283278213000882E-2</v>
      </c>
      <c r="K622" s="43"/>
      <c r="L622" s="43">
        <v>0.24779999999999999</v>
      </c>
      <c r="O622" s="50"/>
    </row>
    <row r="623" spans="2:15" x14ac:dyDescent="0.2">
      <c r="B623">
        <v>608</v>
      </c>
      <c r="C623" s="48">
        <f t="shared" ca="1" si="40"/>
        <v>-1.746233695606934</v>
      </c>
      <c r="D623" s="48">
        <f t="shared" ca="1" si="37"/>
        <v>0.55941225360227309</v>
      </c>
      <c r="E623" s="48">
        <f t="shared" ca="1" si="38"/>
        <v>0</v>
      </c>
      <c r="F623" s="17">
        <f t="shared" ca="1" si="39"/>
        <v>0</v>
      </c>
      <c r="H623" s="17">
        <v>608</v>
      </c>
      <c r="I623" s="43">
        <v>0.6701396932190461</v>
      </c>
      <c r="J623" s="43">
        <v>2.0026244128420637E-2</v>
      </c>
      <c r="K623" s="43"/>
      <c r="L623" s="43">
        <v>0.25540000000000002</v>
      </c>
      <c r="O623" s="50"/>
    </row>
    <row r="624" spans="2:15" x14ac:dyDescent="0.2">
      <c r="B624">
        <v>609</v>
      </c>
      <c r="C624" s="48">
        <f t="shared" ca="1" si="40"/>
        <v>4.2939344318524489E-2</v>
      </c>
      <c r="D624" s="48">
        <f t="shared" ca="1" si="37"/>
        <v>0.66732469620172086</v>
      </c>
      <c r="E624" s="48">
        <f t="shared" ca="1" si="38"/>
        <v>0</v>
      </c>
      <c r="F624" s="17">
        <f t="shared" ca="1" si="39"/>
        <v>0</v>
      </c>
      <c r="H624" s="17">
        <v>609</v>
      </c>
      <c r="I624" s="43">
        <v>0.67053927311909145</v>
      </c>
      <c r="J624" s="43">
        <v>2.0536371416014363E-2</v>
      </c>
      <c r="K624" s="43"/>
      <c r="L624" s="43">
        <v>0.25459999999999999</v>
      </c>
      <c r="O624" s="50"/>
    </row>
    <row r="625" spans="2:15" x14ac:dyDescent="0.2">
      <c r="B625">
        <v>610</v>
      </c>
      <c r="C625" s="48">
        <f t="shared" ca="1" si="40"/>
        <v>-0.70326543648210549</v>
      </c>
      <c r="D625" s="48">
        <f t="shared" ca="1" si="37"/>
        <v>0.61999430165596381</v>
      </c>
      <c r="E625" s="48">
        <f t="shared" ca="1" si="38"/>
        <v>0</v>
      </c>
      <c r="F625" s="17">
        <f t="shared" ca="1" si="39"/>
        <v>0</v>
      </c>
      <c r="H625" s="17">
        <v>610</v>
      </c>
      <c r="I625" s="43">
        <v>0.6685328856244771</v>
      </c>
      <c r="J625" s="43">
        <v>1.8996939736773213E-2</v>
      </c>
      <c r="K625" s="43"/>
      <c r="L625" s="43">
        <v>0.24979999999999999</v>
      </c>
      <c r="O625" s="50"/>
    </row>
    <row r="626" spans="2:15" x14ac:dyDescent="0.2">
      <c r="B626">
        <v>611</v>
      </c>
      <c r="C626" s="48">
        <f t="shared" ca="1" si="40"/>
        <v>0.65346535963910746</v>
      </c>
      <c r="D626" s="48">
        <f t="shared" ca="1" si="37"/>
        <v>0.70872454810297159</v>
      </c>
      <c r="E626" s="48">
        <f t="shared" ca="1" si="38"/>
        <v>0</v>
      </c>
      <c r="F626" s="17">
        <f t="shared" ca="1" si="39"/>
        <v>0</v>
      </c>
      <c r="H626" s="17">
        <v>611</v>
      </c>
      <c r="I626" s="43">
        <v>0.66947296822000313</v>
      </c>
      <c r="J626" s="43">
        <v>2.0014763782691399E-2</v>
      </c>
      <c r="K626" s="43"/>
      <c r="L626" s="43">
        <v>0.2596</v>
      </c>
      <c r="O626" s="50"/>
    </row>
    <row r="627" spans="2:15" x14ac:dyDescent="0.2">
      <c r="B627">
        <v>612</v>
      </c>
      <c r="C627" s="48">
        <f t="shared" ca="1" si="40"/>
        <v>-0.99472565167460258</v>
      </c>
      <c r="D627" s="48">
        <f t="shared" ca="1" si="37"/>
        <v>0.60243270246510472</v>
      </c>
      <c r="E627" s="48">
        <f t="shared" ca="1" si="38"/>
        <v>0</v>
      </c>
      <c r="F627" s="17">
        <f t="shared" ca="1" si="39"/>
        <v>0</v>
      </c>
      <c r="H627" s="17">
        <v>612</v>
      </c>
      <c r="I627" s="43">
        <v>0.66895373411259418</v>
      </c>
      <c r="J627" s="43">
        <v>1.9427982196186556E-2</v>
      </c>
      <c r="K627" s="43"/>
      <c r="L627" s="43">
        <v>0.24779999999999999</v>
      </c>
      <c r="O627" s="50"/>
    </row>
    <row r="628" spans="2:15" x14ac:dyDescent="0.2">
      <c r="B628">
        <v>613</v>
      </c>
      <c r="C628" s="48">
        <f t="shared" ca="1" si="40"/>
        <v>-1.1451450091827566</v>
      </c>
      <c r="D628" s="48">
        <f t="shared" ca="1" si="37"/>
        <v>0.59356486363742111</v>
      </c>
      <c r="E628" s="48">
        <f t="shared" ca="1" si="38"/>
        <v>0</v>
      </c>
      <c r="F628" s="17">
        <f t="shared" ca="1" si="39"/>
        <v>0</v>
      </c>
      <c r="H628" s="17">
        <v>613</v>
      </c>
      <c r="I628" s="43">
        <v>0.66954984401769813</v>
      </c>
      <c r="J628" s="43">
        <v>1.9950931808851109E-2</v>
      </c>
      <c r="K628" s="43"/>
      <c r="L628" s="43">
        <v>0.25559999999999999</v>
      </c>
      <c r="O628" s="50"/>
    </row>
    <row r="629" spans="2:15" x14ac:dyDescent="0.2">
      <c r="B629">
        <v>614</v>
      </c>
      <c r="C629" s="48">
        <f t="shared" ca="1" si="40"/>
        <v>5.1293537643559796E-2</v>
      </c>
      <c r="D629" s="48">
        <f t="shared" ca="1" si="37"/>
        <v>0.6678745437562813</v>
      </c>
      <c r="E629" s="48">
        <f t="shared" ca="1" si="38"/>
        <v>0</v>
      </c>
      <c r="F629" s="17">
        <f t="shared" ca="1" si="39"/>
        <v>0</v>
      </c>
      <c r="H629" s="17">
        <v>614</v>
      </c>
      <c r="I629" s="43">
        <v>0.66949062322368202</v>
      </c>
      <c r="J629" s="43">
        <v>1.9923509130698732E-2</v>
      </c>
      <c r="K629" s="43"/>
      <c r="L629" s="43">
        <v>0.25819999999999999</v>
      </c>
      <c r="O629" s="50"/>
    </row>
    <row r="630" spans="2:15" x14ac:dyDescent="0.2">
      <c r="B630">
        <v>615</v>
      </c>
      <c r="C630" s="48">
        <f t="shared" ca="1" si="40"/>
        <v>0.19297403664729898</v>
      </c>
      <c r="D630" s="48">
        <f t="shared" ca="1" si="37"/>
        <v>0.67726881974799524</v>
      </c>
      <c r="E630" s="48">
        <f t="shared" ca="1" si="38"/>
        <v>0</v>
      </c>
      <c r="F630" s="17">
        <f t="shared" ca="1" si="39"/>
        <v>0</v>
      </c>
      <c r="H630" s="17">
        <v>615</v>
      </c>
      <c r="I630" s="43">
        <v>0.66910589647341179</v>
      </c>
      <c r="J630" s="43">
        <v>1.9552615032187599E-2</v>
      </c>
      <c r="K630" s="43"/>
      <c r="L630" s="43">
        <v>0.254</v>
      </c>
      <c r="O630" s="50"/>
    </row>
    <row r="631" spans="2:15" x14ac:dyDescent="0.2">
      <c r="B631">
        <v>616</v>
      </c>
      <c r="C631" s="48">
        <f t="shared" ca="1" si="40"/>
        <v>0.47081530834345209</v>
      </c>
      <c r="D631" s="48">
        <f t="shared" ca="1" si="37"/>
        <v>0.69607675680927461</v>
      </c>
      <c r="E631" s="48">
        <f t="shared" ca="1" si="38"/>
        <v>0</v>
      </c>
      <c r="F631" s="17">
        <f t="shared" ca="1" si="39"/>
        <v>0</v>
      </c>
      <c r="H631" s="17">
        <v>616</v>
      </c>
      <c r="I631" s="43">
        <v>0.67002916462668516</v>
      </c>
      <c r="J631" s="43">
        <v>2.0368111893266431E-2</v>
      </c>
      <c r="K631" s="43"/>
      <c r="L631" s="43">
        <v>0.25259999999999999</v>
      </c>
      <c r="O631" s="50"/>
    </row>
    <row r="632" spans="2:15" x14ac:dyDescent="0.2">
      <c r="B632">
        <v>617</v>
      </c>
      <c r="C632" s="48">
        <f t="shared" ca="1" si="40"/>
        <v>0.61317892916410521</v>
      </c>
      <c r="D632" s="48">
        <f t="shared" ca="1" si="37"/>
        <v>0.70591526298260765</v>
      </c>
      <c r="E632" s="48">
        <f t="shared" ca="1" si="38"/>
        <v>0</v>
      </c>
      <c r="F632" s="17">
        <f t="shared" ca="1" si="39"/>
        <v>0</v>
      </c>
      <c r="H632" s="17">
        <v>617</v>
      </c>
      <c r="I632" s="43">
        <v>0.6688747249169037</v>
      </c>
      <c r="J632" s="43">
        <v>1.9491277715114094E-2</v>
      </c>
      <c r="K632" s="43"/>
      <c r="L632" s="43">
        <v>0.25080000000000002</v>
      </c>
      <c r="O632" s="50"/>
    </row>
    <row r="633" spans="2:15" x14ac:dyDescent="0.2">
      <c r="B633">
        <v>618</v>
      </c>
      <c r="C633" s="48">
        <f t="shared" ca="1" si="40"/>
        <v>-0.42423086176422559</v>
      </c>
      <c r="D633" s="48">
        <f t="shared" ca="1" si="37"/>
        <v>0.63728667897049407</v>
      </c>
      <c r="E633" s="48">
        <f t="shared" ca="1" si="38"/>
        <v>0</v>
      </c>
      <c r="F633" s="17">
        <f t="shared" ca="1" si="39"/>
        <v>0</v>
      </c>
      <c r="H633" s="17">
        <v>618</v>
      </c>
      <c r="I633" s="43">
        <v>0.66770343604369198</v>
      </c>
      <c r="J633" s="43">
        <v>1.8628289432086317E-2</v>
      </c>
      <c r="K633" s="43"/>
      <c r="L633" s="43">
        <v>0.2462</v>
      </c>
      <c r="O633" s="50"/>
    </row>
    <row r="634" spans="2:15" x14ac:dyDescent="0.2">
      <c r="B634">
        <v>619</v>
      </c>
      <c r="C634" s="48">
        <f t="shared" ca="1" si="40"/>
        <v>0.24700477235629503</v>
      </c>
      <c r="D634" s="48">
        <f t="shared" ca="1" si="37"/>
        <v>0.680886089417715</v>
      </c>
      <c r="E634" s="48">
        <f t="shared" ca="1" si="38"/>
        <v>0</v>
      </c>
      <c r="F634" s="17">
        <f t="shared" ca="1" si="39"/>
        <v>0</v>
      </c>
      <c r="H634" s="17">
        <v>619</v>
      </c>
      <c r="I634" s="43">
        <v>0.66998483453336877</v>
      </c>
      <c r="J634" s="43">
        <v>2.0175308597303442E-2</v>
      </c>
      <c r="K634" s="43"/>
      <c r="L634" s="43">
        <v>0.25040000000000001</v>
      </c>
      <c r="O634" s="50"/>
    </row>
    <row r="635" spans="2:15" x14ac:dyDescent="0.2">
      <c r="B635">
        <v>620</v>
      </c>
      <c r="C635" s="48">
        <f t="shared" ca="1" si="40"/>
        <v>0.37202987750413208</v>
      </c>
      <c r="D635" s="48">
        <f t="shared" ca="1" si="37"/>
        <v>0.68933056524612901</v>
      </c>
      <c r="E635" s="48">
        <f t="shared" ca="1" si="38"/>
        <v>0</v>
      </c>
      <c r="F635" s="17">
        <f t="shared" ca="1" si="39"/>
        <v>0</v>
      </c>
      <c r="H635" s="17">
        <v>620</v>
      </c>
      <c r="I635" s="43">
        <v>0.66893725371386903</v>
      </c>
      <c r="J635" s="43">
        <v>1.9365109442531031E-2</v>
      </c>
      <c r="K635" s="43"/>
      <c r="L635" s="43">
        <v>0.25419999999999998</v>
      </c>
      <c r="O635" s="50"/>
    </row>
    <row r="636" spans="2:15" x14ac:dyDescent="0.2">
      <c r="B636">
        <v>621</v>
      </c>
      <c r="C636" s="48">
        <f t="shared" ca="1" si="40"/>
        <v>1.5725322761047236</v>
      </c>
      <c r="D636" s="48">
        <f t="shared" ca="1" si="37"/>
        <v>0.77594017663797132</v>
      </c>
      <c r="E636" s="48">
        <f t="shared" ca="1" si="38"/>
        <v>0</v>
      </c>
      <c r="F636" s="17">
        <f t="shared" ca="1" si="39"/>
        <v>0</v>
      </c>
      <c r="H636" s="17">
        <v>621</v>
      </c>
      <c r="I636" s="43">
        <v>0.66991569631526349</v>
      </c>
      <c r="J636" s="43">
        <v>1.9845279924329731E-2</v>
      </c>
      <c r="K636" s="43"/>
      <c r="L636" s="43">
        <v>0.25280000000000002</v>
      </c>
      <c r="O636" s="50"/>
    </row>
    <row r="637" spans="2:15" x14ac:dyDescent="0.2">
      <c r="B637">
        <v>622</v>
      </c>
      <c r="C637" s="48">
        <f t="shared" ca="1" si="40"/>
        <v>-0.39155143028464195</v>
      </c>
      <c r="D637" s="48">
        <f t="shared" ca="1" si="37"/>
        <v>0.63934318905139631</v>
      </c>
      <c r="E637" s="48">
        <f t="shared" ca="1" si="38"/>
        <v>0</v>
      </c>
      <c r="F637" s="17">
        <f t="shared" ca="1" si="39"/>
        <v>0</v>
      </c>
      <c r="H637" s="17">
        <v>622</v>
      </c>
      <c r="I637" s="43">
        <v>0.66844070032301273</v>
      </c>
      <c r="J637" s="43">
        <v>1.9033092451669599E-2</v>
      </c>
      <c r="K637" s="43"/>
      <c r="L637" s="43">
        <v>0.254</v>
      </c>
      <c r="O637" s="50"/>
    </row>
    <row r="638" spans="2:15" x14ac:dyDescent="0.2">
      <c r="B638">
        <v>623</v>
      </c>
      <c r="C638" s="48">
        <f t="shared" ca="1" si="40"/>
        <v>1.6087717778231485</v>
      </c>
      <c r="D638" s="48">
        <f t="shared" ca="1" si="37"/>
        <v>0.77871738346168362</v>
      </c>
      <c r="E638" s="48">
        <f t="shared" ca="1" si="38"/>
        <v>0</v>
      </c>
      <c r="F638" s="17">
        <f t="shared" ca="1" si="39"/>
        <v>0</v>
      </c>
      <c r="H638" s="17">
        <v>623</v>
      </c>
      <c r="I638" s="43">
        <v>0.66927004742310403</v>
      </c>
      <c r="J638" s="43">
        <v>1.9473052314506099E-2</v>
      </c>
      <c r="K638" s="43"/>
      <c r="L638" s="43">
        <v>0.2482</v>
      </c>
      <c r="O638" s="50"/>
    </row>
    <row r="639" spans="2:15" x14ac:dyDescent="0.2">
      <c r="B639">
        <v>624</v>
      </c>
      <c r="C639" s="48">
        <f t="shared" ca="1" si="40"/>
        <v>0.77138050640799727</v>
      </c>
      <c r="D639" s="48">
        <f t="shared" ca="1" si="37"/>
        <v>0.71701151424919385</v>
      </c>
      <c r="E639" s="48">
        <f t="shared" ca="1" si="38"/>
        <v>0</v>
      </c>
      <c r="F639" s="17">
        <f t="shared" ca="1" si="39"/>
        <v>0</v>
      </c>
      <c r="H639" s="17">
        <v>624</v>
      </c>
      <c r="I639" s="43">
        <v>0.66911349688733213</v>
      </c>
      <c r="J639" s="43">
        <v>1.9535611905656169E-2</v>
      </c>
      <c r="K639" s="43"/>
      <c r="L639" s="43">
        <v>0.252</v>
      </c>
      <c r="O639" s="50"/>
    </row>
    <row r="640" spans="2:15" x14ac:dyDescent="0.2">
      <c r="B640">
        <v>625</v>
      </c>
      <c r="C640" s="48">
        <f t="shared" ca="1" si="40"/>
        <v>0.31781970438505602</v>
      </c>
      <c r="D640" s="48">
        <f t="shared" ca="1" si="37"/>
        <v>0.68565630396621957</v>
      </c>
      <c r="E640" s="48">
        <f t="shared" ca="1" si="38"/>
        <v>0</v>
      </c>
      <c r="F640" s="17">
        <f t="shared" ca="1" si="39"/>
        <v>0</v>
      </c>
      <c r="H640" s="17">
        <v>625</v>
      </c>
      <c r="I640" s="43">
        <v>0.66860543896835478</v>
      </c>
      <c r="J640" s="43">
        <v>1.9072811079009287E-2</v>
      </c>
      <c r="K640" s="43"/>
      <c r="L640" s="43">
        <v>0.254</v>
      </c>
      <c r="O640" s="50"/>
    </row>
    <row r="641" spans="2:15" x14ac:dyDescent="0.2">
      <c r="B641">
        <v>626</v>
      </c>
      <c r="C641" s="48">
        <f t="shared" ca="1" si="40"/>
        <v>1.3472494872200893</v>
      </c>
      <c r="D641" s="48">
        <f t="shared" ca="1" si="37"/>
        <v>0.7588964701423081</v>
      </c>
      <c r="E641" s="48">
        <f t="shared" ca="1" si="38"/>
        <v>0</v>
      </c>
      <c r="F641" s="17">
        <f t="shared" ca="1" si="39"/>
        <v>0</v>
      </c>
      <c r="H641" s="17">
        <v>626</v>
      </c>
      <c r="I641" s="43">
        <v>0.66746502969712107</v>
      </c>
      <c r="J641" s="43">
        <v>1.8262832466105518E-2</v>
      </c>
      <c r="K641" s="43"/>
      <c r="L641" s="43">
        <v>0.24560000000000001</v>
      </c>
      <c r="O641" s="50"/>
    </row>
    <row r="642" spans="2:15" x14ac:dyDescent="0.2">
      <c r="B642">
        <v>627</v>
      </c>
      <c r="C642" s="48">
        <f t="shared" ca="1" si="40"/>
        <v>-0.27007737129399878</v>
      </c>
      <c r="D642" s="48">
        <f t="shared" ca="1" si="37"/>
        <v>0.647045879030273</v>
      </c>
      <c r="E642" s="48">
        <f t="shared" ca="1" si="38"/>
        <v>0</v>
      </c>
      <c r="F642" s="17">
        <f t="shared" ca="1" si="39"/>
        <v>0</v>
      </c>
      <c r="H642" s="17">
        <v>627</v>
      </c>
      <c r="I642" s="43">
        <v>0.66898361941790618</v>
      </c>
      <c r="J642" s="43">
        <v>1.9288584475267913E-2</v>
      </c>
      <c r="K642" s="43"/>
      <c r="L642" s="43">
        <v>0.24940000000000001</v>
      </c>
      <c r="O642" s="50"/>
    </row>
    <row r="643" spans="2:15" x14ac:dyDescent="0.2">
      <c r="B643">
        <v>628</v>
      </c>
      <c r="C643" s="48">
        <f t="shared" ca="1" si="40"/>
        <v>-0.89856290415434703</v>
      </c>
      <c r="D643" s="48">
        <f t="shared" ca="1" si="37"/>
        <v>0.60817118945236015</v>
      </c>
      <c r="E643" s="48">
        <f t="shared" ca="1" si="38"/>
        <v>0</v>
      </c>
      <c r="F643" s="17">
        <f t="shared" ca="1" si="39"/>
        <v>0</v>
      </c>
      <c r="H643" s="17">
        <v>628</v>
      </c>
      <c r="I643" s="43">
        <v>0.66972467499477484</v>
      </c>
      <c r="J643" s="43">
        <v>2.0101575291579403E-2</v>
      </c>
      <c r="K643" s="43"/>
      <c r="L643" s="43">
        <v>0.25940000000000002</v>
      </c>
      <c r="O643" s="50"/>
    </row>
    <row r="644" spans="2:15" x14ac:dyDescent="0.2">
      <c r="B644">
        <v>629</v>
      </c>
      <c r="C644" s="48">
        <f t="shared" ca="1" si="40"/>
        <v>0.45740931712425648</v>
      </c>
      <c r="D644" s="48">
        <f t="shared" ca="1" si="37"/>
        <v>0.69515738576914532</v>
      </c>
      <c r="E644" s="48">
        <f t="shared" ca="1" si="38"/>
        <v>0</v>
      </c>
      <c r="F644" s="17">
        <f t="shared" ca="1" si="39"/>
        <v>0</v>
      </c>
      <c r="H644" s="17">
        <v>629</v>
      </c>
      <c r="I644" s="43">
        <v>0.6681861103983362</v>
      </c>
      <c r="J644" s="43">
        <v>1.8817142418407283E-2</v>
      </c>
      <c r="K644" s="43"/>
      <c r="L644" s="43">
        <v>0.25140000000000001</v>
      </c>
      <c r="O644" s="50"/>
    </row>
    <row r="645" spans="2:15" x14ac:dyDescent="0.2">
      <c r="B645">
        <v>630</v>
      </c>
      <c r="C645" s="48">
        <f t="shared" ca="1" si="40"/>
        <v>-4.4436781121837923E-2</v>
      </c>
      <c r="D645" s="48">
        <f t="shared" ca="1" si="37"/>
        <v>0.66160092196409059</v>
      </c>
      <c r="E645" s="48">
        <f t="shared" ca="1" si="38"/>
        <v>0</v>
      </c>
      <c r="F645" s="17">
        <f t="shared" ca="1" si="39"/>
        <v>0</v>
      </c>
      <c r="H645" s="17">
        <v>630</v>
      </c>
      <c r="I645" s="43">
        <v>0.6694162751317474</v>
      </c>
      <c r="J645" s="43">
        <v>1.9580728544547857E-2</v>
      </c>
      <c r="K645" s="43"/>
      <c r="L645" s="43">
        <v>0.2492</v>
      </c>
      <c r="O645" s="50"/>
    </row>
    <row r="646" spans="2:15" x14ac:dyDescent="0.2">
      <c r="B646">
        <v>631</v>
      </c>
      <c r="C646" s="48">
        <f t="shared" ca="1" si="40"/>
        <v>0.47977704775631969</v>
      </c>
      <c r="D646" s="48">
        <f t="shared" ca="1" si="37"/>
        <v>0.69669202297196187</v>
      </c>
      <c r="E646" s="48">
        <f t="shared" ca="1" si="38"/>
        <v>0</v>
      </c>
      <c r="F646" s="17">
        <f t="shared" ca="1" si="39"/>
        <v>0</v>
      </c>
      <c r="H646" s="17">
        <v>631</v>
      </c>
      <c r="I646" s="43">
        <v>0.66804870814923933</v>
      </c>
      <c r="J646" s="43">
        <v>1.857662072959966E-2</v>
      </c>
      <c r="K646" s="43"/>
      <c r="L646" s="43">
        <v>0.24460000000000001</v>
      </c>
      <c r="O646" s="50"/>
    </row>
    <row r="647" spans="2:15" x14ac:dyDescent="0.2">
      <c r="B647">
        <v>632</v>
      </c>
      <c r="C647" s="48">
        <f t="shared" ca="1" si="40"/>
        <v>0.43008883666625081</v>
      </c>
      <c r="D647" s="48">
        <f t="shared" ca="1" si="37"/>
        <v>0.69328752853468456</v>
      </c>
      <c r="E647" s="48">
        <f t="shared" ca="1" si="38"/>
        <v>0</v>
      </c>
      <c r="F647" s="17">
        <f t="shared" ca="1" si="39"/>
        <v>0</v>
      </c>
      <c r="H647" s="17">
        <v>632</v>
      </c>
      <c r="I647" s="43">
        <v>0.66785814192190696</v>
      </c>
      <c r="J647" s="43">
        <v>1.8316457779268637E-2</v>
      </c>
      <c r="K647" s="43"/>
      <c r="L647" s="43">
        <v>0.2422</v>
      </c>
      <c r="O647" s="50"/>
    </row>
    <row r="648" spans="2:15" x14ac:dyDescent="0.2">
      <c r="B648">
        <v>633</v>
      </c>
      <c r="C648" s="48">
        <f t="shared" ca="1" si="40"/>
        <v>1.464584095124414</v>
      </c>
      <c r="D648" s="48">
        <f t="shared" ca="1" si="37"/>
        <v>0.76772614476812417</v>
      </c>
      <c r="E648" s="48">
        <f t="shared" ca="1" si="38"/>
        <v>0</v>
      </c>
      <c r="F648" s="17">
        <f t="shared" ca="1" si="39"/>
        <v>0</v>
      </c>
      <c r="H648" s="17">
        <v>633</v>
      </c>
      <c r="I648" s="43">
        <v>0.6688753058332626</v>
      </c>
      <c r="J648" s="43">
        <v>1.9371098037246508E-2</v>
      </c>
      <c r="K648" s="43"/>
      <c r="L648" s="43">
        <v>0.255</v>
      </c>
      <c r="O648" s="50"/>
    </row>
    <row r="649" spans="2:15" x14ac:dyDescent="0.2">
      <c r="B649">
        <v>634</v>
      </c>
      <c r="C649" s="48">
        <f t="shared" ca="1" si="40"/>
        <v>0.61996224832384927</v>
      </c>
      <c r="D649" s="48">
        <f t="shared" ca="1" si="37"/>
        <v>0.70638750189438193</v>
      </c>
      <c r="E649" s="48">
        <f t="shared" ca="1" si="38"/>
        <v>0</v>
      </c>
      <c r="F649" s="17">
        <f t="shared" ca="1" si="39"/>
        <v>0</v>
      </c>
      <c r="H649" s="17">
        <v>634</v>
      </c>
      <c r="I649" s="43">
        <v>0.66861292962484753</v>
      </c>
      <c r="J649" s="43">
        <v>1.8867381946526204E-2</v>
      </c>
      <c r="K649" s="43"/>
      <c r="L649" s="43">
        <v>0.24</v>
      </c>
      <c r="O649" s="50"/>
    </row>
    <row r="650" spans="2:15" x14ac:dyDescent="0.2">
      <c r="B650">
        <v>635</v>
      </c>
      <c r="C650" s="48">
        <f t="shared" ca="1" si="40"/>
        <v>0.35959788884925903</v>
      </c>
      <c r="D650" s="48">
        <f t="shared" ca="1" si="37"/>
        <v>0.68848621284133349</v>
      </c>
      <c r="E650" s="48">
        <f t="shared" ca="1" si="38"/>
        <v>0</v>
      </c>
      <c r="F650" s="17">
        <f t="shared" ca="1" si="39"/>
        <v>0</v>
      </c>
      <c r="H650" s="17">
        <v>635</v>
      </c>
      <c r="I650" s="43">
        <v>0.66744372753605374</v>
      </c>
      <c r="J650" s="43">
        <v>1.8197933049378452E-2</v>
      </c>
      <c r="K650" s="43"/>
      <c r="L650" s="43">
        <v>0.24560000000000001</v>
      </c>
      <c r="O650" s="50"/>
    </row>
    <row r="651" spans="2:15" x14ac:dyDescent="0.2">
      <c r="B651">
        <v>636</v>
      </c>
      <c r="C651" s="48">
        <f t="shared" ca="1" si="40"/>
        <v>-0.44006900474664157</v>
      </c>
      <c r="D651" s="48">
        <f t="shared" ca="1" si="37"/>
        <v>0.6362923689831147</v>
      </c>
      <c r="E651" s="48">
        <f t="shared" ca="1" si="38"/>
        <v>0</v>
      </c>
      <c r="F651" s="17">
        <f t="shared" ca="1" si="39"/>
        <v>0</v>
      </c>
      <c r="H651" s="17">
        <v>636</v>
      </c>
      <c r="I651" s="43">
        <v>0.66858481587177709</v>
      </c>
      <c r="J651" s="43">
        <v>1.9091854853554722E-2</v>
      </c>
      <c r="K651" s="43"/>
      <c r="L651" s="43">
        <v>0.24479999999999999</v>
      </c>
      <c r="O651" s="50"/>
    </row>
    <row r="652" spans="2:15" x14ac:dyDescent="0.2">
      <c r="B652">
        <v>637</v>
      </c>
      <c r="C652" s="48">
        <f t="shared" ca="1" si="40"/>
        <v>0.24926615147242742</v>
      </c>
      <c r="D652" s="48">
        <f t="shared" ca="1" si="37"/>
        <v>0.68103790556704236</v>
      </c>
      <c r="E652" s="48">
        <f t="shared" ca="1" si="38"/>
        <v>0</v>
      </c>
      <c r="F652" s="17">
        <f t="shared" ca="1" si="39"/>
        <v>0</v>
      </c>
      <c r="H652" s="17">
        <v>637</v>
      </c>
      <c r="I652" s="43">
        <v>0.66921356388558428</v>
      </c>
      <c r="J652" s="43">
        <v>1.9386816409833248E-2</v>
      </c>
      <c r="K652" s="43"/>
      <c r="L652" s="43">
        <v>0.25380000000000003</v>
      </c>
      <c r="O652" s="50"/>
    </row>
    <row r="653" spans="2:15" x14ac:dyDescent="0.2">
      <c r="B653">
        <v>638</v>
      </c>
      <c r="C653" s="48">
        <f t="shared" ca="1" si="40"/>
        <v>-0.37094066863426883</v>
      </c>
      <c r="D653" s="48">
        <f t="shared" ca="1" si="37"/>
        <v>0.64064363143177971</v>
      </c>
      <c r="E653" s="48">
        <f t="shared" ca="1" si="38"/>
        <v>0</v>
      </c>
      <c r="F653" s="17">
        <f t="shared" ca="1" si="39"/>
        <v>0</v>
      </c>
      <c r="H653" s="17">
        <v>638</v>
      </c>
      <c r="I653" s="43">
        <v>0.66978410768293939</v>
      </c>
      <c r="J653" s="43">
        <v>2.0045455269965411E-2</v>
      </c>
      <c r="K653" s="43"/>
      <c r="L653" s="43">
        <v>0.25619999999999998</v>
      </c>
      <c r="O653" s="50"/>
    </row>
    <row r="654" spans="2:15" x14ac:dyDescent="0.2">
      <c r="B654">
        <v>639</v>
      </c>
      <c r="C654" s="48">
        <f t="shared" ca="1" si="40"/>
        <v>0.41237325850774864</v>
      </c>
      <c r="D654" s="48">
        <f t="shared" ca="1" si="37"/>
        <v>0.69207773505678349</v>
      </c>
      <c r="E654" s="48">
        <f t="shared" ca="1" si="38"/>
        <v>0</v>
      </c>
      <c r="F654" s="17">
        <f t="shared" ca="1" si="39"/>
        <v>0</v>
      </c>
      <c r="H654" s="17">
        <v>639</v>
      </c>
      <c r="I654" s="43">
        <v>0.66840788753156921</v>
      </c>
      <c r="J654" s="43">
        <v>1.8873819865610469E-2</v>
      </c>
      <c r="K654" s="43"/>
      <c r="L654" s="43">
        <v>0.251</v>
      </c>
      <c r="O654" s="50"/>
    </row>
    <row r="655" spans="2:15" x14ac:dyDescent="0.2">
      <c r="B655">
        <v>640</v>
      </c>
      <c r="C655" s="48">
        <f t="shared" ca="1" si="40"/>
        <v>-0.74138200316610559</v>
      </c>
      <c r="D655" s="48">
        <f t="shared" ca="1" si="37"/>
        <v>0.61766884928062482</v>
      </c>
      <c r="E655" s="48">
        <f t="shared" ca="1" si="38"/>
        <v>0</v>
      </c>
      <c r="F655" s="17">
        <f t="shared" ca="1" si="39"/>
        <v>0</v>
      </c>
      <c r="H655" s="17">
        <v>640</v>
      </c>
      <c r="I655" s="43">
        <v>0.66886677063196909</v>
      </c>
      <c r="J655" s="43">
        <v>1.9075960094864227E-2</v>
      </c>
      <c r="K655" s="43"/>
      <c r="L655" s="43">
        <v>0.24759999999999999</v>
      </c>
      <c r="O655" s="50"/>
    </row>
    <row r="656" spans="2:15" x14ac:dyDescent="0.2">
      <c r="B656">
        <v>641</v>
      </c>
      <c r="C656" s="48">
        <f t="shared" ca="1" si="40"/>
        <v>1.4249461170769897</v>
      </c>
      <c r="D656" s="48">
        <f t="shared" ref="D656:D719" ca="1" si="41">S0*EXP((μ-0.5*σ*σ)*T+σ*SQRT(T)*$C656)</f>
        <v>0.76473187275785859</v>
      </c>
      <c r="E656" s="48">
        <f t="shared" ref="E656:E719" ca="1" si="42">MAX(0,CP*(D656-K))</f>
        <v>0</v>
      </c>
      <c r="F656" s="17">
        <f t="shared" ref="F656:F719" ca="1" si="43">(CP*(D656-K)&gt;0)*1</f>
        <v>0</v>
      </c>
      <c r="H656" s="17">
        <v>641</v>
      </c>
      <c r="I656" s="43">
        <v>0.67094718212928428</v>
      </c>
      <c r="J656" s="43">
        <v>2.0794301457327715E-2</v>
      </c>
      <c r="K656" s="43"/>
      <c r="L656" s="43">
        <v>0.25719999999999998</v>
      </c>
      <c r="O656" s="50"/>
    </row>
    <row r="657" spans="2:15" x14ac:dyDescent="0.2">
      <c r="B657">
        <v>642</v>
      </c>
      <c r="C657" s="48">
        <f t="shared" ref="C657:C720" ca="1" si="44">_xlfn.NORM.S.INV(RAND())</f>
        <v>-0.70212606009965006</v>
      </c>
      <c r="D657" s="48">
        <f t="shared" ca="1" si="41"/>
        <v>0.62006394843292667</v>
      </c>
      <c r="E657" s="48">
        <f t="shared" ca="1" si="42"/>
        <v>0</v>
      </c>
      <c r="F657" s="17">
        <f t="shared" ca="1" si="43"/>
        <v>0</v>
      </c>
      <c r="H657" s="17">
        <v>642</v>
      </c>
      <c r="I657" s="43">
        <v>0.66906292752721663</v>
      </c>
      <c r="J657" s="43">
        <v>1.9659559324976584E-2</v>
      </c>
      <c r="K657" s="43"/>
      <c r="L657" s="43">
        <v>0.25540000000000002</v>
      </c>
      <c r="O657" s="50"/>
    </row>
    <row r="658" spans="2:15" x14ac:dyDescent="0.2">
      <c r="B658">
        <v>643</v>
      </c>
      <c r="C658" s="48">
        <f t="shared" ca="1" si="44"/>
        <v>1.6620891002849865</v>
      </c>
      <c r="D658" s="48">
        <f t="shared" ca="1" si="41"/>
        <v>0.78282142585981351</v>
      </c>
      <c r="E658" s="48">
        <f t="shared" ca="1" si="42"/>
        <v>0</v>
      </c>
      <c r="F658" s="17">
        <f t="shared" ca="1" si="43"/>
        <v>0</v>
      </c>
      <c r="H658" s="17">
        <v>643</v>
      </c>
      <c r="I658" s="43">
        <v>0.66935870426261013</v>
      </c>
      <c r="J658" s="43">
        <v>1.9626928419333112E-2</v>
      </c>
      <c r="K658" s="43"/>
      <c r="L658" s="43">
        <v>0.2586</v>
      </c>
      <c r="O658" s="50"/>
    </row>
    <row r="659" spans="2:15" x14ac:dyDescent="0.2">
      <c r="B659">
        <v>644</v>
      </c>
      <c r="C659" s="48">
        <f t="shared" ca="1" si="44"/>
        <v>0.39813684191253962</v>
      </c>
      <c r="D659" s="48">
        <f t="shared" ca="1" si="41"/>
        <v>0.69110706295237945</v>
      </c>
      <c r="E659" s="48">
        <f t="shared" ca="1" si="42"/>
        <v>0</v>
      </c>
      <c r="F659" s="17">
        <f t="shared" ca="1" si="43"/>
        <v>0</v>
      </c>
      <c r="H659" s="17">
        <v>644</v>
      </c>
      <c r="I659" s="43">
        <v>0.66788374355531688</v>
      </c>
      <c r="J659" s="43">
        <v>1.8636328119611592E-2</v>
      </c>
      <c r="K659" s="43"/>
      <c r="L659" s="43">
        <v>0.2462</v>
      </c>
      <c r="O659" s="50"/>
    </row>
    <row r="660" spans="2:15" x14ac:dyDescent="0.2">
      <c r="B660">
        <v>645</v>
      </c>
      <c r="C660" s="48">
        <f t="shared" ca="1" si="44"/>
        <v>1.8565281810416678</v>
      </c>
      <c r="D660" s="48">
        <f t="shared" ca="1" si="41"/>
        <v>0.79797228233871687</v>
      </c>
      <c r="E660" s="48">
        <f t="shared" ca="1" si="42"/>
        <v>9.7722823387168534E-3</v>
      </c>
      <c r="F660" s="17">
        <f t="shared" ca="1" si="43"/>
        <v>1</v>
      </c>
      <c r="H660" s="17">
        <v>645</v>
      </c>
      <c r="I660" s="43">
        <v>0.66936233332914596</v>
      </c>
      <c r="J660" s="43">
        <v>1.9810205026213678E-2</v>
      </c>
      <c r="K660" s="43"/>
      <c r="L660" s="43">
        <v>0.25600000000000001</v>
      </c>
      <c r="O660" s="50"/>
    </row>
    <row r="661" spans="2:15" x14ac:dyDescent="0.2">
      <c r="B661">
        <v>646</v>
      </c>
      <c r="C661" s="48">
        <f t="shared" ca="1" si="44"/>
        <v>0.93368780703540077</v>
      </c>
      <c r="D661" s="48">
        <f t="shared" ca="1" si="41"/>
        <v>0.72857703555354247</v>
      </c>
      <c r="E661" s="48">
        <f t="shared" ca="1" si="42"/>
        <v>0</v>
      </c>
      <c r="F661" s="17">
        <f t="shared" ca="1" si="43"/>
        <v>0</v>
      </c>
      <c r="H661" s="17">
        <v>646</v>
      </c>
      <c r="I661" s="43">
        <v>0.67022130230367971</v>
      </c>
      <c r="J661" s="43">
        <v>2.0401020413410888E-2</v>
      </c>
      <c r="K661" s="43"/>
      <c r="L661" s="43">
        <v>0.254</v>
      </c>
      <c r="O661" s="50"/>
    </row>
    <row r="662" spans="2:15" x14ac:dyDescent="0.2">
      <c r="B662">
        <v>647</v>
      </c>
      <c r="C662" s="48">
        <f t="shared" ca="1" si="44"/>
        <v>4.2572639976572804E-2</v>
      </c>
      <c r="D662" s="48">
        <f t="shared" ca="1" si="41"/>
        <v>0.6673005712129525</v>
      </c>
      <c r="E662" s="48">
        <f t="shared" ca="1" si="42"/>
        <v>0</v>
      </c>
      <c r="F662" s="17">
        <f t="shared" ca="1" si="43"/>
        <v>0</v>
      </c>
      <c r="H662" s="17">
        <v>647</v>
      </c>
      <c r="I662" s="43">
        <v>0.66866691749421259</v>
      </c>
      <c r="J662" s="43">
        <v>1.9559492556139969E-2</v>
      </c>
      <c r="K662" s="43"/>
      <c r="L662" s="43">
        <v>0.25059999999999999</v>
      </c>
      <c r="O662" s="50"/>
    </row>
    <row r="663" spans="2:15" x14ac:dyDescent="0.2">
      <c r="B663">
        <v>648</v>
      </c>
      <c r="C663" s="48">
        <f t="shared" ca="1" si="44"/>
        <v>0.14960963644752959</v>
      </c>
      <c r="D663" s="48">
        <f t="shared" ca="1" si="41"/>
        <v>0.67437954972268266</v>
      </c>
      <c r="E663" s="48">
        <f t="shared" ca="1" si="42"/>
        <v>0</v>
      </c>
      <c r="F663" s="17">
        <f t="shared" ca="1" si="43"/>
        <v>0</v>
      </c>
      <c r="H663" s="17">
        <v>648</v>
      </c>
      <c r="I663" s="43">
        <v>0.66908337065879797</v>
      </c>
      <c r="J663" s="43">
        <v>1.9287594897695048E-2</v>
      </c>
      <c r="K663" s="43"/>
      <c r="L663" s="43">
        <v>0.251</v>
      </c>
      <c r="O663" s="50"/>
    </row>
    <row r="664" spans="2:15" x14ac:dyDescent="0.2">
      <c r="B664">
        <v>649</v>
      </c>
      <c r="C664" s="48">
        <f t="shared" ca="1" si="44"/>
        <v>-0.27331725541715812</v>
      </c>
      <c r="D664" s="48">
        <f t="shared" ca="1" si="41"/>
        <v>0.64683923782981345</v>
      </c>
      <c r="E664" s="48">
        <f t="shared" ca="1" si="42"/>
        <v>0</v>
      </c>
      <c r="F664" s="17">
        <f t="shared" ca="1" si="43"/>
        <v>0</v>
      </c>
      <c r="H664" s="17">
        <v>649</v>
      </c>
      <c r="I664" s="43">
        <v>0.66811729867115699</v>
      </c>
      <c r="J664" s="43">
        <v>1.8658816109194086E-2</v>
      </c>
      <c r="K664" s="43"/>
      <c r="L664" s="43">
        <v>0.2412</v>
      </c>
      <c r="O664" s="50"/>
    </row>
    <row r="665" spans="2:15" x14ac:dyDescent="0.2">
      <c r="B665">
        <v>650</v>
      </c>
      <c r="C665" s="48">
        <f t="shared" ca="1" si="44"/>
        <v>1.7371783681257269</v>
      </c>
      <c r="D665" s="48">
        <f t="shared" ca="1" si="41"/>
        <v>0.78863804725757602</v>
      </c>
      <c r="E665" s="48">
        <f t="shared" ca="1" si="42"/>
        <v>4.3804725757601304E-4</v>
      </c>
      <c r="F665" s="17">
        <f t="shared" ca="1" si="43"/>
        <v>1</v>
      </c>
      <c r="H665" s="17">
        <v>650</v>
      </c>
      <c r="I665" s="43">
        <v>0.66808672691390114</v>
      </c>
      <c r="J665" s="43">
        <v>1.8827112413291713E-2</v>
      </c>
      <c r="K665" s="43"/>
      <c r="L665" s="43">
        <v>0.2414</v>
      </c>
      <c r="O665" s="50"/>
    </row>
    <row r="666" spans="2:15" x14ac:dyDescent="0.2">
      <c r="B666">
        <v>651</v>
      </c>
      <c r="C666" s="48">
        <f t="shared" ca="1" si="44"/>
        <v>1.0809966874829222</v>
      </c>
      <c r="D666" s="48">
        <f t="shared" ca="1" si="41"/>
        <v>0.73923522737974678</v>
      </c>
      <c r="E666" s="48">
        <f t="shared" ca="1" si="42"/>
        <v>0</v>
      </c>
      <c r="F666" s="17">
        <f t="shared" ca="1" si="43"/>
        <v>0</v>
      </c>
      <c r="H666" s="17">
        <v>651</v>
      </c>
      <c r="I666" s="43">
        <v>0.66845922344774977</v>
      </c>
      <c r="J666" s="43">
        <v>1.9358730051582972E-2</v>
      </c>
      <c r="K666" s="43"/>
      <c r="L666" s="43">
        <v>0.24579999999999999</v>
      </c>
      <c r="O666" s="50"/>
    </row>
    <row r="667" spans="2:15" x14ac:dyDescent="0.2">
      <c r="B667">
        <v>652</v>
      </c>
      <c r="C667" s="48">
        <f t="shared" ca="1" si="44"/>
        <v>-1.2780183668326304</v>
      </c>
      <c r="D667" s="48">
        <f t="shared" ca="1" si="41"/>
        <v>0.58584007922667336</v>
      </c>
      <c r="E667" s="48">
        <f t="shared" ca="1" si="42"/>
        <v>0</v>
      </c>
      <c r="F667" s="17">
        <f t="shared" ca="1" si="43"/>
        <v>0</v>
      </c>
      <c r="H667" s="17">
        <v>652</v>
      </c>
      <c r="I667" s="43">
        <v>0.66797828013386507</v>
      </c>
      <c r="J667" s="43">
        <v>1.8604313079115902E-2</v>
      </c>
      <c r="K667" s="43"/>
      <c r="L667" s="43">
        <v>0.2462</v>
      </c>
      <c r="O667" s="50"/>
    </row>
    <row r="668" spans="2:15" x14ac:dyDescent="0.2">
      <c r="B668">
        <v>653</v>
      </c>
      <c r="C668" s="48">
        <f t="shared" ca="1" si="44"/>
        <v>-0.85103380281591112</v>
      </c>
      <c r="D668" s="48">
        <f t="shared" ca="1" si="41"/>
        <v>0.61102762919106324</v>
      </c>
      <c r="E668" s="48">
        <f t="shared" ca="1" si="42"/>
        <v>0</v>
      </c>
      <c r="F668" s="17">
        <f t="shared" ca="1" si="43"/>
        <v>0</v>
      </c>
      <c r="H668" s="17">
        <v>653</v>
      </c>
      <c r="I668" s="43">
        <v>0.66883611050356662</v>
      </c>
      <c r="J668" s="43">
        <v>1.939914590522045E-2</v>
      </c>
      <c r="K668" s="43"/>
      <c r="L668" s="43">
        <v>0.25019999999999998</v>
      </c>
      <c r="O668" s="50"/>
    </row>
    <row r="669" spans="2:15" x14ac:dyDescent="0.2">
      <c r="B669">
        <v>654</v>
      </c>
      <c r="C669" s="48">
        <f t="shared" ca="1" si="44"/>
        <v>-0.60668332911299516</v>
      </c>
      <c r="D669" s="48">
        <f t="shared" ca="1" si="41"/>
        <v>0.62592594958626924</v>
      </c>
      <c r="E669" s="48">
        <f t="shared" ca="1" si="42"/>
        <v>0</v>
      </c>
      <c r="F669" s="17">
        <f t="shared" ca="1" si="43"/>
        <v>0</v>
      </c>
      <c r="H669" s="17">
        <v>654</v>
      </c>
      <c r="I669" s="43">
        <v>0.6703373494727487</v>
      </c>
      <c r="J669" s="43">
        <v>2.0499711586647242E-2</v>
      </c>
      <c r="K669" s="43"/>
      <c r="L669" s="43">
        <v>0.26100000000000001</v>
      </c>
      <c r="O669" s="50"/>
    </row>
    <row r="670" spans="2:15" x14ac:dyDescent="0.2">
      <c r="B670">
        <v>655</v>
      </c>
      <c r="C670" s="48">
        <f t="shared" ca="1" si="44"/>
        <v>-0.30270765627057483</v>
      </c>
      <c r="D670" s="48">
        <f t="shared" ca="1" si="41"/>
        <v>0.64496771750045723</v>
      </c>
      <c r="E670" s="48">
        <f t="shared" ca="1" si="42"/>
        <v>0</v>
      </c>
      <c r="F670" s="17">
        <f t="shared" ca="1" si="43"/>
        <v>0</v>
      </c>
      <c r="H670" s="17">
        <v>655</v>
      </c>
      <c r="I670" s="43">
        <v>0.66877748425698658</v>
      </c>
      <c r="J670" s="43">
        <v>1.9432658643395884E-2</v>
      </c>
      <c r="K670" s="43"/>
      <c r="L670" s="43">
        <v>0.25019999999999998</v>
      </c>
      <c r="O670" s="50"/>
    </row>
    <row r="671" spans="2:15" x14ac:dyDescent="0.2">
      <c r="B671">
        <v>656</v>
      </c>
      <c r="C671" s="48">
        <f t="shared" ca="1" si="44"/>
        <v>1.7644181802029357</v>
      </c>
      <c r="D671" s="48">
        <f t="shared" ca="1" si="41"/>
        <v>0.79075878435510405</v>
      </c>
      <c r="E671" s="48">
        <f t="shared" ca="1" si="42"/>
        <v>2.5587843551040379E-3</v>
      </c>
      <c r="F671" s="17">
        <f t="shared" ca="1" si="43"/>
        <v>1</v>
      </c>
      <c r="H671" s="17">
        <v>656</v>
      </c>
      <c r="I671" s="43">
        <v>0.66914234590351185</v>
      </c>
      <c r="J671" s="43">
        <v>1.9247678619201465E-2</v>
      </c>
      <c r="K671" s="43"/>
      <c r="L671" s="43">
        <v>0.24460000000000001</v>
      </c>
      <c r="O671" s="50"/>
    </row>
    <row r="672" spans="2:15" x14ac:dyDescent="0.2">
      <c r="B672">
        <v>657</v>
      </c>
      <c r="C672" s="48">
        <f t="shared" ca="1" si="44"/>
        <v>-1.6131174759411036</v>
      </c>
      <c r="D672" s="48">
        <f t="shared" ca="1" si="41"/>
        <v>0.56680213621211983</v>
      </c>
      <c r="E672" s="48">
        <f t="shared" ca="1" si="42"/>
        <v>0</v>
      </c>
      <c r="F672" s="17">
        <f t="shared" ca="1" si="43"/>
        <v>0</v>
      </c>
      <c r="H672" s="17">
        <v>657</v>
      </c>
      <c r="I672" s="43">
        <v>0.66889136659907122</v>
      </c>
      <c r="J672" s="43">
        <v>1.9373485844747049E-2</v>
      </c>
      <c r="K672" s="43"/>
      <c r="L672" s="43">
        <v>0.24979999999999999</v>
      </c>
      <c r="O672" s="50"/>
    </row>
    <row r="673" spans="2:15" x14ac:dyDescent="0.2">
      <c r="B673">
        <v>658</v>
      </c>
      <c r="C673" s="48">
        <f t="shared" ca="1" si="44"/>
        <v>-0.36815228603985789</v>
      </c>
      <c r="D673" s="48">
        <f t="shared" ca="1" si="41"/>
        <v>0.64081976830884213</v>
      </c>
      <c r="E673" s="48">
        <f t="shared" ca="1" si="42"/>
        <v>0</v>
      </c>
      <c r="F673" s="17">
        <f t="shared" ca="1" si="43"/>
        <v>0</v>
      </c>
      <c r="H673" s="17">
        <v>658</v>
      </c>
      <c r="I673" s="43">
        <v>0.66807006743202524</v>
      </c>
      <c r="J673" s="43">
        <v>1.8618917143672538E-2</v>
      </c>
      <c r="K673" s="43"/>
      <c r="L673" s="43">
        <v>0.24779999999999999</v>
      </c>
      <c r="O673" s="50"/>
    </row>
    <row r="674" spans="2:15" x14ac:dyDescent="0.2">
      <c r="B674">
        <v>659</v>
      </c>
      <c r="C674" s="48">
        <f t="shared" ca="1" si="44"/>
        <v>1.6454917390339325</v>
      </c>
      <c r="D674" s="48">
        <f t="shared" ca="1" si="41"/>
        <v>0.78154154895219963</v>
      </c>
      <c r="E674" s="48">
        <f t="shared" ca="1" si="42"/>
        <v>0</v>
      </c>
      <c r="F674" s="17">
        <f t="shared" ca="1" si="43"/>
        <v>0</v>
      </c>
      <c r="H674" s="17">
        <v>659</v>
      </c>
      <c r="I674" s="43">
        <v>0.66811836550032311</v>
      </c>
      <c r="J674" s="43">
        <v>1.8497545539611863E-2</v>
      </c>
      <c r="K674" s="43"/>
      <c r="L674" s="43">
        <v>0.25080000000000002</v>
      </c>
      <c r="O674" s="50"/>
    </row>
    <row r="675" spans="2:15" x14ac:dyDescent="0.2">
      <c r="B675">
        <v>660</v>
      </c>
      <c r="C675" s="48">
        <f t="shared" ca="1" si="44"/>
        <v>0.12842738654767061</v>
      </c>
      <c r="D675" s="48">
        <f t="shared" ca="1" si="41"/>
        <v>0.67297270939421427</v>
      </c>
      <c r="E675" s="48">
        <f t="shared" ca="1" si="42"/>
        <v>0</v>
      </c>
      <c r="F675" s="17">
        <f t="shared" ca="1" si="43"/>
        <v>0</v>
      </c>
      <c r="H675" s="17">
        <v>660</v>
      </c>
      <c r="I675" s="43">
        <v>0.66934339915401542</v>
      </c>
      <c r="J675" s="43">
        <v>1.95603437513839E-2</v>
      </c>
      <c r="K675" s="43"/>
      <c r="L675" s="43">
        <v>0.25819999999999999</v>
      </c>
      <c r="O675" s="50"/>
    </row>
    <row r="676" spans="2:15" x14ac:dyDescent="0.2">
      <c r="B676">
        <v>661</v>
      </c>
      <c r="C676" s="48">
        <f t="shared" ca="1" si="44"/>
        <v>0.50048235647788386</v>
      </c>
      <c r="D676" s="48">
        <f t="shared" ca="1" si="41"/>
        <v>0.69811562173973118</v>
      </c>
      <c r="E676" s="48">
        <f t="shared" ca="1" si="42"/>
        <v>0</v>
      </c>
      <c r="F676" s="17">
        <f t="shared" ca="1" si="43"/>
        <v>0</v>
      </c>
      <c r="H676" s="17">
        <v>661</v>
      </c>
      <c r="I676" s="43">
        <v>0.66756741934241703</v>
      </c>
      <c r="J676" s="43">
        <v>1.8598269850456359E-2</v>
      </c>
      <c r="K676" s="43"/>
      <c r="L676" s="43">
        <v>0.24840000000000001</v>
      </c>
      <c r="O676" s="50"/>
    </row>
    <row r="677" spans="2:15" x14ac:dyDescent="0.2">
      <c r="B677">
        <v>662</v>
      </c>
      <c r="C677" s="48">
        <f t="shared" ca="1" si="44"/>
        <v>-1.1229000623518339</v>
      </c>
      <c r="D677" s="48">
        <f t="shared" ca="1" si="41"/>
        <v>0.59486802316674436</v>
      </c>
      <c r="E677" s="48">
        <f t="shared" ca="1" si="42"/>
        <v>0</v>
      </c>
      <c r="F677" s="17">
        <f t="shared" ca="1" si="43"/>
        <v>0</v>
      </c>
      <c r="H677" s="17">
        <v>662</v>
      </c>
      <c r="I677" s="43">
        <v>0.66922559092047473</v>
      </c>
      <c r="J677" s="43">
        <v>1.9602012509827956E-2</v>
      </c>
      <c r="K677" s="43"/>
      <c r="L677" s="43">
        <v>0.25259999999999999</v>
      </c>
      <c r="O677" s="50"/>
    </row>
    <row r="678" spans="2:15" x14ac:dyDescent="0.2">
      <c r="B678">
        <v>663</v>
      </c>
      <c r="C678" s="48">
        <f t="shared" ca="1" si="44"/>
        <v>-0.1118744112422794</v>
      </c>
      <c r="D678" s="48">
        <f t="shared" ca="1" si="41"/>
        <v>0.65721685461181778</v>
      </c>
      <c r="E678" s="48">
        <f t="shared" ca="1" si="42"/>
        <v>0</v>
      </c>
      <c r="F678" s="17">
        <f t="shared" ca="1" si="43"/>
        <v>0</v>
      </c>
      <c r="H678" s="17">
        <v>663</v>
      </c>
      <c r="I678" s="43">
        <v>0.66967255860023134</v>
      </c>
      <c r="J678" s="43">
        <v>1.9920777225653559E-2</v>
      </c>
      <c r="K678" s="43"/>
      <c r="L678" s="43">
        <v>0.25440000000000002</v>
      </c>
      <c r="O678" s="50"/>
    </row>
    <row r="679" spans="2:15" x14ac:dyDescent="0.2">
      <c r="B679">
        <v>664</v>
      </c>
      <c r="C679" s="48">
        <f t="shared" ca="1" si="44"/>
        <v>-1.04367000790871</v>
      </c>
      <c r="D679" s="48">
        <f t="shared" ca="1" si="41"/>
        <v>0.59953278591243231</v>
      </c>
      <c r="E679" s="48">
        <f t="shared" ca="1" si="42"/>
        <v>0</v>
      </c>
      <c r="F679" s="17">
        <f t="shared" ca="1" si="43"/>
        <v>0</v>
      </c>
      <c r="H679" s="17">
        <v>664</v>
      </c>
      <c r="I679" s="43">
        <v>0.66739339749260396</v>
      </c>
      <c r="J679" s="43">
        <v>1.8426044271868829E-2</v>
      </c>
      <c r="K679" s="43"/>
      <c r="L679" s="43">
        <v>0.251</v>
      </c>
      <c r="O679" s="50"/>
    </row>
    <row r="680" spans="2:15" x14ac:dyDescent="0.2">
      <c r="B680">
        <v>665</v>
      </c>
      <c r="C680" s="48">
        <f t="shared" ca="1" si="44"/>
        <v>2.1680523513192158</v>
      </c>
      <c r="D680" s="48">
        <f t="shared" ca="1" si="41"/>
        <v>0.82286013642674427</v>
      </c>
      <c r="E680" s="48">
        <f t="shared" ca="1" si="42"/>
        <v>3.4660136426744259E-2</v>
      </c>
      <c r="F680" s="17">
        <f t="shared" ca="1" si="43"/>
        <v>1</v>
      </c>
      <c r="H680" s="17">
        <v>665</v>
      </c>
      <c r="I680" s="43">
        <v>0.66950702587084643</v>
      </c>
      <c r="J680" s="43">
        <v>1.9709961849742559E-2</v>
      </c>
      <c r="K680" s="43"/>
      <c r="L680" s="43">
        <v>0.24940000000000001</v>
      </c>
      <c r="O680" s="50"/>
    </row>
    <row r="681" spans="2:15" x14ac:dyDescent="0.2">
      <c r="B681">
        <v>666</v>
      </c>
      <c r="C681" s="48">
        <f t="shared" ca="1" si="44"/>
        <v>1.8326236458125849</v>
      </c>
      <c r="D681" s="48">
        <f t="shared" ca="1" si="41"/>
        <v>0.7960939251409429</v>
      </c>
      <c r="E681" s="48">
        <f t="shared" ca="1" si="42"/>
        <v>7.8939251409428923E-3</v>
      </c>
      <c r="F681" s="17">
        <f t="shared" ca="1" si="43"/>
        <v>1</v>
      </c>
      <c r="H681" s="17">
        <v>666</v>
      </c>
      <c r="I681" s="43">
        <v>0.66891426281723076</v>
      </c>
      <c r="J681" s="43">
        <v>1.9274991776184573E-2</v>
      </c>
      <c r="K681" s="43"/>
      <c r="L681" s="43">
        <v>0.2492</v>
      </c>
      <c r="O681" s="50"/>
    </row>
    <row r="682" spans="2:15" x14ac:dyDescent="0.2">
      <c r="B682">
        <v>667</v>
      </c>
      <c r="C682" s="48">
        <f t="shared" ca="1" si="44"/>
        <v>-1.7365541945683833</v>
      </c>
      <c r="D682" s="48">
        <f t="shared" ca="1" si="41"/>
        <v>0.55994634293211798</v>
      </c>
      <c r="E682" s="48">
        <f t="shared" ca="1" si="42"/>
        <v>0</v>
      </c>
      <c r="F682" s="17">
        <f t="shared" ca="1" si="43"/>
        <v>0</v>
      </c>
      <c r="H682" s="17">
        <v>667</v>
      </c>
      <c r="I682" s="43">
        <v>0.66784015196822966</v>
      </c>
      <c r="J682" s="43">
        <v>1.8518479606095147E-2</v>
      </c>
      <c r="K682" s="43"/>
      <c r="L682" s="43">
        <v>0.23860000000000001</v>
      </c>
      <c r="O682" s="50"/>
    </row>
    <row r="683" spans="2:15" x14ac:dyDescent="0.2">
      <c r="B683">
        <v>668</v>
      </c>
      <c r="C683" s="48">
        <f t="shared" ca="1" si="44"/>
        <v>0.46739253409550607</v>
      </c>
      <c r="D683" s="48">
        <f t="shared" ca="1" si="41"/>
        <v>0.69584191044785726</v>
      </c>
      <c r="E683" s="48">
        <f t="shared" ca="1" si="42"/>
        <v>0</v>
      </c>
      <c r="F683" s="17">
        <f t="shared" ca="1" si="43"/>
        <v>0</v>
      </c>
      <c r="H683" s="17">
        <v>668</v>
      </c>
      <c r="I683" s="43">
        <v>0.66757323944307334</v>
      </c>
      <c r="J683" s="43">
        <v>1.8016668575094218E-2</v>
      </c>
      <c r="K683" s="43"/>
      <c r="L683" s="43">
        <v>0.24560000000000001</v>
      </c>
      <c r="O683" s="50"/>
    </row>
    <row r="684" spans="2:15" x14ac:dyDescent="0.2">
      <c r="B684">
        <v>669</v>
      </c>
      <c r="C684" s="48">
        <f t="shared" ca="1" si="44"/>
        <v>0.47265142151308298</v>
      </c>
      <c r="D684" s="48">
        <f t="shared" ca="1" si="41"/>
        <v>0.69620277046371226</v>
      </c>
      <c r="E684" s="48">
        <f t="shared" ca="1" si="42"/>
        <v>0</v>
      </c>
      <c r="F684" s="17">
        <f t="shared" ca="1" si="43"/>
        <v>0</v>
      </c>
      <c r="H684" s="17">
        <v>669</v>
      </c>
      <c r="I684" s="43">
        <v>0.66911007916501108</v>
      </c>
      <c r="J684" s="43">
        <v>1.9541511213291524E-2</v>
      </c>
      <c r="K684" s="43"/>
      <c r="L684" s="43">
        <v>0.2576</v>
      </c>
      <c r="O684" s="50"/>
    </row>
    <row r="685" spans="2:15" x14ac:dyDescent="0.2">
      <c r="B685">
        <v>670</v>
      </c>
      <c r="C685" s="48">
        <f t="shared" ca="1" si="44"/>
        <v>0.50591426281843388</v>
      </c>
      <c r="D685" s="48">
        <f t="shared" ca="1" si="41"/>
        <v>0.69848957527330446</v>
      </c>
      <c r="E685" s="48">
        <f t="shared" ca="1" si="42"/>
        <v>0</v>
      </c>
      <c r="F685" s="17">
        <f t="shared" ca="1" si="43"/>
        <v>0</v>
      </c>
      <c r="H685" s="17">
        <v>670</v>
      </c>
      <c r="I685" s="43">
        <v>0.66844223106350342</v>
      </c>
      <c r="J685" s="43">
        <v>1.9004813724675284E-2</v>
      </c>
      <c r="K685" s="43"/>
      <c r="L685" s="43">
        <v>0.2472</v>
      </c>
      <c r="O685" s="50"/>
    </row>
    <row r="686" spans="2:15" x14ac:dyDescent="0.2">
      <c r="B686">
        <v>671</v>
      </c>
      <c r="C686" s="48">
        <f t="shared" ca="1" si="44"/>
        <v>2.4957179742453093</v>
      </c>
      <c r="D686" s="48">
        <f t="shared" ca="1" si="41"/>
        <v>0.84987558427738152</v>
      </c>
      <c r="E686" s="48">
        <f t="shared" ca="1" si="42"/>
        <v>6.1675584277381512E-2</v>
      </c>
      <c r="F686" s="17">
        <f t="shared" ca="1" si="43"/>
        <v>1</v>
      </c>
      <c r="H686" s="17">
        <v>671</v>
      </c>
      <c r="I686" s="43">
        <v>0.66975292349622229</v>
      </c>
      <c r="J686" s="43">
        <v>1.9974777221371899E-2</v>
      </c>
      <c r="K686" s="43"/>
      <c r="L686" s="43">
        <v>0.25519999999999998</v>
      </c>
      <c r="O686" s="50"/>
    </row>
    <row r="687" spans="2:15" x14ac:dyDescent="0.2">
      <c r="B687">
        <v>672</v>
      </c>
      <c r="C687" s="48">
        <f t="shared" ca="1" si="44"/>
        <v>0.690931729436148</v>
      </c>
      <c r="D687" s="48">
        <f t="shared" ca="1" si="41"/>
        <v>0.7113472150224629</v>
      </c>
      <c r="E687" s="48">
        <f t="shared" ca="1" si="42"/>
        <v>0</v>
      </c>
      <c r="F687" s="17">
        <f t="shared" ca="1" si="43"/>
        <v>0</v>
      </c>
      <c r="H687" s="17">
        <v>672</v>
      </c>
      <c r="I687" s="43">
        <v>0.66880031855332578</v>
      </c>
      <c r="J687" s="43">
        <v>1.925933548429673E-2</v>
      </c>
      <c r="K687" s="43"/>
      <c r="L687" s="43">
        <v>0.25359999999999999</v>
      </c>
      <c r="O687" s="50"/>
    </row>
    <row r="688" spans="2:15" x14ac:dyDescent="0.2">
      <c r="B688">
        <v>673</v>
      </c>
      <c r="C688" s="48">
        <f t="shared" ca="1" si="44"/>
        <v>0.87516910849183116</v>
      </c>
      <c r="D688" s="48">
        <f t="shared" ca="1" si="41"/>
        <v>0.72438582294542997</v>
      </c>
      <c r="E688" s="48">
        <f t="shared" ca="1" si="42"/>
        <v>0</v>
      </c>
      <c r="F688" s="17">
        <f t="shared" ca="1" si="43"/>
        <v>0</v>
      </c>
      <c r="H688" s="17">
        <v>673</v>
      </c>
      <c r="I688" s="43">
        <v>0.66872707042765467</v>
      </c>
      <c r="J688" s="43">
        <v>1.9404196457220708E-2</v>
      </c>
      <c r="K688" s="43"/>
      <c r="L688" s="43">
        <v>0.25419999999999998</v>
      </c>
      <c r="O688" s="50"/>
    </row>
    <row r="689" spans="2:15" x14ac:dyDescent="0.2">
      <c r="B689">
        <v>674</v>
      </c>
      <c r="C689" s="48">
        <f t="shared" ca="1" si="44"/>
        <v>-0.91181128584727822</v>
      </c>
      <c r="D689" s="48">
        <f t="shared" ca="1" si="41"/>
        <v>0.60737736073701554</v>
      </c>
      <c r="E689" s="48">
        <f t="shared" ca="1" si="42"/>
        <v>0</v>
      </c>
      <c r="F689" s="17">
        <f t="shared" ca="1" si="43"/>
        <v>0</v>
      </c>
      <c r="H689" s="17">
        <v>674</v>
      </c>
      <c r="I689" s="43">
        <v>0.66949475639848977</v>
      </c>
      <c r="J689" s="43">
        <v>1.9640643599841193E-2</v>
      </c>
      <c r="K689" s="43"/>
      <c r="L689" s="43">
        <v>0.25259999999999999</v>
      </c>
      <c r="O689" s="50"/>
    </row>
    <row r="690" spans="2:15" x14ac:dyDescent="0.2">
      <c r="B690">
        <v>675</v>
      </c>
      <c r="C690" s="48">
        <f t="shared" ca="1" si="44"/>
        <v>0.74525146618533522</v>
      </c>
      <c r="D690" s="48">
        <f t="shared" ca="1" si="41"/>
        <v>0.71516687239854859</v>
      </c>
      <c r="E690" s="48">
        <f t="shared" ca="1" si="42"/>
        <v>0</v>
      </c>
      <c r="F690" s="17">
        <f t="shared" ca="1" si="43"/>
        <v>0</v>
      </c>
      <c r="H690" s="17">
        <v>675</v>
      </c>
      <c r="I690" s="43">
        <v>0.6695120560261707</v>
      </c>
      <c r="J690" s="43">
        <v>1.9775841449369811E-2</v>
      </c>
      <c r="K690" s="43"/>
      <c r="L690" s="43">
        <v>0.25559999999999999</v>
      </c>
      <c r="O690" s="50"/>
    </row>
    <row r="691" spans="2:15" x14ac:dyDescent="0.2">
      <c r="B691">
        <v>676</v>
      </c>
      <c r="C691" s="48">
        <f t="shared" ca="1" si="44"/>
        <v>-1.314422017161234</v>
      </c>
      <c r="D691" s="48">
        <f t="shared" ca="1" si="41"/>
        <v>0.58374130057308105</v>
      </c>
      <c r="E691" s="48">
        <f t="shared" ca="1" si="42"/>
        <v>0</v>
      </c>
      <c r="F691" s="17">
        <f t="shared" ca="1" si="43"/>
        <v>0</v>
      </c>
      <c r="H691" s="17">
        <v>676</v>
      </c>
      <c r="I691" s="43">
        <v>0.66788824567202809</v>
      </c>
      <c r="J691" s="43">
        <v>1.8487463299276627E-2</v>
      </c>
      <c r="K691" s="43"/>
      <c r="L691" s="43">
        <v>0.24060000000000001</v>
      </c>
      <c r="O691" s="50"/>
    </row>
    <row r="692" spans="2:15" x14ac:dyDescent="0.2">
      <c r="B692">
        <v>677</v>
      </c>
      <c r="C692" s="48">
        <f t="shared" ca="1" si="44"/>
        <v>1.3381628601152658</v>
      </c>
      <c r="D692" s="48">
        <f t="shared" ca="1" si="41"/>
        <v>0.75821693417693725</v>
      </c>
      <c r="E692" s="48">
        <f t="shared" ca="1" si="42"/>
        <v>0</v>
      </c>
      <c r="F692" s="17">
        <f t="shared" ca="1" si="43"/>
        <v>0</v>
      </c>
      <c r="H692" s="17">
        <v>677</v>
      </c>
      <c r="I692" s="43">
        <v>0.66832569689756005</v>
      </c>
      <c r="J692" s="43">
        <v>1.8723195276995928E-2</v>
      </c>
      <c r="K692" s="43"/>
      <c r="L692" s="43">
        <v>0.2394</v>
      </c>
      <c r="O692" s="50"/>
    </row>
    <row r="693" spans="2:15" x14ac:dyDescent="0.2">
      <c r="B693">
        <v>678</v>
      </c>
      <c r="C693" s="48">
        <f t="shared" ca="1" si="44"/>
        <v>-0.24953949721284061</v>
      </c>
      <c r="D693" s="48">
        <f t="shared" ca="1" si="41"/>
        <v>0.64835732991945128</v>
      </c>
      <c r="E693" s="48">
        <f t="shared" ca="1" si="42"/>
        <v>0</v>
      </c>
      <c r="F693" s="17">
        <f t="shared" ca="1" si="43"/>
        <v>0</v>
      </c>
      <c r="H693" s="17">
        <v>678</v>
      </c>
      <c r="I693" s="43">
        <v>0.66903938635418925</v>
      </c>
      <c r="J693" s="43">
        <v>1.9462721931484891E-2</v>
      </c>
      <c r="K693" s="43"/>
      <c r="L693" s="43">
        <v>0.253</v>
      </c>
      <c r="O693" s="50"/>
    </row>
    <row r="694" spans="2:15" x14ac:dyDescent="0.2">
      <c r="B694">
        <v>679</v>
      </c>
      <c r="C694" s="48">
        <f t="shared" ca="1" si="44"/>
        <v>1.0662973068080662E-2</v>
      </c>
      <c r="D694" s="48">
        <f t="shared" ca="1" si="41"/>
        <v>0.66520461336145742</v>
      </c>
      <c r="E694" s="48">
        <f t="shared" ca="1" si="42"/>
        <v>0</v>
      </c>
      <c r="F694" s="17">
        <f t="shared" ca="1" si="43"/>
        <v>0</v>
      </c>
      <c r="H694" s="17">
        <v>679</v>
      </c>
      <c r="I694" s="43">
        <v>0.66839492323817873</v>
      </c>
      <c r="J694" s="43">
        <v>1.8824097981476891E-2</v>
      </c>
      <c r="K694" s="43"/>
      <c r="L694" s="43">
        <v>0.247</v>
      </c>
      <c r="O694" s="50"/>
    </row>
    <row r="695" spans="2:15" x14ac:dyDescent="0.2">
      <c r="B695">
        <v>680</v>
      </c>
      <c r="C695" s="48">
        <f t="shared" ca="1" si="44"/>
        <v>-0.75408577489996709</v>
      </c>
      <c r="D695" s="48">
        <f t="shared" ca="1" si="41"/>
        <v>0.61689574484065435</v>
      </c>
      <c r="E695" s="48">
        <f t="shared" ca="1" si="42"/>
        <v>0</v>
      </c>
      <c r="F695" s="17">
        <f t="shared" ca="1" si="43"/>
        <v>0</v>
      </c>
      <c r="H695" s="17">
        <v>680</v>
      </c>
      <c r="I695" s="43">
        <v>0.66935099257156971</v>
      </c>
      <c r="J695" s="43">
        <v>1.9515807351496262E-2</v>
      </c>
      <c r="K695" s="43"/>
      <c r="L695" s="43">
        <v>0.2472</v>
      </c>
      <c r="O695" s="50"/>
    </row>
    <row r="696" spans="2:15" x14ac:dyDescent="0.2">
      <c r="B696">
        <v>681</v>
      </c>
      <c r="C696" s="48">
        <f t="shared" ca="1" si="44"/>
        <v>-0.54894654815658495</v>
      </c>
      <c r="D696" s="48">
        <f t="shared" ca="1" si="41"/>
        <v>0.62949895652188337</v>
      </c>
      <c r="E696" s="48">
        <f t="shared" ca="1" si="42"/>
        <v>0</v>
      </c>
      <c r="F696" s="17">
        <f t="shared" ca="1" si="43"/>
        <v>0</v>
      </c>
      <c r="H696" s="17">
        <v>681</v>
      </c>
      <c r="I696" s="43">
        <v>0.66814868606116029</v>
      </c>
      <c r="J696" s="43">
        <v>1.8986465201619885E-2</v>
      </c>
      <c r="K696" s="43"/>
      <c r="L696" s="43">
        <v>0.25</v>
      </c>
      <c r="O696" s="50"/>
    </row>
    <row r="697" spans="2:15" x14ac:dyDescent="0.2">
      <c r="B697">
        <v>682</v>
      </c>
      <c r="C697" s="48">
        <f t="shared" ca="1" si="44"/>
        <v>-0.70118376537403959</v>
      </c>
      <c r="D697" s="48">
        <f t="shared" ca="1" si="41"/>
        <v>0.62012155409003888</v>
      </c>
      <c r="E697" s="48">
        <f t="shared" ca="1" si="42"/>
        <v>0</v>
      </c>
      <c r="F697" s="17">
        <f t="shared" ca="1" si="43"/>
        <v>0</v>
      </c>
      <c r="H697" s="17">
        <v>682</v>
      </c>
      <c r="I697" s="43">
        <v>0.6688325328194108</v>
      </c>
      <c r="J697" s="43">
        <v>1.9524897034560975E-2</v>
      </c>
      <c r="K697" s="43"/>
      <c r="L697" s="43">
        <v>0.25159999999999999</v>
      </c>
      <c r="O697" s="50"/>
    </row>
    <row r="698" spans="2:15" x14ac:dyDescent="0.2">
      <c r="B698">
        <v>683</v>
      </c>
      <c r="C698" s="48">
        <f t="shared" ca="1" si="44"/>
        <v>-0.68561521179866269</v>
      </c>
      <c r="D698" s="48">
        <f t="shared" ca="1" si="41"/>
        <v>0.62107408734554359</v>
      </c>
      <c r="E698" s="48">
        <f t="shared" ca="1" si="42"/>
        <v>0</v>
      </c>
      <c r="F698" s="17">
        <f t="shared" ca="1" si="43"/>
        <v>0</v>
      </c>
      <c r="H698" s="17">
        <v>683</v>
      </c>
      <c r="I698" s="43">
        <v>0.66997643650499228</v>
      </c>
      <c r="J698" s="43">
        <v>1.9931699935997953E-2</v>
      </c>
      <c r="K698" s="43"/>
      <c r="L698" s="43">
        <v>0.252</v>
      </c>
      <c r="O698" s="50"/>
    </row>
    <row r="699" spans="2:15" x14ac:dyDescent="0.2">
      <c r="B699">
        <v>684</v>
      </c>
      <c r="C699" s="48">
        <f t="shared" ca="1" si="44"/>
        <v>1.6963312042222012</v>
      </c>
      <c r="D699" s="48">
        <f t="shared" ca="1" si="41"/>
        <v>0.78546857327202002</v>
      </c>
      <c r="E699" s="48">
        <f t="shared" ca="1" si="42"/>
        <v>0</v>
      </c>
      <c r="F699" s="17">
        <f t="shared" ca="1" si="43"/>
        <v>0</v>
      </c>
      <c r="H699" s="17">
        <v>684</v>
      </c>
      <c r="I699" s="43">
        <v>0.6686112519426618</v>
      </c>
      <c r="J699" s="43">
        <v>1.9120584681233475E-2</v>
      </c>
      <c r="K699" s="43"/>
      <c r="L699" s="43">
        <v>0.2432</v>
      </c>
      <c r="O699" s="50"/>
    </row>
    <row r="700" spans="2:15" x14ac:dyDescent="0.2">
      <c r="B700">
        <v>685</v>
      </c>
      <c r="C700" s="48">
        <f t="shared" ca="1" si="44"/>
        <v>-0.89754046174512947</v>
      </c>
      <c r="D700" s="48">
        <f t="shared" ca="1" si="41"/>
        <v>0.60823249620419761</v>
      </c>
      <c r="E700" s="48">
        <f t="shared" ca="1" si="42"/>
        <v>0</v>
      </c>
      <c r="F700" s="17">
        <f t="shared" ca="1" si="43"/>
        <v>0</v>
      </c>
      <c r="H700" s="17">
        <v>685</v>
      </c>
      <c r="I700" s="43">
        <v>0.6685262207900099</v>
      </c>
      <c r="J700" s="43">
        <v>1.8716855530908742E-2</v>
      </c>
      <c r="K700" s="43"/>
      <c r="L700" s="43">
        <v>0.24640000000000001</v>
      </c>
      <c r="O700" s="50"/>
    </row>
    <row r="701" spans="2:15" x14ac:dyDescent="0.2">
      <c r="B701">
        <v>686</v>
      </c>
      <c r="C701" s="48">
        <f t="shared" ca="1" si="44"/>
        <v>1.6351741882237405</v>
      </c>
      <c r="D701" s="48">
        <f t="shared" ca="1" si="41"/>
        <v>0.7807469837363723</v>
      </c>
      <c r="E701" s="48">
        <f t="shared" ca="1" si="42"/>
        <v>0</v>
      </c>
      <c r="F701" s="17">
        <f t="shared" ca="1" si="43"/>
        <v>0</v>
      </c>
      <c r="H701" s="17">
        <v>686</v>
      </c>
      <c r="I701" s="43">
        <v>0.67029734503583793</v>
      </c>
      <c r="J701" s="43">
        <v>2.0314310334606445E-2</v>
      </c>
      <c r="K701" s="43"/>
      <c r="L701" s="43">
        <v>0.25419999999999998</v>
      </c>
      <c r="O701" s="50"/>
    </row>
    <row r="702" spans="2:15" x14ac:dyDescent="0.2">
      <c r="B702">
        <v>687</v>
      </c>
      <c r="C702" s="48">
        <f t="shared" ca="1" si="44"/>
        <v>1.6577821107851748E-2</v>
      </c>
      <c r="D702" s="48">
        <f t="shared" ca="1" si="41"/>
        <v>0.66559262718279566</v>
      </c>
      <c r="E702" s="48">
        <f t="shared" ca="1" si="42"/>
        <v>0</v>
      </c>
      <c r="F702" s="17">
        <f t="shared" ca="1" si="43"/>
        <v>0</v>
      </c>
      <c r="H702" s="17">
        <v>687</v>
      </c>
      <c r="I702" s="43">
        <v>0.66960679550515834</v>
      </c>
      <c r="J702" s="43">
        <v>1.9863947253787446E-2</v>
      </c>
      <c r="K702" s="43"/>
      <c r="L702" s="43">
        <v>0.251</v>
      </c>
      <c r="O702" s="50"/>
    </row>
    <row r="703" spans="2:15" x14ac:dyDescent="0.2">
      <c r="B703">
        <v>688</v>
      </c>
      <c r="C703" s="48">
        <f t="shared" ca="1" si="44"/>
        <v>-4.6645452180409885E-2</v>
      </c>
      <c r="D703" s="48">
        <f t="shared" ca="1" si="41"/>
        <v>0.66145687583890056</v>
      </c>
      <c r="E703" s="48">
        <f t="shared" ca="1" si="42"/>
        <v>0</v>
      </c>
      <c r="F703" s="17">
        <f t="shared" ca="1" si="43"/>
        <v>0</v>
      </c>
      <c r="H703" s="17">
        <v>688</v>
      </c>
      <c r="I703" s="43">
        <v>0.66928114963311902</v>
      </c>
      <c r="J703" s="43">
        <v>1.9653771769460197E-2</v>
      </c>
      <c r="K703" s="43"/>
      <c r="L703" s="43">
        <v>0.247</v>
      </c>
      <c r="O703" s="50"/>
    </row>
    <row r="704" spans="2:15" x14ac:dyDescent="0.2">
      <c r="B704">
        <v>689</v>
      </c>
      <c r="C704" s="48">
        <f t="shared" ca="1" si="44"/>
        <v>-1.078505733849441</v>
      </c>
      <c r="D704" s="48">
        <f t="shared" ca="1" si="41"/>
        <v>0.59747730251193021</v>
      </c>
      <c r="E704" s="48">
        <f t="shared" ca="1" si="42"/>
        <v>0</v>
      </c>
      <c r="F704" s="17">
        <f t="shared" ca="1" si="43"/>
        <v>0</v>
      </c>
      <c r="H704" s="17">
        <v>689</v>
      </c>
      <c r="I704" s="43">
        <v>0.66835804087140671</v>
      </c>
      <c r="J704" s="43">
        <v>1.8831225089555887E-2</v>
      </c>
      <c r="K704" s="43"/>
      <c r="L704" s="43">
        <v>0.24979999999999999</v>
      </c>
      <c r="O704" s="50"/>
    </row>
    <row r="705" spans="2:15" x14ac:dyDescent="0.2">
      <c r="B705">
        <v>690</v>
      </c>
      <c r="C705" s="48">
        <f t="shared" ca="1" si="44"/>
        <v>-0.75284316153241848</v>
      </c>
      <c r="D705" s="48">
        <f t="shared" ca="1" si="41"/>
        <v>0.61697132296655444</v>
      </c>
      <c r="E705" s="48">
        <f t="shared" ca="1" si="42"/>
        <v>0</v>
      </c>
      <c r="F705" s="17">
        <f t="shared" ca="1" si="43"/>
        <v>0</v>
      </c>
      <c r="H705" s="17">
        <v>690</v>
      </c>
      <c r="I705" s="43">
        <v>0.66908076240913417</v>
      </c>
      <c r="J705" s="43">
        <v>1.9557533861139488E-2</v>
      </c>
      <c r="K705" s="43"/>
      <c r="L705" s="43">
        <v>0.24679999999999999</v>
      </c>
      <c r="O705" s="50"/>
    </row>
    <row r="706" spans="2:15" x14ac:dyDescent="0.2">
      <c r="B706">
        <v>691</v>
      </c>
      <c r="C706" s="48">
        <f t="shared" ca="1" si="44"/>
        <v>0.18056270762310675</v>
      </c>
      <c r="D706" s="48">
        <f t="shared" ca="1" si="41"/>
        <v>0.67644061938450462</v>
      </c>
      <c r="E706" s="48">
        <f t="shared" ca="1" si="42"/>
        <v>0</v>
      </c>
      <c r="F706" s="17">
        <f t="shared" ca="1" si="43"/>
        <v>0</v>
      </c>
      <c r="H706" s="17">
        <v>691</v>
      </c>
      <c r="I706" s="43">
        <v>0.66836244101506981</v>
      </c>
      <c r="J706" s="43">
        <v>1.8820118266527019E-2</v>
      </c>
      <c r="K706" s="43"/>
      <c r="L706" s="43">
        <v>0.24840000000000001</v>
      </c>
      <c r="O706" s="50"/>
    </row>
    <row r="707" spans="2:15" x14ac:dyDescent="0.2">
      <c r="B707">
        <v>692</v>
      </c>
      <c r="C707" s="48">
        <f t="shared" ca="1" si="44"/>
        <v>-1.1196391030032584</v>
      </c>
      <c r="D707" s="48">
        <f t="shared" ca="1" si="41"/>
        <v>0.59505929787233791</v>
      </c>
      <c r="E707" s="48">
        <f t="shared" ca="1" si="42"/>
        <v>0</v>
      </c>
      <c r="F707" s="17">
        <f t="shared" ca="1" si="43"/>
        <v>0</v>
      </c>
      <c r="H707" s="17">
        <v>692</v>
      </c>
      <c r="I707" s="43">
        <v>0.66931195949158939</v>
      </c>
      <c r="J707" s="43">
        <v>1.954578045437412E-2</v>
      </c>
      <c r="K707" s="43"/>
      <c r="L707" s="43">
        <v>0.24360000000000001</v>
      </c>
      <c r="O707" s="50"/>
    </row>
    <row r="708" spans="2:15" x14ac:dyDescent="0.2">
      <c r="B708">
        <v>693</v>
      </c>
      <c r="C708" s="48">
        <f t="shared" ca="1" si="44"/>
        <v>0.54716428655647575</v>
      </c>
      <c r="D708" s="48">
        <f t="shared" ca="1" si="41"/>
        <v>0.70133593136832639</v>
      </c>
      <c r="E708" s="48">
        <f t="shared" ca="1" si="42"/>
        <v>0</v>
      </c>
      <c r="F708" s="17">
        <f t="shared" ca="1" si="43"/>
        <v>0</v>
      </c>
      <c r="H708" s="17">
        <v>693</v>
      </c>
      <c r="I708" s="43">
        <v>0.66923255893527045</v>
      </c>
      <c r="J708" s="43">
        <v>1.9703739519827387E-2</v>
      </c>
      <c r="K708" s="43"/>
      <c r="L708" s="43">
        <v>0.25559999999999999</v>
      </c>
      <c r="O708" s="50"/>
    </row>
    <row r="709" spans="2:15" x14ac:dyDescent="0.2">
      <c r="B709">
        <v>694</v>
      </c>
      <c r="C709" s="48">
        <f t="shared" ca="1" si="44"/>
        <v>4.7648021311168824E-3</v>
      </c>
      <c r="D709" s="48">
        <f t="shared" ca="1" si="41"/>
        <v>0.6648179187983454</v>
      </c>
      <c r="E709" s="48">
        <f t="shared" ca="1" si="42"/>
        <v>0</v>
      </c>
      <c r="F709" s="17">
        <f t="shared" ca="1" si="43"/>
        <v>0</v>
      </c>
      <c r="H709" s="17">
        <v>694</v>
      </c>
      <c r="I709" s="43">
        <v>0.66946871888717574</v>
      </c>
      <c r="J709" s="43">
        <v>1.9684028898871529E-2</v>
      </c>
      <c r="K709" s="43"/>
      <c r="L709" s="43">
        <v>0.24940000000000001</v>
      </c>
      <c r="O709" s="50"/>
    </row>
    <row r="710" spans="2:15" x14ac:dyDescent="0.2">
      <c r="B710">
        <v>695</v>
      </c>
      <c r="C710" s="48">
        <f t="shared" ca="1" si="44"/>
        <v>-0.5802717145020494</v>
      </c>
      <c r="D710" s="48">
        <f t="shared" ca="1" si="41"/>
        <v>0.6275578932839555</v>
      </c>
      <c r="E710" s="48">
        <f t="shared" ca="1" si="42"/>
        <v>0</v>
      </c>
      <c r="F710" s="17">
        <f t="shared" ca="1" si="43"/>
        <v>0</v>
      </c>
      <c r="H710" s="17">
        <v>695</v>
      </c>
      <c r="I710" s="43">
        <v>0.66935235248505709</v>
      </c>
      <c r="J710" s="43">
        <v>1.96127649965257E-2</v>
      </c>
      <c r="K710" s="43"/>
      <c r="L710" s="43">
        <v>0.25240000000000001</v>
      </c>
      <c r="O710" s="50"/>
    </row>
    <row r="711" spans="2:15" x14ac:dyDescent="0.2">
      <c r="B711">
        <v>696</v>
      </c>
      <c r="C711" s="48">
        <f t="shared" ca="1" si="44"/>
        <v>0.44983013096120283</v>
      </c>
      <c r="D711" s="48">
        <f t="shared" ca="1" si="41"/>
        <v>0.69463814929607526</v>
      </c>
      <c r="E711" s="48">
        <f t="shared" ca="1" si="42"/>
        <v>0</v>
      </c>
      <c r="F711" s="17">
        <f t="shared" ca="1" si="43"/>
        <v>0</v>
      </c>
      <c r="H711" s="17">
        <v>696</v>
      </c>
      <c r="I711" s="43">
        <v>0.66899525315027053</v>
      </c>
      <c r="J711" s="43">
        <v>1.9131043201217349E-2</v>
      </c>
      <c r="K711" s="43"/>
      <c r="L711" s="43">
        <v>0.2424</v>
      </c>
      <c r="O711" s="50"/>
    </row>
    <row r="712" spans="2:15" x14ac:dyDescent="0.2">
      <c r="B712">
        <v>697</v>
      </c>
      <c r="C712" s="48">
        <f t="shared" ca="1" si="44"/>
        <v>-0.862649493335919</v>
      </c>
      <c r="D712" s="48">
        <f t="shared" ca="1" si="41"/>
        <v>0.61032830434803165</v>
      </c>
      <c r="E712" s="48">
        <f t="shared" ca="1" si="42"/>
        <v>0</v>
      </c>
      <c r="F712" s="17">
        <f t="shared" ca="1" si="43"/>
        <v>0</v>
      </c>
      <c r="H712" s="17">
        <v>697</v>
      </c>
      <c r="I712" s="43">
        <v>0.66793411809641035</v>
      </c>
      <c r="J712" s="43">
        <v>1.8739165478522356E-2</v>
      </c>
      <c r="K712" s="43"/>
      <c r="L712" s="43">
        <v>0.24679999999999999</v>
      </c>
      <c r="O712" s="50"/>
    </row>
    <row r="713" spans="2:15" x14ac:dyDescent="0.2">
      <c r="B713">
        <v>698</v>
      </c>
      <c r="C713" s="48">
        <f t="shared" ca="1" si="44"/>
        <v>-1.2277592853559194</v>
      </c>
      <c r="D713" s="48">
        <f t="shared" ca="1" si="41"/>
        <v>0.58875007084582021</v>
      </c>
      <c r="E713" s="48">
        <f t="shared" ca="1" si="42"/>
        <v>0</v>
      </c>
      <c r="F713" s="17">
        <f t="shared" ca="1" si="43"/>
        <v>0</v>
      </c>
      <c r="H713" s="17">
        <v>698</v>
      </c>
      <c r="I713" s="43">
        <v>0.66729567558258851</v>
      </c>
      <c r="J713" s="43">
        <v>1.8042188903960112E-2</v>
      </c>
      <c r="K713" s="43"/>
      <c r="L713" s="43">
        <v>0.24440000000000001</v>
      </c>
      <c r="O713" s="50"/>
    </row>
    <row r="714" spans="2:15" x14ac:dyDescent="0.2">
      <c r="B714">
        <v>699</v>
      </c>
      <c r="C714" s="48">
        <f t="shared" ca="1" si="44"/>
        <v>-0.62939998579238177</v>
      </c>
      <c r="D714" s="48">
        <f t="shared" ca="1" si="41"/>
        <v>0.62452570834561938</v>
      </c>
      <c r="E714" s="48">
        <f t="shared" ca="1" si="42"/>
        <v>0</v>
      </c>
      <c r="F714" s="17">
        <f t="shared" ca="1" si="43"/>
        <v>0</v>
      </c>
      <c r="H714" s="17">
        <v>699</v>
      </c>
      <c r="I714" s="43">
        <v>0.6693288583324648</v>
      </c>
      <c r="J714" s="43">
        <v>1.9904218810314237E-2</v>
      </c>
      <c r="K714" s="43"/>
      <c r="L714" s="43">
        <v>0.25119999999999998</v>
      </c>
      <c r="O714" s="50"/>
    </row>
    <row r="715" spans="2:15" x14ac:dyDescent="0.2">
      <c r="B715">
        <v>700</v>
      </c>
      <c r="C715" s="48">
        <f t="shared" ca="1" si="44"/>
        <v>-0.41454452768021405</v>
      </c>
      <c r="D715" s="48">
        <f t="shared" ca="1" si="41"/>
        <v>0.63789554730269238</v>
      </c>
      <c r="E715" s="48">
        <f t="shared" ca="1" si="42"/>
        <v>0</v>
      </c>
      <c r="F715" s="17">
        <f t="shared" ca="1" si="43"/>
        <v>0</v>
      </c>
      <c r="H715" s="17">
        <v>700</v>
      </c>
      <c r="I715" s="43">
        <v>0.6683663575437363</v>
      </c>
      <c r="J715" s="43">
        <v>1.8749362877415531E-2</v>
      </c>
      <c r="K715" s="43"/>
      <c r="L715" s="43">
        <v>0.246</v>
      </c>
      <c r="O715" s="50"/>
    </row>
    <row r="716" spans="2:15" x14ac:dyDescent="0.2">
      <c r="B716">
        <v>701</v>
      </c>
      <c r="C716" s="48">
        <f t="shared" ca="1" si="44"/>
        <v>-0.45499216742620285</v>
      </c>
      <c r="D716" s="48">
        <f t="shared" ca="1" si="41"/>
        <v>0.63535692050491033</v>
      </c>
      <c r="E716" s="48">
        <f t="shared" ca="1" si="42"/>
        <v>0</v>
      </c>
      <c r="F716" s="17">
        <f t="shared" ca="1" si="43"/>
        <v>0</v>
      </c>
      <c r="H716" s="17">
        <v>701</v>
      </c>
      <c r="I716" s="43">
        <v>0.6689714711153143</v>
      </c>
      <c r="J716" s="43">
        <v>1.946167934230392E-2</v>
      </c>
      <c r="K716" s="43"/>
      <c r="L716" s="43">
        <v>0.25219999999999998</v>
      </c>
      <c r="O716" s="50"/>
    </row>
    <row r="717" spans="2:15" x14ac:dyDescent="0.2">
      <c r="B717">
        <v>702</v>
      </c>
      <c r="C717" s="48">
        <f t="shared" ca="1" si="44"/>
        <v>1.682850499334672</v>
      </c>
      <c r="D717" s="48">
        <f t="shared" ca="1" si="41"/>
        <v>0.78442535647138389</v>
      </c>
      <c r="E717" s="48">
        <f t="shared" ca="1" si="42"/>
        <v>0</v>
      </c>
      <c r="F717" s="17">
        <f t="shared" ca="1" si="43"/>
        <v>0</v>
      </c>
      <c r="H717" s="17">
        <v>702</v>
      </c>
      <c r="I717" s="43">
        <v>0.6695843603353222</v>
      </c>
      <c r="J717" s="43">
        <v>1.9784775442603281E-2</v>
      </c>
      <c r="K717" s="43"/>
      <c r="L717" s="43">
        <v>0.25059999999999999</v>
      </c>
      <c r="O717" s="50"/>
    </row>
    <row r="718" spans="2:15" x14ac:dyDescent="0.2">
      <c r="B718">
        <v>703</v>
      </c>
      <c r="C718" s="48">
        <f t="shared" ca="1" si="44"/>
        <v>-0.78625122943320758</v>
      </c>
      <c r="D718" s="48">
        <f t="shared" ca="1" si="41"/>
        <v>0.61494259855513422</v>
      </c>
      <c r="E718" s="48">
        <f t="shared" ca="1" si="42"/>
        <v>0</v>
      </c>
      <c r="F718" s="17">
        <f t="shared" ca="1" si="43"/>
        <v>0</v>
      </c>
      <c r="H718" s="17">
        <v>703</v>
      </c>
      <c r="I718" s="43">
        <v>0.66807079030953609</v>
      </c>
      <c r="J718" s="43">
        <v>1.8768852369776903E-2</v>
      </c>
      <c r="K718" s="43"/>
      <c r="L718" s="43">
        <v>0.24479999999999999</v>
      </c>
      <c r="O718" s="50"/>
    </row>
    <row r="719" spans="2:15" x14ac:dyDescent="0.2">
      <c r="B719">
        <v>704</v>
      </c>
      <c r="C719" s="48">
        <f t="shared" ca="1" si="44"/>
        <v>-0.11349175175465689</v>
      </c>
      <c r="D719" s="48">
        <f t="shared" ca="1" si="41"/>
        <v>0.6571120700613009</v>
      </c>
      <c r="E719" s="48">
        <f t="shared" ca="1" si="42"/>
        <v>0</v>
      </c>
      <c r="F719" s="17">
        <f t="shared" ca="1" si="43"/>
        <v>0</v>
      </c>
      <c r="H719" s="17">
        <v>704</v>
      </c>
      <c r="I719" s="43">
        <v>0.66889624770482281</v>
      </c>
      <c r="J719" s="43">
        <v>1.9546432788949925E-2</v>
      </c>
      <c r="K719" s="43"/>
      <c r="L719" s="43">
        <v>0.25979999999999998</v>
      </c>
      <c r="O719" s="50"/>
    </row>
    <row r="720" spans="2:15" x14ac:dyDescent="0.2">
      <c r="B720">
        <v>705</v>
      </c>
      <c r="C720" s="48">
        <f t="shared" ca="1" si="44"/>
        <v>0.16654087027703901</v>
      </c>
      <c r="D720" s="48">
        <f t="shared" ref="D720:D783" ca="1" si="45">S0*EXP((μ-0.5*σ*σ)*T+σ*SQRT(T)*$C720)</f>
        <v>0.67550616914607664</v>
      </c>
      <c r="E720" s="48">
        <f t="shared" ref="E720:E783" ca="1" si="46">MAX(0,CP*(D720-K))</f>
        <v>0</v>
      </c>
      <c r="F720" s="17">
        <f t="shared" ref="F720:F783" ca="1" si="47">(CP*(D720-K)&gt;0)*1</f>
        <v>0</v>
      </c>
      <c r="H720" s="17">
        <v>705</v>
      </c>
      <c r="I720" s="43">
        <v>0.66760716037390999</v>
      </c>
      <c r="J720" s="43">
        <v>1.827143039358313E-2</v>
      </c>
      <c r="K720" s="43"/>
      <c r="L720" s="43">
        <v>0.2412</v>
      </c>
      <c r="O720" s="50"/>
    </row>
    <row r="721" spans="2:15" x14ac:dyDescent="0.2">
      <c r="B721">
        <v>706</v>
      </c>
      <c r="C721" s="48">
        <f t="shared" ref="C721:C784" ca="1" si="48">_xlfn.NORM.S.INV(RAND())</f>
        <v>0.64157939438614375</v>
      </c>
      <c r="D721" s="48">
        <f t="shared" ca="1" si="45"/>
        <v>0.70789454594276702</v>
      </c>
      <c r="E721" s="48">
        <f t="shared" ca="1" si="46"/>
        <v>0</v>
      </c>
      <c r="F721" s="17">
        <f t="shared" ca="1" si="47"/>
        <v>0</v>
      </c>
      <c r="H721" s="17">
        <v>706</v>
      </c>
      <c r="I721" s="43">
        <v>0.66958534011212134</v>
      </c>
      <c r="J721" s="43">
        <v>1.9627535616302622E-2</v>
      </c>
      <c r="K721" s="43"/>
      <c r="L721" s="43">
        <v>0.24959999999999999</v>
      </c>
      <c r="O721" s="50"/>
    </row>
    <row r="722" spans="2:15" x14ac:dyDescent="0.2">
      <c r="B722">
        <v>707</v>
      </c>
      <c r="C722" s="48">
        <f t="shared" ca="1" si="48"/>
        <v>-0.86878825860819431</v>
      </c>
      <c r="D722" s="48">
        <f t="shared" ca="1" si="45"/>
        <v>0.60995904215280583</v>
      </c>
      <c r="E722" s="48">
        <f t="shared" ca="1" si="46"/>
        <v>0</v>
      </c>
      <c r="F722" s="17">
        <f t="shared" ca="1" si="47"/>
        <v>0</v>
      </c>
      <c r="H722" s="17">
        <v>707</v>
      </c>
      <c r="I722" s="43">
        <v>0.66888652037748686</v>
      </c>
      <c r="J722" s="43">
        <v>1.9376802895488897E-2</v>
      </c>
      <c r="K722" s="43"/>
      <c r="L722" s="43">
        <v>0.249</v>
      </c>
      <c r="O722" s="50"/>
    </row>
    <row r="723" spans="2:15" x14ac:dyDescent="0.2">
      <c r="B723">
        <v>708</v>
      </c>
      <c r="C723" s="48">
        <f t="shared" ca="1" si="48"/>
        <v>-0.26925112544106738</v>
      </c>
      <c r="D723" s="48">
        <f t="shared" ca="1" si="45"/>
        <v>0.64709858790895369</v>
      </c>
      <c r="E723" s="48">
        <f t="shared" ca="1" si="46"/>
        <v>0</v>
      </c>
      <c r="F723" s="17">
        <f t="shared" ca="1" si="47"/>
        <v>0</v>
      </c>
      <c r="H723" s="17">
        <v>708</v>
      </c>
      <c r="I723" s="43">
        <v>0.66802722490684008</v>
      </c>
      <c r="J723" s="43">
        <v>1.8464566932217562E-2</v>
      </c>
      <c r="K723" s="43"/>
      <c r="L723" s="43">
        <v>0.24399999999999999</v>
      </c>
      <c r="O723" s="50"/>
    </row>
    <row r="724" spans="2:15" x14ac:dyDescent="0.2">
      <c r="B724">
        <v>709</v>
      </c>
      <c r="C724" s="48">
        <f t="shared" ca="1" si="48"/>
        <v>-0.46605924037347707</v>
      </c>
      <c r="D724" s="48">
        <f t="shared" ca="1" si="45"/>
        <v>0.63466407667212255</v>
      </c>
      <c r="E724" s="48">
        <f t="shared" ca="1" si="46"/>
        <v>0</v>
      </c>
      <c r="F724" s="17">
        <f t="shared" ca="1" si="47"/>
        <v>0</v>
      </c>
      <c r="H724" s="17">
        <v>709</v>
      </c>
      <c r="I724" s="43">
        <v>0.66807760648970094</v>
      </c>
      <c r="J724" s="43">
        <v>1.8802575560813359E-2</v>
      </c>
      <c r="K724" s="43"/>
      <c r="L724" s="43">
        <v>0.249</v>
      </c>
      <c r="O724" s="50"/>
    </row>
    <row r="725" spans="2:15" x14ac:dyDescent="0.2">
      <c r="B725">
        <v>710</v>
      </c>
      <c r="C725" s="48">
        <f t="shared" ca="1" si="48"/>
        <v>0.10752412780792893</v>
      </c>
      <c r="D725" s="48">
        <f t="shared" ca="1" si="45"/>
        <v>0.67158727568697951</v>
      </c>
      <c r="E725" s="48">
        <f t="shared" ca="1" si="46"/>
        <v>0</v>
      </c>
      <c r="F725" s="17">
        <f t="shared" ca="1" si="47"/>
        <v>0</v>
      </c>
      <c r="H725" s="17">
        <v>710</v>
      </c>
      <c r="I725" s="43">
        <v>0.66818395742356473</v>
      </c>
      <c r="J725" s="43">
        <v>1.9135064385918121E-2</v>
      </c>
      <c r="K725" s="43"/>
      <c r="L725" s="43">
        <v>0.25059999999999999</v>
      </c>
      <c r="O725" s="50"/>
    </row>
    <row r="726" spans="2:15" x14ac:dyDescent="0.2">
      <c r="B726">
        <v>711</v>
      </c>
      <c r="C726" s="48">
        <f t="shared" ca="1" si="48"/>
        <v>-0.70366116271073431</v>
      </c>
      <c r="D726" s="48">
        <f t="shared" ca="1" si="45"/>
        <v>0.61997011388859991</v>
      </c>
      <c r="E726" s="48">
        <f t="shared" ca="1" si="46"/>
        <v>0</v>
      </c>
      <c r="F726" s="17">
        <f t="shared" ca="1" si="47"/>
        <v>0</v>
      </c>
      <c r="H726" s="17">
        <v>711</v>
      </c>
      <c r="I726" s="43">
        <v>0.6685285552483039</v>
      </c>
      <c r="J726" s="43">
        <v>1.9061927047005513E-2</v>
      </c>
      <c r="K726" s="43"/>
      <c r="L726" s="43">
        <v>0.249</v>
      </c>
      <c r="O726" s="50"/>
    </row>
    <row r="727" spans="2:15" x14ac:dyDescent="0.2">
      <c r="B727">
        <v>712</v>
      </c>
      <c r="C727" s="48">
        <f t="shared" ca="1" si="48"/>
        <v>-7.5118163009672126E-2</v>
      </c>
      <c r="D727" s="48">
        <f t="shared" ca="1" si="45"/>
        <v>0.65960273520299084</v>
      </c>
      <c r="E727" s="48">
        <f t="shared" ca="1" si="46"/>
        <v>0</v>
      </c>
      <c r="F727" s="17">
        <f t="shared" ca="1" si="47"/>
        <v>0</v>
      </c>
      <c r="H727" s="17">
        <v>712</v>
      </c>
      <c r="I727" s="43">
        <v>0.66892440713037138</v>
      </c>
      <c r="J727" s="43">
        <v>1.9316494640102648E-2</v>
      </c>
      <c r="K727" s="43"/>
      <c r="L727" s="43">
        <v>0.2452</v>
      </c>
      <c r="O727" s="50"/>
    </row>
    <row r="728" spans="2:15" x14ac:dyDescent="0.2">
      <c r="B728">
        <v>713</v>
      </c>
      <c r="C728" s="48">
        <f t="shared" ca="1" si="48"/>
        <v>-0.33634352685160557</v>
      </c>
      <c r="D728" s="48">
        <f t="shared" ca="1" si="45"/>
        <v>0.64283249816671517</v>
      </c>
      <c r="E728" s="48">
        <f t="shared" ca="1" si="46"/>
        <v>0</v>
      </c>
      <c r="F728" s="17">
        <f t="shared" ca="1" si="47"/>
        <v>0</v>
      </c>
      <c r="H728" s="17">
        <v>713</v>
      </c>
      <c r="I728" s="43">
        <v>0.66811930215059845</v>
      </c>
      <c r="J728" s="43">
        <v>1.9031994578733172E-2</v>
      </c>
      <c r="K728" s="43"/>
      <c r="L728" s="43">
        <v>0.24879999999999999</v>
      </c>
      <c r="O728" s="50"/>
    </row>
    <row r="729" spans="2:15" x14ac:dyDescent="0.2">
      <c r="B729">
        <v>714</v>
      </c>
      <c r="C729" s="48">
        <f t="shared" ca="1" si="48"/>
        <v>0.38690707141970299</v>
      </c>
      <c r="D729" s="48">
        <f t="shared" ca="1" si="45"/>
        <v>0.69034235158195867</v>
      </c>
      <c r="E729" s="48">
        <f t="shared" ca="1" si="46"/>
        <v>0</v>
      </c>
      <c r="F729" s="17">
        <f t="shared" ca="1" si="47"/>
        <v>0</v>
      </c>
      <c r="H729" s="17">
        <v>714</v>
      </c>
      <c r="I729" s="43">
        <v>0.66807079974384209</v>
      </c>
      <c r="J729" s="43">
        <v>1.885605247891519E-2</v>
      </c>
      <c r="K729" s="43"/>
      <c r="L729" s="43">
        <v>0.24179999999999999</v>
      </c>
      <c r="O729" s="50"/>
    </row>
    <row r="730" spans="2:15" x14ac:dyDescent="0.2">
      <c r="B730">
        <v>715</v>
      </c>
      <c r="C730" s="48">
        <f t="shared" ca="1" si="48"/>
        <v>1.1857415108973581</v>
      </c>
      <c r="D730" s="48">
        <f t="shared" ca="1" si="45"/>
        <v>0.74690851099293065</v>
      </c>
      <c r="E730" s="48">
        <f t="shared" ca="1" si="46"/>
        <v>0</v>
      </c>
      <c r="F730" s="17">
        <f t="shared" ca="1" si="47"/>
        <v>0</v>
      </c>
      <c r="H730" s="17">
        <v>715</v>
      </c>
      <c r="I730" s="43">
        <v>0.66922303367977076</v>
      </c>
      <c r="J730" s="43">
        <v>1.9489520134870493E-2</v>
      </c>
      <c r="K730" s="43"/>
      <c r="L730" s="43">
        <v>0.25040000000000001</v>
      </c>
      <c r="O730" s="50"/>
    </row>
    <row r="731" spans="2:15" x14ac:dyDescent="0.2">
      <c r="B731">
        <v>716</v>
      </c>
      <c r="C731" s="48">
        <f t="shared" ca="1" si="48"/>
        <v>-0.8550028123328649</v>
      </c>
      <c r="D731" s="48">
        <f t="shared" ca="1" si="45"/>
        <v>0.61078858414741832</v>
      </c>
      <c r="E731" s="48">
        <f t="shared" ca="1" si="46"/>
        <v>0</v>
      </c>
      <c r="F731" s="17">
        <f t="shared" ca="1" si="47"/>
        <v>0</v>
      </c>
      <c r="H731" s="17">
        <v>716</v>
      </c>
      <c r="I731" s="43">
        <v>0.66950951128221836</v>
      </c>
      <c r="J731" s="43">
        <v>2.0029875054596812E-2</v>
      </c>
      <c r="K731" s="43"/>
      <c r="L731" s="43">
        <v>0.25979999999999998</v>
      </c>
      <c r="O731" s="50"/>
    </row>
    <row r="732" spans="2:15" x14ac:dyDescent="0.2">
      <c r="B732">
        <v>717</v>
      </c>
      <c r="C732" s="48">
        <f t="shared" ca="1" si="48"/>
        <v>1.0488782723138306</v>
      </c>
      <c r="D732" s="48">
        <f t="shared" ca="1" si="45"/>
        <v>0.73689816086396709</v>
      </c>
      <c r="E732" s="48">
        <f t="shared" ca="1" si="46"/>
        <v>0</v>
      </c>
      <c r="F732" s="17">
        <f t="shared" ca="1" si="47"/>
        <v>0</v>
      </c>
      <c r="H732" s="17">
        <v>717</v>
      </c>
      <c r="I732" s="43">
        <v>0.66796218207075886</v>
      </c>
      <c r="J732" s="43">
        <v>1.8592725339704665E-2</v>
      </c>
      <c r="K732" s="43"/>
      <c r="L732" s="43">
        <v>0.24679999999999999</v>
      </c>
      <c r="O732" s="50"/>
    </row>
    <row r="733" spans="2:15" x14ac:dyDescent="0.2">
      <c r="B733">
        <v>718</v>
      </c>
      <c r="C733" s="48">
        <f t="shared" ca="1" si="48"/>
        <v>1.949930474583577E-2</v>
      </c>
      <c r="D733" s="48">
        <f t="shared" ca="1" si="45"/>
        <v>0.66578435989957974</v>
      </c>
      <c r="E733" s="48">
        <f t="shared" ca="1" si="46"/>
        <v>0</v>
      </c>
      <c r="F733" s="17">
        <f t="shared" ca="1" si="47"/>
        <v>0</v>
      </c>
      <c r="H733" s="17">
        <v>718</v>
      </c>
      <c r="I733" s="43">
        <v>0.66791119430884294</v>
      </c>
      <c r="J733" s="43">
        <v>1.876030268253806E-2</v>
      </c>
      <c r="K733" s="43"/>
      <c r="L733" s="43">
        <v>0.25219999999999998</v>
      </c>
      <c r="O733" s="50"/>
    </row>
    <row r="734" spans="2:15" x14ac:dyDescent="0.2">
      <c r="B734">
        <v>719</v>
      </c>
      <c r="C734" s="48">
        <f t="shared" ca="1" si="48"/>
        <v>0.5068379579320712</v>
      </c>
      <c r="D734" s="48">
        <f t="shared" ca="1" si="45"/>
        <v>0.69855318595798244</v>
      </c>
      <c r="E734" s="48">
        <f t="shared" ca="1" si="46"/>
        <v>0</v>
      </c>
      <c r="F734" s="17">
        <f t="shared" ca="1" si="47"/>
        <v>0</v>
      </c>
      <c r="H734" s="17">
        <v>719</v>
      </c>
      <c r="I734" s="43">
        <v>0.6681398551008958</v>
      </c>
      <c r="J734" s="43">
        <v>1.8769521133578486E-2</v>
      </c>
      <c r="K734" s="43"/>
      <c r="L734" s="43">
        <v>0.24859999999999999</v>
      </c>
      <c r="O734" s="50"/>
    </row>
    <row r="735" spans="2:15" x14ac:dyDescent="0.2">
      <c r="B735">
        <v>720</v>
      </c>
      <c r="C735" s="48">
        <f t="shared" ca="1" si="48"/>
        <v>0.59031894993255818</v>
      </c>
      <c r="D735" s="48">
        <f t="shared" ca="1" si="45"/>
        <v>0.70432612784794735</v>
      </c>
      <c r="E735" s="48">
        <f t="shared" ca="1" si="46"/>
        <v>0</v>
      </c>
      <c r="F735" s="17">
        <f t="shared" ca="1" si="47"/>
        <v>0</v>
      </c>
      <c r="H735" s="17">
        <v>720</v>
      </c>
      <c r="I735" s="43">
        <v>0.66880943281176641</v>
      </c>
      <c r="J735" s="43">
        <v>1.9064877644294199E-2</v>
      </c>
      <c r="K735" s="43"/>
      <c r="L735" s="43">
        <v>0.25319999999999998</v>
      </c>
      <c r="O735" s="50"/>
    </row>
    <row r="736" spans="2:15" x14ac:dyDescent="0.2">
      <c r="B736">
        <v>721</v>
      </c>
      <c r="C736" s="48">
        <f t="shared" ca="1" si="48"/>
        <v>-1.2668507661318373</v>
      </c>
      <c r="D736" s="48">
        <f t="shared" ca="1" si="45"/>
        <v>0.58648543585594326</v>
      </c>
      <c r="E736" s="48">
        <f t="shared" ca="1" si="46"/>
        <v>0</v>
      </c>
      <c r="F736" s="17">
        <f t="shared" ca="1" si="47"/>
        <v>0</v>
      </c>
      <c r="H736" s="17">
        <v>721</v>
      </c>
      <c r="I736" s="43">
        <v>0.66934076963021827</v>
      </c>
      <c r="J736" s="43">
        <v>1.99324148673217E-2</v>
      </c>
      <c r="K736" s="43"/>
      <c r="L736" s="43">
        <v>0.251</v>
      </c>
      <c r="O736" s="50"/>
    </row>
    <row r="737" spans="2:15" x14ac:dyDescent="0.2">
      <c r="B737">
        <v>722</v>
      </c>
      <c r="C737" s="48">
        <f t="shared" ca="1" si="48"/>
        <v>-0.49990114917286838</v>
      </c>
      <c r="D737" s="48">
        <f t="shared" ca="1" si="45"/>
        <v>0.63255011941320272</v>
      </c>
      <c r="E737" s="48">
        <f t="shared" ca="1" si="46"/>
        <v>0</v>
      </c>
      <c r="F737" s="17">
        <f t="shared" ca="1" si="47"/>
        <v>0</v>
      </c>
      <c r="H737" s="17">
        <v>722</v>
      </c>
      <c r="I737" s="43">
        <v>0.6686892479094475</v>
      </c>
      <c r="J737" s="43">
        <v>1.9228071780498162E-2</v>
      </c>
      <c r="K737" s="43"/>
      <c r="L737" s="43">
        <v>0.24879999999999999</v>
      </c>
      <c r="O737" s="50"/>
    </row>
    <row r="738" spans="2:15" x14ac:dyDescent="0.2">
      <c r="B738">
        <v>723</v>
      </c>
      <c r="C738" s="48">
        <f t="shared" ca="1" si="48"/>
        <v>-1.4231778449848687</v>
      </c>
      <c r="D738" s="48">
        <f t="shared" ca="1" si="45"/>
        <v>0.57751588258450492</v>
      </c>
      <c r="E738" s="48">
        <f t="shared" ca="1" si="46"/>
        <v>0</v>
      </c>
      <c r="F738" s="17">
        <f t="shared" ca="1" si="47"/>
        <v>0</v>
      </c>
      <c r="H738" s="17">
        <v>723</v>
      </c>
      <c r="I738" s="43">
        <v>0.66903806577793923</v>
      </c>
      <c r="J738" s="43">
        <v>1.9581693264441501E-2</v>
      </c>
      <c r="K738" s="43"/>
      <c r="L738" s="43">
        <v>0.25240000000000001</v>
      </c>
      <c r="O738" s="50"/>
    </row>
    <row r="739" spans="2:15" x14ac:dyDescent="0.2">
      <c r="B739">
        <v>724</v>
      </c>
      <c r="C739" s="48">
        <f t="shared" ca="1" si="48"/>
        <v>-0.56581328126804753</v>
      </c>
      <c r="D739" s="48">
        <f t="shared" ca="1" si="45"/>
        <v>0.62845306492157493</v>
      </c>
      <c r="E739" s="48">
        <f t="shared" ca="1" si="46"/>
        <v>0</v>
      </c>
      <c r="F739" s="17">
        <f t="shared" ca="1" si="47"/>
        <v>0</v>
      </c>
      <c r="H739" s="17">
        <v>724</v>
      </c>
      <c r="I739" s="43">
        <v>0.6689663373271223</v>
      </c>
      <c r="J739" s="43">
        <v>1.9420764478225633E-2</v>
      </c>
      <c r="K739" s="43"/>
      <c r="L739" s="43">
        <v>0.25140000000000001</v>
      </c>
      <c r="O739" s="50"/>
    </row>
    <row r="740" spans="2:15" x14ac:dyDescent="0.2">
      <c r="B740">
        <v>725</v>
      </c>
      <c r="C740" s="48">
        <f t="shared" ca="1" si="48"/>
        <v>0.64748278671365</v>
      </c>
      <c r="D740" s="48">
        <f t="shared" ca="1" si="45"/>
        <v>0.7083066608451889</v>
      </c>
      <c r="E740" s="48">
        <f t="shared" ca="1" si="46"/>
        <v>0</v>
      </c>
      <c r="F740" s="17">
        <f t="shared" ca="1" si="47"/>
        <v>0</v>
      </c>
      <c r="H740" s="17">
        <v>725</v>
      </c>
      <c r="I740" s="43">
        <v>0.66866574907659815</v>
      </c>
      <c r="J740" s="43">
        <v>1.9048636018756521E-2</v>
      </c>
      <c r="K740" s="43"/>
      <c r="L740" s="43">
        <v>0.24360000000000001</v>
      </c>
      <c r="O740" s="50"/>
    </row>
    <row r="741" spans="2:15" x14ac:dyDescent="0.2">
      <c r="B741">
        <v>726</v>
      </c>
      <c r="C741" s="48">
        <f t="shared" ca="1" si="48"/>
        <v>0.11444666124504418</v>
      </c>
      <c r="D741" s="48">
        <f t="shared" ca="1" si="45"/>
        <v>0.67204577368934104</v>
      </c>
      <c r="E741" s="48">
        <f t="shared" ca="1" si="46"/>
        <v>0</v>
      </c>
      <c r="F741" s="17">
        <f t="shared" ca="1" si="47"/>
        <v>0</v>
      </c>
      <c r="H741" s="17">
        <v>726</v>
      </c>
      <c r="I741" s="43">
        <v>0.66874187984805689</v>
      </c>
      <c r="J741" s="43">
        <v>1.8894476440611246E-2</v>
      </c>
      <c r="K741" s="43"/>
      <c r="L741" s="43">
        <v>0.24179999999999999</v>
      </c>
      <c r="O741" s="50"/>
    </row>
    <row r="742" spans="2:15" x14ac:dyDescent="0.2">
      <c r="B742">
        <v>727</v>
      </c>
      <c r="C742" s="48">
        <f t="shared" ca="1" si="48"/>
        <v>0.53689939761348682</v>
      </c>
      <c r="D742" s="48">
        <f t="shared" ca="1" si="45"/>
        <v>0.70062654582612405</v>
      </c>
      <c r="E742" s="48">
        <f t="shared" ca="1" si="46"/>
        <v>0</v>
      </c>
      <c r="F742" s="17">
        <f t="shared" ca="1" si="47"/>
        <v>0</v>
      </c>
      <c r="H742" s="17">
        <v>727</v>
      </c>
      <c r="I742" s="43">
        <v>0.66911134985990728</v>
      </c>
      <c r="J742" s="43">
        <v>1.938447712173251E-2</v>
      </c>
      <c r="K742" s="43"/>
      <c r="L742" s="43">
        <v>0.24579999999999999</v>
      </c>
      <c r="O742" s="50"/>
    </row>
    <row r="743" spans="2:15" x14ac:dyDescent="0.2">
      <c r="B743">
        <v>728</v>
      </c>
      <c r="C743" s="48">
        <f t="shared" ca="1" si="48"/>
        <v>0.36898734800402344</v>
      </c>
      <c r="D743" s="48">
        <f t="shared" ca="1" si="45"/>
        <v>0.68912382790747662</v>
      </c>
      <c r="E743" s="48">
        <f t="shared" ca="1" si="46"/>
        <v>0</v>
      </c>
      <c r="F743" s="17">
        <f t="shared" ca="1" si="47"/>
        <v>0</v>
      </c>
      <c r="H743" s="17">
        <v>728</v>
      </c>
      <c r="I743" s="43">
        <v>0.66952538816715679</v>
      </c>
      <c r="J743" s="43">
        <v>2.0089243931919937E-2</v>
      </c>
      <c r="K743" s="43"/>
      <c r="L743" s="43">
        <v>0.26019999999999999</v>
      </c>
      <c r="O743" s="50"/>
    </row>
    <row r="744" spans="2:15" x14ac:dyDescent="0.2">
      <c r="B744">
        <v>729</v>
      </c>
      <c r="C744" s="48">
        <f t="shared" ca="1" si="48"/>
        <v>-1.8682325644874833</v>
      </c>
      <c r="D744" s="48">
        <f t="shared" ca="1" si="45"/>
        <v>0.55272419043777354</v>
      </c>
      <c r="E744" s="48">
        <f t="shared" ca="1" si="46"/>
        <v>0</v>
      </c>
      <c r="F744" s="17">
        <f t="shared" ca="1" si="47"/>
        <v>0</v>
      </c>
      <c r="H744" s="17">
        <v>729</v>
      </c>
      <c r="I744" s="43">
        <v>0.66877018790517673</v>
      </c>
      <c r="J744" s="43">
        <v>1.9266818913441761E-2</v>
      </c>
      <c r="K744" s="43"/>
      <c r="L744" s="43">
        <v>0.25580000000000003</v>
      </c>
      <c r="O744" s="50"/>
    </row>
    <row r="745" spans="2:15" x14ac:dyDescent="0.2">
      <c r="B745">
        <v>730</v>
      </c>
      <c r="C745" s="48">
        <f t="shared" ca="1" si="48"/>
        <v>0.15048611145220483</v>
      </c>
      <c r="D745" s="48">
        <f t="shared" ca="1" si="45"/>
        <v>0.67443782500842275</v>
      </c>
      <c r="E745" s="48">
        <f t="shared" ca="1" si="46"/>
        <v>0</v>
      </c>
      <c r="F745" s="17">
        <f t="shared" ca="1" si="47"/>
        <v>0</v>
      </c>
      <c r="H745" s="17">
        <v>730</v>
      </c>
      <c r="I745" s="43">
        <v>0.66902338640413295</v>
      </c>
      <c r="J745" s="43">
        <v>1.941921021991478E-2</v>
      </c>
      <c r="K745" s="43"/>
      <c r="L745" s="43">
        <v>0.24940000000000001</v>
      </c>
      <c r="O745" s="50"/>
    </row>
    <row r="746" spans="2:15" x14ac:dyDescent="0.2">
      <c r="B746">
        <v>731</v>
      </c>
      <c r="C746" s="48">
        <f t="shared" ca="1" si="48"/>
        <v>1.1651960932051582</v>
      </c>
      <c r="D746" s="48">
        <f t="shared" ca="1" si="45"/>
        <v>0.74539716345884655</v>
      </c>
      <c r="E746" s="48">
        <f t="shared" ca="1" si="46"/>
        <v>0</v>
      </c>
      <c r="F746" s="17">
        <f t="shared" ca="1" si="47"/>
        <v>0</v>
      </c>
      <c r="H746" s="17">
        <v>731</v>
      </c>
      <c r="I746" s="43">
        <v>0.67002811394616568</v>
      </c>
      <c r="J746" s="43">
        <v>2.0308075682057922E-2</v>
      </c>
      <c r="K746" s="43"/>
      <c r="L746" s="43">
        <v>0.25140000000000001</v>
      </c>
      <c r="O746" s="50"/>
    </row>
    <row r="747" spans="2:15" x14ac:dyDescent="0.2">
      <c r="B747">
        <v>732</v>
      </c>
      <c r="C747" s="48">
        <f t="shared" ca="1" si="48"/>
        <v>-1.7288434891723874</v>
      </c>
      <c r="D747" s="48">
        <f t="shared" ca="1" si="45"/>
        <v>0.56037216417636704</v>
      </c>
      <c r="E747" s="48">
        <f t="shared" ca="1" si="46"/>
        <v>0</v>
      </c>
      <c r="F747" s="17">
        <f t="shared" ca="1" si="47"/>
        <v>0</v>
      </c>
      <c r="H747" s="17">
        <v>732</v>
      </c>
      <c r="I747" s="43">
        <v>0.66989453593836856</v>
      </c>
      <c r="J747" s="43">
        <v>1.9989502530008051E-2</v>
      </c>
      <c r="K747" s="43"/>
      <c r="L747" s="43">
        <v>0.25219999999999998</v>
      </c>
      <c r="O747" s="50"/>
    </row>
    <row r="748" spans="2:15" x14ac:dyDescent="0.2">
      <c r="B748">
        <v>733</v>
      </c>
      <c r="C748" s="48">
        <f t="shared" ca="1" si="48"/>
        <v>0.34457490518082234</v>
      </c>
      <c r="D748" s="48">
        <f t="shared" ca="1" si="45"/>
        <v>0.68746726585031015</v>
      </c>
      <c r="E748" s="48">
        <f t="shared" ca="1" si="46"/>
        <v>0</v>
      </c>
      <c r="F748" s="17">
        <f t="shared" ca="1" si="47"/>
        <v>0</v>
      </c>
      <c r="H748" s="17">
        <v>733</v>
      </c>
      <c r="I748" s="43">
        <v>0.66926607345711919</v>
      </c>
      <c r="J748" s="43">
        <v>1.9359221620278769E-2</v>
      </c>
      <c r="K748" s="43"/>
      <c r="L748" s="43">
        <v>0.25059999999999999</v>
      </c>
      <c r="O748" s="50"/>
    </row>
    <row r="749" spans="2:15" x14ac:dyDescent="0.2">
      <c r="B749">
        <v>734</v>
      </c>
      <c r="C749" s="48">
        <f t="shared" ca="1" si="48"/>
        <v>-0.43717756992562662</v>
      </c>
      <c r="D749" s="48">
        <f t="shared" ca="1" si="45"/>
        <v>0.63647377585872433</v>
      </c>
      <c r="E749" s="48">
        <f t="shared" ca="1" si="46"/>
        <v>0</v>
      </c>
      <c r="F749" s="17">
        <f t="shared" ca="1" si="47"/>
        <v>0</v>
      </c>
      <c r="H749" s="17">
        <v>734</v>
      </c>
      <c r="I749" s="43">
        <v>0.66871527847663981</v>
      </c>
      <c r="J749" s="43">
        <v>1.91346954002703E-2</v>
      </c>
      <c r="K749" s="43"/>
      <c r="L749" s="43">
        <v>0.24979999999999999</v>
      </c>
      <c r="O749" s="50"/>
    </row>
    <row r="750" spans="2:15" x14ac:dyDescent="0.2">
      <c r="B750">
        <v>735</v>
      </c>
      <c r="C750" s="48">
        <f t="shared" ca="1" si="48"/>
        <v>0.18527374872661198</v>
      </c>
      <c r="D750" s="48">
        <f t="shared" ca="1" si="45"/>
        <v>0.67675486494461889</v>
      </c>
      <c r="E750" s="48">
        <f t="shared" ca="1" si="46"/>
        <v>0</v>
      </c>
      <c r="F750" s="17">
        <f t="shared" ca="1" si="47"/>
        <v>0</v>
      </c>
      <c r="H750" s="17">
        <v>735</v>
      </c>
      <c r="I750" s="43">
        <v>0.66980875263158168</v>
      </c>
      <c r="J750" s="43">
        <v>1.985989489033E-2</v>
      </c>
      <c r="K750" s="43"/>
      <c r="L750" s="43">
        <v>0.25459999999999999</v>
      </c>
      <c r="O750" s="50"/>
    </row>
    <row r="751" spans="2:15" x14ac:dyDescent="0.2">
      <c r="B751">
        <v>736</v>
      </c>
      <c r="C751" s="48">
        <f t="shared" ca="1" si="48"/>
        <v>0.425628673335673</v>
      </c>
      <c r="D751" s="48">
        <f t="shared" ca="1" si="45"/>
        <v>0.69298274577893648</v>
      </c>
      <c r="E751" s="48">
        <f t="shared" ca="1" si="46"/>
        <v>0</v>
      </c>
      <c r="F751" s="17">
        <f t="shared" ca="1" si="47"/>
        <v>0</v>
      </c>
      <c r="H751" s="17">
        <v>736</v>
      </c>
      <c r="I751" s="43">
        <v>0.66914109203343419</v>
      </c>
      <c r="J751" s="43">
        <v>1.9874127028016629E-2</v>
      </c>
      <c r="K751" s="43"/>
      <c r="L751" s="43">
        <v>0.24859999999999999</v>
      </c>
      <c r="O751" s="50"/>
    </row>
    <row r="752" spans="2:15" x14ac:dyDescent="0.2">
      <c r="B752">
        <v>737</v>
      </c>
      <c r="C752" s="48">
        <f t="shared" ca="1" si="48"/>
        <v>0.12185610581162984</v>
      </c>
      <c r="D752" s="48">
        <f t="shared" ca="1" si="45"/>
        <v>0.67253686795050549</v>
      </c>
      <c r="E752" s="48">
        <f t="shared" ca="1" si="46"/>
        <v>0</v>
      </c>
      <c r="F752" s="17">
        <f t="shared" ca="1" si="47"/>
        <v>0</v>
      </c>
      <c r="H752" s="17">
        <v>737</v>
      </c>
      <c r="I752" s="43">
        <v>0.66901807747217668</v>
      </c>
      <c r="J752" s="43">
        <v>1.9679843231798048E-2</v>
      </c>
      <c r="K752" s="43"/>
      <c r="L752" s="43">
        <v>0.25180000000000002</v>
      </c>
      <c r="O752" s="50"/>
    </row>
    <row r="753" spans="2:15" x14ac:dyDescent="0.2">
      <c r="B753">
        <v>738</v>
      </c>
      <c r="C753" s="48">
        <f t="shared" ca="1" si="48"/>
        <v>8.1804696678012739E-2</v>
      </c>
      <c r="D753" s="48">
        <f t="shared" ca="1" si="45"/>
        <v>0.66988654693813987</v>
      </c>
      <c r="E753" s="48">
        <f t="shared" ca="1" si="46"/>
        <v>0</v>
      </c>
      <c r="F753" s="17">
        <f t="shared" ca="1" si="47"/>
        <v>0</v>
      </c>
      <c r="H753" s="17">
        <v>738</v>
      </c>
      <c r="I753" s="43">
        <v>0.66851285180977571</v>
      </c>
      <c r="J753" s="43">
        <v>1.8855252124963449E-2</v>
      </c>
      <c r="K753" s="43"/>
      <c r="L753" s="43">
        <v>0.24560000000000001</v>
      </c>
      <c r="O753" s="50"/>
    </row>
    <row r="754" spans="2:15" x14ac:dyDescent="0.2">
      <c r="B754">
        <v>739</v>
      </c>
      <c r="C754" s="48">
        <f t="shared" ca="1" si="48"/>
        <v>0.79415538010755993</v>
      </c>
      <c r="D754" s="48">
        <f t="shared" ca="1" si="45"/>
        <v>0.71862324125652632</v>
      </c>
      <c r="E754" s="48">
        <f t="shared" ca="1" si="46"/>
        <v>0</v>
      </c>
      <c r="F754" s="17">
        <f t="shared" ca="1" si="47"/>
        <v>0</v>
      </c>
      <c r="H754" s="17">
        <v>739</v>
      </c>
      <c r="I754" s="43">
        <v>0.66908726650772621</v>
      </c>
      <c r="J754" s="43">
        <v>1.9561914790134281E-2</v>
      </c>
      <c r="K754" s="43"/>
      <c r="L754" s="43">
        <v>0.24859999999999999</v>
      </c>
      <c r="O754" s="50"/>
    </row>
    <row r="755" spans="2:15" x14ac:dyDescent="0.2">
      <c r="B755">
        <v>740</v>
      </c>
      <c r="C755" s="48">
        <f t="shared" ca="1" si="48"/>
        <v>-0.77677714997939806</v>
      </c>
      <c r="D755" s="48">
        <f t="shared" ca="1" si="45"/>
        <v>0.61551723895906374</v>
      </c>
      <c r="E755" s="48">
        <f t="shared" ca="1" si="46"/>
        <v>0</v>
      </c>
      <c r="F755" s="17">
        <f t="shared" ca="1" si="47"/>
        <v>0</v>
      </c>
      <c r="H755" s="17">
        <v>740</v>
      </c>
      <c r="I755" s="43">
        <v>0.66877942966027382</v>
      </c>
      <c r="J755" s="43">
        <v>1.9494153926490249E-2</v>
      </c>
      <c r="K755" s="43"/>
      <c r="L755" s="43">
        <v>0.25440000000000002</v>
      </c>
      <c r="O755" s="50"/>
    </row>
    <row r="756" spans="2:15" x14ac:dyDescent="0.2">
      <c r="B756">
        <v>741</v>
      </c>
      <c r="C756" s="48">
        <f t="shared" ca="1" si="48"/>
        <v>0.38911126267345697</v>
      </c>
      <c r="D756" s="48">
        <f t="shared" ca="1" si="45"/>
        <v>0.69049238316824291</v>
      </c>
      <c r="E756" s="48">
        <f t="shared" ca="1" si="46"/>
        <v>0</v>
      </c>
      <c r="F756" s="17">
        <f t="shared" ca="1" si="47"/>
        <v>0</v>
      </c>
      <c r="H756" s="17">
        <v>741</v>
      </c>
      <c r="I756" s="43">
        <v>0.6698117654268374</v>
      </c>
      <c r="J756" s="43">
        <v>2.0201645036828978E-2</v>
      </c>
      <c r="K756" s="43"/>
      <c r="L756" s="43">
        <v>0.25700000000000001</v>
      </c>
      <c r="O756" s="50"/>
    </row>
    <row r="757" spans="2:15" x14ac:dyDescent="0.2">
      <c r="B757">
        <v>742</v>
      </c>
      <c r="C757" s="48">
        <f t="shared" ca="1" si="48"/>
        <v>1.0181981059738674</v>
      </c>
      <c r="D757" s="48">
        <f t="shared" ca="1" si="45"/>
        <v>0.73467264718635339</v>
      </c>
      <c r="E757" s="48">
        <f t="shared" ca="1" si="46"/>
        <v>0</v>
      </c>
      <c r="F757" s="17">
        <f t="shared" ca="1" si="47"/>
        <v>0</v>
      </c>
      <c r="H757" s="17">
        <v>742</v>
      </c>
      <c r="I757" s="43">
        <v>0.66992065897410547</v>
      </c>
      <c r="J757" s="43">
        <v>2.0272741470446734E-2</v>
      </c>
      <c r="K757" s="43"/>
      <c r="L757" s="43">
        <v>0.25779999999999997</v>
      </c>
      <c r="O757" s="50"/>
    </row>
    <row r="758" spans="2:15" x14ac:dyDescent="0.2">
      <c r="B758">
        <v>743</v>
      </c>
      <c r="C758" s="48">
        <f t="shared" ca="1" si="48"/>
        <v>-0.35242200782165928</v>
      </c>
      <c r="D758" s="48">
        <f t="shared" ca="1" si="45"/>
        <v>0.64181432792855209</v>
      </c>
      <c r="E758" s="48">
        <f t="shared" ca="1" si="46"/>
        <v>0</v>
      </c>
      <c r="F758" s="17">
        <f t="shared" ca="1" si="47"/>
        <v>0</v>
      </c>
      <c r="H758" s="17">
        <v>743</v>
      </c>
      <c r="I758" s="43">
        <v>0.67024450166734029</v>
      </c>
      <c r="J758" s="43">
        <v>2.0531666823676353E-2</v>
      </c>
      <c r="K758" s="43"/>
      <c r="L758" s="43">
        <v>0.249</v>
      </c>
      <c r="O758" s="50"/>
    </row>
    <row r="759" spans="2:15" x14ac:dyDescent="0.2">
      <c r="B759">
        <v>744</v>
      </c>
      <c r="C759" s="48">
        <f t="shared" ca="1" si="48"/>
        <v>0.65353996806412107</v>
      </c>
      <c r="D759" s="48">
        <f t="shared" ca="1" si="45"/>
        <v>0.70872976111426245</v>
      </c>
      <c r="E759" s="48">
        <f t="shared" ca="1" si="46"/>
        <v>0</v>
      </c>
      <c r="F759" s="17">
        <f t="shared" ca="1" si="47"/>
        <v>0</v>
      </c>
      <c r="H759" s="17">
        <v>744</v>
      </c>
      <c r="I759" s="43">
        <v>0.66885823579918635</v>
      </c>
      <c r="J759" s="43">
        <v>1.9291408356998361E-2</v>
      </c>
      <c r="K759" s="43"/>
      <c r="L759" s="43">
        <v>0.245</v>
      </c>
      <c r="O759" s="50"/>
    </row>
    <row r="760" spans="2:15" x14ac:dyDescent="0.2">
      <c r="B760">
        <v>745</v>
      </c>
      <c r="C760" s="48">
        <f t="shared" ca="1" si="48"/>
        <v>-0.53676987900392059</v>
      </c>
      <c r="D760" s="48">
        <f t="shared" ca="1" si="45"/>
        <v>0.63025510302041776</v>
      </c>
      <c r="E760" s="48">
        <f t="shared" ca="1" si="46"/>
        <v>0</v>
      </c>
      <c r="F760" s="17">
        <f t="shared" ca="1" si="47"/>
        <v>0</v>
      </c>
      <c r="H760" s="17">
        <v>745</v>
      </c>
      <c r="I760" s="43">
        <v>0.6693157831325548</v>
      </c>
      <c r="J760" s="43">
        <v>1.9437780880398246E-2</v>
      </c>
      <c r="K760" s="43"/>
      <c r="L760" s="43">
        <v>0.25059999999999999</v>
      </c>
      <c r="O760" s="50"/>
    </row>
    <row r="761" spans="2:15" x14ac:dyDescent="0.2">
      <c r="B761">
        <v>746</v>
      </c>
      <c r="C761" s="48">
        <f t="shared" ca="1" si="48"/>
        <v>1.7139673136367946</v>
      </c>
      <c r="D761" s="48">
        <f t="shared" ca="1" si="45"/>
        <v>0.78683545496551799</v>
      </c>
      <c r="E761" s="48">
        <f t="shared" ca="1" si="46"/>
        <v>0</v>
      </c>
      <c r="F761" s="17">
        <f t="shared" ca="1" si="47"/>
        <v>0</v>
      </c>
      <c r="H761" s="17">
        <v>746</v>
      </c>
      <c r="I761" s="43">
        <v>0.66972472484857748</v>
      </c>
      <c r="J761" s="43">
        <v>2.0099593105493578E-2</v>
      </c>
      <c r="K761" s="43"/>
      <c r="L761" s="43">
        <v>0.25</v>
      </c>
      <c r="O761" s="50"/>
    </row>
    <row r="762" spans="2:15" x14ac:dyDescent="0.2">
      <c r="B762">
        <v>747</v>
      </c>
      <c r="C762" s="48">
        <f t="shared" ca="1" si="48"/>
        <v>-0.62927738043149617</v>
      </c>
      <c r="D762" s="48">
        <f t="shared" ca="1" si="45"/>
        <v>0.62453325725350384</v>
      </c>
      <c r="E762" s="48">
        <f t="shared" ca="1" si="46"/>
        <v>0</v>
      </c>
      <c r="F762" s="17">
        <f t="shared" ca="1" si="47"/>
        <v>0</v>
      </c>
      <c r="H762" s="17">
        <v>747</v>
      </c>
      <c r="I762" s="43">
        <v>0.66926744976990371</v>
      </c>
      <c r="J762" s="43">
        <v>1.9707022861686345E-2</v>
      </c>
      <c r="K762" s="43"/>
      <c r="L762" s="43">
        <v>0.25740000000000002</v>
      </c>
      <c r="O762" s="50"/>
    </row>
    <row r="763" spans="2:15" x14ac:dyDescent="0.2">
      <c r="B763">
        <v>748</v>
      </c>
      <c r="C763" s="48">
        <f t="shared" ca="1" si="48"/>
        <v>-1.7859056463682172</v>
      </c>
      <c r="D763" s="48">
        <f t="shared" ca="1" si="45"/>
        <v>0.55722857744755017</v>
      </c>
      <c r="E763" s="48">
        <f t="shared" ca="1" si="46"/>
        <v>0</v>
      </c>
      <c r="F763" s="17">
        <f t="shared" ca="1" si="47"/>
        <v>0</v>
      </c>
      <c r="H763" s="17">
        <v>748</v>
      </c>
      <c r="I763" s="43">
        <v>0.66818921823204336</v>
      </c>
      <c r="J763" s="43">
        <v>1.8795840156568145E-2</v>
      </c>
      <c r="K763" s="43"/>
      <c r="L763" s="43">
        <v>0.25140000000000001</v>
      </c>
      <c r="O763" s="50"/>
    </row>
    <row r="764" spans="2:15" x14ac:dyDescent="0.2">
      <c r="B764">
        <v>749</v>
      </c>
      <c r="C764" s="48">
        <f t="shared" ca="1" si="48"/>
        <v>0.25384390864344691</v>
      </c>
      <c r="D764" s="48">
        <f t="shared" ca="1" si="45"/>
        <v>0.68134533380878592</v>
      </c>
      <c r="E764" s="48">
        <f t="shared" ca="1" si="46"/>
        <v>0</v>
      </c>
      <c r="F764" s="17">
        <f t="shared" ca="1" si="47"/>
        <v>0</v>
      </c>
      <c r="H764" s="17">
        <v>749</v>
      </c>
      <c r="I764" s="43">
        <v>0.6695489471597621</v>
      </c>
      <c r="J764" s="43">
        <v>2.0182476317589751E-2</v>
      </c>
      <c r="K764" s="43"/>
      <c r="L764" s="43">
        <v>0.25979999999999998</v>
      </c>
      <c r="O764" s="50"/>
    </row>
    <row r="765" spans="2:15" x14ac:dyDescent="0.2">
      <c r="B765">
        <v>750</v>
      </c>
      <c r="C765" s="48">
        <f t="shared" ca="1" si="48"/>
        <v>-0.69722112368361822</v>
      </c>
      <c r="D765" s="48">
        <f t="shared" ca="1" si="45"/>
        <v>0.62036386233201057</v>
      </c>
      <c r="E765" s="48">
        <f t="shared" ca="1" si="46"/>
        <v>0</v>
      </c>
      <c r="F765" s="17">
        <f t="shared" ca="1" si="47"/>
        <v>0</v>
      </c>
      <c r="H765" s="17">
        <v>750</v>
      </c>
      <c r="I765" s="43">
        <v>0.6682225233774538</v>
      </c>
      <c r="J765" s="43">
        <v>1.8944853460678673E-2</v>
      </c>
      <c r="K765" s="43"/>
      <c r="L765" s="43">
        <v>0.24959999999999999</v>
      </c>
      <c r="O765" s="50"/>
    </row>
    <row r="766" spans="2:15" x14ac:dyDescent="0.2">
      <c r="B766">
        <v>751</v>
      </c>
      <c r="C766" s="48">
        <f t="shared" ca="1" si="48"/>
        <v>-4.5755580765880835E-2</v>
      </c>
      <c r="D766" s="48">
        <f t="shared" ca="1" si="45"/>
        <v>0.66151490810938285</v>
      </c>
      <c r="E766" s="48">
        <f t="shared" ca="1" si="46"/>
        <v>0</v>
      </c>
      <c r="F766" s="17">
        <f t="shared" ca="1" si="47"/>
        <v>0</v>
      </c>
      <c r="H766" s="17">
        <v>751</v>
      </c>
      <c r="I766" s="43">
        <v>0.66812265142075422</v>
      </c>
      <c r="J766" s="43">
        <v>1.8787667538725027E-2</v>
      </c>
      <c r="K766" s="43"/>
      <c r="L766" s="43">
        <v>0.24279999999999999</v>
      </c>
      <c r="O766" s="50"/>
    </row>
    <row r="767" spans="2:15" x14ac:dyDescent="0.2">
      <c r="B767">
        <v>752</v>
      </c>
      <c r="C767" s="48">
        <f t="shared" ca="1" si="48"/>
        <v>0.11813183696095729</v>
      </c>
      <c r="D767" s="48">
        <f t="shared" ca="1" si="45"/>
        <v>0.67228998044282262</v>
      </c>
      <c r="E767" s="48">
        <f t="shared" ca="1" si="46"/>
        <v>0</v>
      </c>
      <c r="F767" s="17">
        <f t="shared" ca="1" si="47"/>
        <v>0</v>
      </c>
      <c r="H767" s="17">
        <v>752</v>
      </c>
      <c r="I767" s="43">
        <v>0.66883862917418857</v>
      </c>
      <c r="J767" s="43">
        <v>1.9272955949936381E-2</v>
      </c>
      <c r="K767" s="43"/>
      <c r="L767" s="43">
        <v>0.25319999999999998</v>
      </c>
      <c r="O767" s="50"/>
    </row>
    <row r="768" spans="2:15" x14ac:dyDescent="0.2">
      <c r="B768">
        <v>753</v>
      </c>
      <c r="C768" s="48">
        <f t="shared" ca="1" si="48"/>
        <v>-0.74932258469132684</v>
      </c>
      <c r="D768" s="48">
        <f t="shared" ca="1" si="45"/>
        <v>0.61718550147873885</v>
      </c>
      <c r="E768" s="48">
        <f t="shared" ca="1" si="46"/>
        <v>0</v>
      </c>
      <c r="F768" s="17">
        <f t="shared" ca="1" si="47"/>
        <v>0</v>
      </c>
      <c r="H768" s="17">
        <v>753</v>
      </c>
      <c r="I768" s="43">
        <v>0.66817388766920849</v>
      </c>
      <c r="J768" s="43">
        <v>1.8836469055440758E-2</v>
      </c>
      <c r="K768" s="43"/>
      <c r="L768" s="43">
        <v>0.2422</v>
      </c>
      <c r="O768" s="50"/>
    </row>
    <row r="769" spans="2:15" x14ac:dyDescent="0.2">
      <c r="B769">
        <v>754</v>
      </c>
      <c r="C769" s="48">
        <f t="shared" ca="1" si="48"/>
        <v>-0.63243339250561303</v>
      </c>
      <c r="D769" s="48">
        <f t="shared" ca="1" si="45"/>
        <v>0.62433896817674994</v>
      </c>
      <c r="E769" s="48">
        <f t="shared" ca="1" si="46"/>
        <v>0</v>
      </c>
      <c r="F769" s="17">
        <f t="shared" ca="1" si="47"/>
        <v>0</v>
      </c>
      <c r="H769" s="17">
        <v>754</v>
      </c>
      <c r="I769" s="43">
        <v>0.66852307455798876</v>
      </c>
      <c r="J769" s="43">
        <v>1.9258610102728304E-2</v>
      </c>
      <c r="K769" s="43"/>
      <c r="L769" s="43">
        <v>0.24840000000000001</v>
      </c>
      <c r="O769" s="50"/>
    </row>
    <row r="770" spans="2:15" x14ac:dyDescent="0.2">
      <c r="B770">
        <v>755</v>
      </c>
      <c r="C770" s="48">
        <f t="shared" ca="1" si="48"/>
        <v>1.3368388388520656</v>
      </c>
      <c r="D770" s="48">
        <f t="shared" ca="1" si="45"/>
        <v>0.75811796913437568</v>
      </c>
      <c r="E770" s="48">
        <f t="shared" ca="1" si="46"/>
        <v>0</v>
      </c>
      <c r="F770" s="17">
        <f t="shared" ca="1" si="47"/>
        <v>0</v>
      </c>
      <c r="H770" s="17">
        <v>755</v>
      </c>
      <c r="I770" s="43">
        <v>0.66868636012568972</v>
      </c>
      <c r="J770" s="43">
        <v>1.9290233410533861E-2</v>
      </c>
      <c r="K770" s="43"/>
      <c r="L770" s="43">
        <v>0.247</v>
      </c>
      <c r="O770" s="50"/>
    </row>
    <row r="771" spans="2:15" x14ac:dyDescent="0.2">
      <c r="B771">
        <v>756</v>
      </c>
      <c r="C771" s="48">
        <f t="shared" ca="1" si="48"/>
        <v>1.1189452422527646</v>
      </c>
      <c r="D771" s="48">
        <f t="shared" ca="1" si="45"/>
        <v>0.74200607263228679</v>
      </c>
      <c r="E771" s="48">
        <f t="shared" ca="1" si="46"/>
        <v>0</v>
      </c>
      <c r="F771" s="17">
        <f t="shared" ca="1" si="47"/>
        <v>0</v>
      </c>
      <c r="H771" s="17">
        <v>756</v>
      </c>
      <c r="I771" s="43">
        <v>0.66807399657858879</v>
      </c>
      <c r="J771" s="43">
        <v>1.849404167919938E-2</v>
      </c>
      <c r="K771" s="43"/>
      <c r="L771" s="43">
        <v>0.23980000000000001</v>
      </c>
      <c r="O771" s="50"/>
    </row>
    <row r="772" spans="2:15" x14ac:dyDescent="0.2">
      <c r="B772">
        <v>757</v>
      </c>
      <c r="C772" s="48">
        <f t="shared" ca="1" si="48"/>
        <v>-0.40136134372042703</v>
      </c>
      <c r="D772" s="48">
        <f t="shared" ca="1" si="45"/>
        <v>0.63872515707598287</v>
      </c>
      <c r="E772" s="48">
        <f t="shared" ca="1" si="46"/>
        <v>0</v>
      </c>
      <c r="F772" s="17">
        <f t="shared" ca="1" si="47"/>
        <v>0</v>
      </c>
      <c r="H772" s="17">
        <v>757</v>
      </c>
      <c r="I772" s="43">
        <v>0.66971777337019345</v>
      </c>
      <c r="J772" s="43">
        <v>1.9746064164189833E-2</v>
      </c>
      <c r="K772" s="43"/>
      <c r="L772" s="43">
        <v>0.25259999999999999</v>
      </c>
      <c r="O772" s="50"/>
    </row>
    <row r="773" spans="2:15" x14ac:dyDescent="0.2">
      <c r="B773">
        <v>758</v>
      </c>
      <c r="C773" s="48">
        <f t="shared" ca="1" si="48"/>
        <v>0.42515333352220919</v>
      </c>
      <c r="D773" s="48">
        <f t="shared" ca="1" si="45"/>
        <v>0.69295027160164269</v>
      </c>
      <c r="E773" s="48">
        <f t="shared" ca="1" si="46"/>
        <v>0</v>
      </c>
      <c r="F773" s="17">
        <f t="shared" ca="1" si="47"/>
        <v>0</v>
      </c>
      <c r="H773" s="17">
        <v>758</v>
      </c>
      <c r="I773" s="43">
        <v>0.66819535097036853</v>
      </c>
      <c r="J773" s="43">
        <v>1.894098046884081E-2</v>
      </c>
      <c r="K773" s="43"/>
      <c r="L773" s="43">
        <v>0.2402</v>
      </c>
      <c r="O773" s="50"/>
    </row>
    <row r="774" spans="2:15" x14ac:dyDescent="0.2">
      <c r="B774">
        <v>759</v>
      </c>
      <c r="C774" s="48">
        <f t="shared" ca="1" si="48"/>
        <v>-3.5273581151774792E-2</v>
      </c>
      <c r="D774" s="48">
        <f t="shared" ca="1" si="45"/>
        <v>0.66219886686563845</v>
      </c>
      <c r="E774" s="48">
        <f t="shared" ca="1" si="46"/>
        <v>0</v>
      </c>
      <c r="F774" s="17">
        <f t="shared" ca="1" si="47"/>
        <v>0</v>
      </c>
      <c r="H774" s="17">
        <v>759</v>
      </c>
      <c r="I774" s="43">
        <v>0.66876873868560527</v>
      </c>
      <c r="J774" s="43">
        <v>1.9457068219709217E-2</v>
      </c>
      <c r="K774" s="43"/>
      <c r="L774" s="43">
        <v>0.25180000000000002</v>
      </c>
      <c r="O774" s="50"/>
    </row>
    <row r="775" spans="2:15" x14ac:dyDescent="0.2">
      <c r="B775">
        <v>760</v>
      </c>
      <c r="C775" s="48">
        <f t="shared" ca="1" si="48"/>
        <v>-0.6569664448467144</v>
      </c>
      <c r="D775" s="48">
        <f t="shared" ca="1" si="45"/>
        <v>0.62283073444146797</v>
      </c>
      <c r="E775" s="48">
        <f t="shared" ca="1" si="46"/>
        <v>0</v>
      </c>
      <c r="F775" s="17">
        <f t="shared" ca="1" si="47"/>
        <v>0</v>
      </c>
      <c r="H775" s="17">
        <v>760</v>
      </c>
      <c r="I775" s="43">
        <v>0.66898222656891937</v>
      </c>
      <c r="J775" s="43">
        <v>1.9078216798173328E-2</v>
      </c>
      <c r="K775" s="43"/>
      <c r="L775" s="43">
        <v>0.2432</v>
      </c>
      <c r="O775" s="50"/>
    </row>
    <row r="776" spans="2:15" x14ac:dyDescent="0.2">
      <c r="B776">
        <v>761</v>
      </c>
      <c r="C776" s="48">
        <f t="shared" ca="1" si="48"/>
        <v>1.6149374735684978</v>
      </c>
      <c r="D776" s="48">
        <f t="shared" ca="1" si="45"/>
        <v>0.77919087877222271</v>
      </c>
      <c r="E776" s="48">
        <f t="shared" ca="1" si="46"/>
        <v>0</v>
      </c>
      <c r="F776" s="17">
        <f t="shared" ca="1" si="47"/>
        <v>0</v>
      </c>
      <c r="H776" s="17">
        <v>761</v>
      </c>
      <c r="I776" s="43">
        <v>0.66910376428882723</v>
      </c>
      <c r="J776" s="43">
        <v>1.9513789178893771E-2</v>
      </c>
      <c r="K776" s="43"/>
      <c r="L776" s="43">
        <v>0.24879999999999999</v>
      </c>
      <c r="O776" s="50"/>
    </row>
    <row r="777" spans="2:15" x14ac:dyDescent="0.2">
      <c r="B777">
        <v>762</v>
      </c>
      <c r="C777" s="48">
        <f t="shared" ca="1" si="48"/>
        <v>0.55601634893534924</v>
      </c>
      <c r="D777" s="48">
        <f t="shared" ca="1" si="45"/>
        <v>0.70194825609101275</v>
      </c>
      <c r="E777" s="48">
        <f t="shared" ca="1" si="46"/>
        <v>0</v>
      </c>
      <c r="F777" s="17">
        <f t="shared" ca="1" si="47"/>
        <v>0</v>
      </c>
      <c r="H777" s="17">
        <v>762</v>
      </c>
      <c r="I777" s="43">
        <v>0.66755633082104737</v>
      </c>
      <c r="J777" s="43">
        <v>1.7979805294573801E-2</v>
      </c>
      <c r="K777" s="43"/>
      <c r="L777" s="43">
        <v>0.2472</v>
      </c>
      <c r="O777" s="50"/>
    </row>
    <row r="778" spans="2:15" x14ac:dyDescent="0.2">
      <c r="B778">
        <v>763</v>
      </c>
      <c r="C778" s="48">
        <f t="shared" ca="1" si="48"/>
        <v>-0.25536897107889245</v>
      </c>
      <c r="D778" s="48">
        <f t="shared" ca="1" si="45"/>
        <v>0.6479848175366012</v>
      </c>
      <c r="E778" s="48">
        <f t="shared" ca="1" si="46"/>
        <v>0</v>
      </c>
      <c r="F778" s="17">
        <f t="shared" ca="1" si="47"/>
        <v>0</v>
      </c>
      <c r="H778" s="17">
        <v>763</v>
      </c>
      <c r="I778" s="43">
        <v>0.66849803580227252</v>
      </c>
      <c r="J778" s="43">
        <v>1.8747197353083639E-2</v>
      </c>
      <c r="K778" s="43"/>
      <c r="L778" s="43">
        <v>0.24079999999999999</v>
      </c>
      <c r="O778" s="50"/>
    </row>
    <row r="779" spans="2:15" x14ac:dyDescent="0.2">
      <c r="B779">
        <v>764</v>
      </c>
      <c r="C779" s="48">
        <f t="shared" ca="1" si="48"/>
        <v>0.23634866902777973</v>
      </c>
      <c r="D779" s="48">
        <f t="shared" ca="1" si="45"/>
        <v>0.68017115451544907</v>
      </c>
      <c r="E779" s="48">
        <f t="shared" ca="1" si="46"/>
        <v>0</v>
      </c>
      <c r="F779" s="17">
        <f t="shared" ca="1" si="47"/>
        <v>0</v>
      </c>
      <c r="H779" s="17">
        <v>764</v>
      </c>
      <c r="I779" s="43">
        <v>0.66927661135397143</v>
      </c>
      <c r="J779" s="43">
        <v>1.9720157448578468E-2</v>
      </c>
      <c r="K779" s="43"/>
      <c r="L779" s="43">
        <v>0.254</v>
      </c>
      <c r="O779" s="50"/>
    </row>
    <row r="780" spans="2:15" x14ac:dyDescent="0.2">
      <c r="B780">
        <v>765</v>
      </c>
      <c r="C780" s="48">
        <f t="shared" ca="1" si="48"/>
        <v>1.3186130975461849</v>
      </c>
      <c r="D780" s="48">
        <f t="shared" ca="1" si="45"/>
        <v>0.75675698333256192</v>
      </c>
      <c r="E780" s="48">
        <f t="shared" ca="1" si="46"/>
        <v>0</v>
      </c>
      <c r="F780" s="17">
        <f t="shared" ca="1" si="47"/>
        <v>0</v>
      </c>
      <c r="H780" s="17">
        <v>765</v>
      </c>
      <c r="I780" s="43">
        <v>0.66882887204115593</v>
      </c>
      <c r="J780" s="43">
        <v>1.9311993057833376E-2</v>
      </c>
      <c r="K780" s="43"/>
      <c r="L780" s="43">
        <v>0.25540000000000002</v>
      </c>
      <c r="O780" s="50"/>
    </row>
    <row r="781" spans="2:15" x14ac:dyDescent="0.2">
      <c r="B781">
        <v>766</v>
      </c>
      <c r="C781" s="48">
        <f t="shared" ca="1" si="48"/>
        <v>1.4337955618136677</v>
      </c>
      <c r="D781" s="48">
        <f t="shared" ca="1" si="45"/>
        <v>0.7653993498971462</v>
      </c>
      <c r="E781" s="48">
        <f t="shared" ca="1" si="46"/>
        <v>0</v>
      </c>
      <c r="F781" s="17">
        <f t="shared" ca="1" si="47"/>
        <v>0</v>
      </c>
      <c r="H781" s="17">
        <v>766</v>
      </c>
      <c r="I781" s="43">
        <v>0.66856706519357179</v>
      </c>
      <c r="J781" s="43">
        <v>1.9011875304132338E-2</v>
      </c>
      <c r="K781" s="43"/>
      <c r="L781" s="43">
        <v>0.24979999999999999</v>
      </c>
      <c r="O781" s="50"/>
    </row>
    <row r="782" spans="2:15" x14ac:dyDescent="0.2">
      <c r="B782">
        <v>767</v>
      </c>
      <c r="C782" s="48">
        <f t="shared" ca="1" si="48"/>
        <v>-5.1940533970595636E-2</v>
      </c>
      <c r="D782" s="48">
        <f t="shared" ca="1" si="45"/>
        <v>0.66111166646790687</v>
      </c>
      <c r="E782" s="48">
        <f t="shared" ca="1" si="46"/>
        <v>0</v>
      </c>
      <c r="F782" s="17">
        <f t="shared" ca="1" si="47"/>
        <v>0</v>
      </c>
      <c r="H782" s="17">
        <v>767</v>
      </c>
      <c r="I782" s="43">
        <v>0.66968695038414039</v>
      </c>
      <c r="J782" s="43">
        <v>1.9908135299491283E-2</v>
      </c>
      <c r="K782" s="43"/>
      <c r="L782" s="43">
        <v>0.25800000000000001</v>
      </c>
      <c r="O782" s="50"/>
    </row>
    <row r="783" spans="2:15" x14ac:dyDescent="0.2">
      <c r="B783">
        <v>768</v>
      </c>
      <c r="C783" s="48">
        <f t="shared" ca="1" si="48"/>
        <v>1.6215473175281801E-2</v>
      </c>
      <c r="D783" s="48">
        <f t="shared" ca="1" si="45"/>
        <v>0.66556885066479876</v>
      </c>
      <c r="E783" s="48">
        <f t="shared" ca="1" si="46"/>
        <v>0</v>
      </c>
      <c r="F783" s="17">
        <f t="shared" ca="1" si="47"/>
        <v>0</v>
      </c>
      <c r="H783" s="17">
        <v>768</v>
      </c>
      <c r="I783" s="43">
        <v>0.66880031746283441</v>
      </c>
      <c r="J783" s="43">
        <v>1.9214643724348342E-2</v>
      </c>
      <c r="K783" s="43"/>
      <c r="L783" s="43">
        <v>0.2442</v>
      </c>
      <c r="O783" s="50"/>
    </row>
    <row r="784" spans="2:15" x14ac:dyDescent="0.2">
      <c r="B784">
        <v>769</v>
      </c>
      <c r="C784" s="48">
        <f t="shared" ca="1" si="48"/>
        <v>0.48299170946625275</v>
      </c>
      <c r="D784" s="48">
        <f t="shared" ref="D784:D847" ca="1" si="49">S0*EXP((μ-0.5*σ*σ)*T+σ*SQRT(T)*$C784)</f>
        <v>0.69691285733713859</v>
      </c>
      <c r="E784" s="48">
        <f t="shared" ref="E784:E847" ca="1" si="50">MAX(0,CP*(D784-K))</f>
        <v>0</v>
      </c>
      <c r="F784" s="17">
        <f t="shared" ref="F784:F847" ca="1" si="51">(CP*(D784-K)&gt;0)*1</f>
        <v>0</v>
      </c>
      <c r="H784" s="17">
        <v>769</v>
      </c>
      <c r="I784" s="43">
        <v>0.66757229836012255</v>
      </c>
      <c r="J784" s="43">
        <v>1.8183681784849706E-2</v>
      </c>
      <c r="K784" s="43"/>
      <c r="L784" s="43">
        <v>0.24579999999999999</v>
      </c>
      <c r="O784" s="50"/>
    </row>
    <row r="785" spans="2:15" x14ac:dyDescent="0.2">
      <c r="B785">
        <v>770</v>
      </c>
      <c r="C785" s="48">
        <f t="shared" ref="C785:C848" ca="1" si="52">_xlfn.NORM.S.INV(RAND())</f>
        <v>-0.39419791465319937</v>
      </c>
      <c r="D785" s="48">
        <f t="shared" ca="1" si="49"/>
        <v>0.63917639965307371</v>
      </c>
      <c r="E785" s="48">
        <f t="shared" ca="1" si="50"/>
        <v>0</v>
      </c>
      <c r="F785" s="17">
        <f t="shared" ca="1" si="51"/>
        <v>0</v>
      </c>
      <c r="H785" s="17">
        <v>770</v>
      </c>
      <c r="I785" s="43">
        <v>0.67026832624631016</v>
      </c>
      <c r="J785" s="43">
        <v>2.0458635315423166E-2</v>
      </c>
      <c r="K785" s="43"/>
      <c r="L785" s="43">
        <v>0.25979999999999998</v>
      </c>
      <c r="O785" s="50"/>
    </row>
    <row r="786" spans="2:15" x14ac:dyDescent="0.2">
      <c r="B786">
        <v>771</v>
      </c>
      <c r="C786" s="48">
        <f t="shared" ca="1" si="52"/>
        <v>-0.990916710386467</v>
      </c>
      <c r="D786" s="48">
        <f t="shared" ca="1" si="49"/>
        <v>0.6026589667890927</v>
      </c>
      <c r="E786" s="48">
        <f t="shared" ca="1" si="50"/>
        <v>0</v>
      </c>
      <c r="F786" s="17">
        <f t="shared" ca="1" si="51"/>
        <v>0</v>
      </c>
      <c r="H786" s="17">
        <v>771</v>
      </c>
      <c r="I786" s="43">
        <v>0.66798106280654779</v>
      </c>
      <c r="J786" s="43">
        <v>1.8756716866477667E-2</v>
      </c>
      <c r="K786" s="43"/>
      <c r="L786" s="43">
        <v>0.24199999999999999</v>
      </c>
      <c r="O786" s="50"/>
    </row>
    <row r="787" spans="2:15" x14ac:dyDescent="0.2">
      <c r="B787">
        <v>772</v>
      </c>
      <c r="C787" s="48">
        <f t="shared" ca="1" si="52"/>
        <v>1.8942693270171524E-2</v>
      </c>
      <c r="D787" s="48">
        <f t="shared" ca="1" si="49"/>
        <v>0.66574782604048532</v>
      </c>
      <c r="E787" s="48">
        <f t="shared" ca="1" si="50"/>
        <v>0</v>
      </c>
      <c r="F787" s="17">
        <f t="shared" ca="1" si="51"/>
        <v>0</v>
      </c>
      <c r="H787" s="17">
        <v>772</v>
      </c>
      <c r="I787" s="43">
        <v>0.66932020399827785</v>
      </c>
      <c r="J787" s="43">
        <v>1.9323627754352556E-2</v>
      </c>
      <c r="K787" s="43"/>
      <c r="L787" s="43">
        <v>0.2452</v>
      </c>
      <c r="O787" s="50"/>
    </row>
    <row r="788" spans="2:15" x14ac:dyDescent="0.2">
      <c r="B788">
        <v>773</v>
      </c>
      <c r="C788" s="48">
        <f t="shared" ca="1" si="52"/>
        <v>-0.61252467717481807</v>
      </c>
      <c r="D788" s="48">
        <f t="shared" ca="1" si="49"/>
        <v>0.6255655927904239</v>
      </c>
      <c r="E788" s="48">
        <f t="shared" ca="1" si="50"/>
        <v>0</v>
      </c>
      <c r="F788" s="17">
        <f t="shared" ca="1" si="51"/>
        <v>0</v>
      </c>
      <c r="H788" s="17">
        <v>773</v>
      </c>
      <c r="I788" s="43">
        <v>0.66906253555948836</v>
      </c>
      <c r="J788" s="43">
        <v>1.9320113927101441E-2</v>
      </c>
      <c r="K788" s="43"/>
      <c r="L788" s="43">
        <v>0.25019999999999998</v>
      </c>
      <c r="O788" s="50"/>
    </row>
    <row r="789" spans="2:15" x14ac:dyDescent="0.2">
      <c r="B789">
        <v>774</v>
      </c>
      <c r="C789" s="48">
        <f t="shared" ca="1" si="52"/>
        <v>-0.2807357864856887</v>
      </c>
      <c r="D789" s="48">
        <f t="shared" ca="1" si="49"/>
        <v>0.6463663292526719</v>
      </c>
      <c r="E789" s="48">
        <f t="shared" ca="1" si="50"/>
        <v>0</v>
      </c>
      <c r="F789" s="17">
        <f t="shared" ca="1" si="51"/>
        <v>0</v>
      </c>
      <c r="H789" s="17">
        <v>774</v>
      </c>
      <c r="I789" s="43">
        <v>0.67029750055880344</v>
      </c>
      <c r="J789" s="43">
        <v>2.0594527323670498E-2</v>
      </c>
      <c r="K789" s="43"/>
      <c r="L789" s="43">
        <v>0.26219999999999999</v>
      </c>
      <c r="O789" s="50"/>
    </row>
    <row r="790" spans="2:15" x14ac:dyDescent="0.2">
      <c r="B790">
        <v>775</v>
      </c>
      <c r="C790" s="48">
        <f t="shared" ca="1" si="52"/>
        <v>-0.25956897230421316</v>
      </c>
      <c r="D790" s="48">
        <f t="shared" ca="1" si="49"/>
        <v>0.64771656362867858</v>
      </c>
      <c r="E790" s="48">
        <f t="shared" ca="1" si="50"/>
        <v>0</v>
      </c>
      <c r="F790" s="17">
        <f t="shared" ca="1" si="51"/>
        <v>0</v>
      </c>
      <c r="H790" s="17">
        <v>775</v>
      </c>
      <c r="I790" s="43">
        <v>0.66914508458638811</v>
      </c>
      <c r="J790" s="43">
        <v>1.9726807882466012E-2</v>
      </c>
      <c r="K790" s="43"/>
      <c r="L790" s="43">
        <v>0.25159999999999999</v>
      </c>
      <c r="O790" s="50"/>
    </row>
    <row r="791" spans="2:15" x14ac:dyDescent="0.2">
      <c r="B791">
        <v>776</v>
      </c>
      <c r="C791" s="48">
        <f t="shared" ca="1" si="52"/>
        <v>7.0439050464668071E-2</v>
      </c>
      <c r="D791" s="48">
        <f t="shared" ca="1" si="49"/>
        <v>0.66913635253978043</v>
      </c>
      <c r="E791" s="48">
        <f t="shared" ca="1" si="50"/>
        <v>0</v>
      </c>
      <c r="F791" s="17">
        <f t="shared" ca="1" si="51"/>
        <v>0</v>
      </c>
      <c r="H791" s="17">
        <v>776</v>
      </c>
      <c r="I791" s="43">
        <v>0.66797946375329842</v>
      </c>
      <c r="J791" s="43">
        <v>1.8817647448438248E-2</v>
      </c>
      <c r="K791" s="43"/>
      <c r="L791" s="43">
        <v>0.247</v>
      </c>
      <c r="O791" s="50"/>
    </row>
    <row r="792" spans="2:15" x14ac:dyDescent="0.2">
      <c r="B792">
        <v>777</v>
      </c>
      <c r="C792" s="48">
        <f t="shared" ca="1" si="52"/>
        <v>-0.86446556722794043</v>
      </c>
      <c r="D792" s="48">
        <f t="shared" ca="1" si="49"/>
        <v>0.61021903965027879</v>
      </c>
      <c r="E792" s="48">
        <f t="shared" ca="1" si="50"/>
        <v>0</v>
      </c>
      <c r="F792" s="17">
        <f t="shared" ca="1" si="51"/>
        <v>0</v>
      </c>
      <c r="H792" s="17">
        <v>777</v>
      </c>
      <c r="I792" s="43">
        <v>0.66886620573358724</v>
      </c>
      <c r="J792" s="43">
        <v>1.9299047424059294E-2</v>
      </c>
      <c r="K792" s="43"/>
      <c r="L792" s="43">
        <v>0.25340000000000001</v>
      </c>
      <c r="O792" s="50"/>
    </row>
    <row r="793" spans="2:15" x14ac:dyDescent="0.2">
      <c r="B793">
        <v>778</v>
      </c>
      <c r="C793" s="48">
        <f t="shared" ca="1" si="52"/>
        <v>1.5990544575466263</v>
      </c>
      <c r="D793" s="48">
        <f t="shared" ca="1" si="49"/>
        <v>0.777971724751222</v>
      </c>
      <c r="E793" s="48">
        <f t="shared" ca="1" si="50"/>
        <v>0</v>
      </c>
      <c r="F793" s="17">
        <f t="shared" ca="1" si="51"/>
        <v>0</v>
      </c>
      <c r="H793" s="17">
        <v>778</v>
      </c>
      <c r="I793" s="43">
        <v>0.67006929501747736</v>
      </c>
      <c r="J793" s="43">
        <v>1.9871123614465292E-2</v>
      </c>
      <c r="K793" s="43"/>
      <c r="L793" s="43">
        <v>0.24840000000000001</v>
      </c>
      <c r="O793" s="50"/>
    </row>
    <row r="794" spans="2:15" x14ac:dyDescent="0.2">
      <c r="B794">
        <v>779</v>
      </c>
      <c r="C794" s="48">
        <f t="shared" ca="1" si="52"/>
        <v>-1.3480933074213324</v>
      </c>
      <c r="D794" s="48">
        <f t="shared" ca="1" si="49"/>
        <v>0.58180674475498029</v>
      </c>
      <c r="E794" s="48">
        <f t="shared" ca="1" si="50"/>
        <v>0</v>
      </c>
      <c r="F794" s="17">
        <f t="shared" ca="1" si="51"/>
        <v>0</v>
      </c>
      <c r="H794" s="17">
        <v>779</v>
      </c>
      <c r="I794" s="43">
        <v>0.66838752058322293</v>
      </c>
      <c r="J794" s="43">
        <v>1.8879838209304264E-2</v>
      </c>
      <c r="K794" s="43"/>
      <c r="L794" s="43">
        <v>0.24660000000000001</v>
      </c>
      <c r="O794" s="50"/>
    </row>
    <row r="795" spans="2:15" x14ac:dyDescent="0.2">
      <c r="B795">
        <v>780</v>
      </c>
      <c r="C795" s="48">
        <f t="shared" ca="1" si="52"/>
        <v>1.9319964361476962</v>
      </c>
      <c r="D795" s="48">
        <f t="shared" ca="1" si="49"/>
        <v>0.80393151664753837</v>
      </c>
      <c r="E795" s="48">
        <f t="shared" ca="1" si="50"/>
        <v>1.5731516647538357E-2</v>
      </c>
      <c r="F795" s="17">
        <f t="shared" ca="1" si="51"/>
        <v>1</v>
      </c>
      <c r="H795" s="17">
        <v>780</v>
      </c>
      <c r="I795" s="43">
        <v>0.67005830570978453</v>
      </c>
      <c r="J795" s="43">
        <v>2.0023976328203255E-2</v>
      </c>
      <c r="K795" s="43"/>
      <c r="L795" s="43">
        <v>0.25240000000000001</v>
      </c>
      <c r="O795" s="50"/>
    </row>
    <row r="796" spans="2:15" x14ac:dyDescent="0.2">
      <c r="B796">
        <v>781</v>
      </c>
      <c r="C796" s="48">
        <f t="shared" ca="1" si="52"/>
        <v>1.631116315473554</v>
      </c>
      <c r="D796" s="48">
        <f t="shared" ca="1" si="49"/>
        <v>0.78043470415277827</v>
      </c>
      <c r="E796" s="48">
        <f t="shared" ca="1" si="50"/>
        <v>0</v>
      </c>
      <c r="F796" s="17">
        <f t="shared" ca="1" si="51"/>
        <v>0</v>
      </c>
      <c r="H796" s="17">
        <v>781</v>
      </c>
      <c r="I796" s="43">
        <v>0.66987564710763459</v>
      </c>
      <c r="J796" s="43">
        <v>1.9699925602262598E-2</v>
      </c>
      <c r="K796" s="43"/>
      <c r="L796" s="43">
        <v>0.25419999999999998</v>
      </c>
      <c r="O796" s="50"/>
    </row>
    <row r="797" spans="2:15" x14ac:dyDescent="0.2">
      <c r="B797">
        <v>782</v>
      </c>
      <c r="C797" s="48">
        <f t="shared" ca="1" si="52"/>
        <v>-1.8476715979059515</v>
      </c>
      <c r="D797" s="48">
        <f t="shared" ca="1" si="49"/>
        <v>0.5538457283616629</v>
      </c>
      <c r="E797" s="48">
        <f t="shared" ca="1" si="50"/>
        <v>0</v>
      </c>
      <c r="F797" s="17">
        <f t="shared" ca="1" si="51"/>
        <v>0</v>
      </c>
      <c r="H797" s="17">
        <v>782</v>
      </c>
      <c r="I797" s="43">
        <v>0.66818877867757054</v>
      </c>
      <c r="J797" s="43">
        <v>1.8905379874786139E-2</v>
      </c>
      <c r="K797" s="43"/>
      <c r="L797" s="43">
        <v>0.2472</v>
      </c>
      <c r="O797" s="50"/>
    </row>
    <row r="798" spans="2:15" x14ac:dyDescent="0.2">
      <c r="B798">
        <v>783</v>
      </c>
      <c r="C798" s="48">
        <f t="shared" ca="1" si="52"/>
        <v>-0.67985746595963625</v>
      </c>
      <c r="D798" s="48">
        <f t="shared" ca="1" si="49"/>
        <v>0.62142673490952904</v>
      </c>
      <c r="E798" s="48">
        <f t="shared" ca="1" si="50"/>
        <v>0</v>
      </c>
      <c r="F798" s="17">
        <f t="shared" ca="1" si="51"/>
        <v>0</v>
      </c>
      <c r="H798" s="17">
        <v>783</v>
      </c>
      <c r="I798" s="43">
        <v>0.66902633109572995</v>
      </c>
      <c r="J798" s="43">
        <v>1.9166789789741994E-2</v>
      </c>
      <c r="K798" s="43"/>
      <c r="L798" s="43">
        <v>0.24540000000000001</v>
      </c>
      <c r="O798" s="50"/>
    </row>
    <row r="799" spans="2:15" x14ac:dyDescent="0.2">
      <c r="B799">
        <v>784</v>
      </c>
      <c r="C799" s="48">
        <f t="shared" ca="1" si="52"/>
        <v>-0.12962972326462435</v>
      </c>
      <c r="D799" s="48">
        <f t="shared" ca="1" si="49"/>
        <v>0.65606743481814078</v>
      </c>
      <c r="E799" s="48">
        <f t="shared" ca="1" si="50"/>
        <v>0</v>
      </c>
      <c r="F799" s="17">
        <f t="shared" ca="1" si="51"/>
        <v>0</v>
      </c>
      <c r="H799" s="17">
        <v>784</v>
      </c>
      <c r="I799" s="43">
        <v>0.66936019462471308</v>
      </c>
      <c r="J799" s="43">
        <v>1.9603046085496675E-2</v>
      </c>
      <c r="K799" s="43"/>
      <c r="L799" s="43">
        <v>0.25580000000000003</v>
      </c>
      <c r="O799" s="50"/>
    </row>
    <row r="800" spans="2:15" x14ac:dyDescent="0.2">
      <c r="B800">
        <v>785</v>
      </c>
      <c r="C800" s="48">
        <f t="shared" ca="1" si="52"/>
        <v>1.0779607468864985</v>
      </c>
      <c r="D800" s="48">
        <f t="shared" ca="1" si="49"/>
        <v>0.73901400316978627</v>
      </c>
      <c r="E800" s="48">
        <f t="shared" ca="1" si="50"/>
        <v>0</v>
      </c>
      <c r="F800" s="17">
        <f t="shared" ca="1" si="51"/>
        <v>0</v>
      </c>
      <c r="H800" s="17">
        <v>785</v>
      </c>
      <c r="I800" s="43">
        <v>0.66798316823879755</v>
      </c>
      <c r="J800" s="43">
        <v>1.82715634297443E-2</v>
      </c>
      <c r="K800" s="43"/>
      <c r="L800" s="43">
        <v>0.24360000000000001</v>
      </c>
      <c r="O800" s="50"/>
    </row>
    <row r="801" spans="2:15" x14ac:dyDescent="0.2">
      <c r="B801">
        <v>786</v>
      </c>
      <c r="C801" s="48">
        <f t="shared" ca="1" si="52"/>
        <v>0.14760568604287855</v>
      </c>
      <c r="D801" s="48">
        <f t="shared" ca="1" si="49"/>
        <v>0.67424632949186791</v>
      </c>
      <c r="E801" s="48">
        <f t="shared" ca="1" si="50"/>
        <v>0</v>
      </c>
      <c r="F801" s="17">
        <f t="shared" ca="1" si="51"/>
        <v>0</v>
      </c>
      <c r="H801" s="17">
        <v>786</v>
      </c>
      <c r="I801" s="43">
        <v>0.66797252688682918</v>
      </c>
      <c r="J801" s="43">
        <v>1.8480845727906418E-2</v>
      </c>
      <c r="K801" s="43"/>
      <c r="L801" s="43">
        <v>0.24</v>
      </c>
      <c r="O801" s="50"/>
    </row>
    <row r="802" spans="2:15" x14ac:dyDescent="0.2">
      <c r="B802">
        <v>787</v>
      </c>
      <c r="C802" s="48">
        <f t="shared" ca="1" si="52"/>
        <v>1.1075079451719583</v>
      </c>
      <c r="D802" s="48">
        <f t="shared" ca="1" si="49"/>
        <v>0.74116987726820882</v>
      </c>
      <c r="E802" s="48">
        <f t="shared" ca="1" si="50"/>
        <v>0</v>
      </c>
      <c r="F802" s="17">
        <f t="shared" ca="1" si="51"/>
        <v>0</v>
      </c>
      <c r="H802" s="17">
        <v>787</v>
      </c>
      <c r="I802" s="43">
        <v>0.66846174789583812</v>
      </c>
      <c r="J802" s="43">
        <v>1.8698606829500447E-2</v>
      </c>
      <c r="K802" s="43"/>
      <c r="L802" s="43">
        <v>0.2482</v>
      </c>
      <c r="O802" s="50"/>
    </row>
    <row r="803" spans="2:15" x14ac:dyDescent="0.2">
      <c r="B803">
        <v>788</v>
      </c>
      <c r="C803" s="48">
        <f t="shared" ca="1" si="52"/>
        <v>1.9544672907135119</v>
      </c>
      <c r="D803" s="48">
        <f t="shared" ca="1" si="49"/>
        <v>0.80571447627364989</v>
      </c>
      <c r="E803" s="48">
        <f t="shared" ca="1" si="50"/>
        <v>1.7514476273649882E-2</v>
      </c>
      <c r="F803" s="17">
        <f t="shared" ca="1" si="51"/>
        <v>1</v>
      </c>
      <c r="H803" s="17">
        <v>788</v>
      </c>
      <c r="I803" s="43">
        <v>0.67007955003142083</v>
      </c>
      <c r="J803" s="43">
        <v>2.0085613624155368E-2</v>
      </c>
      <c r="K803" s="43"/>
      <c r="L803" s="43">
        <v>0.24660000000000001</v>
      </c>
      <c r="O803" s="50"/>
    </row>
    <row r="804" spans="2:15" x14ac:dyDescent="0.2">
      <c r="B804">
        <v>789</v>
      </c>
      <c r="C804" s="48">
        <f t="shared" ca="1" si="52"/>
        <v>0.13040481290276304</v>
      </c>
      <c r="D804" s="48">
        <f t="shared" ca="1" si="49"/>
        <v>0.67310391785023915</v>
      </c>
      <c r="E804" s="48">
        <f t="shared" ca="1" si="50"/>
        <v>0</v>
      </c>
      <c r="F804" s="17">
        <f t="shared" ca="1" si="51"/>
        <v>0</v>
      </c>
      <c r="H804" s="17">
        <v>789</v>
      </c>
      <c r="I804" s="43">
        <v>0.66951697692586731</v>
      </c>
      <c r="J804" s="43">
        <v>1.9887881893366328E-2</v>
      </c>
      <c r="K804" s="43"/>
      <c r="L804" s="43">
        <v>0.25480000000000003</v>
      </c>
      <c r="O804" s="50"/>
    </row>
    <row r="805" spans="2:15" x14ac:dyDescent="0.2">
      <c r="B805">
        <v>790</v>
      </c>
      <c r="C805" s="48">
        <f t="shared" ca="1" si="52"/>
        <v>-0.16848786106386865</v>
      </c>
      <c r="D805" s="48">
        <f t="shared" ca="1" si="49"/>
        <v>0.65355889744033613</v>
      </c>
      <c r="E805" s="48">
        <f t="shared" ca="1" si="50"/>
        <v>0</v>
      </c>
      <c r="F805" s="17">
        <f t="shared" ca="1" si="51"/>
        <v>0</v>
      </c>
      <c r="H805" s="17">
        <v>790</v>
      </c>
      <c r="I805" s="43">
        <v>0.66828248887278274</v>
      </c>
      <c r="J805" s="43">
        <v>1.8612437016576878E-2</v>
      </c>
      <c r="K805" s="43"/>
      <c r="L805" s="43">
        <v>0.2452</v>
      </c>
      <c r="O805" s="50"/>
    </row>
    <row r="806" spans="2:15" x14ac:dyDescent="0.2">
      <c r="B806">
        <v>791</v>
      </c>
      <c r="C806" s="48">
        <f t="shared" ca="1" si="52"/>
        <v>0.38260475369667613</v>
      </c>
      <c r="D806" s="48">
        <f t="shared" ca="1" si="49"/>
        <v>0.69004960177527752</v>
      </c>
      <c r="E806" s="48">
        <f t="shared" ca="1" si="50"/>
        <v>0</v>
      </c>
      <c r="F806" s="17">
        <f t="shared" ca="1" si="51"/>
        <v>0</v>
      </c>
      <c r="H806" s="17">
        <v>791</v>
      </c>
      <c r="I806" s="43">
        <v>0.66928229554404906</v>
      </c>
      <c r="J806" s="43">
        <v>1.9720280306769217E-2</v>
      </c>
      <c r="K806" s="43"/>
      <c r="L806" s="43">
        <v>0.25800000000000001</v>
      </c>
      <c r="O806" s="50"/>
    </row>
    <row r="807" spans="2:15" x14ac:dyDescent="0.2">
      <c r="B807">
        <v>792</v>
      </c>
      <c r="C807" s="48">
        <f t="shared" ca="1" si="52"/>
        <v>-1.1145043378844517</v>
      </c>
      <c r="D807" s="48">
        <f t="shared" ca="1" si="49"/>
        <v>0.59536060713176253</v>
      </c>
      <c r="E807" s="48">
        <f t="shared" ca="1" si="50"/>
        <v>0</v>
      </c>
      <c r="F807" s="17">
        <f t="shared" ca="1" si="51"/>
        <v>0</v>
      </c>
      <c r="H807" s="17">
        <v>792</v>
      </c>
      <c r="I807" s="43">
        <v>0.6689564998153178</v>
      </c>
      <c r="J807" s="43">
        <v>1.9625972030252729E-2</v>
      </c>
      <c r="K807" s="43"/>
      <c r="L807" s="43">
        <v>0.25219999999999998</v>
      </c>
      <c r="O807" s="50"/>
    </row>
    <row r="808" spans="2:15" x14ac:dyDescent="0.2">
      <c r="B808">
        <v>793</v>
      </c>
      <c r="C808" s="48">
        <f t="shared" ca="1" si="52"/>
        <v>0.1854273095092201</v>
      </c>
      <c r="D808" s="48">
        <f t="shared" ca="1" si="49"/>
        <v>0.67676511052845156</v>
      </c>
      <c r="E808" s="48">
        <f t="shared" ca="1" si="50"/>
        <v>0</v>
      </c>
      <c r="F808" s="17">
        <f t="shared" ca="1" si="51"/>
        <v>0</v>
      </c>
      <c r="H808" s="17">
        <v>793</v>
      </c>
      <c r="I808" s="43">
        <v>0.66836109805778066</v>
      </c>
      <c r="J808" s="43">
        <v>1.8955083202994178E-2</v>
      </c>
      <c r="K808" s="43"/>
      <c r="L808" s="43">
        <v>0.25259999999999999</v>
      </c>
      <c r="O808" s="50"/>
    </row>
    <row r="809" spans="2:15" x14ac:dyDescent="0.2">
      <c r="B809">
        <v>794</v>
      </c>
      <c r="C809" s="48">
        <f t="shared" ca="1" si="52"/>
        <v>0.81924883406578752</v>
      </c>
      <c r="D809" s="48">
        <f t="shared" ca="1" si="49"/>
        <v>0.72040324425554103</v>
      </c>
      <c r="E809" s="48">
        <f t="shared" ca="1" si="50"/>
        <v>0</v>
      </c>
      <c r="F809" s="17">
        <f t="shared" ca="1" si="51"/>
        <v>0</v>
      </c>
      <c r="H809" s="17">
        <v>794</v>
      </c>
      <c r="I809" s="43">
        <v>0.66973616737867203</v>
      </c>
      <c r="J809" s="43">
        <v>1.9853206101893024E-2</v>
      </c>
      <c r="K809" s="43"/>
      <c r="L809" s="43">
        <v>0.25159999999999999</v>
      </c>
      <c r="O809" s="50"/>
    </row>
    <row r="810" spans="2:15" x14ac:dyDescent="0.2">
      <c r="B810">
        <v>795</v>
      </c>
      <c r="C810" s="48">
        <f t="shared" ca="1" si="52"/>
        <v>0.46695100428679526</v>
      </c>
      <c r="D810" s="48">
        <f t="shared" ca="1" si="49"/>
        <v>0.69581162159118393</v>
      </c>
      <c r="E810" s="48">
        <f t="shared" ca="1" si="50"/>
        <v>0</v>
      </c>
      <c r="F810" s="17">
        <f t="shared" ca="1" si="51"/>
        <v>0</v>
      </c>
      <c r="H810" s="17">
        <v>795</v>
      </c>
      <c r="I810" s="43">
        <v>0.66960511420057078</v>
      </c>
      <c r="J810" s="43">
        <v>1.9648200238641986E-2</v>
      </c>
      <c r="K810" s="43"/>
      <c r="L810" s="43">
        <v>0.25879999999999997</v>
      </c>
      <c r="O810" s="50"/>
    </row>
    <row r="811" spans="2:15" x14ac:dyDescent="0.2">
      <c r="B811">
        <v>796</v>
      </c>
      <c r="C811" s="48">
        <f t="shared" ca="1" si="52"/>
        <v>-0.26791569631794337</v>
      </c>
      <c r="D811" s="48">
        <f t="shared" ca="1" si="49"/>
        <v>0.64718378830331402</v>
      </c>
      <c r="E811" s="48">
        <f t="shared" ca="1" si="50"/>
        <v>0</v>
      </c>
      <c r="F811" s="17">
        <f t="shared" ca="1" si="51"/>
        <v>0</v>
      </c>
      <c r="H811" s="17">
        <v>796</v>
      </c>
      <c r="I811" s="43">
        <v>0.66859845570090748</v>
      </c>
      <c r="J811" s="43">
        <v>1.917904486592913E-2</v>
      </c>
      <c r="K811" s="43"/>
      <c r="L811" s="43">
        <v>0.24840000000000001</v>
      </c>
      <c r="O811" s="50"/>
    </row>
    <row r="812" spans="2:15" x14ac:dyDescent="0.2">
      <c r="B812">
        <v>797</v>
      </c>
      <c r="C812" s="48">
        <f t="shared" ca="1" si="52"/>
        <v>1.190341078596072E-2</v>
      </c>
      <c r="D812" s="48">
        <f t="shared" ca="1" si="49"/>
        <v>0.66528596728293232</v>
      </c>
      <c r="E812" s="48">
        <f t="shared" ca="1" si="50"/>
        <v>0</v>
      </c>
      <c r="F812" s="17">
        <f t="shared" ca="1" si="51"/>
        <v>0</v>
      </c>
      <c r="H812" s="17">
        <v>797</v>
      </c>
      <c r="I812" s="43">
        <v>0.66927099320869543</v>
      </c>
      <c r="J812" s="43">
        <v>1.9669701598710346E-2</v>
      </c>
      <c r="K812" s="43"/>
      <c r="L812" s="43">
        <v>0.25419999999999998</v>
      </c>
      <c r="O812" s="50"/>
    </row>
    <row r="813" spans="2:15" x14ac:dyDescent="0.2">
      <c r="B813">
        <v>798</v>
      </c>
      <c r="C813" s="48">
        <f t="shared" ca="1" si="52"/>
        <v>0.42849253675566434</v>
      </c>
      <c r="D813" s="48">
        <f t="shared" ca="1" si="49"/>
        <v>0.69317843087747821</v>
      </c>
      <c r="E813" s="48">
        <f t="shared" ca="1" si="50"/>
        <v>0</v>
      </c>
      <c r="F813" s="17">
        <f t="shared" ca="1" si="51"/>
        <v>0</v>
      </c>
      <c r="H813" s="17">
        <v>798</v>
      </c>
      <c r="I813" s="43">
        <v>0.66742650281841054</v>
      </c>
      <c r="J813" s="43">
        <v>1.8338130227965155E-2</v>
      </c>
      <c r="K813" s="43"/>
      <c r="L813" s="43">
        <v>0.24640000000000001</v>
      </c>
      <c r="O813" s="50"/>
    </row>
    <row r="814" spans="2:15" x14ac:dyDescent="0.2">
      <c r="B814">
        <v>799</v>
      </c>
      <c r="C814" s="48">
        <f t="shared" ca="1" si="52"/>
        <v>0.35499141058223754</v>
      </c>
      <c r="D814" s="48">
        <f t="shared" ca="1" si="49"/>
        <v>0.68817361398618759</v>
      </c>
      <c r="E814" s="48">
        <f t="shared" ca="1" si="50"/>
        <v>0</v>
      </c>
      <c r="F814" s="17">
        <f t="shared" ca="1" si="51"/>
        <v>0</v>
      </c>
      <c r="H814" s="17">
        <v>799</v>
      </c>
      <c r="I814" s="43">
        <v>0.66847518499742453</v>
      </c>
      <c r="J814" s="43">
        <v>1.9088581455115147E-2</v>
      </c>
      <c r="K814" s="43"/>
      <c r="L814" s="43">
        <v>0.24859999999999999</v>
      </c>
      <c r="O814" s="50"/>
    </row>
    <row r="815" spans="2:15" x14ac:dyDescent="0.2">
      <c r="B815">
        <v>800</v>
      </c>
      <c r="C815" s="48">
        <f t="shared" ca="1" si="52"/>
        <v>0.57254466233552936</v>
      </c>
      <c r="D815" s="48">
        <f t="shared" ca="1" si="49"/>
        <v>0.70309300238230255</v>
      </c>
      <c r="E815" s="48">
        <f t="shared" ca="1" si="50"/>
        <v>0</v>
      </c>
      <c r="F815" s="17">
        <f t="shared" ca="1" si="51"/>
        <v>0</v>
      </c>
      <c r="H815" s="17">
        <v>800</v>
      </c>
      <c r="I815" s="43">
        <v>0.66862436931358593</v>
      </c>
      <c r="J815" s="43">
        <v>1.9177276291826039E-2</v>
      </c>
      <c r="K815" s="43"/>
      <c r="L815" s="43">
        <v>0.24979999999999999</v>
      </c>
      <c r="O815" s="50"/>
    </row>
    <row r="816" spans="2:15" x14ac:dyDescent="0.2">
      <c r="B816">
        <v>801</v>
      </c>
      <c r="C816" s="48">
        <f t="shared" ca="1" si="52"/>
        <v>-2.4635795477709186</v>
      </c>
      <c r="D816" s="48">
        <f t="shared" ca="1" si="49"/>
        <v>0.52121643248793692</v>
      </c>
      <c r="E816" s="48">
        <f t="shared" ca="1" si="50"/>
        <v>0</v>
      </c>
      <c r="F816" s="17">
        <f t="shared" ca="1" si="51"/>
        <v>0</v>
      </c>
      <c r="H816" s="17">
        <v>801</v>
      </c>
      <c r="I816" s="43">
        <v>0.66764946357721833</v>
      </c>
      <c r="J816" s="43">
        <v>1.8564222299785955E-2</v>
      </c>
      <c r="K816" s="43"/>
      <c r="L816" s="43">
        <v>0.2442</v>
      </c>
      <c r="O816" s="50"/>
    </row>
    <row r="817" spans="2:15" x14ac:dyDescent="0.2">
      <c r="B817">
        <v>802</v>
      </c>
      <c r="C817" s="48">
        <f t="shared" ca="1" si="52"/>
        <v>-1.0780242261652146</v>
      </c>
      <c r="D817" s="48">
        <f t="shared" ca="1" si="49"/>
        <v>0.59750566580566178</v>
      </c>
      <c r="E817" s="48">
        <f t="shared" ca="1" si="50"/>
        <v>0</v>
      </c>
      <c r="F817" s="17">
        <f t="shared" ca="1" si="51"/>
        <v>0</v>
      </c>
      <c r="H817" s="17">
        <v>802</v>
      </c>
      <c r="I817" s="43">
        <v>0.667915337056187</v>
      </c>
      <c r="J817" s="43">
        <v>1.8436954902746133E-2</v>
      </c>
      <c r="K817" s="43"/>
      <c r="L817" s="43">
        <v>0.24160000000000001</v>
      </c>
      <c r="O817" s="50"/>
    </row>
    <row r="818" spans="2:15" x14ac:dyDescent="0.2">
      <c r="B818">
        <v>803</v>
      </c>
      <c r="C818" s="48">
        <f t="shared" ca="1" si="52"/>
        <v>1.4685004372600821</v>
      </c>
      <c r="D818" s="48">
        <f t="shared" ca="1" si="49"/>
        <v>0.76802262280080091</v>
      </c>
      <c r="E818" s="48">
        <f t="shared" ca="1" si="50"/>
        <v>0</v>
      </c>
      <c r="F818" s="17">
        <f t="shared" ca="1" si="51"/>
        <v>0</v>
      </c>
      <c r="H818" s="17">
        <v>803</v>
      </c>
      <c r="I818" s="43">
        <v>0.66900629191419125</v>
      </c>
      <c r="J818" s="43">
        <v>1.9605467735040374E-2</v>
      </c>
      <c r="K818" s="43"/>
      <c r="L818" s="43">
        <v>0.2596</v>
      </c>
      <c r="O818" s="50"/>
    </row>
    <row r="819" spans="2:15" x14ac:dyDescent="0.2">
      <c r="B819">
        <v>804</v>
      </c>
      <c r="C819" s="48">
        <f t="shared" ca="1" si="52"/>
        <v>-0.67964688807795315</v>
      </c>
      <c r="D819" s="48">
        <f t="shared" ca="1" si="49"/>
        <v>0.6214396360740817</v>
      </c>
      <c r="E819" s="48">
        <f t="shared" ca="1" si="50"/>
        <v>0</v>
      </c>
      <c r="F819" s="17">
        <f t="shared" ca="1" si="51"/>
        <v>0</v>
      </c>
      <c r="H819" s="17">
        <v>804</v>
      </c>
      <c r="I819" s="43">
        <v>0.66861749807981685</v>
      </c>
      <c r="J819" s="43">
        <v>1.945583921672997E-2</v>
      </c>
      <c r="K819" s="43"/>
      <c r="L819" s="43">
        <v>0.25719999999999998</v>
      </c>
      <c r="O819" s="50"/>
    </row>
    <row r="820" spans="2:15" x14ac:dyDescent="0.2">
      <c r="B820">
        <v>805</v>
      </c>
      <c r="C820" s="48">
        <f t="shared" ca="1" si="52"/>
        <v>-1.5986818367032043</v>
      </c>
      <c r="D820" s="48">
        <f t="shared" ca="1" si="49"/>
        <v>0.56760936807090812</v>
      </c>
      <c r="E820" s="48">
        <f t="shared" ca="1" si="50"/>
        <v>0</v>
      </c>
      <c r="F820" s="17">
        <f t="shared" ca="1" si="51"/>
        <v>0</v>
      </c>
      <c r="H820" s="17">
        <v>805</v>
      </c>
      <c r="I820" s="43">
        <v>0.66777103264014648</v>
      </c>
      <c r="J820" s="43">
        <v>1.8654924427577414E-2</v>
      </c>
      <c r="K820" s="43"/>
      <c r="L820" s="43">
        <v>0.247</v>
      </c>
      <c r="O820" s="50"/>
    </row>
    <row r="821" spans="2:15" x14ac:dyDescent="0.2">
      <c r="B821">
        <v>806</v>
      </c>
      <c r="C821" s="48">
        <f t="shared" ca="1" si="52"/>
        <v>0.31934276818740265</v>
      </c>
      <c r="D821" s="48">
        <f t="shared" ca="1" si="49"/>
        <v>0.6857592664229899</v>
      </c>
      <c r="E821" s="48">
        <f t="shared" ca="1" si="50"/>
        <v>0</v>
      </c>
      <c r="F821" s="17">
        <f t="shared" ca="1" si="51"/>
        <v>0</v>
      </c>
      <c r="H821" s="17">
        <v>806</v>
      </c>
      <c r="I821" s="43">
        <v>0.66903789478635112</v>
      </c>
      <c r="J821" s="43">
        <v>1.9435052976097794E-2</v>
      </c>
      <c r="K821" s="43"/>
      <c r="L821" s="43">
        <v>0.25180000000000002</v>
      </c>
      <c r="O821" s="50"/>
    </row>
    <row r="822" spans="2:15" x14ac:dyDescent="0.2">
      <c r="B822">
        <v>807</v>
      </c>
      <c r="C822" s="48">
        <f t="shared" ca="1" si="52"/>
        <v>0.37722846376224356</v>
      </c>
      <c r="D822" s="48">
        <f t="shared" ca="1" si="49"/>
        <v>0.68968394837103253</v>
      </c>
      <c r="E822" s="48">
        <f t="shared" ca="1" si="50"/>
        <v>0</v>
      </c>
      <c r="F822" s="17">
        <f t="shared" ca="1" si="51"/>
        <v>0</v>
      </c>
      <c r="H822" s="17">
        <v>807</v>
      </c>
      <c r="I822" s="43">
        <v>0.6707634217630345</v>
      </c>
      <c r="J822" s="43">
        <v>2.0652356674717962E-2</v>
      </c>
      <c r="K822" s="43"/>
      <c r="L822" s="43">
        <v>0.25679999999999997</v>
      </c>
      <c r="O822" s="50"/>
    </row>
    <row r="823" spans="2:15" x14ac:dyDescent="0.2">
      <c r="B823">
        <v>808</v>
      </c>
      <c r="C823" s="48">
        <f t="shared" ca="1" si="52"/>
        <v>-2.0064087245588595</v>
      </c>
      <c r="D823" s="48">
        <f t="shared" ca="1" si="49"/>
        <v>0.54524579207865143</v>
      </c>
      <c r="E823" s="48">
        <f t="shared" ca="1" si="50"/>
        <v>0</v>
      </c>
      <c r="F823" s="17">
        <f t="shared" ca="1" si="51"/>
        <v>0</v>
      </c>
      <c r="H823" s="17">
        <v>808</v>
      </c>
      <c r="I823" s="43">
        <v>0.66832105228774774</v>
      </c>
      <c r="J823" s="43">
        <v>1.8742452650195935E-2</v>
      </c>
      <c r="K823" s="43"/>
      <c r="L823" s="43">
        <v>0.24479999999999999</v>
      </c>
      <c r="O823" s="50"/>
    </row>
    <row r="824" spans="2:15" x14ac:dyDescent="0.2">
      <c r="B824">
        <v>809</v>
      </c>
      <c r="C824" s="48">
        <f t="shared" ca="1" si="52"/>
        <v>0.93385446953475315</v>
      </c>
      <c r="D824" s="48">
        <f t="shared" ca="1" si="49"/>
        <v>0.72858900678030003</v>
      </c>
      <c r="E824" s="48">
        <f t="shared" ca="1" si="50"/>
        <v>0</v>
      </c>
      <c r="F824" s="17">
        <f t="shared" ca="1" si="51"/>
        <v>0</v>
      </c>
      <c r="H824" s="17">
        <v>809</v>
      </c>
      <c r="I824" s="43">
        <v>0.66944173637168947</v>
      </c>
      <c r="J824" s="43">
        <v>1.9863290749535439E-2</v>
      </c>
      <c r="K824" s="43"/>
      <c r="L824" s="43">
        <v>0.25040000000000001</v>
      </c>
      <c r="O824" s="50"/>
    </row>
    <row r="825" spans="2:15" x14ac:dyDescent="0.2">
      <c r="B825">
        <v>810</v>
      </c>
      <c r="C825" s="48">
        <f t="shared" ca="1" si="52"/>
        <v>2.0819663908984016</v>
      </c>
      <c r="D825" s="48">
        <f t="shared" ca="1" si="49"/>
        <v>0.81590607618787236</v>
      </c>
      <c r="E825" s="48">
        <f t="shared" ca="1" si="50"/>
        <v>2.7706076187872353E-2</v>
      </c>
      <c r="F825" s="17">
        <f t="shared" ca="1" si="51"/>
        <v>1</v>
      </c>
      <c r="H825" s="17">
        <v>810</v>
      </c>
      <c r="I825" s="43">
        <v>0.6696567271821493</v>
      </c>
      <c r="J825" s="43">
        <v>1.984448412401095E-2</v>
      </c>
      <c r="K825" s="43"/>
      <c r="L825" s="43">
        <v>0.25159999999999999</v>
      </c>
      <c r="O825" s="50"/>
    </row>
    <row r="826" spans="2:15" x14ac:dyDescent="0.2">
      <c r="B826">
        <v>811</v>
      </c>
      <c r="C826" s="48">
        <f t="shared" ca="1" si="52"/>
        <v>-0.29725574959650269</v>
      </c>
      <c r="D826" s="48">
        <f t="shared" ca="1" si="49"/>
        <v>0.64531447417602184</v>
      </c>
      <c r="E826" s="48">
        <f t="shared" ca="1" si="50"/>
        <v>0</v>
      </c>
      <c r="F826" s="17">
        <f t="shared" ca="1" si="51"/>
        <v>0</v>
      </c>
      <c r="H826" s="17">
        <v>811</v>
      </c>
      <c r="I826" s="43">
        <v>0.6696015193982755</v>
      </c>
      <c r="J826" s="43">
        <v>2.0225430547112455E-2</v>
      </c>
      <c r="K826" s="43"/>
      <c r="L826" s="43">
        <v>0.26140000000000002</v>
      </c>
      <c r="O826" s="50"/>
    </row>
    <row r="827" spans="2:15" x14ac:dyDescent="0.2">
      <c r="B827">
        <v>812</v>
      </c>
      <c r="C827" s="48">
        <f t="shared" ca="1" si="52"/>
        <v>-2.5743464845799804</v>
      </c>
      <c r="D827" s="48">
        <f t="shared" ca="1" si="49"/>
        <v>0.51555559320112709</v>
      </c>
      <c r="E827" s="48">
        <f t="shared" ca="1" si="50"/>
        <v>0</v>
      </c>
      <c r="F827" s="17">
        <f t="shared" ca="1" si="51"/>
        <v>0</v>
      </c>
      <c r="H827" s="17">
        <v>812</v>
      </c>
      <c r="I827" s="43">
        <v>0.66860060552715639</v>
      </c>
      <c r="J827" s="43">
        <v>1.9081944458856932E-2</v>
      </c>
      <c r="K827" s="43"/>
      <c r="L827" s="43">
        <v>0.24759999999999999</v>
      </c>
      <c r="O827" s="50"/>
    </row>
    <row r="828" spans="2:15" x14ac:dyDescent="0.2">
      <c r="B828">
        <v>813</v>
      </c>
      <c r="C828" s="48">
        <f t="shared" ca="1" si="52"/>
        <v>-0.32332828401496139</v>
      </c>
      <c r="D828" s="48">
        <f t="shared" ca="1" si="49"/>
        <v>0.64365787158952559</v>
      </c>
      <c r="E828" s="48">
        <f t="shared" ca="1" si="50"/>
        <v>0</v>
      </c>
      <c r="F828" s="17">
        <f t="shared" ca="1" si="51"/>
        <v>0</v>
      </c>
      <c r="H828" s="17">
        <v>813</v>
      </c>
      <c r="I828" s="43">
        <v>0.66965642464790376</v>
      </c>
      <c r="J828" s="43">
        <v>2.021839460952984E-2</v>
      </c>
      <c r="K828" s="43"/>
      <c r="L828" s="43">
        <v>0.26100000000000001</v>
      </c>
      <c r="O828" s="50"/>
    </row>
    <row r="829" spans="2:15" x14ac:dyDescent="0.2">
      <c r="B829">
        <v>814</v>
      </c>
      <c r="C829" s="48">
        <f t="shared" ca="1" si="52"/>
        <v>0.56905641663362394</v>
      </c>
      <c r="D829" s="48">
        <f t="shared" ca="1" si="49"/>
        <v>0.70285125215577504</v>
      </c>
      <c r="E829" s="48">
        <f t="shared" ca="1" si="50"/>
        <v>0</v>
      </c>
      <c r="F829" s="17">
        <f t="shared" ca="1" si="51"/>
        <v>0</v>
      </c>
      <c r="H829" s="17">
        <v>814</v>
      </c>
      <c r="I829" s="43">
        <v>0.66877028924625215</v>
      </c>
      <c r="J829" s="43">
        <v>1.9233552499979396E-2</v>
      </c>
      <c r="K829" s="43"/>
      <c r="L829" s="43">
        <v>0.24579999999999999</v>
      </c>
      <c r="O829" s="50"/>
    </row>
    <row r="830" spans="2:15" x14ac:dyDescent="0.2">
      <c r="B830">
        <v>815</v>
      </c>
      <c r="C830" s="48">
        <f t="shared" ca="1" si="52"/>
        <v>-2.4862848629260839</v>
      </c>
      <c r="D830" s="48">
        <f t="shared" ca="1" si="49"/>
        <v>0.52005101543225374</v>
      </c>
      <c r="E830" s="48">
        <f t="shared" ca="1" si="50"/>
        <v>0</v>
      </c>
      <c r="F830" s="17">
        <f t="shared" ca="1" si="51"/>
        <v>0</v>
      </c>
      <c r="H830" s="17">
        <v>815</v>
      </c>
      <c r="I830" s="43">
        <v>0.66850951163034</v>
      </c>
      <c r="J830" s="43">
        <v>1.8922540270074169E-2</v>
      </c>
      <c r="K830" s="43"/>
      <c r="L830" s="43">
        <v>0.24640000000000001</v>
      </c>
      <c r="O830" s="50"/>
    </row>
    <row r="831" spans="2:15" x14ac:dyDescent="0.2">
      <c r="B831">
        <v>816</v>
      </c>
      <c r="C831" s="48">
        <f t="shared" ca="1" si="52"/>
        <v>-0.67397812291588</v>
      </c>
      <c r="D831" s="48">
        <f t="shared" ca="1" si="49"/>
        <v>0.62178703662167134</v>
      </c>
      <c r="E831" s="48">
        <f t="shared" ca="1" si="50"/>
        <v>0</v>
      </c>
      <c r="F831" s="17">
        <f t="shared" ca="1" si="51"/>
        <v>0</v>
      </c>
      <c r="H831" s="17">
        <v>816</v>
      </c>
      <c r="I831" s="43">
        <v>0.66900814118786378</v>
      </c>
      <c r="J831" s="43">
        <v>1.946060121911606E-2</v>
      </c>
      <c r="K831" s="43"/>
      <c r="L831" s="43">
        <v>0.24679999999999999</v>
      </c>
      <c r="O831" s="50"/>
    </row>
    <row r="832" spans="2:15" x14ac:dyDescent="0.2">
      <c r="B832">
        <v>817</v>
      </c>
      <c r="C832" s="48">
        <f t="shared" ca="1" si="52"/>
        <v>0.55611009085878638</v>
      </c>
      <c r="D832" s="48">
        <f t="shared" ca="1" si="49"/>
        <v>0.70195474337167041</v>
      </c>
      <c r="E832" s="48">
        <f t="shared" ca="1" si="50"/>
        <v>0</v>
      </c>
      <c r="F832" s="17">
        <f t="shared" ca="1" si="51"/>
        <v>0</v>
      </c>
      <c r="H832" s="17">
        <v>817</v>
      </c>
      <c r="I832" s="43">
        <v>0.66978450899328745</v>
      </c>
      <c r="J832" s="43">
        <v>1.9884763681705615E-2</v>
      </c>
      <c r="K832" s="43"/>
      <c r="L832" s="43">
        <v>0.25319999999999998</v>
      </c>
      <c r="O832" s="50"/>
    </row>
    <row r="833" spans="2:15" x14ac:dyDescent="0.2">
      <c r="B833">
        <v>818</v>
      </c>
      <c r="C833" s="48">
        <f t="shared" ca="1" si="52"/>
        <v>0.7866249027449157</v>
      </c>
      <c r="D833" s="48">
        <f t="shared" ca="1" si="49"/>
        <v>0.71808992566048169</v>
      </c>
      <c r="E833" s="48">
        <f t="shared" ca="1" si="50"/>
        <v>0</v>
      </c>
      <c r="F833" s="17">
        <f t="shared" ca="1" si="51"/>
        <v>0</v>
      </c>
      <c r="H833" s="17">
        <v>818</v>
      </c>
      <c r="I833" s="43">
        <v>0.67042600345044356</v>
      </c>
      <c r="J833" s="43">
        <v>2.0499698733987951E-2</v>
      </c>
      <c r="K833" s="43"/>
      <c r="L833" s="43">
        <v>0.24959999999999999</v>
      </c>
      <c r="O833" s="50"/>
    </row>
    <row r="834" spans="2:15" x14ac:dyDescent="0.2">
      <c r="B834">
        <v>819</v>
      </c>
      <c r="C834" s="48">
        <f t="shared" ca="1" si="52"/>
        <v>0.72609830547094234</v>
      </c>
      <c r="D834" s="48">
        <f t="shared" ca="1" si="49"/>
        <v>0.71381772439141511</v>
      </c>
      <c r="E834" s="48">
        <f t="shared" ca="1" si="50"/>
        <v>0</v>
      </c>
      <c r="F834" s="17">
        <f t="shared" ca="1" si="51"/>
        <v>0</v>
      </c>
      <c r="H834" s="17">
        <v>819</v>
      </c>
      <c r="I834" s="43">
        <v>0.66801492296672649</v>
      </c>
      <c r="J834" s="43">
        <v>1.8672834889948128E-2</v>
      </c>
      <c r="K834" s="43"/>
      <c r="L834" s="43">
        <v>0.24540000000000001</v>
      </c>
      <c r="O834" s="50"/>
    </row>
    <row r="835" spans="2:15" x14ac:dyDescent="0.2">
      <c r="B835">
        <v>820</v>
      </c>
      <c r="C835" s="48">
        <f t="shared" ca="1" si="52"/>
        <v>0.23346808097460683</v>
      </c>
      <c r="D835" s="48">
        <f t="shared" ca="1" si="49"/>
        <v>0.67997802021116693</v>
      </c>
      <c r="E835" s="48">
        <f t="shared" ca="1" si="50"/>
        <v>0</v>
      </c>
      <c r="F835" s="17">
        <f t="shared" ca="1" si="51"/>
        <v>0</v>
      </c>
      <c r="H835" s="17">
        <v>820</v>
      </c>
      <c r="I835" s="43">
        <v>0.66773871515154215</v>
      </c>
      <c r="J835" s="43">
        <v>1.869544201475766E-2</v>
      </c>
      <c r="K835" s="43"/>
      <c r="L835" s="43">
        <v>0.246</v>
      </c>
      <c r="O835" s="50"/>
    </row>
    <row r="836" spans="2:15" x14ac:dyDescent="0.2">
      <c r="B836">
        <v>821</v>
      </c>
      <c r="C836" s="48">
        <f t="shared" ca="1" si="52"/>
        <v>1.3912176900482938</v>
      </c>
      <c r="D836" s="48">
        <f t="shared" ca="1" si="49"/>
        <v>0.76219320924254763</v>
      </c>
      <c r="E836" s="48">
        <f t="shared" ca="1" si="50"/>
        <v>0</v>
      </c>
      <c r="F836" s="17">
        <f t="shared" ca="1" si="51"/>
        <v>0</v>
      </c>
      <c r="H836" s="17">
        <v>821</v>
      </c>
      <c r="I836" s="43">
        <v>0.66853154088838118</v>
      </c>
      <c r="J836" s="43">
        <v>1.9279034694465003E-2</v>
      </c>
      <c r="K836" s="43"/>
      <c r="L836" s="43">
        <v>0.25159999999999999</v>
      </c>
      <c r="O836" s="50"/>
    </row>
    <row r="837" spans="2:15" x14ac:dyDescent="0.2">
      <c r="B837">
        <v>822</v>
      </c>
      <c r="C837" s="48">
        <f t="shared" ca="1" si="52"/>
        <v>-0.37034221681903445</v>
      </c>
      <c r="D837" s="48">
        <f t="shared" ca="1" si="49"/>
        <v>0.64068143042513948</v>
      </c>
      <c r="E837" s="48">
        <f t="shared" ca="1" si="50"/>
        <v>0</v>
      </c>
      <c r="F837" s="17">
        <f t="shared" ca="1" si="51"/>
        <v>0</v>
      </c>
      <c r="H837" s="17">
        <v>822</v>
      </c>
      <c r="I837" s="43">
        <v>0.67037708646599559</v>
      </c>
      <c r="J837" s="43">
        <v>2.0713339206384278E-2</v>
      </c>
      <c r="K837" s="43"/>
      <c r="L837" s="43">
        <v>0.26019999999999999</v>
      </c>
      <c r="O837" s="50"/>
    </row>
    <row r="838" spans="2:15" x14ac:dyDescent="0.2">
      <c r="B838">
        <v>823</v>
      </c>
      <c r="C838" s="48">
        <f t="shared" ca="1" si="52"/>
        <v>-1.4781884387429904</v>
      </c>
      <c r="D838" s="48">
        <f t="shared" ca="1" si="49"/>
        <v>0.57439228663345765</v>
      </c>
      <c r="E838" s="48">
        <f t="shared" ca="1" si="50"/>
        <v>0</v>
      </c>
      <c r="F838" s="17">
        <f t="shared" ca="1" si="51"/>
        <v>0</v>
      </c>
      <c r="H838" s="17">
        <v>823</v>
      </c>
      <c r="I838" s="43">
        <v>0.66961847812795217</v>
      </c>
      <c r="J838" s="43">
        <v>1.99446588576889E-2</v>
      </c>
      <c r="K838" s="43"/>
      <c r="L838" s="43">
        <v>0.251</v>
      </c>
      <c r="O838" s="50"/>
    </row>
    <row r="839" spans="2:15" x14ac:dyDescent="0.2">
      <c r="B839">
        <v>824</v>
      </c>
      <c r="C839" s="48">
        <f t="shared" ca="1" si="52"/>
        <v>0.82768408555739548</v>
      </c>
      <c r="D839" s="48">
        <f t="shared" ca="1" si="49"/>
        <v>0.72100258804603745</v>
      </c>
      <c r="E839" s="48">
        <f t="shared" ca="1" si="50"/>
        <v>0</v>
      </c>
      <c r="F839" s="17">
        <f t="shared" ca="1" si="51"/>
        <v>0</v>
      </c>
      <c r="H839" s="17">
        <v>824</v>
      </c>
      <c r="I839" s="43">
        <v>0.66800079341466923</v>
      </c>
      <c r="J839" s="43">
        <v>1.8894252182089115E-2</v>
      </c>
      <c r="K839" s="43"/>
      <c r="L839" s="43">
        <v>0.24560000000000001</v>
      </c>
      <c r="O839" s="50"/>
    </row>
    <row r="840" spans="2:15" x14ac:dyDescent="0.2">
      <c r="B840">
        <v>825</v>
      </c>
      <c r="C840" s="48">
        <f t="shared" ca="1" si="52"/>
        <v>-0.46259663264738371</v>
      </c>
      <c r="D840" s="48">
        <f t="shared" ca="1" si="49"/>
        <v>0.63488076876338351</v>
      </c>
      <c r="E840" s="48">
        <f t="shared" ca="1" si="50"/>
        <v>0</v>
      </c>
      <c r="F840" s="17">
        <f t="shared" ca="1" si="51"/>
        <v>0</v>
      </c>
      <c r="H840" s="17">
        <v>825</v>
      </c>
      <c r="I840" s="43">
        <v>0.66960670447118653</v>
      </c>
      <c r="J840" s="43">
        <v>1.9657710531703322E-2</v>
      </c>
      <c r="K840" s="43"/>
      <c r="L840" s="43">
        <v>0.25419999999999998</v>
      </c>
      <c r="O840" s="50"/>
    </row>
    <row r="841" spans="2:15" x14ac:dyDescent="0.2">
      <c r="B841">
        <v>826</v>
      </c>
      <c r="C841" s="48">
        <f t="shared" ca="1" si="52"/>
        <v>0.26947218670954409</v>
      </c>
      <c r="D841" s="48">
        <f t="shared" ca="1" si="49"/>
        <v>0.68239592740539434</v>
      </c>
      <c r="E841" s="48">
        <f t="shared" ca="1" si="50"/>
        <v>0</v>
      </c>
      <c r="F841" s="17">
        <f t="shared" ca="1" si="51"/>
        <v>0</v>
      </c>
      <c r="H841" s="17">
        <v>826</v>
      </c>
      <c r="I841" s="43">
        <v>0.6677657530611073</v>
      </c>
      <c r="J841" s="43">
        <v>1.8341511098495782E-2</v>
      </c>
      <c r="K841" s="43"/>
      <c r="L841" s="43">
        <v>0.24399999999999999</v>
      </c>
      <c r="O841" s="50"/>
    </row>
    <row r="842" spans="2:15" x14ac:dyDescent="0.2">
      <c r="B842">
        <v>827</v>
      </c>
      <c r="C842" s="48">
        <f t="shared" ca="1" si="52"/>
        <v>-0.76297743796356665</v>
      </c>
      <c r="D842" s="48">
        <f t="shared" ca="1" si="49"/>
        <v>0.61635520693603951</v>
      </c>
      <c r="E842" s="48">
        <f t="shared" ca="1" si="50"/>
        <v>0</v>
      </c>
      <c r="F842" s="17">
        <f t="shared" ca="1" si="51"/>
        <v>0</v>
      </c>
      <c r="H842" s="17">
        <v>827</v>
      </c>
      <c r="I842" s="43">
        <v>0.67038363457227357</v>
      </c>
      <c r="J842" s="43">
        <v>2.0503600421401872E-2</v>
      </c>
      <c r="K842" s="43"/>
      <c r="L842" s="43">
        <v>0.246</v>
      </c>
      <c r="O842" s="50"/>
    </row>
    <row r="843" spans="2:15" x14ac:dyDescent="0.2">
      <c r="B843">
        <v>828</v>
      </c>
      <c r="C843" s="48">
        <f t="shared" ca="1" si="52"/>
        <v>-0.78820782617561946</v>
      </c>
      <c r="D843" s="48">
        <f t="shared" ca="1" si="49"/>
        <v>0.61482399007543553</v>
      </c>
      <c r="E843" s="48">
        <f t="shared" ca="1" si="50"/>
        <v>0</v>
      </c>
      <c r="F843" s="17">
        <f t="shared" ca="1" si="51"/>
        <v>0</v>
      </c>
      <c r="H843" s="17">
        <v>828</v>
      </c>
      <c r="I843" s="43">
        <v>0.66927279315906818</v>
      </c>
      <c r="J843" s="43">
        <v>1.9657661253769634E-2</v>
      </c>
      <c r="K843" s="43"/>
      <c r="L843" s="43">
        <v>0.25040000000000001</v>
      </c>
      <c r="O843" s="50"/>
    </row>
    <row r="844" spans="2:15" x14ac:dyDescent="0.2">
      <c r="B844">
        <v>829</v>
      </c>
      <c r="C844" s="48">
        <f t="shared" ca="1" si="52"/>
        <v>0.90107723422115871</v>
      </c>
      <c r="D844" s="48">
        <f t="shared" ca="1" si="49"/>
        <v>0.72623842617899514</v>
      </c>
      <c r="E844" s="48">
        <f t="shared" ca="1" si="50"/>
        <v>0</v>
      </c>
      <c r="F844" s="17">
        <f t="shared" ca="1" si="51"/>
        <v>0</v>
      </c>
      <c r="H844" s="17">
        <v>829</v>
      </c>
      <c r="I844" s="43">
        <v>0.6686393740465616</v>
      </c>
      <c r="J844" s="43">
        <v>1.8764306936131635E-2</v>
      </c>
      <c r="K844" s="43"/>
      <c r="L844" s="43">
        <v>0.2452</v>
      </c>
      <c r="O844" s="50"/>
    </row>
    <row r="845" spans="2:15" x14ac:dyDescent="0.2">
      <c r="B845">
        <v>830</v>
      </c>
      <c r="C845" s="48">
        <f t="shared" ca="1" si="52"/>
        <v>0.33053689823870713</v>
      </c>
      <c r="D845" s="48">
        <f t="shared" ca="1" si="49"/>
        <v>0.6865164887649845</v>
      </c>
      <c r="E845" s="48">
        <f t="shared" ca="1" si="50"/>
        <v>0</v>
      </c>
      <c r="F845" s="17">
        <f t="shared" ca="1" si="51"/>
        <v>0</v>
      </c>
      <c r="H845" s="17">
        <v>830</v>
      </c>
      <c r="I845" s="43">
        <v>0.66913934275111997</v>
      </c>
      <c r="J845" s="43">
        <v>1.9204798026605567E-2</v>
      </c>
      <c r="K845" s="43"/>
      <c r="L845" s="43">
        <v>0.24759999999999999</v>
      </c>
      <c r="O845" s="50"/>
    </row>
    <row r="846" spans="2:15" x14ac:dyDescent="0.2">
      <c r="B846">
        <v>831</v>
      </c>
      <c r="C846" s="48">
        <f t="shared" ca="1" si="52"/>
        <v>-1.3918098572361057</v>
      </c>
      <c r="D846" s="48">
        <f t="shared" ca="1" si="49"/>
        <v>0.57930460937467587</v>
      </c>
      <c r="E846" s="48">
        <f t="shared" ca="1" si="50"/>
        <v>0</v>
      </c>
      <c r="F846" s="17">
        <f t="shared" ca="1" si="51"/>
        <v>0</v>
      </c>
      <c r="H846" s="17">
        <v>831</v>
      </c>
      <c r="I846" s="43">
        <v>0.66783706779671148</v>
      </c>
      <c r="J846" s="43">
        <v>1.8733628044590733E-2</v>
      </c>
      <c r="K846" s="43"/>
      <c r="L846" s="43">
        <v>0.24779999999999999</v>
      </c>
      <c r="O846" s="50"/>
    </row>
    <row r="847" spans="2:15" x14ac:dyDescent="0.2">
      <c r="B847">
        <v>832</v>
      </c>
      <c r="C847" s="48">
        <f t="shared" ca="1" si="52"/>
        <v>-0.98330244079301188</v>
      </c>
      <c r="D847" s="48">
        <f t="shared" ca="1" si="49"/>
        <v>0.60311153558778474</v>
      </c>
      <c r="E847" s="48">
        <f t="shared" ca="1" si="50"/>
        <v>0</v>
      </c>
      <c r="F847" s="17">
        <f t="shared" ca="1" si="51"/>
        <v>0</v>
      </c>
      <c r="H847" s="17">
        <v>832</v>
      </c>
      <c r="I847" s="43">
        <v>0.66876315413305853</v>
      </c>
      <c r="J847" s="43">
        <v>1.9130999716974306E-2</v>
      </c>
      <c r="K847" s="43"/>
      <c r="L847" s="43">
        <v>0.25359999999999999</v>
      </c>
      <c r="O847" s="50"/>
    </row>
    <row r="848" spans="2:15" x14ac:dyDescent="0.2">
      <c r="B848">
        <v>833</v>
      </c>
      <c r="C848" s="48">
        <f t="shared" ca="1" si="52"/>
        <v>-2.2297622689833489E-2</v>
      </c>
      <c r="D848" s="48">
        <f t="shared" ref="D848:D911" ca="1" si="53">S0*EXP((μ-0.5*σ*σ)*T+σ*SQRT(T)*$C848)</f>
        <v>0.66304653804859603</v>
      </c>
      <c r="E848" s="48">
        <f t="shared" ref="E848:E911" ca="1" si="54">MAX(0,CP*(D848-K))</f>
        <v>0</v>
      </c>
      <c r="F848" s="17">
        <f t="shared" ref="F848:F911" ca="1" si="55">(CP*(D848-K)&gt;0)*1</f>
        <v>0</v>
      </c>
      <c r="H848" s="17">
        <v>833</v>
      </c>
      <c r="I848" s="43">
        <v>0.66935174608469716</v>
      </c>
      <c r="J848" s="43">
        <v>1.9750158688136982E-2</v>
      </c>
      <c r="K848" s="43"/>
      <c r="L848" s="43">
        <v>0.24959999999999999</v>
      </c>
      <c r="O848" s="50"/>
    </row>
    <row r="849" spans="2:15" x14ac:dyDescent="0.2">
      <c r="B849">
        <v>834</v>
      </c>
      <c r="C849" s="48">
        <f t="shared" ref="C849:C912" ca="1" si="56">_xlfn.NORM.S.INV(RAND())</f>
        <v>0.341213696737733</v>
      </c>
      <c r="D849" s="48">
        <f t="shared" ca="1" si="53"/>
        <v>0.68723949547605734</v>
      </c>
      <c r="E849" s="48">
        <f t="shared" ca="1" si="54"/>
        <v>0</v>
      </c>
      <c r="F849" s="17">
        <f t="shared" ca="1" si="55"/>
        <v>0</v>
      </c>
      <c r="H849" s="17">
        <v>834</v>
      </c>
      <c r="I849" s="43">
        <v>0.66957397774616934</v>
      </c>
      <c r="J849" s="43">
        <v>1.9711820919897826E-2</v>
      </c>
      <c r="K849" s="43"/>
      <c r="L849" s="43">
        <v>0.25640000000000002</v>
      </c>
      <c r="O849" s="50"/>
    </row>
    <row r="850" spans="2:15" x14ac:dyDescent="0.2">
      <c r="B850">
        <v>835</v>
      </c>
      <c r="C850" s="48">
        <f t="shared" ca="1" si="56"/>
        <v>0.25171770111457265</v>
      </c>
      <c r="D850" s="48">
        <f t="shared" ca="1" si="53"/>
        <v>0.68120252692542571</v>
      </c>
      <c r="E850" s="48">
        <f t="shared" ca="1" si="54"/>
        <v>0</v>
      </c>
      <c r="F850" s="17">
        <f t="shared" ca="1" si="55"/>
        <v>0</v>
      </c>
      <c r="H850" s="17">
        <v>835</v>
      </c>
      <c r="I850" s="43">
        <v>0.66926933452329462</v>
      </c>
      <c r="J850" s="43">
        <v>1.9754394094825982E-2</v>
      </c>
      <c r="K850" s="43"/>
      <c r="L850" s="43">
        <v>0.252</v>
      </c>
      <c r="O850" s="50"/>
    </row>
    <row r="851" spans="2:15" x14ac:dyDescent="0.2">
      <c r="B851">
        <v>836</v>
      </c>
      <c r="C851" s="48">
        <f t="shared" ca="1" si="56"/>
        <v>0.9931244987034209</v>
      </c>
      <c r="D851" s="48">
        <f t="shared" ca="1" si="53"/>
        <v>0.73285882067483565</v>
      </c>
      <c r="E851" s="48">
        <f t="shared" ca="1" si="54"/>
        <v>0</v>
      </c>
      <c r="F851" s="17">
        <f t="shared" ca="1" si="55"/>
        <v>0</v>
      </c>
      <c r="H851" s="17">
        <v>836</v>
      </c>
      <c r="I851" s="43">
        <v>0.66807729655661019</v>
      </c>
      <c r="J851" s="43">
        <v>1.8771244648274694E-2</v>
      </c>
      <c r="K851" s="43"/>
      <c r="L851" s="43">
        <v>0.24660000000000001</v>
      </c>
      <c r="O851" s="50"/>
    </row>
    <row r="852" spans="2:15" x14ac:dyDescent="0.2">
      <c r="B852">
        <v>837</v>
      </c>
      <c r="C852" s="48">
        <f t="shared" ca="1" si="56"/>
        <v>-0.29032219216759308</v>
      </c>
      <c r="D852" s="48">
        <f t="shared" ca="1" si="53"/>
        <v>0.64575573735142899</v>
      </c>
      <c r="E852" s="48">
        <f t="shared" ca="1" si="54"/>
        <v>0</v>
      </c>
      <c r="F852" s="17">
        <f t="shared" ca="1" si="55"/>
        <v>0</v>
      </c>
      <c r="H852" s="17">
        <v>837</v>
      </c>
      <c r="I852" s="43">
        <v>0.66970007985625646</v>
      </c>
      <c r="J852" s="43">
        <v>2.0093657151576981E-2</v>
      </c>
      <c r="K852" s="43"/>
      <c r="L852" s="43">
        <v>0.25480000000000003</v>
      </c>
      <c r="O852" s="50"/>
    </row>
    <row r="853" spans="2:15" x14ac:dyDescent="0.2">
      <c r="B853">
        <v>838</v>
      </c>
      <c r="C853" s="48">
        <f t="shared" ca="1" si="56"/>
        <v>-0.13171986662766091</v>
      </c>
      <c r="D853" s="48">
        <f t="shared" ca="1" si="53"/>
        <v>0.65593225821395773</v>
      </c>
      <c r="E853" s="48">
        <f t="shared" ca="1" si="54"/>
        <v>0</v>
      </c>
      <c r="F853" s="17">
        <f t="shared" ca="1" si="55"/>
        <v>0</v>
      </c>
      <c r="H853" s="17">
        <v>838</v>
      </c>
      <c r="I853" s="43">
        <v>0.66953037166613982</v>
      </c>
      <c r="J853" s="43">
        <v>1.978298656020671E-2</v>
      </c>
      <c r="K853" s="43"/>
      <c r="L853" s="43">
        <v>0.25059999999999999</v>
      </c>
      <c r="O853" s="50"/>
    </row>
    <row r="854" spans="2:15" x14ac:dyDescent="0.2">
      <c r="B854">
        <v>839</v>
      </c>
      <c r="C854" s="48">
        <f t="shared" ca="1" si="56"/>
        <v>1.4792901642860492</v>
      </c>
      <c r="D854" s="48">
        <f t="shared" ca="1" si="53"/>
        <v>0.76884002762709935</v>
      </c>
      <c r="E854" s="48">
        <f t="shared" ca="1" si="54"/>
        <v>0</v>
      </c>
      <c r="F854" s="17">
        <f t="shared" ca="1" si="55"/>
        <v>0</v>
      </c>
      <c r="H854" s="17">
        <v>839</v>
      </c>
      <c r="I854" s="43">
        <v>0.66845898084565569</v>
      </c>
      <c r="J854" s="43">
        <v>1.8988308172587214E-2</v>
      </c>
      <c r="K854" s="43"/>
      <c r="L854" s="43">
        <v>0.24579999999999999</v>
      </c>
      <c r="O854" s="50"/>
    </row>
    <row r="855" spans="2:15" x14ac:dyDescent="0.2">
      <c r="B855">
        <v>840</v>
      </c>
      <c r="C855" s="48">
        <f t="shared" ca="1" si="56"/>
        <v>0.65307298723212004</v>
      </c>
      <c r="D855" s="48">
        <f t="shared" ca="1" si="53"/>
        <v>0.70869713303954351</v>
      </c>
      <c r="E855" s="48">
        <f t="shared" ca="1" si="54"/>
        <v>0</v>
      </c>
      <c r="F855" s="17">
        <f t="shared" ca="1" si="55"/>
        <v>0</v>
      </c>
      <c r="H855" s="17">
        <v>840</v>
      </c>
      <c r="I855" s="43">
        <v>0.67030756820537851</v>
      </c>
      <c r="J855" s="43">
        <v>2.0072882885044059E-2</v>
      </c>
      <c r="K855" s="43"/>
      <c r="L855" s="43">
        <v>0.25280000000000002</v>
      </c>
      <c r="O855" s="50"/>
    </row>
    <row r="856" spans="2:15" x14ac:dyDescent="0.2">
      <c r="B856">
        <v>841</v>
      </c>
      <c r="C856" s="48">
        <f t="shared" ca="1" si="56"/>
        <v>-0.89896820016166912</v>
      </c>
      <c r="D856" s="48">
        <f t="shared" ca="1" si="53"/>
        <v>0.60814688917603421</v>
      </c>
      <c r="E856" s="48">
        <f t="shared" ca="1" si="54"/>
        <v>0</v>
      </c>
      <c r="F856" s="17">
        <f t="shared" ca="1" si="55"/>
        <v>0</v>
      </c>
      <c r="H856" s="17">
        <v>841</v>
      </c>
      <c r="I856" s="43">
        <v>0.66918216337181557</v>
      </c>
      <c r="J856" s="43">
        <v>1.935176992156985E-2</v>
      </c>
      <c r="K856" s="43"/>
      <c r="L856" s="43">
        <v>0.245</v>
      </c>
      <c r="O856" s="50"/>
    </row>
    <row r="857" spans="2:15" x14ac:dyDescent="0.2">
      <c r="B857">
        <v>842</v>
      </c>
      <c r="C857" s="48">
        <f t="shared" ca="1" si="56"/>
        <v>8.6807567621440929E-2</v>
      </c>
      <c r="D857" s="48">
        <f t="shared" ca="1" si="53"/>
        <v>0.67021703013440326</v>
      </c>
      <c r="E857" s="48">
        <f t="shared" ca="1" si="54"/>
        <v>0</v>
      </c>
      <c r="F857" s="17">
        <f t="shared" ca="1" si="55"/>
        <v>0</v>
      </c>
      <c r="H857" s="17">
        <v>842</v>
      </c>
      <c r="I857" s="43">
        <v>0.66843606692642943</v>
      </c>
      <c r="J857" s="43">
        <v>1.9044352463346369E-2</v>
      </c>
      <c r="K857" s="43"/>
      <c r="L857" s="43">
        <v>0.24679999999999999</v>
      </c>
      <c r="O857" s="50"/>
    </row>
    <row r="858" spans="2:15" x14ac:dyDescent="0.2">
      <c r="B858">
        <v>843</v>
      </c>
      <c r="C858" s="48">
        <f t="shared" ca="1" si="56"/>
        <v>1.2433490765033073</v>
      </c>
      <c r="D858" s="48">
        <f t="shared" ca="1" si="53"/>
        <v>0.7511625600924855</v>
      </c>
      <c r="E858" s="48">
        <f t="shared" ca="1" si="54"/>
        <v>0</v>
      </c>
      <c r="F858" s="17">
        <f t="shared" ca="1" si="55"/>
        <v>0</v>
      </c>
      <c r="H858" s="17">
        <v>843</v>
      </c>
      <c r="I858" s="43">
        <v>0.66909601294732057</v>
      </c>
      <c r="J858" s="43">
        <v>1.9375796795829143E-2</v>
      </c>
      <c r="K858" s="43"/>
      <c r="L858" s="43">
        <v>0.25480000000000003</v>
      </c>
      <c r="O858" s="50"/>
    </row>
    <row r="859" spans="2:15" x14ac:dyDescent="0.2">
      <c r="B859">
        <v>844</v>
      </c>
      <c r="C859" s="48">
        <f t="shared" ca="1" si="56"/>
        <v>-0.21204353740538839</v>
      </c>
      <c r="D859" s="48">
        <f t="shared" ca="1" si="53"/>
        <v>0.65075850363815246</v>
      </c>
      <c r="E859" s="48">
        <f t="shared" ca="1" si="54"/>
        <v>0</v>
      </c>
      <c r="F859" s="17">
        <f t="shared" ca="1" si="55"/>
        <v>0</v>
      </c>
      <c r="H859" s="17">
        <v>844</v>
      </c>
      <c r="I859" s="43">
        <v>0.66787623657307893</v>
      </c>
      <c r="J859" s="43">
        <v>1.8526242419894E-2</v>
      </c>
      <c r="K859" s="43"/>
      <c r="L859" s="43">
        <v>0.247</v>
      </c>
      <c r="O859" s="50"/>
    </row>
    <row r="860" spans="2:15" x14ac:dyDescent="0.2">
      <c r="B860">
        <v>845</v>
      </c>
      <c r="C860" s="48">
        <f t="shared" ca="1" si="56"/>
        <v>1.334865055583603</v>
      </c>
      <c r="D860" s="48">
        <f t="shared" ca="1" si="53"/>
        <v>0.7579704610849296</v>
      </c>
      <c r="E860" s="48">
        <f t="shared" ca="1" si="54"/>
        <v>0</v>
      </c>
      <c r="F860" s="17">
        <f t="shared" ca="1" si="55"/>
        <v>0</v>
      </c>
      <c r="H860" s="17">
        <v>845</v>
      </c>
      <c r="I860" s="43">
        <v>0.66956495665392335</v>
      </c>
      <c r="J860" s="43">
        <v>2.0125492052717804E-2</v>
      </c>
      <c r="K860" s="43"/>
      <c r="L860" s="43">
        <v>0.25779999999999997</v>
      </c>
      <c r="O860" s="50"/>
    </row>
    <row r="861" spans="2:15" x14ac:dyDescent="0.2">
      <c r="B861">
        <v>846</v>
      </c>
      <c r="C861" s="48">
        <f t="shared" ca="1" si="56"/>
        <v>0.38416302856949375</v>
      </c>
      <c r="D861" s="48">
        <f t="shared" ca="1" si="53"/>
        <v>0.69015561973883166</v>
      </c>
      <c r="E861" s="48">
        <f t="shared" ca="1" si="54"/>
        <v>0</v>
      </c>
      <c r="F861" s="17">
        <f t="shared" ca="1" si="55"/>
        <v>0</v>
      </c>
      <c r="H861" s="17">
        <v>846</v>
      </c>
      <c r="I861" s="43">
        <v>0.66874375815351206</v>
      </c>
      <c r="J861" s="43">
        <v>1.9089452095348219E-2</v>
      </c>
      <c r="K861" s="43"/>
      <c r="L861" s="43">
        <v>0.24740000000000001</v>
      </c>
      <c r="O861" s="50"/>
    </row>
    <row r="862" spans="2:15" x14ac:dyDescent="0.2">
      <c r="B862">
        <v>847</v>
      </c>
      <c r="C862" s="48">
        <f t="shared" ca="1" si="56"/>
        <v>0.58556538042302553</v>
      </c>
      <c r="D862" s="48">
        <f t="shared" ca="1" si="53"/>
        <v>0.7039961280998932</v>
      </c>
      <c r="E862" s="48">
        <f t="shared" ca="1" si="54"/>
        <v>0</v>
      </c>
      <c r="F862" s="17">
        <f t="shared" ca="1" si="55"/>
        <v>0</v>
      </c>
      <c r="H862" s="17">
        <v>847</v>
      </c>
      <c r="I862" s="43">
        <v>0.66853080466935721</v>
      </c>
      <c r="J862" s="43">
        <v>1.9165896994081392E-2</v>
      </c>
      <c r="K862" s="43"/>
      <c r="L862" s="43">
        <v>0.25319999999999998</v>
      </c>
      <c r="O862" s="50"/>
    </row>
    <row r="863" spans="2:15" x14ac:dyDescent="0.2">
      <c r="B863">
        <v>848</v>
      </c>
      <c r="C863" s="48">
        <f t="shared" ca="1" si="56"/>
        <v>-1.1210811455821184</v>
      </c>
      <c r="D863" s="48">
        <f t="shared" ca="1" si="53"/>
        <v>0.59497470589454682</v>
      </c>
      <c r="E863" s="48">
        <f t="shared" ca="1" si="54"/>
        <v>0</v>
      </c>
      <c r="F863" s="17">
        <f t="shared" ca="1" si="55"/>
        <v>0</v>
      </c>
      <c r="H863" s="17">
        <v>848</v>
      </c>
      <c r="I863" s="43">
        <v>0.66837841682830434</v>
      </c>
      <c r="J863" s="43">
        <v>1.8850341166645697E-2</v>
      </c>
      <c r="K863" s="43"/>
      <c r="L863" s="43">
        <v>0.246</v>
      </c>
      <c r="O863" s="50"/>
    </row>
    <row r="864" spans="2:15" x14ac:dyDescent="0.2">
      <c r="B864">
        <v>849</v>
      </c>
      <c r="C864" s="48">
        <f t="shared" ca="1" si="56"/>
        <v>4.8388520791672877E-2</v>
      </c>
      <c r="D864" s="48">
        <f t="shared" ca="1" si="53"/>
        <v>0.66768329303663532</v>
      </c>
      <c r="E864" s="48">
        <f t="shared" ca="1" si="54"/>
        <v>0</v>
      </c>
      <c r="F864" s="17">
        <f t="shared" ca="1" si="55"/>
        <v>0</v>
      </c>
      <c r="H864" s="17">
        <v>849</v>
      </c>
      <c r="I864" s="43">
        <v>0.66943542158920266</v>
      </c>
      <c r="J864" s="43">
        <v>1.9795387899635981E-2</v>
      </c>
      <c r="K864" s="43"/>
      <c r="L864" s="43">
        <v>0.25519999999999998</v>
      </c>
      <c r="O864" s="50"/>
    </row>
    <row r="865" spans="2:15" x14ac:dyDescent="0.2">
      <c r="B865">
        <v>850</v>
      </c>
      <c r="C865" s="48">
        <f t="shared" ca="1" si="56"/>
        <v>1.3794982640083961</v>
      </c>
      <c r="D865" s="48">
        <f t="shared" ca="1" si="53"/>
        <v>0.76131308846663892</v>
      </c>
      <c r="E865" s="48">
        <f t="shared" ca="1" si="54"/>
        <v>0</v>
      </c>
      <c r="F865" s="17">
        <f t="shared" ca="1" si="55"/>
        <v>0</v>
      </c>
      <c r="H865" s="17">
        <v>850</v>
      </c>
      <c r="I865" s="43">
        <v>0.66974939359076879</v>
      </c>
      <c r="J865" s="43">
        <v>1.9866747585097176E-2</v>
      </c>
      <c r="K865" s="43"/>
      <c r="L865" s="43">
        <v>0.25679999999999997</v>
      </c>
      <c r="O865" s="50"/>
    </row>
    <row r="866" spans="2:15" x14ac:dyDescent="0.2">
      <c r="B866">
        <v>851</v>
      </c>
      <c r="C866" s="48">
        <f t="shared" ca="1" si="56"/>
        <v>2.4810985756833341</v>
      </c>
      <c r="D866" s="48">
        <f t="shared" ca="1" si="53"/>
        <v>0.84865154981598634</v>
      </c>
      <c r="E866" s="48">
        <f t="shared" ca="1" si="54"/>
        <v>6.0451549815986327E-2</v>
      </c>
      <c r="F866" s="17">
        <f t="shared" ca="1" si="55"/>
        <v>1</v>
      </c>
      <c r="H866" s="17">
        <v>851</v>
      </c>
      <c r="I866" s="43">
        <v>0.66779232310355707</v>
      </c>
      <c r="J866" s="43">
        <v>1.8311030689918319E-2</v>
      </c>
      <c r="K866" s="43"/>
      <c r="L866" s="43">
        <v>0.2432</v>
      </c>
      <c r="O866" s="50"/>
    </row>
    <row r="867" spans="2:15" x14ac:dyDescent="0.2">
      <c r="B867">
        <v>852</v>
      </c>
      <c r="C867" s="48">
        <f t="shared" ca="1" si="56"/>
        <v>0.12105019144338419</v>
      </c>
      <c r="D867" s="48">
        <f t="shared" ca="1" si="53"/>
        <v>0.67248343496219876</v>
      </c>
      <c r="E867" s="48">
        <f t="shared" ca="1" si="54"/>
        <v>0</v>
      </c>
      <c r="F867" s="17">
        <f t="shared" ca="1" si="55"/>
        <v>0</v>
      </c>
      <c r="H867" s="17">
        <v>852</v>
      </c>
      <c r="I867" s="43">
        <v>0.66972210423788381</v>
      </c>
      <c r="J867" s="43">
        <v>1.9937794523107486E-2</v>
      </c>
      <c r="K867" s="43"/>
      <c r="L867" s="43">
        <v>0.25459999999999999</v>
      </c>
      <c r="O867" s="50"/>
    </row>
    <row r="868" spans="2:15" x14ac:dyDescent="0.2">
      <c r="B868">
        <v>853</v>
      </c>
      <c r="C868" s="48">
        <f t="shared" ca="1" si="56"/>
        <v>1.5208863789168405</v>
      </c>
      <c r="D868" s="48">
        <f t="shared" ca="1" si="53"/>
        <v>0.77199941088623003</v>
      </c>
      <c r="E868" s="48">
        <f t="shared" ca="1" si="54"/>
        <v>0</v>
      </c>
      <c r="F868" s="17">
        <f t="shared" ca="1" si="55"/>
        <v>0</v>
      </c>
      <c r="H868" s="17">
        <v>853</v>
      </c>
      <c r="I868" s="43">
        <v>0.66943249270094485</v>
      </c>
      <c r="J868" s="43">
        <v>1.9582375798940767E-2</v>
      </c>
      <c r="K868" s="43"/>
      <c r="L868" s="43">
        <v>0.25119999999999998</v>
      </c>
      <c r="O868" s="50"/>
    </row>
    <row r="869" spans="2:15" x14ac:dyDescent="0.2">
      <c r="B869">
        <v>854</v>
      </c>
      <c r="C869" s="48">
        <f t="shared" ca="1" si="56"/>
        <v>-0.90489124415562572</v>
      </c>
      <c r="D869" s="48">
        <f t="shared" ca="1" si="53"/>
        <v>0.60779187281003288</v>
      </c>
      <c r="E869" s="48">
        <f t="shared" ca="1" si="54"/>
        <v>0</v>
      </c>
      <c r="F869" s="17">
        <f t="shared" ca="1" si="55"/>
        <v>0</v>
      </c>
      <c r="H869" s="17">
        <v>854</v>
      </c>
      <c r="I869" s="43">
        <v>0.67052387955705706</v>
      </c>
      <c r="J869" s="43">
        <v>2.0583453640724881E-2</v>
      </c>
      <c r="K869" s="43"/>
      <c r="L869" s="43">
        <v>0.25979999999999998</v>
      </c>
      <c r="O869" s="50"/>
    </row>
    <row r="870" spans="2:15" x14ac:dyDescent="0.2">
      <c r="B870">
        <v>855</v>
      </c>
      <c r="C870" s="48">
        <f t="shared" ca="1" si="56"/>
        <v>-0.5012601243107585</v>
      </c>
      <c r="D870" s="48">
        <f t="shared" ca="1" si="53"/>
        <v>0.63246537734063579</v>
      </c>
      <c r="E870" s="48">
        <f t="shared" ca="1" si="54"/>
        <v>0</v>
      </c>
      <c r="F870" s="17">
        <f t="shared" ca="1" si="55"/>
        <v>0</v>
      </c>
      <c r="H870" s="17">
        <v>855</v>
      </c>
      <c r="I870" s="43">
        <v>0.6687361575570363</v>
      </c>
      <c r="J870" s="43">
        <v>1.9153039147559073E-2</v>
      </c>
      <c r="K870" s="43"/>
      <c r="L870" s="43">
        <v>0.25080000000000002</v>
      </c>
      <c r="O870" s="50"/>
    </row>
    <row r="871" spans="2:15" x14ac:dyDescent="0.2">
      <c r="B871">
        <v>856</v>
      </c>
      <c r="C871" s="48">
        <f t="shared" ca="1" si="56"/>
        <v>-1.4159277800714436</v>
      </c>
      <c r="D871" s="48">
        <f t="shared" ca="1" si="53"/>
        <v>0.57792881860364831</v>
      </c>
      <c r="E871" s="48">
        <f t="shared" ca="1" si="54"/>
        <v>0</v>
      </c>
      <c r="F871" s="17">
        <f t="shared" ca="1" si="55"/>
        <v>0</v>
      </c>
      <c r="H871" s="17">
        <v>856</v>
      </c>
      <c r="I871" s="43">
        <v>0.66868786729330831</v>
      </c>
      <c r="J871" s="43">
        <v>1.9428146062298979E-2</v>
      </c>
      <c r="K871" s="43"/>
      <c r="L871" s="43">
        <v>0.249</v>
      </c>
      <c r="O871" s="50"/>
    </row>
    <row r="872" spans="2:15" x14ac:dyDescent="0.2">
      <c r="B872">
        <v>857</v>
      </c>
      <c r="C872" s="48">
        <f t="shared" ca="1" si="56"/>
        <v>-4.1293961698701885E-2</v>
      </c>
      <c r="D872" s="48">
        <f t="shared" ca="1" si="53"/>
        <v>0.66180594588463038</v>
      </c>
      <c r="E872" s="48">
        <f t="shared" ca="1" si="54"/>
        <v>0</v>
      </c>
      <c r="F872" s="17">
        <f t="shared" ca="1" si="55"/>
        <v>0</v>
      </c>
      <c r="H872" s="17">
        <v>857</v>
      </c>
      <c r="I872" s="43">
        <v>0.66891630189792806</v>
      </c>
      <c r="J872" s="43">
        <v>1.9242055155354838E-2</v>
      </c>
      <c r="K872" s="43"/>
      <c r="L872" s="43">
        <v>0.24759999999999999</v>
      </c>
      <c r="O872" s="50"/>
    </row>
    <row r="873" spans="2:15" x14ac:dyDescent="0.2">
      <c r="B873">
        <v>858</v>
      </c>
      <c r="C873" s="48">
        <f t="shared" ca="1" si="56"/>
        <v>1.3270601649703193</v>
      </c>
      <c r="D873" s="48">
        <f t="shared" ca="1" si="53"/>
        <v>0.75738745411617248</v>
      </c>
      <c r="E873" s="48">
        <f t="shared" ca="1" si="54"/>
        <v>0</v>
      </c>
      <c r="F873" s="17">
        <f t="shared" ca="1" si="55"/>
        <v>0</v>
      </c>
      <c r="H873" s="17">
        <v>858</v>
      </c>
      <c r="I873" s="43">
        <v>0.66901035589734725</v>
      </c>
      <c r="J873" s="43">
        <v>1.9148795351410952E-2</v>
      </c>
      <c r="K873" s="43"/>
      <c r="L873" s="43">
        <v>0.25080000000000002</v>
      </c>
      <c r="O873" s="50"/>
    </row>
    <row r="874" spans="2:15" x14ac:dyDescent="0.2">
      <c r="B874">
        <v>859</v>
      </c>
      <c r="C874" s="48">
        <f t="shared" ca="1" si="56"/>
        <v>-0.18413488036998257</v>
      </c>
      <c r="D874" s="48">
        <f t="shared" ca="1" si="53"/>
        <v>0.65255149466697782</v>
      </c>
      <c r="E874" s="48">
        <f t="shared" ca="1" si="54"/>
        <v>0</v>
      </c>
      <c r="F874" s="17">
        <f t="shared" ca="1" si="55"/>
        <v>0</v>
      </c>
      <c r="H874" s="17">
        <v>859</v>
      </c>
      <c r="I874" s="43">
        <v>0.66934928640946123</v>
      </c>
      <c r="J874" s="43">
        <v>1.9669350815321566E-2</v>
      </c>
      <c r="K874" s="43"/>
      <c r="L874" s="43">
        <v>0.255</v>
      </c>
      <c r="O874" s="50"/>
    </row>
    <row r="875" spans="2:15" x14ac:dyDescent="0.2">
      <c r="B875">
        <v>860</v>
      </c>
      <c r="C875" s="48">
        <f t="shared" ca="1" si="56"/>
        <v>-1.9501489401244718E-2</v>
      </c>
      <c r="D875" s="48">
        <f t="shared" ca="1" si="53"/>
        <v>0.66322934110944276</v>
      </c>
      <c r="E875" s="48">
        <f t="shared" ca="1" si="54"/>
        <v>0</v>
      </c>
      <c r="F875" s="17">
        <f t="shared" ca="1" si="55"/>
        <v>0</v>
      </c>
      <c r="H875" s="17">
        <v>860</v>
      </c>
      <c r="I875" s="43">
        <v>0.66913625092266926</v>
      </c>
      <c r="J875" s="43">
        <v>1.925177158459291E-2</v>
      </c>
      <c r="K875" s="43"/>
      <c r="L875" s="43">
        <v>0.2472</v>
      </c>
      <c r="O875" s="50"/>
    </row>
    <row r="876" spans="2:15" x14ac:dyDescent="0.2">
      <c r="B876">
        <v>861</v>
      </c>
      <c r="C876" s="48">
        <f t="shared" ca="1" si="56"/>
        <v>1.7414917752666734</v>
      </c>
      <c r="D876" s="48">
        <f t="shared" ca="1" si="53"/>
        <v>0.78897348524496969</v>
      </c>
      <c r="E876" s="48">
        <f t="shared" ca="1" si="54"/>
        <v>7.7348524496967386E-4</v>
      </c>
      <c r="F876" s="17">
        <f t="shared" ca="1" si="55"/>
        <v>1</v>
      </c>
      <c r="H876" s="17">
        <v>861</v>
      </c>
      <c r="I876" s="43">
        <v>0.66910767230467361</v>
      </c>
      <c r="J876" s="43">
        <v>1.9505952472925601E-2</v>
      </c>
      <c r="K876" s="43"/>
      <c r="L876" s="43">
        <v>0.24679999999999999</v>
      </c>
      <c r="O876" s="50"/>
    </row>
    <row r="877" spans="2:15" x14ac:dyDescent="0.2">
      <c r="B877">
        <v>862</v>
      </c>
      <c r="C877" s="48">
        <f t="shared" ca="1" si="56"/>
        <v>-1.2214062715076257</v>
      </c>
      <c r="D877" s="48">
        <f t="shared" ca="1" si="53"/>
        <v>0.58911893674484483</v>
      </c>
      <c r="E877" s="48">
        <f t="shared" ca="1" si="54"/>
        <v>0</v>
      </c>
      <c r="F877" s="17">
        <f t="shared" ca="1" si="55"/>
        <v>0</v>
      </c>
      <c r="H877" s="17">
        <v>862</v>
      </c>
      <c r="I877" s="43">
        <v>0.66871965902117336</v>
      </c>
      <c r="J877" s="43">
        <v>1.8770252377637627E-2</v>
      </c>
      <c r="K877" s="43"/>
      <c r="L877" s="43">
        <v>0.24340000000000001</v>
      </c>
      <c r="O877" s="50"/>
    </row>
    <row r="878" spans="2:15" x14ac:dyDescent="0.2">
      <c r="B878">
        <v>863</v>
      </c>
      <c r="C878" s="48">
        <f t="shared" ca="1" si="56"/>
        <v>3.182810713382523E-2</v>
      </c>
      <c r="D878" s="48">
        <f t="shared" ca="1" si="53"/>
        <v>0.66659408977411283</v>
      </c>
      <c r="E878" s="48">
        <f t="shared" ca="1" si="54"/>
        <v>0</v>
      </c>
      <c r="F878" s="17">
        <f t="shared" ca="1" si="55"/>
        <v>0</v>
      </c>
      <c r="H878" s="17">
        <v>863</v>
      </c>
      <c r="I878" s="43">
        <v>0.66860420347018912</v>
      </c>
      <c r="J878" s="43">
        <v>1.9163471473999279E-2</v>
      </c>
      <c r="K878" s="43"/>
      <c r="L878" s="43">
        <v>0.25359999999999999</v>
      </c>
      <c r="O878" s="50"/>
    </row>
    <row r="879" spans="2:15" x14ac:dyDescent="0.2">
      <c r="B879">
        <v>864</v>
      </c>
      <c r="C879" s="48">
        <f t="shared" ca="1" si="56"/>
        <v>0.98232496438876971</v>
      </c>
      <c r="D879" s="48">
        <f t="shared" ca="1" si="53"/>
        <v>0.73207896202632672</v>
      </c>
      <c r="E879" s="48">
        <f t="shared" ca="1" si="54"/>
        <v>0</v>
      </c>
      <c r="F879" s="17">
        <f t="shared" ca="1" si="55"/>
        <v>0</v>
      </c>
      <c r="H879" s="17">
        <v>864</v>
      </c>
      <c r="I879" s="43">
        <v>0.66923762816466237</v>
      </c>
      <c r="J879" s="43">
        <v>1.9477225167733453E-2</v>
      </c>
      <c r="K879" s="43"/>
      <c r="L879" s="43">
        <v>0.25119999999999998</v>
      </c>
      <c r="O879" s="50"/>
    </row>
    <row r="880" spans="2:15" x14ac:dyDescent="0.2">
      <c r="B880">
        <v>865</v>
      </c>
      <c r="C880" s="48">
        <f t="shared" ca="1" si="56"/>
        <v>0.28518630866898853</v>
      </c>
      <c r="D880" s="48">
        <f t="shared" ca="1" si="53"/>
        <v>0.68345392509072178</v>
      </c>
      <c r="E880" s="48">
        <f t="shared" ca="1" si="54"/>
        <v>0</v>
      </c>
      <c r="F880" s="17">
        <f t="shared" ca="1" si="55"/>
        <v>0</v>
      </c>
      <c r="H880" s="17">
        <v>865</v>
      </c>
      <c r="I880" s="43">
        <v>0.66781554114168917</v>
      </c>
      <c r="J880" s="43">
        <v>1.8337603227369079E-2</v>
      </c>
      <c r="K880" s="43"/>
      <c r="L880" s="43">
        <v>0.23680000000000001</v>
      </c>
      <c r="O880" s="50"/>
    </row>
    <row r="881" spans="2:15" x14ac:dyDescent="0.2">
      <c r="B881">
        <v>866</v>
      </c>
      <c r="C881" s="48">
        <f t="shared" ca="1" si="56"/>
        <v>0.28810953984188581</v>
      </c>
      <c r="D881" s="48">
        <f t="shared" ca="1" si="53"/>
        <v>0.68365092077227807</v>
      </c>
      <c r="E881" s="48">
        <f t="shared" ca="1" si="54"/>
        <v>0</v>
      </c>
      <c r="F881" s="17">
        <f t="shared" ca="1" si="55"/>
        <v>0</v>
      </c>
      <c r="H881" s="17">
        <v>866</v>
      </c>
      <c r="I881" s="43">
        <v>0.66927934498113406</v>
      </c>
      <c r="J881" s="43">
        <v>1.9403513089891571E-2</v>
      </c>
      <c r="K881" s="43"/>
      <c r="L881" s="43">
        <v>0.24379999999999999</v>
      </c>
      <c r="O881" s="50"/>
    </row>
    <row r="882" spans="2:15" x14ac:dyDescent="0.2">
      <c r="B882">
        <v>867</v>
      </c>
      <c r="C882" s="48">
        <f t="shared" ca="1" si="56"/>
        <v>-1.2224444583010861</v>
      </c>
      <c r="D882" s="48">
        <f t="shared" ca="1" si="53"/>
        <v>0.58905864220594584</v>
      </c>
      <c r="E882" s="48">
        <f t="shared" ca="1" si="54"/>
        <v>0</v>
      </c>
      <c r="F882" s="17">
        <f t="shared" ca="1" si="55"/>
        <v>0</v>
      </c>
      <c r="H882" s="17">
        <v>867</v>
      </c>
      <c r="I882" s="43">
        <v>0.66842845599391221</v>
      </c>
      <c r="J882" s="43">
        <v>1.9111312730769933E-2</v>
      </c>
      <c r="K882" s="43"/>
      <c r="L882" s="43">
        <v>0.25259999999999999</v>
      </c>
      <c r="O882" s="50"/>
    </row>
    <row r="883" spans="2:15" x14ac:dyDescent="0.2">
      <c r="B883">
        <v>868</v>
      </c>
      <c r="C883" s="48">
        <f t="shared" ca="1" si="56"/>
        <v>-1.0473080090240592</v>
      </c>
      <c r="D883" s="48">
        <f t="shared" ca="1" si="53"/>
        <v>0.59931779524584872</v>
      </c>
      <c r="E883" s="48">
        <f t="shared" ca="1" si="54"/>
        <v>0</v>
      </c>
      <c r="F883" s="17">
        <f t="shared" ca="1" si="55"/>
        <v>0</v>
      </c>
      <c r="H883" s="17">
        <v>868</v>
      </c>
      <c r="I883" s="43">
        <v>0.66770168899105731</v>
      </c>
      <c r="J883" s="43">
        <v>1.8432041398177255E-2</v>
      </c>
      <c r="K883" s="43"/>
      <c r="L883" s="43">
        <v>0.24560000000000001</v>
      </c>
      <c r="O883" s="50"/>
    </row>
    <row r="884" spans="2:15" x14ac:dyDescent="0.2">
      <c r="B884">
        <v>869</v>
      </c>
      <c r="C884" s="48">
        <f t="shared" ca="1" si="56"/>
        <v>-1.8293701225640864</v>
      </c>
      <c r="D884" s="48">
        <f t="shared" ca="1" si="53"/>
        <v>0.55484593213567268</v>
      </c>
      <c r="E884" s="48">
        <f t="shared" ca="1" si="54"/>
        <v>0</v>
      </c>
      <c r="F884" s="17">
        <f t="shared" ca="1" si="55"/>
        <v>0</v>
      </c>
      <c r="H884" s="17">
        <v>869</v>
      </c>
      <c r="I884" s="43">
        <v>0.66843650925969156</v>
      </c>
      <c r="J884" s="43">
        <v>1.897969232982457E-2</v>
      </c>
      <c r="K884" s="43"/>
      <c r="L884" s="43">
        <v>0.25</v>
      </c>
      <c r="O884" s="50"/>
    </row>
    <row r="885" spans="2:15" x14ac:dyDescent="0.2">
      <c r="B885">
        <v>870</v>
      </c>
      <c r="C885" s="48">
        <f t="shared" ca="1" si="56"/>
        <v>-0.43134049457451623</v>
      </c>
      <c r="D885" s="48">
        <f t="shared" ca="1" si="53"/>
        <v>0.63684014804893851</v>
      </c>
      <c r="E885" s="48">
        <f t="shared" ca="1" si="54"/>
        <v>0</v>
      </c>
      <c r="F885" s="17">
        <f t="shared" ca="1" si="55"/>
        <v>0</v>
      </c>
      <c r="H885" s="17">
        <v>870</v>
      </c>
      <c r="I885" s="43">
        <v>0.66870132612021382</v>
      </c>
      <c r="J885" s="43">
        <v>1.9048202189239943E-2</v>
      </c>
      <c r="K885" s="43"/>
      <c r="L885" s="43">
        <v>0.2462</v>
      </c>
      <c r="O885" s="50"/>
    </row>
    <row r="886" spans="2:15" x14ac:dyDescent="0.2">
      <c r="B886">
        <v>871</v>
      </c>
      <c r="C886" s="48">
        <f t="shared" ca="1" si="56"/>
        <v>2.04462469816314</v>
      </c>
      <c r="D886" s="48">
        <f t="shared" ca="1" si="53"/>
        <v>0.81290790294908055</v>
      </c>
      <c r="E886" s="48">
        <f t="shared" ca="1" si="54"/>
        <v>2.470790294908054E-2</v>
      </c>
      <c r="F886" s="17">
        <f t="shared" ca="1" si="55"/>
        <v>1</v>
      </c>
      <c r="H886" s="17">
        <v>871</v>
      </c>
      <c r="I886" s="43">
        <v>0.66945439344195701</v>
      </c>
      <c r="J886" s="43">
        <v>1.9457922036699861E-2</v>
      </c>
      <c r="K886" s="43"/>
      <c r="L886" s="43">
        <v>0.24479999999999999</v>
      </c>
      <c r="O886" s="50"/>
    </row>
    <row r="887" spans="2:15" x14ac:dyDescent="0.2">
      <c r="B887">
        <v>872</v>
      </c>
      <c r="C887" s="48">
        <f t="shared" ca="1" si="56"/>
        <v>-0.47465466935413331</v>
      </c>
      <c r="D887" s="48">
        <f t="shared" ca="1" si="53"/>
        <v>0.63412648912998182</v>
      </c>
      <c r="E887" s="48">
        <f t="shared" ca="1" si="54"/>
        <v>0</v>
      </c>
      <c r="F887" s="17">
        <f t="shared" ca="1" si="55"/>
        <v>0</v>
      </c>
      <c r="H887" s="17">
        <v>872</v>
      </c>
      <c r="I887" s="43">
        <v>0.66891676045777071</v>
      </c>
      <c r="J887" s="43">
        <v>1.9417161621927054E-2</v>
      </c>
      <c r="K887" s="43"/>
      <c r="L887" s="43">
        <v>0.25059999999999999</v>
      </c>
      <c r="O887" s="50"/>
    </row>
    <row r="888" spans="2:15" x14ac:dyDescent="0.2">
      <c r="B888">
        <v>873</v>
      </c>
      <c r="C888" s="48">
        <f t="shared" ca="1" si="56"/>
        <v>1.484263150328863</v>
      </c>
      <c r="D888" s="48">
        <f t="shared" ca="1" si="53"/>
        <v>0.76921706240581011</v>
      </c>
      <c r="E888" s="48">
        <f t="shared" ca="1" si="54"/>
        <v>0</v>
      </c>
      <c r="F888" s="17">
        <f t="shared" ca="1" si="55"/>
        <v>0</v>
      </c>
      <c r="H888" s="17">
        <v>873</v>
      </c>
      <c r="I888" s="43">
        <v>0.6683368090737094</v>
      </c>
      <c r="J888" s="43">
        <v>1.8746277828329216E-2</v>
      </c>
      <c r="K888" s="43"/>
      <c r="L888" s="43">
        <v>0.23119999999999999</v>
      </c>
      <c r="O888" s="50"/>
    </row>
    <row r="889" spans="2:15" x14ac:dyDescent="0.2">
      <c r="B889">
        <v>874</v>
      </c>
      <c r="C889" s="48">
        <f t="shared" ca="1" si="56"/>
        <v>-0.78050172723785405</v>
      </c>
      <c r="D889" s="48">
        <f t="shared" ca="1" si="53"/>
        <v>0.61529126458332706</v>
      </c>
      <c r="E889" s="48">
        <f t="shared" ca="1" si="54"/>
        <v>0</v>
      </c>
      <c r="F889" s="17">
        <f t="shared" ca="1" si="55"/>
        <v>0</v>
      </c>
      <c r="H889" s="17">
        <v>874</v>
      </c>
      <c r="I889" s="43">
        <v>0.66894876649544777</v>
      </c>
      <c r="J889" s="43">
        <v>1.9329230474444837E-2</v>
      </c>
      <c r="K889" s="43"/>
      <c r="L889" s="43">
        <v>0.24879999999999999</v>
      </c>
      <c r="O889" s="50"/>
    </row>
    <row r="890" spans="2:15" x14ac:dyDescent="0.2">
      <c r="B890">
        <v>875</v>
      </c>
      <c r="C890" s="48">
        <f t="shared" ca="1" si="56"/>
        <v>-0.27737215527193337</v>
      </c>
      <c r="D890" s="48">
        <f t="shared" ca="1" si="53"/>
        <v>0.6465807075563117</v>
      </c>
      <c r="E890" s="48">
        <f t="shared" ca="1" si="54"/>
        <v>0</v>
      </c>
      <c r="F890" s="17">
        <f t="shared" ca="1" si="55"/>
        <v>0</v>
      </c>
      <c r="H890" s="17">
        <v>875</v>
      </c>
      <c r="I890" s="43">
        <v>0.66950868142177133</v>
      </c>
      <c r="J890" s="43">
        <v>1.9800083192347825E-2</v>
      </c>
      <c r="K890" s="43"/>
      <c r="L890" s="43">
        <v>0.25679999999999997</v>
      </c>
      <c r="O890" s="50"/>
    </row>
    <row r="891" spans="2:15" x14ac:dyDescent="0.2">
      <c r="B891">
        <v>876</v>
      </c>
      <c r="C891" s="48">
        <f t="shared" ca="1" si="56"/>
        <v>0.46469495122424181</v>
      </c>
      <c r="D891" s="48">
        <f t="shared" ca="1" si="53"/>
        <v>0.69565687737979154</v>
      </c>
      <c r="E891" s="48">
        <f t="shared" ca="1" si="54"/>
        <v>0</v>
      </c>
      <c r="F891" s="17">
        <f t="shared" ca="1" si="55"/>
        <v>0</v>
      </c>
      <c r="H891" s="17">
        <v>876</v>
      </c>
      <c r="I891" s="43">
        <v>0.66858788903762434</v>
      </c>
      <c r="J891" s="43">
        <v>1.9176861187522612E-2</v>
      </c>
      <c r="K891" s="43"/>
      <c r="L891" s="43">
        <v>0.248</v>
      </c>
      <c r="O891" s="50"/>
    </row>
    <row r="892" spans="2:15" x14ac:dyDescent="0.2">
      <c r="B892">
        <v>877</v>
      </c>
      <c r="C892" s="48">
        <f t="shared" ca="1" si="56"/>
        <v>0.86956966923860113</v>
      </c>
      <c r="D892" s="48">
        <f t="shared" ca="1" si="53"/>
        <v>0.72398604730025129</v>
      </c>
      <c r="E892" s="48">
        <f t="shared" ca="1" si="54"/>
        <v>0</v>
      </c>
      <c r="F892" s="17">
        <f t="shared" ca="1" si="55"/>
        <v>0</v>
      </c>
      <c r="H892" s="17">
        <v>877</v>
      </c>
      <c r="I892" s="43">
        <v>0.66841622505433096</v>
      </c>
      <c r="J892" s="43">
        <v>1.8840492801045099E-2</v>
      </c>
      <c r="K892" s="43"/>
      <c r="L892" s="43">
        <v>0.24360000000000001</v>
      </c>
      <c r="O892" s="50"/>
    </row>
    <row r="893" spans="2:15" x14ac:dyDescent="0.2">
      <c r="B893">
        <v>878</v>
      </c>
      <c r="C893" s="48">
        <f t="shared" ca="1" si="56"/>
        <v>0.20921207697477506</v>
      </c>
      <c r="D893" s="48">
        <f t="shared" ca="1" si="53"/>
        <v>0.67835390556872599</v>
      </c>
      <c r="E893" s="48">
        <f t="shared" ca="1" si="54"/>
        <v>0</v>
      </c>
      <c r="F893" s="17">
        <f t="shared" ca="1" si="55"/>
        <v>0</v>
      </c>
      <c r="H893" s="17">
        <v>878</v>
      </c>
      <c r="I893" s="43">
        <v>0.66847366985771539</v>
      </c>
      <c r="J893" s="43">
        <v>1.9002554062103418E-2</v>
      </c>
      <c r="K893" s="43"/>
      <c r="L893" s="43">
        <v>0.24859999999999999</v>
      </c>
      <c r="O893" s="50"/>
    </row>
    <row r="894" spans="2:15" x14ac:dyDescent="0.2">
      <c r="B894">
        <v>879</v>
      </c>
      <c r="C894" s="48">
        <f t="shared" ca="1" si="56"/>
        <v>-1.3236086289375852</v>
      </c>
      <c r="D894" s="48">
        <f t="shared" ca="1" si="53"/>
        <v>0.58321285428287772</v>
      </c>
      <c r="E894" s="48">
        <f t="shared" ca="1" si="54"/>
        <v>0</v>
      </c>
      <c r="F894" s="17">
        <f t="shared" ca="1" si="55"/>
        <v>0</v>
      </c>
      <c r="H894" s="17">
        <v>879</v>
      </c>
      <c r="I894" s="43">
        <v>0.6684095033997004</v>
      </c>
      <c r="J894" s="43">
        <v>1.8920413016755039E-2</v>
      </c>
      <c r="K894" s="43"/>
      <c r="L894" s="43">
        <v>0.249</v>
      </c>
      <c r="O894" s="50"/>
    </row>
    <row r="895" spans="2:15" x14ac:dyDescent="0.2">
      <c r="B895">
        <v>880</v>
      </c>
      <c r="C895" s="48">
        <f t="shared" ca="1" si="56"/>
        <v>-3.9171919006501292E-2</v>
      </c>
      <c r="D895" s="48">
        <f t="shared" ca="1" si="53"/>
        <v>0.66194441468563814</v>
      </c>
      <c r="E895" s="48">
        <f t="shared" ca="1" si="54"/>
        <v>0</v>
      </c>
      <c r="F895" s="17">
        <f t="shared" ca="1" si="55"/>
        <v>0</v>
      </c>
      <c r="H895" s="17">
        <v>880</v>
      </c>
      <c r="I895" s="43">
        <v>0.66869215111476543</v>
      </c>
      <c r="J895" s="43">
        <v>1.9039125579126376E-2</v>
      </c>
      <c r="K895" s="43"/>
      <c r="L895" s="43">
        <v>0.245</v>
      </c>
      <c r="O895" s="50"/>
    </row>
    <row r="896" spans="2:15" x14ac:dyDescent="0.2">
      <c r="B896">
        <v>881</v>
      </c>
      <c r="C896" s="48">
        <f t="shared" ca="1" si="56"/>
        <v>0.94193842831512609</v>
      </c>
      <c r="D896" s="48">
        <f t="shared" ca="1" si="53"/>
        <v>0.72916990694281081</v>
      </c>
      <c r="E896" s="48">
        <f t="shared" ca="1" si="54"/>
        <v>0</v>
      </c>
      <c r="F896" s="17">
        <f t="shared" ca="1" si="55"/>
        <v>0</v>
      </c>
      <c r="H896" s="17">
        <v>881</v>
      </c>
      <c r="I896" s="43">
        <v>0.66856566123863181</v>
      </c>
      <c r="J896" s="43">
        <v>1.9390706701653784E-2</v>
      </c>
      <c r="K896" s="43"/>
      <c r="L896" s="43">
        <v>0.249</v>
      </c>
      <c r="O896" s="50"/>
    </row>
    <row r="897" spans="2:15" x14ac:dyDescent="0.2">
      <c r="B897">
        <v>882</v>
      </c>
      <c r="C897" s="48">
        <f t="shared" ca="1" si="56"/>
        <v>0.24595430195082546</v>
      </c>
      <c r="D897" s="48">
        <f t="shared" ca="1" si="53"/>
        <v>0.68081557831354955</v>
      </c>
      <c r="E897" s="48">
        <f t="shared" ca="1" si="54"/>
        <v>0</v>
      </c>
      <c r="F897" s="17">
        <f t="shared" ca="1" si="55"/>
        <v>0</v>
      </c>
      <c r="H897" s="17">
        <v>882</v>
      </c>
      <c r="I897" s="43">
        <v>0.66920151082502499</v>
      </c>
      <c r="J897" s="43">
        <v>1.9753648090776559E-2</v>
      </c>
      <c r="K897" s="43"/>
      <c r="L897" s="43">
        <v>0.25879999999999997</v>
      </c>
      <c r="O897" s="50"/>
    </row>
    <row r="898" spans="2:15" x14ac:dyDescent="0.2">
      <c r="B898">
        <v>883</v>
      </c>
      <c r="C898" s="48">
        <f t="shared" ca="1" si="56"/>
        <v>0.53664406219836291</v>
      </c>
      <c r="D898" s="48">
        <f t="shared" ca="1" si="53"/>
        <v>0.7006089092653891</v>
      </c>
      <c r="E898" s="48">
        <f t="shared" ca="1" si="54"/>
        <v>0</v>
      </c>
      <c r="F898" s="17">
        <f t="shared" ca="1" si="55"/>
        <v>0</v>
      </c>
      <c r="H898" s="17">
        <v>883</v>
      </c>
      <c r="I898" s="43">
        <v>0.66923319116732372</v>
      </c>
      <c r="J898" s="43">
        <v>1.9426669147150549E-2</v>
      </c>
      <c r="K898" s="43"/>
      <c r="L898" s="43">
        <v>0.253</v>
      </c>
      <c r="O898" s="50"/>
    </row>
    <row r="899" spans="2:15" x14ac:dyDescent="0.2">
      <c r="B899">
        <v>884</v>
      </c>
      <c r="C899" s="48">
        <f t="shared" ca="1" si="56"/>
        <v>1.3252535252262827</v>
      </c>
      <c r="D899" s="48">
        <f t="shared" ca="1" si="53"/>
        <v>0.75725256630374338</v>
      </c>
      <c r="E899" s="48">
        <f t="shared" ca="1" si="54"/>
        <v>0</v>
      </c>
      <c r="F899" s="17">
        <f t="shared" ca="1" si="55"/>
        <v>0</v>
      </c>
      <c r="H899" s="17">
        <v>884</v>
      </c>
      <c r="I899" s="43">
        <v>0.66901457277163723</v>
      </c>
      <c r="J899" s="43">
        <v>1.9326816037933518E-2</v>
      </c>
      <c r="K899" s="43"/>
      <c r="L899" s="43">
        <v>0.2452</v>
      </c>
      <c r="O899" s="50"/>
    </row>
    <row r="900" spans="2:15" x14ac:dyDescent="0.2">
      <c r="B900">
        <v>885</v>
      </c>
      <c r="C900" s="48">
        <f t="shared" ca="1" si="56"/>
        <v>-0.20499897426285776</v>
      </c>
      <c r="D900" s="48">
        <f t="shared" ca="1" si="53"/>
        <v>0.65121061607855302</v>
      </c>
      <c r="E900" s="48">
        <f t="shared" ca="1" si="54"/>
        <v>0</v>
      </c>
      <c r="F900" s="17">
        <f t="shared" ca="1" si="55"/>
        <v>0</v>
      </c>
      <c r="H900" s="17">
        <v>885</v>
      </c>
      <c r="I900" s="43">
        <v>0.66920456513273407</v>
      </c>
      <c r="J900" s="43">
        <v>1.9711352673837841E-2</v>
      </c>
      <c r="K900" s="43"/>
      <c r="L900" s="43">
        <v>0.24979999999999999</v>
      </c>
      <c r="O900" s="50"/>
    </row>
    <row r="901" spans="2:15" x14ac:dyDescent="0.2">
      <c r="B901">
        <v>886</v>
      </c>
      <c r="C901" s="48">
        <f t="shared" ca="1" si="56"/>
        <v>0.92524974813342842</v>
      </c>
      <c r="D901" s="48">
        <f t="shared" ca="1" si="53"/>
        <v>0.7279711939098048</v>
      </c>
      <c r="E901" s="48">
        <f t="shared" ca="1" si="54"/>
        <v>0</v>
      </c>
      <c r="F901" s="17">
        <f t="shared" ca="1" si="55"/>
        <v>0</v>
      </c>
      <c r="H901" s="17">
        <v>886</v>
      </c>
      <c r="I901" s="43">
        <v>0.66935337541815165</v>
      </c>
      <c r="J901" s="43">
        <v>2.0020903397089961E-2</v>
      </c>
      <c r="K901" s="43"/>
      <c r="L901" s="43">
        <v>0.25979999999999998</v>
      </c>
      <c r="O901" s="50"/>
    </row>
    <row r="902" spans="2:15" x14ac:dyDescent="0.2">
      <c r="B902">
        <v>887</v>
      </c>
      <c r="C902" s="48">
        <f t="shared" ca="1" si="56"/>
        <v>1.013314378672352E-2</v>
      </c>
      <c r="D902" s="48">
        <f t="shared" ca="1" si="53"/>
        <v>0.66516986761976382</v>
      </c>
      <c r="E902" s="48">
        <f t="shared" ca="1" si="54"/>
        <v>0</v>
      </c>
      <c r="F902" s="17">
        <f t="shared" ca="1" si="55"/>
        <v>0</v>
      </c>
      <c r="H902" s="17">
        <v>887</v>
      </c>
      <c r="I902" s="43">
        <v>0.66977351854019862</v>
      </c>
      <c r="J902" s="43">
        <v>2.0287724593668382E-2</v>
      </c>
      <c r="K902" s="43"/>
      <c r="L902" s="43">
        <v>0.25819999999999999</v>
      </c>
      <c r="O902" s="50"/>
    </row>
    <row r="903" spans="2:15" x14ac:dyDescent="0.2">
      <c r="B903">
        <v>888</v>
      </c>
      <c r="C903" s="48">
        <f t="shared" ca="1" si="56"/>
        <v>-1.6755604920793119</v>
      </c>
      <c r="D903" s="48">
        <f t="shared" ca="1" si="53"/>
        <v>0.56332356437051689</v>
      </c>
      <c r="E903" s="48">
        <f t="shared" ca="1" si="54"/>
        <v>0</v>
      </c>
      <c r="F903" s="17">
        <f t="shared" ca="1" si="55"/>
        <v>0</v>
      </c>
      <c r="H903" s="17">
        <v>888</v>
      </c>
      <c r="I903" s="43">
        <v>0.6702795482285957</v>
      </c>
      <c r="J903" s="43">
        <v>2.0386794687668297E-2</v>
      </c>
      <c r="K903" s="43"/>
      <c r="L903" s="43">
        <v>0.26019999999999999</v>
      </c>
      <c r="O903" s="50"/>
    </row>
    <row r="904" spans="2:15" x14ac:dyDescent="0.2">
      <c r="B904">
        <v>889</v>
      </c>
      <c r="C904" s="48">
        <f t="shared" ca="1" si="56"/>
        <v>-0.78028086070130998</v>
      </c>
      <c r="D904" s="48">
        <f t="shared" ca="1" si="53"/>
        <v>0.61530466249527327</v>
      </c>
      <c r="E904" s="48">
        <f t="shared" ca="1" si="54"/>
        <v>0</v>
      </c>
      <c r="F904" s="17">
        <f t="shared" ca="1" si="55"/>
        <v>0</v>
      </c>
      <c r="H904" s="17">
        <v>889</v>
      </c>
      <c r="I904" s="43">
        <v>0.66900679596728974</v>
      </c>
      <c r="J904" s="43">
        <v>1.9499562931695396E-2</v>
      </c>
      <c r="K904" s="43"/>
      <c r="L904" s="43">
        <v>0.254</v>
      </c>
      <c r="O904" s="50"/>
    </row>
    <row r="905" spans="2:15" x14ac:dyDescent="0.2">
      <c r="B905">
        <v>890</v>
      </c>
      <c r="C905" s="48">
        <f t="shared" ca="1" si="56"/>
        <v>-5.2117113724722497E-2</v>
      </c>
      <c r="D905" s="48">
        <f t="shared" ca="1" si="53"/>
        <v>0.66110015757181073</v>
      </c>
      <c r="E905" s="48">
        <f t="shared" ca="1" si="54"/>
        <v>0</v>
      </c>
      <c r="F905" s="17">
        <f t="shared" ca="1" si="55"/>
        <v>0</v>
      </c>
      <c r="H905" s="17">
        <v>890</v>
      </c>
      <c r="I905" s="43">
        <v>0.66920916159749533</v>
      </c>
      <c r="J905" s="43">
        <v>1.9729650646907342E-2</v>
      </c>
      <c r="K905" s="43"/>
      <c r="L905" s="43">
        <v>0.2462</v>
      </c>
      <c r="O905" s="50"/>
    </row>
    <row r="906" spans="2:15" x14ac:dyDescent="0.2">
      <c r="B906">
        <v>891</v>
      </c>
      <c r="C906" s="48">
        <f t="shared" ca="1" si="56"/>
        <v>0.15871685230529986</v>
      </c>
      <c r="D906" s="48">
        <f t="shared" ca="1" si="53"/>
        <v>0.67498531827629304</v>
      </c>
      <c r="E906" s="48">
        <f t="shared" ca="1" si="54"/>
        <v>0</v>
      </c>
      <c r="F906" s="17">
        <f t="shared" ca="1" si="55"/>
        <v>0</v>
      </c>
      <c r="H906" s="17">
        <v>891</v>
      </c>
      <c r="I906" s="43">
        <v>0.66868500266359499</v>
      </c>
      <c r="J906" s="43">
        <v>1.8940027011455869E-2</v>
      </c>
      <c r="K906" s="43"/>
      <c r="L906" s="43">
        <v>0.2482</v>
      </c>
      <c r="O906" s="50"/>
    </row>
    <row r="907" spans="2:15" x14ac:dyDescent="0.2">
      <c r="B907">
        <v>892</v>
      </c>
      <c r="C907" s="48">
        <f t="shared" ca="1" si="56"/>
        <v>0.76473809446310625</v>
      </c>
      <c r="D907" s="48">
        <f t="shared" ca="1" si="53"/>
        <v>0.7165421268103418</v>
      </c>
      <c r="E907" s="48">
        <f t="shared" ca="1" si="54"/>
        <v>0</v>
      </c>
      <c r="F907" s="17">
        <f t="shared" ca="1" si="55"/>
        <v>0</v>
      </c>
      <c r="H907" s="17">
        <v>892</v>
      </c>
      <c r="I907" s="43">
        <v>0.66968538794775401</v>
      </c>
      <c r="J907" s="43">
        <v>1.9787681841811879E-2</v>
      </c>
      <c r="K907" s="43"/>
      <c r="L907" s="43">
        <v>0.25280000000000002</v>
      </c>
      <c r="O907" s="50"/>
    </row>
    <row r="908" spans="2:15" x14ac:dyDescent="0.2">
      <c r="B908">
        <v>893</v>
      </c>
      <c r="C908" s="48">
        <f t="shared" ca="1" si="56"/>
        <v>1.4459599977139554</v>
      </c>
      <c r="D908" s="48">
        <f t="shared" ca="1" si="53"/>
        <v>0.76631781408246269</v>
      </c>
      <c r="E908" s="48">
        <f t="shared" ca="1" si="54"/>
        <v>0</v>
      </c>
      <c r="F908" s="17">
        <f t="shared" ca="1" si="55"/>
        <v>0</v>
      </c>
      <c r="H908" s="17">
        <v>893</v>
      </c>
      <c r="I908" s="43">
        <v>0.66911893632875286</v>
      </c>
      <c r="J908" s="43">
        <v>1.9432983592674292E-2</v>
      </c>
      <c r="K908" s="43"/>
      <c r="L908" s="43">
        <v>0.25180000000000002</v>
      </c>
      <c r="O908" s="50"/>
    </row>
    <row r="909" spans="2:15" x14ac:dyDescent="0.2">
      <c r="B909">
        <v>894</v>
      </c>
      <c r="C909" s="48">
        <f t="shared" ca="1" si="56"/>
        <v>-0.50932979129855227</v>
      </c>
      <c r="D909" s="48">
        <f t="shared" ca="1" si="53"/>
        <v>0.63196240819331628</v>
      </c>
      <c r="E909" s="48">
        <f t="shared" ca="1" si="54"/>
        <v>0</v>
      </c>
      <c r="F909" s="17">
        <f t="shared" ca="1" si="55"/>
        <v>0</v>
      </c>
      <c r="H909" s="17">
        <v>894</v>
      </c>
      <c r="I909" s="43">
        <v>0.66757538479485246</v>
      </c>
      <c r="J909" s="43">
        <v>1.814473818986094E-2</v>
      </c>
      <c r="K909" s="43"/>
      <c r="L909" s="43">
        <v>0.2366</v>
      </c>
      <c r="O909" s="50"/>
    </row>
    <row r="910" spans="2:15" x14ac:dyDescent="0.2">
      <c r="B910">
        <v>895</v>
      </c>
      <c r="C910" s="48">
        <f t="shared" ca="1" si="56"/>
        <v>0.90898764708263191</v>
      </c>
      <c r="D910" s="48">
        <f t="shared" ca="1" si="53"/>
        <v>0.72680501689334398</v>
      </c>
      <c r="E910" s="48">
        <f t="shared" ca="1" si="54"/>
        <v>0</v>
      </c>
      <c r="F910" s="17">
        <f t="shared" ca="1" si="55"/>
        <v>0</v>
      </c>
      <c r="H910" s="17">
        <v>895</v>
      </c>
      <c r="I910" s="43">
        <v>0.66963597591785806</v>
      </c>
      <c r="J910" s="43">
        <v>1.9440445805461306E-2</v>
      </c>
      <c r="K910" s="43"/>
      <c r="L910" s="43">
        <v>0.25180000000000002</v>
      </c>
      <c r="O910" s="50"/>
    </row>
    <row r="911" spans="2:15" x14ac:dyDescent="0.2">
      <c r="B911">
        <v>896</v>
      </c>
      <c r="C911" s="48">
        <f t="shared" ca="1" si="56"/>
        <v>-1.3726336360550289</v>
      </c>
      <c r="D911" s="48">
        <f t="shared" ca="1" si="53"/>
        <v>0.58040084099273148</v>
      </c>
      <c r="E911" s="48">
        <f t="shared" ca="1" si="54"/>
        <v>0</v>
      </c>
      <c r="F911" s="17">
        <f t="shared" ca="1" si="55"/>
        <v>0</v>
      </c>
      <c r="H911" s="17">
        <v>896</v>
      </c>
      <c r="I911" s="43">
        <v>0.66964725396258273</v>
      </c>
      <c r="J911" s="43">
        <v>1.9873776837255431E-2</v>
      </c>
      <c r="K911" s="43"/>
      <c r="L911" s="43">
        <v>0.252</v>
      </c>
      <c r="O911" s="50"/>
    </row>
    <row r="912" spans="2:15" x14ac:dyDescent="0.2">
      <c r="B912">
        <v>897</v>
      </c>
      <c r="C912" s="48">
        <f t="shared" ca="1" si="56"/>
        <v>1.6136604043283524</v>
      </c>
      <c r="D912" s="48">
        <f t="shared" ref="D912:D975" ca="1" si="57">S0*EXP((μ-0.5*σ*σ)*T+σ*SQRT(T)*$C912)</f>
        <v>0.77909278245891711</v>
      </c>
      <c r="E912" s="48">
        <f t="shared" ref="E912:E975" ca="1" si="58">MAX(0,CP*(D912-K))</f>
        <v>0</v>
      </c>
      <c r="F912" s="17">
        <f t="shared" ref="F912:F975" ca="1" si="59">(CP*(D912-K)&gt;0)*1</f>
        <v>0</v>
      </c>
      <c r="H912" s="17">
        <v>897</v>
      </c>
      <c r="I912" s="43">
        <v>0.6696862717054245</v>
      </c>
      <c r="J912" s="43">
        <v>1.9699571168911231E-2</v>
      </c>
      <c r="K912" s="43"/>
      <c r="L912" s="43">
        <v>0.25219999999999998</v>
      </c>
      <c r="O912" s="50"/>
    </row>
    <row r="913" spans="2:15" x14ac:dyDescent="0.2">
      <c r="B913">
        <v>898</v>
      </c>
      <c r="C913" s="48">
        <f t="shared" ref="C913:C976" ca="1" si="60">_xlfn.NORM.S.INV(RAND())</f>
        <v>0.59821383387353533</v>
      </c>
      <c r="D913" s="48">
        <f t="shared" ca="1" si="57"/>
        <v>0.70487454407241545</v>
      </c>
      <c r="E913" s="48">
        <f t="shared" ca="1" si="58"/>
        <v>0</v>
      </c>
      <c r="F913" s="17">
        <f t="shared" ca="1" si="59"/>
        <v>0</v>
      </c>
      <c r="H913" s="17">
        <v>898</v>
      </c>
      <c r="I913" s="43">
        <v>0.66816061319328879</v>
      </c>
      <c r="J913" s="43">
        <v>1.8716537425239869E-2</v>
      </c>
      <c r="K913" s="43"/>
      <c r="L913" s="43">
        <v>0.246</v>
      </c>
      <c r="O913" s="50"/>
    </row>
    <row r="914" spans="2:15" x14ac:dyDescent="0.2">
      <c r="B914">
        <v>899</v>
      </c>
      <c r="C914" s="48">
        <f t="shared" ca="1" si="60"/>
        <v>0.38655915426884968</v>
      </c>
      <c r="D914" s="48">
        <f t="shared" ca="1" si="57"/>
        <v>0.69031867305790673</v>
      </c>
      <c r="E914" s="48">
        <f t="shared" ca="1" si="58"/>
        <v>0</v>
      </c>
      <c r="F914" s="17">
        <f t="shared" ca="1" si="59"/>
        <v>0</v>
      </c>
      <c r="H914" s="17">
        <v>899</v>
      </c>
      <c r="I914" s="43">
        <v>0.66861861657003385</v>
      </c>
      <c r="J914" s="43">
        <v>1.9022410272780788E-2</v>
      </c>
      <c r="K914" s="43"/>
      <c r="L914" s="43">
        <v>0.25219999999999998</v>
      </c>
      <c r="O914" s="50"/>
    </row>
    <row r="915" spans="2:15" x14ac:dyDescent="0.2">
      <c r="B915">
        <v>900</v>
      </c>
      <c r="C915" s="48">
        <f t="shared" ca="1" si="60"/>
        <v>0.86335674779589777</v>
      </c>
      <c r="D915" s="48">
        <f t="shared" ca="1" si="57"/>
        <v>0.72354272989767543</v>
      </c>
      <c r="E915" s="48">
        <f t="shared" ca="1" si="58"/>
        <v>0</v>
      </c>
      <c r="F915" s="17">
        <f t="shared" ca="1" si="59"/>
        <v>0</v>
      </c>
      <c r="H915" s="17">
        <v>900</v>
      </c>
      <c r="I915" s="43">
        <v>0.66784937932925292</v>
      </c>
      <c r="J915" s="43">
        <v>1.854866680177511E-2</v>
      </c>
      <c r="K915" s="43"/>
      <c r="L915" s="43">
        <v>0.25019999999999998</v>
      </c>
      <c r="O915" s="50"/>
    </row>
    <row r="916" spans="2:15" x14ac:dyDescent="0.2">
      <c r="B916">
        <v>901</v>
      </c>
      <c r="C916" s="48">
        <f t="shared" ca="1" si="60"/>
        <v>-0.93970689054030698</v>
      </c>
      <c r="D916" s="48">
        <f t="shared" ca="1" si="57"/>
        <v>0.60570927238980055</v>
      </c>
      <c r="E916" s="48">
        <f t="shared" ca="1" si="58"/>
        <v>0</v>
      </c>
      <c r="F916" s="17">
        <f t="shared" ca="1" si="59"/>
        <v>0</v>
      </c>
      <c r="H916" s="17">
        <v>901</v>
      </c>
      <c r="I916" s="43">
        <v>0.66801661661237854</v>
      </c>
      <c r="J916" s="43">
        <v>1.8984731201719406E-2</v>
      </c>
      <c r="K916" s="43"/>
      <c r="L916" s="43">
        <v>0.24660000000000001</v>
      </c>
      <c r="O916" s="50"/>
    </row>
    <row r="917" spans="2:15" x14ac:dyDescent="0.2">
      <c r="B917">
        <v>902</v>
      </c>
      <c r="C917" s="48">
        <f t="shared" ca="1" si="60"/>
        <v>-1.9231939270145864</v>
      </c>
      <c r="D917" s="48">
        <f t="shared" ca="1" si="57"/>
        <v>0.54973735289144754</v>
      </c>
      <c r="E917" s="48">
        <f t="shared" ca="1" si="58"/>
        <v>0</v>
      </c>
      <c r="F917" s="17">
        <f t="shared" ca="1" si="59"/>
        <v>0</v>
      </c>
      <c r="H917" s="17">
        <v>902</v>
      </c>
      <c r="I917" s="43">
        <v>0.66833796370705201</v>
      </c>
      <c r="J917" s="43">
        <v>1.8792115118487891E-2</v>
      </c>
      <c r="K917" s="43"/>
      <c r="L917" s="43">
        <v>0.24679999999999999</v>
      </c>
      <c r="O917" s="50"/>
    </row>
    <row r="918" spans="2:15" x14ac:dyDescent="0.2">
      <c r="B918">
        <v>903</v>
      </c>
      <c r="C918" s="48">
        <f t="shared" ca="1" si="60"/>
        <v>-0.35878400184889531</v>
      </c>
      <c r="D918" s="48">
        <f t="shared" ca="1" si="57"/>
        <v>0.64141189992394587</v>
      </c>
      <c r="E918" s="48">
        <f t="shared" ca="1" si="58"/>
        <v>0</v>
      </c>
      <c r="F918" s="17">
        <f t="shared" ca="1" si="59"/>
        <v>0</v>
      </c>
      <c r="H918" s="17">
        <v>903</v>
      </c>
      <c r="I918" s="43">
        <v>0.66891994073046213</v>
      </c>
      <c r="J918" s="43">
        <v>1.9234728662153533E-2</v>
      </c>
      <c r="K918" s="43"/>
      <c r="L918" s="43">
        <v>0.25340000000000001</v>
      </c>
      <c r="O918" s="50"/>
    </row>
    <row r="919" spans="2:15" x14ac:dyDescent="0.2">
      <c r="B919">
        <v>904</v>
      </c>
      <c r="C919" s="48">
        <f t="shared" ca="1" si="60"/>
        <v>0.64302220830408308</v>
      </c>
      <c r="D919" s="48">
        <f t="shared" ca="1" si="57"/>
        <v>0.70799524641286715</v>
      </c>
      <c r="E919" s="48">
        <f t="shared" ca="1" si="58"/>
        <v>0</v>
      </c>
      <c r="F919" s="17">
        <f t="shared" ca="1" si="59"/>
        <v>0</v>
      </c>
      <c r="H919" s="17">
        <v>904</v>
      </c>
      <c r="I919" s="43">
        <v>0.66923368350353585</v>
      </c>
      <c r="J919" s="43">
        <v>1.9697467571839964E-2</v>
      </c>
      <c r="K919" s="43"/>
      <c r="L919" s="43">
        <v>0.25059999999999999</v>
      </c>
      <c r="O919" s="50"/>
    </row>
    <row r="920" spans="2:15" x14ac:dyDescent="0.2">
      <c r="B920">
        <v>905</v>
      </c>
      <c r="C920" s="48">
        <f t="shared" ca="1" si="60"/>
        <v>-0.63934891055363186</v>
      </c>
      <c r="D920" s="48">
        <f t="shared" ca="1" si="57"/>
        <v>0.6239134492881897</v>
      </c>
      <c r="E920" s="48">
        <f t="shared" ca="1" si="58"/>
        <v>0</v>
      </c>
      <c r="F920" s="17">
        <f t="shared" ca="1" si="59"/>
        <v>0</v>
      </c>
      <c r="H920" s="17">
        <v>905</v>
      </c>
      <c r="I920" s="43">
        <v>0.66902262224660969</v>
      </c>
      <c r="J920" s="43">
        <v>1.9684972328081269E-2</v>
      </c>
      <c r="K920" s="43"/>
      <c r="L920" s="43">
        <v>0.25540000000000002</v>
      </c>
      <c r="O920" s="50"/>
    </row>
    <row r="921" spans="2:15" x14ac:dyDescent="0.2">
      <c r="B921">
        <v>906</v>
      </c>
      <c r="C921" s="48">
        <f t="shared" ca="1" si="60"/>
        <v>0.1788462270423688</v>
      </c>
      <c r="D921" s="48">
        <f t="shared" ca="1" si="57"/>
        <v>0.67632615943562169</v>
      </c>
      <c r="E921" s="48">
        <f t="shared" ca="1" si="58"/>
        <v>0</v>
      </c>
      <c r="F921" s="17">
        <f t="shared" ca="1" si="59"/>
        <v>0</v>
      </c>
      <c r="H921" s="17">
        <v>906</v>
      </c>
      <c r="I921" s="43">
        <v>0.67050776567001114</v>
      </c>
      <c r="J921" s="43">
        <v>2.051012201926608E-2</v>
      </c>
      <c r="K921" s="43"/>
      <c r="L921" s="43">
        <v>0.2616</v>
      </c>
      <c r="O921" s="50"/>
    </row>
    <row r="922" spans="2:15" x14ac:dyDescent="0.2">
      <c r="B922">
        <v>907</v>
      </c>
      <c r="C922" s="48">
        <f t="shared" ca="1" si="60"/>
        <v>9.4166530820570374E-2</v>
      </c>
      <c r="D922" s="48">
        <f t="shared" ca="1" si="57"/>
        <v>0.67070345006433985</v>
      </c>
      <c r="E922" s="48">
        <f t="shared" ca="1" si="58"/>
        <v>0</v>
      </c>
      <c r="F922" s="17">
        <f t="shared" ca="1" si="59"/>
        <v>0</v>
      </c>
      <c r="H922" s="17">
        <v>907</v>
      </c>
      <c r="I922" s="43">
        <v>0.66860503491714351</v>
      </c>
      <c r="J922" s="43">
        <v>1.8858854149011367E-2</v>
      </c>
      <c r="K922" s="43"/>
      <c r="L922" s="43">
        <v>0.2492</v>
      </c>
      <c r="O922" s="50"/>
    </row>
    <row r="923" spans="2:15" x14ac:dyDescent="0.2">
      <c r="B923">
        <v>908</v>
      </c>
      <c r="C923" s="48">
        <f t="shared" ca="1" si="60"/>
        <v>-1.834057830979924</v>
      </c>
      <c r="D923" s="48">
        <f t="shared" ca="1" si="57"/>
        <v>0.55458956971350792</v>
      </c>
      <c r="E923" s="48">
        <f t="shared" ca="1" si="58"/>
        <v>0</v>
      </c>
      <c r="F923" s="17">
        <f t="shared" ca="1" si="59"/>
        <v>0</v>
      </c>
      <c r="H923" s="17">
        <v>908</v>
      </c>
      <c r="I923" s="43">
        <v>0.66938140501739418</v>
      </c>
      <c r="J923" s="43">
        <v>1.9939351683691472E-2</v>
      </c>
      <c r="K923" s="43"/>
      <c r="L923" s="43">
        <v>0.2576</v>
      </c>
      <c r="O923" s="50"/>
    </row>
    <row r="924" spans="2:15" x14ac:dyDescent="0.2">
      <c r="B924">
        <v>909</v>
      </c>
      <c r="C924" s="48">
        <f t="shared" ca="1" si="60"/>
        <v>-0.49865139537969039</v>
      </c>
      <c r="D924" s="48">
        <f t="shared" ca="1" si="57"/>
        <v>0.63262806075555056</v>
      </c>
      <c r="E924" s="48">
        <f t="shared" ca="1" si="58"/>
        <v>0</v>
      </c>
      <c r="F924" s="17">
        <f t="shared" ca="1" si="59"/>
        <v>0</v>
      </c>
      <c r="H924" s="17">
        <v>909</v>
      </c>
      <c r="I924" s="43">
        <v>0.66860685235199813</v>
      </c>
      <c r="J924" s="43">
        <v>1.9285643104814957E-2</v>
      </c>
      <c r="K924" s="43"/>
      <c r="L924" s="43">
        <v>0.25319999999999998</v>
      </c>
      <c r="O924" s="50"/>
    </row>
    <row r="925" spans="2:15" x14ac:dyDescent="0.2">
      <c r="B925">
        <v>910</v>
      </c>
      <c r="C925" s="48">
        <f t="shared" ca="1" si="60"/>
        <v>-0.17510614668777916</v>
      </c>
      <c r="D925" s="48">
        <f t="shared" ca="1" si="57"/>
        <v>0.65313260239853654</v>
      </c>
      <c r="E925" s="48">
        <f t="shared" ca="1" si="58"/>
        <v>0</v>
      </c>
      <c r="F925" s="17">
        <f t="shared" ca="1" si="59"/>
        <v>0</v>
      </c>
      <c r="H925" s="17">
        <v>910</v>
      </c>
      <c r="I925" s="43">
        <v>0.66944395007652435</v>
      </c>
      <c r="J925" s="43">
        <v>1.9744709829554081E-2</v>
      </c>
      <c r="K925" s="43"/>
      <c r="L925" s="43">
        <v>0.25540000000000002</v>
      </c>
      <c r="O925" s="50"/>
    </row>
    <row r="926" spans="2:15" x14ac:dyDescent="0.2">
      <c r="B926">
        <v>911</v>
      </c>
      <c r="C926" s="48">
        <f t="shared" ca="1" si="60"/>
        <v>0.31744922891958643</v>
      </c>
      <c r="D926" s="48">
        <f t="shared" ca="1" si="57"/>
        <v>0.6856312613490122</v>
      </c>
      <c r="E926" s="48">
        <f t="shared" ca="1" si="58"/>
        <v>0</v>
      </c>
      <c r="F926" s="17">
        <f t="shared" ca="1" si="59"/>
        <v>0</v>
      </c>
      <c r="H926" s="17">
        <v>911</v>
      </c>
      <c r="I926" s="43">
        <v>0.66926871555703582</v>
      </c>
      <c r="J926" s="43">
        <v>1.9566900503108609E-2</v>
      </c>
      <c r="K926" s="43"/>
      <c r="L926" s="43">
        <v>0.255</v>
      </c>
      <c r="O926" s="50"/>
    </row>
    <row r="927" spans="2:15" x14ac:dyDescent="0.2">
      <c r="B927">
        <v>912</v>
      </c>
      <c r="C927" s="48">
        <f t="shared" ca="1" si="60"/>
        <v>-0.51702653263150922</v>
      </c>
      <c r="D927" s="48">
        <f t="shared" ca="1" si="57"/>
        <v>0.63148305558390994</v>
      </c>
      <c r="E927" s="48">
        <f t="shared" ca="1" si="58"/>
        <v>0</v>
      </c>
      <c r="F927" s="17">
        <f t="shared" ca="1" si="59"/>
        <v>0</v>
      </c>
      <c r="H927" s="17">
        <v>912</v>
      </c>
      <c r="I927" s="43">
        <v>0.66870967422682026</v>
      </c>
      <c r="J927" s="43">
        <v>1.9320719083769977E-2</v>
      </c>
      <c r="K927" s="43"/>
      <c r="L927" s="43">
        <v>0.25559999999999999</v>
      </c>
      <c r="O927" s="50"/>
    </row>
    <row r="928" spans="2:15" x14ac:dyDescent="0.2">
      <c r="B928">
        <v>913</v>
      </c>
      <c r="C928" s="48">
        <f t="shared" ca="1" si="60"/>
        <v>1.4747940593356188</v>
      </c>
      <c r="D928" s="48">
        <f t="shared" ca="1" si="57"/>
        <v>0.76849930741504835</v>
      </c>
      <c r="E928" s="48">
        <f t="shared" ca="1" si="58"/>
        <v>0</v>
      </c>
      <c r="F928" s="17">
        <f t="shared" ca="1" si="59"/>
        <v>0</v>
      </c>
      <c r="H928" s="17">
        <v>913</v>
      </c>
      <c r="I928" s="43">
        <v>0.66950668689339743</v>
      </c>
      <c r="J928" s="43">
        <v>2.0091804300511506E-2</v>
      </c>
      <c r="K928" s="43"/>
      <c r="L928" s="43">
        <v>0.25040000000000001</v>
      </c>
      <c r="O928" s="50"/>
    </row>
    <row r="929" spans="2:15" x14ac:dyDescent="0.2">
      <c r="B929">
        <v>914</v>
      </c>
      <c r="C929" s="48">
        <f t="shared" ca="1" si="60"/>
        <v>2.9909257670510638E-2</v>
      </c>
      <c r="D929" s="48">
        <f t="shared" ca="1" si="57"/>
        <v>0.66646799908848886</v>
      </c>
      <c r="E929" s="48">
        <f t="shared" ca="1" si="58"/>
        <v>0</v>
      </c>
      <c r="F929" s="17">
        <f t="shared" ca="1" si="59"/>
        <v>0</v>
      </c>
      <c r="H929" s="17">
        <v>914</v>
      </c>
      <c r="I929" s="43">
        <v>0.66923210028027047</v>
      </c>
      <c r="J929" s="43">
        <v>1.9739690427702655E-2</v>
      </c>
      <c r="K929" s="43"/>
      <c r="L929" s="43">
        <v>0.25740000000000002</v>
      </c>
      <c r="O929" s="50"/>
    </row>
    <row r="930" spans="2:15" x14ac:dyDescent="0.2">
      <c r="B930">
        <v>915</v>
      </c>
      <c r="C930" s="48">
        <f t="shared" ca="1" si="60"/>
        <v>0.36568854366808257</v>
      </c>
      <c r="D930" s="48">
        <f t="shared" ca="1" si="57"/>
        <v>0.68889974696357192</v>
      </c>
      <c r="E930" s="48">
        <f t="shared" ca="1" si="58"/>
        <v>0</v>
      </c>
      <c r="F930" s="17">
        <f t="shared" ca="1" si="59"/>
        <v>0</v>
      </c>
      <c r="H930" s="17">
        <v>915</v>
      </c>
      <c r="I930" s="43">
        <v>0.66869599424830439</v>
      </c>
      <c r="J930" s="43">
        <v>1.9232498204451554E-2</v>
      </c>
      <c r="K930" s="43"/>
      <c r="L930" s="43">
        <v>0.25159999999999999</v>
      </c>
      <c r="O930" s="50"/>
    </row>
    <row r="931" spans="2:15" x14ac:dyDescent="0.2">
      <c r="B931">
        <v>916</v>
      </c>
      <c r="C931" s="48">
        <f t="shared" ca="1" si="60"/>
        <v>-0.95016952255032672</v>
      </c>
      <c r="D931" s="48">
        <f t="shared" ca="1" si="57"/>
        <v>0.6050848148287562</v>
      </c>
      <c r="E931" s="48">
        <f t="shared" ca="1" si="58"/>
        <v>0</v>
      </c>
      <c r="F931" s="17">
        <f t="shared" ca="1" si="59"/>
        <v>0</v>
      </c>
      <c r="H931" s="17">
        <v>916</v>
      </c>
      <c r="I931" s="43">
        <v>0.66907948254156213</v>
      </c>
      <c r="J931" s="43">
        <v>1.929814746766512E-2</v>
      </c>
      <c r="K931" s="43"/>
      <c r="L931" s="43">
        <v>0.249</v>
      </c>
      <c r="O931" s="50"/>
    </row>
    <row r="932" spans="2:15" x14ac:dyDescent="0.2">
      <c r="B932">
        <v>917</v>
      </c>
      <c r="C932" s="48">
        <f t="shared" ca="1" si="60"/>
        <v>0.43910812999536608</v>
      </c>
      <c r="D932" s="48">
        <f t="shared" ca="1" si="57"/>
        <v>0.69390426655034598</v>
      </c>
      <c r="E932" s="48">
        <f t="shared" ca="1" si="58"/>
        <v>0</v>
      </c>
      <c r="F932" s="17">
        <f t="shared" ca="1" si="59"/>
        <v>0</v>
      </c>
      <c r="H932" s="17">
        <v>917</v>
      </c>
      <c r="I932" s="43">
        <v>0.66826363238931019</v>
      </c>
      <c r="J932" s="43">
        <v>1.8934325451586895E-2</v>
      </c>
      <c r="K932" s="43"/>
      <c r="L932" s="43">
        <v>0.25</v>
      </c>
      <c r="O932" s="50"/>
    </row>
    <row r="933" spans="2:15" x14ac:dyDescent="0.2">
      <c r="B933">
        <v>918</v>
      </c>
      <c r="C933" s="48">
        <f t="shared" ca="1" si="60"/>
        <v>0.21041988298040776</v>
      </c>
      <c r="D933" s="48">
        <f t="shared" ca="1" si="57"/>
        <v>0.67843468505595084</v>
      </c>
      <c r="E933" s="48">
        <f t="shared" ca="1" si="58"/>
        <v>0</v>
      </c>
      <c r="F933" s="17">
        <f t="shared" ca="1" si="59"/>
        <v>0</v>
      </c>
      <c r="H933" s="17">
        <v>918</v>
      </c>
      <c r="I933" s="43">
        <v>0.6692358694752677</v>
      </c>
      <c r="J933" s="43">
        <v>1.9821255268710196E-2</v>
      </c>
      <c r="K933" s="43"/>
      <c r="L933" s="43">
        <v>0.251</v>
      </c>
      <c r="O933" s="50"/>
    </row>
    <row r="934" spans="2:15" x14ac:dyDescent="0.2">
      <c r="B934">
        <v>919</v>
      </c>
      <c r="C934" s="48">
        <f t="shared" ca="1" si="60"/>
        <v>-0.44551799147809945</v>
      </c>
      <c r="D934" s="48">
        <f t="shared" ca="1" si="57"/>
        <v>0.6359506433639629</v>
      </c>
      <c r="E934" s="48">
        <f t="shared" ca="1" si="58"/>
        <v>0</v>
      </c>
      <c r="F934" s="17">
        <f t="shared" ca="1" si="59"/>
        <v>0</v>
      </c>
      <c r="H934" s="17">
        <v>919</v>
      </c>
      <c r="I934" s="43">
        <v>0.66913911842219875</v>
      </c>
      <c r="J934" s="43">
        <v>1.9439561284413147E-2</v>
      </c>
      <c r="K934" s="43"/>
      <c r="L934" s="43">
        <v>0.251</v>
      </c>
      <c r="O934" s="50"/>
    </row>
    <row r="935" spans="2:15" x14ac:dyDescent="0.2">
      <c r="B935">
        <v>920</v>
      </c>
      <c r="C935" s="48">
        <f t="shared" ca="1" si="60"/>
        <v>-0.96292524537517898</v>
      </c>
      <c r="D935" s="48">
        <f t="shared" ca="1" si="57"/>
        <v>0.60432436598759987</v>
      </c>
      <c r="E935" s="48">
        <f t="shared" ca="1" si="58"/>
        <v>0</v>
      </c>
      <c r="F935" s="17">
        <f t="shared" ca="1" si="59"/>
        <v>0</v>
      </c>
      <c r="H935" s="17">
        <v>920</v>
      </c>
      <c r="I935" s="43">
        <v>0.66908328847605103</v>
      </c>
      <c r="J935" s="43">
        <v>1.9586733895922467E-2</v>
      </c>
      <c r="K935" s="43"/>
      <c r="L935" s="43">
        <v>0.25779999999999997</v>
      </c>
      <c r="O935" s="50"/>
    </row>
    <row r="936" spans="2:15" x14ac:dyDescent="0.2">
      <c r="B936">
        <v>921</v>
      </c>
      <c r="C936" s="48">
        <f t="shared" ca="1" si="60"/>
        <v>-0.9285654937416371</v>
      </c>
      <c r="D936" s="48">
        <f t="shared" ca="1" si="57"/>
        <v>0.60637495026263133</v>
      </c>
      <c r="E936" s="48">
        <f t="shared" ca="1" si="58"/>
        <v>0</v>
      </c>
      <c r="F936" s="17">
        <f t="shared" ca="1" si="59"/>
        <v>0</v>
      </c>
      <c r="H936" s="17">
        <v>921</v>
      </c>
      <c r="I936" s="43">
        <v>0.66914289652773618</v>
      </c>
      <c r="J936" s="43">
        <v>1.9433262917005267E-2</v>
      </c>
      <c r="K936" s="43"/>
      <c r="L936" s="43">
        <v>0.2482</v>
      </c>
      <c r="O936" s="50"/>
    </row>
    <row r="937" spans="2:15" x14ac:dyDescent="0.2">
      <c r="B937">
        <v>922</v>
      </c>
      <c r="C937" s="48">
        <f t="shared" ca="1" si="60"/>
        <v>0.23273145361400943</v>
      </c>
      <c r="D937" s="48">
        <f t="shared" ca="1" si="57"/>
        <v>0.67992864048565804</v>
      </c>
      <c r="E937" s="48">
        <f t="shared" ca="1" si="58"/>
        <v>0</v>
      </c>
      <c r="F937" s="17">
        <f t="shared" ca="1" si="59"/>
        <v>0</v>
      </c>
      <c r="H937" s="17">
        <v>922</v>
      </c>
      <c r="I937" s="43">
        <v>0.66960264250719748</v>
      </c>
      <c r="J937" s="43">
        <v>1.9900830806981705E-2</v>
      </c>
      <c r="K937" s="43"/>
      <c r="L937" s="43">
        <v>0.25240000000000001</v>
      </c>
      <c r="O937" s="50"/>
    </row>
    <row r="938" spans="2:15" x14ac:dyDescent="0.2">
      <c r="B938">
        <v>923</v>
      </c>
      <c r="C938" s="48">
        <f t="shared" ca="1" si="60"/>
        <v>-1.0570081803263303</v>
      </c>
      <c r="D938" s="48">
        <f t="shared" ca="1" si="57"/>
        <v>0.59874493240428683</v>
      </c>
      <c r="E938" s="48">
        <f t="shared" ca="1" si="58"/>
        <v>0</v>
      </c>
      <c r="F938" s="17">
        <f t="shared" ca="1" si="59"/>
        <v>0</v>
      </c>
      <c r="H938" s="17">
        <v>923</v>
      </c>
      <c r="I938" s="43">
        <v>0.6701067810288891</v>
      </c>
      <c r="J938" s="43">
        <v>2.020713929317048E-2</v>
      </c>
      <c r="K938" s="43"/>
      <c r="L938" s="43">
        <v>0.25600000000000001</v>
      </c>
      <c r="O938" s="50"/>
    </row>
    <row r="939" spans="2:15" x14ac:dyDescent="0.2">
      <c r="B939">
        <v>924</v>
      </c>
      <c r="C939" s="48">
        <f t="shared" ca="1" si="60"/>
        <v>0.388688384726947</v>
      </c>
      <c r="D939" s="48">
        <f t="shared" ca="1" si="57"/>
        <v>0.69046359681855907</v>
      </c>
      <c r="E939" s="48">
        <f t="shared" ca="1" si="58"/>
        <v>0</v>
      </c>
      <c r="F939" s="17">
        <f t="shared" ca="1" si="59"/>
        <v>0</v>
      </c>
      <c r="H939" s="17">
        <v>924</v>
      </c>
      <c r="I939" s="43">
        <v>0.66936512635279266</v>
      </c>
      <c r="J939" s="43">
        <v>1.97992739951591E-2</v>
      </c>
      <c r="K939" s="43"/>
      <c r="L939" s="43">
        <v>0.25679999999999997</v>
      </c>
      <c r="O939" s="50"/>
    </row>
    <row r="940" spans="2:15" x14ac:dyDescent="0.2">
      <c r="B940">
        <v>925</v>
      </c>
      <c r="C940" s="48">
        <f t="shared" ca="1" si="60"/>
        <v>2.0848612000031355</v>
      </c>
      <c r="D940" s="48">
        <f t="shared" ca="1" si="57"/>
        <v>0.81613896240761696</v>
      </c>
      <c r="E940" s="48">
        <f t="shared" ca="1" si="58"/>
        <v>2.7938962407616952E-2</v>
      </c>
      <c r="F940" s="17">
        <f t="shared" ca="1" si="59"/>
        <v>1</v>
      </c>
      <c r="H940" s="17">
        <v>925</v>
      </c>
      <c r="I940" s="43">
        <v>0.66934444408754057</v>
      </c>
      <c r="J940" s="43">
        <v>1.9506146890508794E-2</v>
      </c>
      <c r="K940" s="43"/>
      <c r="L940" s="43">
        <v>0.25219999999999998</v>
      </c>
      <c r="O940" s="50"/>
    </row>
    <row r="941" spans="2:15" x14ac:dyDescent="0.2">
      <c r="B941">
        <v>926</v>
      </c>
      <c r="C941" s="48">
        <f t="shared" ca="1" si="60"/>
        <v>0.27873553852976551</v>
      </c>
      <c r="D941" s="48">
        <f t="shared" ca="1" si="57"/>
        <v>0.683019410425588</v>
      </c>
      <c r="E941" s="48">
        <f t="shared" ca="1" si="58"/>
        <v>0</v>
      </c>
      <c r="F941" s="17">
        <f t="shared" ca="1" si="59"/>
        <v>0</v>
      </c>
      <c r="H941" s="17">
        <v>926</v>
      </c>
      <c r="I941" s="43">
        <v>0.66918685060275196</v>
      </c>
      <c r="J941" s="43">
        <v>1.9071088075063702E-2</v>
      </c>
      <c r="K941" s="43"/>
      <c r="L941" s="43">
        <v>0.249</v>
      </c>
      <c r="O941" s="50"/>
    </row>
    <row r="942" spans="2:15" x14ac:dyDescent="0.2">
      <c r="B942">
        <v>927</v>
      </c>
      <c r="C942" s="48">
        <f t="shared" ca="1" si="60"/>
        <v>-0.42547965732656873</v>
      </c>
      <c r="D942" s="48">
        <f t="shared" ca="1" si="57"/>
        <v>0.63720822387162923</v>
      </c>
      <c r="E942" s="48">
        <f t="shared" ca="1" si="58"/>
        <v>0</v>
      </c>
      <c r="F942" s="17">
        <f t="shared" ca="1" si="59"/>
        <v>0</v>
      </c>
      <c r="H942" s="17">
        <v>927</v>
      </c>
      <c r="I942" s="43">
        <v>0.66805668489744163</v>
      </c>
      <c r="J942" s="43">
        <v>1.8846835997636837E-2</v>
      </c>
      <c r="K942" s="43"/>
      <c r="L942" s="43">
        <v>0.25280000000000002</v>
      </c>
      <c r="O942" s="50"/>
    </row>
    <row r="943" spans="2:15" x14ac:dyDescent="0.2">
      <c r="B943">
        <v>928</v>
      </c>
      <c r="C943" s="48">
        <f t="shared" ca="1" si="60"/>
        <v>1.0425841293642562</v>
      </c>
      <c r="D943" s="48">
        <f t="shared" ca="1" si="57"/>
        <v>0.73644103998583743</v>
      </c>
      <c r="E943" s="48">
        <f t="shared" ca="1" si="58"/>
        <v>0</v>
      </c>
      <c r="F943" s="17">
        <f t="shared" ca="1" si="59"/>
        <v>0</v>
      </c>
      <c r="H943" s="17">
        <v>928</v>
      </c>
      <c r="I943" s="43">
        <v>0.66789808899265168</v>
      </c>
      <c r="J943" s="43">
        <v>1.8480679359724625E-2</v>
      </c>
      <c r="K943" s="43"/>
      <c r="L943" s="43">
        <v>0.24399999999999999</v>
      </c>
      <c r="O943" s="50"/>
    </row>
    <row r="944" spans="2:15" x14ac:dyDescent="0.2">
      <c r="B944">
        <v>929</v>
      </c>
      <c r="C944" s="48">
        <f t="shared" ca="1" si="60"/>
        <v>0.87052952552971907</v>
      </c>
      <c r="D944" s="48">
        <f t="shared" ca="1" si="57"/>
        <v>0.72405456119900136</v>
      </c>
      <c r="E944" s="48">
        <f t="shared" ca="1" si="58"/>
        <v>0</v>
      </c>
      <c r="F944" s="17">
        <f t="shared" ca="1" si="59"/>
        <v>0</v>
      </c>
      <c r="H944" s="17">
        <v>929</v>
      </c>
      <c r="I944" s="43">
        <v>0.66889427066070262</v>
      </c>
      <c r="J944" s="43">
        <v>1.9580604482611275E-2</v>
      </c>
      <c r="K944" s="43"/>
      <c r="L944" s="43">
        <v>0.25459999999999999</v>
      </c>
      <c r="O944" s="50"/>
    </row>
    <row r="945" spans="2:15" x14ac:dyDescent="0.2">
      <c r="B945">
        <v>930</v>
      </c>
      <c r="C945" s="48">
        <f t="shared" ca="1" si="60"/>
        <v>-0.61245966555172815</v>
      </c>
      <c r="D945" s="48">
        <f t="shared" ca="1" si="57"/>
        <v>0.62556960226048475</v>
      </c>
      <c r="E945" s="48">
        <f t="shared" ca="1" si="58"/>
        <v>0</v>
      </c>
      <c r="F945" s="17">
        <f t="shared" ca="1" si="59"/>
        <v>0</v>
      </c>
      <c r="H945" s="17">
        <v>930</v>
      </c>
      <c r="I945" s="43">
        <v>0.66982614989452449</v>
      </c>
      <c r="J945" s="43">
        <v>2.0173691151262409E-2</v>
      </c>
      <c r="K945" s="43"/>
      <c r="L945" s="43">
        <v>0.255</v>
      </c>
      <c r="O945" s="50"/>
    </row>
    <row r="946" spans="2:15" x14ac:dyDescent="0.2">
      <c r="B946">
        <v>931</v>
      </c>
      <c r="C946" s="48">
        <f t="shared" ca="1" si="60"/>
        <v>-0.46885359880025412</v>
      </c>
      <c r="D946" s="48">
        <f t="shared" ca="1" si="57"/>
        <v>0.63448925795506084</v>
      </c>
      <c r="E946" s="48">
        <f t="shared" ca="1" si="58"/>
        <v>0</v>
      </c>
      <c r="F946" s="17">
        <f t="shared" ca="1" si="59"/>
        <v>0</v>
      </c>
      <c r="H946" s="17">
        <v>931</v>
      </c>
      <c r="I946" s="43">
        <v>0.66842626544711314</v>
      </c>
      <c r="J946" s="43">
        <v>1.85408998542528E-2</v>
      </c>
      <c r="K946" s="43"/>
      <c r="L946" s="43">
        <v>0.2432</v>
      </c>
      <c r="O946" s="50"/>
    </row>
    <row r="947" spans="2:15" x14ac:dyDescent="0.2">
      <c r="B947">
        <v>932</v>
      </c>
      <c r="C947" s="48">
        <f t="shared" ca="1" si="60"/>
        <v>-0.81209390561936257</v>
      </c>
      <c r="D947" s="48">
        <f t="shared" ca="1" si="57"/>
        <v>0.6133778640392592</v>
      </c>
      <c r="E947" s="48">
        <f t="shared" ca="1" si="58"/>
        <v>0</v>
      </c>
      <c r="F947" s="17">
        <f t="shared" ca="1" si="59"/>
        <v>0</v>
      </c>
      <c r="H947" s="17">
        <v>932</v>
      </c>
      <c r="I947" s="43">
        <v>0.66927144517042247</v>
      </c>
      <c r="J947" s="43">
        <v>1.9614177155775379E-2</v>
      </c>
      <c r="K947" s="43"/>
      <c r="L947" s="43">
        <v>0.254</v>
      </c>
      <c r="O947" s="50"/>
    </row>
    <row r="948" spans="2:15" x14ac:dyDescent="0.2">
      <c r="B948">
        <v>933</v>
      </c>
      <c r="C948" s="48">
        <f t="shared" ca="1" si="60"/>
        <v>-1.4718115096841209</v>
      </c>
      <c r="D948" s="48">
        <f t="shared" ca="1" si="57"/>
        <v>0.57475351215755843</v>
      </c>
      <c r="E948" s="48">
        <f t="shared" ca="1" si="58"/>
        <v>0</v>
      </c>
      <c r="F948" s="17">
        <f t="shared" ca="1" si="59"/>
        <v>0</v>
      </c>
      <c r="H948" s="17">
        <v>933</v>
      </c>
      <c r="I948" s="43">
        <v>0.66894326172613883</v>
      </c>
      <c r="J948" s="43">
        <v>1.9436272508324349E-2</v>
      </c>
      <c r="K948" s="43"/>
      <c r="L948" s="43">
        <v>0.25319999999999998</v>
      </c>
      <c r="O948" s="50"/>
    </row>
    <row r="949" spans="2:15" x14ac:dyDescent="0.2">
      <c r="B949">
        <v>934</v>
      </c>
      <c r="C949" s="48">
        <f t="shared" ca="1" si="60"/>
        <v>-6.3402450601660373E-2</v>
      </c>
      <c r="D949" s="48">
        <f t="shared" ca="1" si="57"/>
        <v>0.66036503131512403</v>
      </c>
      <c r="E949" s="48">
        <f t="shared" ca="1" si="58"/>
        <v>0</v>
      </c>
      <c r="F949" s="17">
        <f t="shared" ca="1" si="59"/>
        <v>0</v>
      </c>
      <c r="H949" s="17">
        <v>934</v>
      </c>
      <c r="I949" s="43">
        <v>0.66929931829106659</v>
      </c>
      <c r="J949" s="43">
        <v>1.9850936045861186E-2</v>
      </c>
      <c r="K949" s="43"/>
      <c r="L949" s="43">
        <v>0.25359999999999999</v>
      </c>
      <c r="O949" s="50"/>
    </row>
    <row r="950" spans="2:15" x14ac:dyDescent="0.2">
      <c r="B950">
        <v>935</v>
      </c>
      <c r="C950" s="48">
        <f t="shared" ca="1" si="60"/>
        <v>1.4766526679773548</v>
      </c>
      <c r="D950" s="48">
        <f t="shared" ca="1" si="57"/>
        <v>0.76864013668981424</v>
      </c>
      <c r="E950" s="48">
        <f t="shared" ca="1" si="58"/>
        <v>0</v>
      </c>
      <c r="F950" s="17">
        <f t="shared" ca="1" si="59"/>
        <v>0</v>
      </c>
      <c r="H950" s="17">
        <v>935</v>
      </c>
      <c r="I950" s="43">
        <v>0.66834747232731107</v>
      </c>
      <c r="J950" s="43">
        <v>1.8376334915727037E-2</v>
      </c>
      <c r="K950" s="43"/>
      <c r="L950" s="43">
        <v>0.24199999999999999</v>
      </c>
      <c r="O950" s="50"/>
    </row>
    <row r="951" spans="2:15" x14ac:dyDescent="0.2">
      <c r="B951">
        <v>936</v>
      </c>
      <c r="C951" s="48">
        <f t="shared" ca="1" si="60"/>
        <v>-0.37479548151973086</v>
      </c>
      <c r="D951" s="48">
        <f t="shared" ca="1" si="57"/>
        <v>0.64040020988676538</v>
      </c>
      <c r="E951" s="48">
        <f t="shared" ca="1" si="58"/>
        <v>0</v>
      </c>
      <c r="F951" s="17">
        <f t="shared" ca="1" si="59"/>
        <v>0</v>
      </c>
      <c r="H951" s="17">
        <v>936</v>
      </c>
      <c r="I951" s="43">
        <v>0.66982534452642717</v>
      </c>
      <c r="J951" s="43">
        <v>1.9870834551132581E-2</v>
      </c>
      <c r="K951" s="43"/>
      <c r="L951" s="43">
        <v>0.25919999999999999</v>
      </c>
      <c r="O951" s="50"/>
    </row>
    <row r="952" spans="2:15" x14ac:dyDescent="0.2">
      <c r="B952">
        <v>937</v>
      </c>
      <c r="C952" s="48">
        <f t="shared" ca="1" si="60"/>
        <v>1.1773562806674605</v>
      </c>
      <c r="D952" s="48">
        <f t="shared" ca="1" si="57"/>
        <v>0.74629131283456318</v>
      </c>
      <c r="E952" s="48">
        <f t="shared" ca="1" si="58"/>
        <v>0</v>
      </c>
      <c r="F952" s="17">
        <f t="shared" ca="1" si="59"/>
        <v>0</v>
      </c>
      <c r="H952" s="17">
        <v>937</v>
      </c>
      <c r="I952" s="43">
        <v>0.66908801798382278</v>
      </c>
      <c r="J952" s="43">
        <v>1.9388771370037132E-2</v>
      </c>
      <c r="K952" s="43"/>
      <c r="L952" s="43">
        <v>0.25040000000000001</v>
      </c>
      <c r="O952" s="50"/>
    </row>
    <row r="953" spans="2:15" x14ac:dyDescent="0.2">
      <c r="B953">
        <v>938</v>
      </c>
      <c r="C953" s="48">
        <f t="shared" ca="1" si="60"/>
        <v>0.48215081243310393</v>
      </c>
      <c r="D953" s="48">
        <f t="shared" ca="1" si="57"/>
        <v>0.69685508432437526</v>
      </c>
      <c r="E953" s="48">
        <f t="shared" ca="1" si="58"/>
        <v>0</v>
      </c>
      <c r="F953" s="17">
        <f t="shared" ca="1" si="59"/>
        <v>0</v>
      </c>
      <c r="H953" s="17">
        <v>938</v>
      </c>
      <c r="I953" s="43">
        <v>0.67079831896331743</v>
      </c>
      <c r="J953" s="43">
        <v>2.0685867713275064E-2</v>
      </c>
      <c r="K953" s="43"/>
      <c r="L953" s="43">
        <v>0.25459999999999999</v>
      </c>
      <c r="O953" s="50"/>
    </row>
    <row r="954" spans="2:15" x14ac:dyDescent="0.2">
      <c r="B954">
        <v>939</v>
      </c>
      <c r="C954" s="48">
        <f t="shared" ca="1" si="60"/>
        <v>-0.2003712671418045</v>
      </c>
      <c r="D954" s="48">
        <f t="shared" ca="1" si="57"/>
        <v>0.65150778824580469</v>
      </c>
      <c r="E954" s="48">
        <f t="shared" ca="1" si="58"/>
        <v>0</v>
      </c>
      <c r="F954" s="17">
        <f t="shared" ca="1" si="59"/>
        <v>0</v>
      </c>
      <c r="H954" s="17">
        <v>939</v>
      </c>
      <c r="I954" s="43">
        <v>0.66836833730252043</v>
      </c>
      <c r="J954" s="43">
        <v>1.8887291221053332E-2</v>
      </c>
      <c r="K954" s="43"/>
      <c r="L954" s="43">
        <v>0.249</v>
      </c>
      <c r="O954" s="50"/>
    </row>
    <row r="955" spans="2:15" x14ac:dyDescent="0.2">
      <c r="B955">
        <v>940</v>
      </c>
      <c r="C955" s="48">
        <f t="shared" ca="1" si="60"/>
        <v>-0.52281781541413741</v>
      </c>
      <c r="D955" s="48">
        <f t="shared" ca="1" si="57"/>
        <v>0.63112261455558694</v>
      </c>
      <c r="E955" s="48">
        <f t="shared" ca="1" si="58"/>
        <v>0</v>
      </c>
      <c r="F955" s="17">
        <f t="shared" ca="1" si="59"/>
        <v>0</v>
      </c>
      <c r="H955" s="17">
        <v>940</v>
      </c>
      <c r="I955" s="43">
        <v>0.66898923041561664</v>
      </c>
      <c r="J955" s="43">
        <v>1.9595746085973635E-2</v>
      </c>
      <c r="K955" s="43"/>
      <c r="L955" s="43">
        <v>0.25740000000000002</v>
      </c>
      <c r="O955" s="50"/>
    </row>
    <row r="956" spans="2:15" x14ac:dyDescent="0.2">
      <c r="B956">
        <v>941</v>
      </c>
      <c r="C956" s="48">
        <f t="shared" ca="1" si="60"/>
        <v>0.34604084275329278</v>
      </c>
      <c r="D956" s="48">
        <f t="shared" ca="1" si="57"/>
        <v>0.68756662791415168</v>
      </c>
      <c r="E956" s="48">
        <f t="shared" ca="1" si="58"/>
        <v>0</v>
      </c>
      <c r="F956" s="17">
        <f t="shared" ca="1" si="59"/>
        <v>0</v>
      </c>
      <c r="H956" s="17">
        <v>941</v>
      </c>
      <c r="I956" s="43">
        <v>0.6679877910163351</v>
      </c>
      <c r="J956" s="43">
        <v>1.8622544322938903E-2</v>
      </c>
      <c r="K956" s="43"/>
      <c r="L956" s="43">
        <v>0.2462</v>
      </c>
      <c r="O956" s="50"/>
    </row>
    <row r="957" spans="2:15" x14ac:dyDescent="0.2">
      <c r="B957">
        <v>942</v>
      </c>
      <c r="C957" s="48">
        <f t="shared" ca="1" si="60"/>
        <v>1.3108613781928469</v>
      </c>
      <c r="D957" s="48">
        <f t="shared" ca="1" si="57"/>
        <v>0.75617887362698843</v>
      </c>
      <c r="E957" s="48">
        <f t="shared" ca="1" si="58"/>
        <v>0</v>
      </c>
      <c r="F957" s="17">
        <f t="shared" ca="1" si="59"/>
        <v>0</v>
      </c>
      <c r="H957" s="17">
        <v>942</v>
      </c>
      <c r="I957" s="43">
        <v>0.67016485432522044</v>
      </c>
      <c r="J957" s="43">
        <v>2.0546773723919814E-2</v>
      </c>
      <c r="K957" s="43"/>
      <c r="L957" s="43">
        <v>0.25740000000000002</v>
      </c>
      <c r="O957" s="50"/>
    </row>
    <row r="958" spans="2:15" x14ac:dyDescent="0.2">
      <c r="B958">
        <v>943</v>
      </c>
      <c r="C958" s="48">
        <f t="shared" ca="1" si="60"/>
        <v>1.234582935669472E-2</v>
      </c>
      <c r="D958" s="48">
        <f t="shared" ca="1" si="57"/>
        <v>0.66531498564554603</v>
      </c>
      <c r="E958" s="48">
        <f t="shared" ca="1" si="58"/>
        <v>0</v>
      </c>
      <c r="F958" s="17">
        <f t="shared" ca="1" si="59"/>
        <v>0</v>
      </c>
      <c r="H958" s="17">
        <v>943</v>
      </c>
      <c r="I958" s="43">
        <v>0.66826952090811542</v>
      </c>
      <c r="J958" s="43">
        <v>1.8862615620417179E-2</v>
      </c>
      <c r="K958" s="43"/>
      <c r="L958" s="43">
        <v>0.247</v>
      </c>
      <c r="O958" s="50"/>
    </row>
    <row r="959" spans="2:15" x14ac:dyDescent="0.2">
      <c r="B959">
        <v>944</v>
      </c>
      <c r="C959" s="48">
        <f t="shared" ca="1" si="60"/>
        <v>-1.1096463856440688</v>
      </c>
      <c r="D959" s="48">
        <f t="shared" ca="1" si="57"/>
        <v>0.59564581339603184</v>
      </c>
      <c r="E959" s="48">
        <f t="shared" ca="1" si="58"/>
        <v>0</v>
      </c>
      <c r="F959" s="17">
        <f t="shared" ca="1" si="59"/>
        <v>0</v>
      </c>
      <c r="H959" s="17">
        <v>944</v>
      </c>
      <c r="I959" s="43">
        <v>0.66890726810239098</v>
      </c>
      <c r="J959" s="43">
        <v>1.9447581128720959E-2</v>
      </c>
      <c r="K959" s="43"/>
      <c r="L959" s="43">
        <v>0.24679999999999999</v>
      </c>
      <c r="O959" s="50"/>
    </row>
    <row r="960" spans="2:15" x14ac:dyDescent="0.2">
      <c r="B960">
        <v>945</v>
      </c>
      <c r="C960" s="48">
        <f t="shared" ca="1" si="60"/>
        <v>-0.33113853888477779</v>
      </c>
      <c r="D960" s="48">
        <f t="shared" ca="1" si="57"/>
        <v>0.64316245012308482</v>
      </c>
      <c r="E960" s="48">
        <f t="shared" ca="1" si="58"/>
        <v>0</v>
      </c>
      <c r="F960" s="17">
        <f t="shared" ca="1" si="59"/>
        <v>0</v>
      </c>
      <c r="H960" s="17">
        <v>945</v>
      </c>
      <c r="I960" s="43">
        <v>0.66800454698636325</v>
      </c>
      <c r="J960" s="43">
        <v>1.879873491642468E-2</v>
      </c>
      <c r="K960" s="43"/>
      <c r="L960" s="43">
        <v>0.2462</v>
      </c>
      <c r="O960" s="50"/>
    </row>
    <row r="961" spans="2:15" x14ac:dyDescent="0.2">
      <c r="B961">
        <v>946</v>
      </c>
      <c r="C961" s="48">
        <f t="shared" ca="1" si="60"/>
        <v>0.73903242956381066</v>
      </c>
      <c r="D961" s="48">
        <f t="shared" ca="1" si="57"/>
        <v>0.71472852433381073</v>
      </c>
      <c r="E961" s="48">
        <f t="shared" ca="1" si="58"/>
        <v>0</v>
      </c>
      <c r="F961" s="17">
        <f t="shared" ca="1" si="59"/>
        <v>0</v>
      </c>
      <c r="H961" s="17">
        <v>946</v>
      </c>
      <c r="I961" s="43">
        <v>0.66907202941779131</v>
      </c>
      <c r="J961" s="43">
        <v>1.9466269242290401E-2</v>
      </c>
      <c r="K961" s="43"/>
      <c r="L961" s="43">
        <v>0.25159999999999999</v>
      </c>
      <c r="O961" s="50"/>
    </row>
    <row r="962" spans="2:15" x14ac:dyDescent="0.2">
      <c r="B962">
        <v>947</v>
      </c>
      <c r="C962" s="48">
        <f t="shared" ca="1" si="60"/>
        <v>-0.38653572711496803</v>
      </c>
      <c r="D962" s="48">
        <f t="shared" ca="1" si="57"/>
        <v>0.63965941315565433</v>
      </c>
      <c r="E962" s="48">
        <f t="shared" ca="1" si="58"/>
        <v>0</v>
      </c>
      <c r="F962" s="17">
        <f t="shared" ca="1" si="59"/>
        <v>0</v>
      </c>
      <c r="H962" s="17">
        <v>947</v>
      </c>
      <c r="I962" s="43">
        <v>0.66912051148420082</v>
      </c>
      <c r="J962" s="43">
        <v>1.9609193841213478E-2</v>
      </c>
      <c r="K962" s="43"/>
      <c r="L962" s="43">
        <v>0.25340000000000001</v>
      </c>
      <c r="O962" s="50"/>
    </row>
    <row r="963" spans="2:15" x14ac:dyDescent="0.2">
      <c r="B963">
        <v>948</v>
      </c>
      <c r="C963" s="48">
        <f t="shared" ca="1" si="60"/>
        <v>0.5101217283645374</v>
      </c>
      <c r="D963" s="48">
        <f t="shared" ca="1" si="57"/>
        <v>0.69877937121158629</v>
      </c>
      <c r="E963" s="48">
        <f t="shared" ca="1" si="58"/>
        <v>0</v>
      </c>
      <c r="F963" s="17">
        <f t="shared" ca="1" si="59"/>
        <v>0</v>
      </c>
      <c r="H963" s="17">
        <v>948</v>
      </c>
      <c r="I963" s="43">
        <v>0.66891525861109935</v>
      </c>
      <c r="J963" s="43">
        <v>1.9302891254967546E-2</v>
      </c>
      <c r="K963" s="43"/>
      <c r="L963" s="43">
        <v>0.24840000000000001</v>
      </c>
      <c r="O963" s="50"/>
    </row>
    <row r="964" spans="2:15" x14ac:dyDescent="0.2">
      <c r="B964">
        <v>949</v>
      </c>
      <c r="C964" s="48">
        <f t="shared" ca="1" si="60"/>
        <v>-0.80420022141799452</v>
      </c>
      <c r="D964" s="48">
        <f t="shared" ca="1" si="57"/>
        <v>0.61385539173629611</v>
      </c>
      <c r="E964" s="48">
        <f t="shared" ca="1" si="58"/>
        <v>0</v>
      </c>
      <c r="F964" s="17">
        <f t="shared" ca="1" si="59"/>
        <v>0</v>
      </c>
      <c r="H964" s="17">
        <v>949</v>
      </c>
      <c r="I964" s="43">
        <v>0.6699234615023929</v>
      </c>
      <c r="J964" s="43">
        <v>2.014163378348785E-2</v>
      </c>
      <c r="K964" s="43"/>
      <c r="L964" s="43">
        <v>0.25919999999999999</v>
      </c>
      <c r="O964" s="50"/>
    </row>
    <row r="965" spans="2:15" x14ac:dyDescent="0.2">
      <c r="B965">
        <v>950</v>
      </c>
      <c r="C965" s="48">
        <f t="shared" ca="1" si="60"/>
        <v>-0.71268164154548785</v>
      </c>
      <c r="D965" s="48">
        <f t="shared" ca="1" si="57"/>
        <v>0.61941901571613378</v>
      </c>
      <c r="E965" s="48">
        <f t="shared" ca="1" si="58"/>
        <v>0</v>
      </c>
      <c r="F965" s="17">
        <f t="shared" ca="1" si="59"/>
        <v>0</v>
      </c>
      <c r="H965" s="17">
        <v>950</v>
      </c>
      <c r="I965" s="43">
        <v>0.66735207034048083</v>
      </c>
      <c r="J965" s="43">
        <v>1.8272930159647139E-2</v>
      </c>
      <c r="K965" s="43"/>
      <c r="L965" s="43">
        <v>0.24560000000000001</v>
      </c>
      <c r="O965" s="50"/>
    </row>
    <row r="966" spans="2:15" x14ac:dyDescent="0.2">
      <c r="B966">
        <v>951</v>
      </c>
      <c r="C966" s="48">
        <f t="shared" ca="1" si="60"/>
        <v>1.0241432022667789</v>
      </c>
      <c r="D966" s="48">
        <f t="shared" ca="1" si="57"/>
        <v>0.73510337385630409</v>
      </c>
      <c r="E966" s="48">
        <f t="shared" ca="1" si="58"/>
        <v>0</v>
      </c>
      <c r="F966" s="17">
        <f t="shared" ca="1" si="59"/>
        <v>0</v>
      </c>
      <c r="H966" s="17">
        <v>951</v>
      </c>
      <c r="I966" s="43">
        <v>0.66903939343737251</v>
      </c>
      <c r="J966" s="43">
        <v>1.9612244339806573E-2</v>
      </c>
      <c r="K966" s="43"/>
      <c r="L966" s="43">
        <v>0.25240000000000001</v>
      </c>
      <c r="O966" s="50"/>
    </row>
    <row r="967" spans="2:15" x14ac:dyDescent="0.2">
      <c r="B967">
        <v>952</v>
      </c>
      <c r="C967" s="48">
        <f t="shared" ca="1" si="60"/>
        <v>2.0993392325379352</v>
      </c>
      <c r="D967" s="48">
        <f t="shared" ca="1" si="57"/>
        <v>0.81730471224315837</v>
      </c>
      <c r="E967" s="48">
        <f t="shared" ca="1" si="58"/>
        <v>2.9104712243158359E-2</v>
      </c>
      <c r="F967" s="17">
        <f t="shared" ca="1" si="59"/>
        <v>1</v>
      </c>
      <c r="H967" s="17">
        <v>952</v>
      </c>
      <c r="I967" s="43">
        <v>0.66813275918047188</v>
      </c>
      <c r="J967" s="43">
        <v>1.8727636936615069E-2</v>
      </c>
      <c r="K967" s="43"/>
      <c r="L967" s="43">
        <v>0.25319999999999998</v>
      </c>
      <c r="O967" s="50"/>
    </row>
    <row r="968" spans="2:15" x14ac:dyDescent="0.2">
      <c r="B968">
        <v>953</v>
      </c>
      <c r="C968" s="48">
        <f t="shared" ca="1" si="60"/>
        <v>0.78540710168871741</v>
      </c>
      <c r="D968" s="48">
        <f t="shared" ca="1" si="57"/>
        <v>0.71800371701322641</v>
      </c>
      <c r="E968" s="48">
        <f t="shared" ca="1" si="58"/>
        <v>0</v>
      </c>
      <c r="F968" s="17">
        <f t="shared" ca="1" si="59"/>
        <v>0</v>
      </c>
      <c r="H968" s="17">
        <v>953</v>
      </c>
      <c r="I968" s="43">
        <v>0.66923129277640836</v>
      </c>
      <c r="J968" s="43">
        <v>1.9400719940304095E-2</v>
      </c>
      <c r="K968" s="43"/>
      <c r="L968" s="43">
        <v>0.25019999999999998</v>
      </c>
      <c r="O968" s="50"/>
    </row>
    <row r="969" spans="2:15" x14ac:dyDescent="0.2">
      <c r="B969">
        <v>954</v>
      </c>
      <c r="C969" s="48">
        <f t="shared" ca="1" si="60"/>
        <v>-0.50701993169335602</v>
      </c>
      <c r="D969" s="48">
        <f t="shared" ca="1" si="57"/>
        <v>0.63210633709135144</v>
      </c>
      <c r="E969" s="48">
        <f t="shared" ca="1" si="58"/>
        <v>0</v>
      </c>
      <c r="F969" s="17">
        <f t="shared" ca="1" si="59"/>
        <v>0</v>
      </c>
      <c r="H969" s="17">
        <v>954</v>
      </c>
      <c r="I969" s="43">
        <v>0.6694007021147157</v>
      </c>
      <c r="J969" s="43">
        <v>1.9886315129784841E-2</v>
      </c>
      <c r="K969" s="43"/>
      <c r="L969" s="43">
        <v>0.25600000000000001</v>
      </c>
      <c r="O969" s="50"/>
    </row>
    <row r="970" spans="2:15" x14ac:dyDescent="0.2">
      <c r="B970">
        <v>955</v>
      </c>
      <c r="C970" s="48">
        <f t="shared" ca="1" si="60"/>
        <v>-0.45015274685860812</v>
      </c>
      <c r="D970" s="48">
        <f t="shared" ca="1" si="57"/>
        <v>0.63566012557394436</v>
      </c>
      <c r="E970" s="48">
        <f t="shared" ca="1" si="58"/>
        <v>0</v>
      </c>
      <c r="F970" s="17">
        <f t="shared" ca="1" si="59"/>
        <v>0</v>
      </c>
      <c r="H970" s="17">
        <v>955</v>
      </c>
      <c r="I970" s="43">
        <v>0.66888850715469383</v>
      </c>
      <c r="J970" s="43">
        <v>1.9263733678450436E-2</v>
      </c>
      <c r="K970" s="43"/>
      <c r="L970" s="43">
        <v>0.2576</v>
      </c>
      <c r="O970" s="50"/>
    </row>
    <row r="971" spans="2:15" x14ac:dyDescent="0.2">
      <c r="B971">
        <v>956</v>
      </c>
      <c r="C971" s="48">
        <f t="shared" ca="1" si="60"/>
        <v>0.21369975023380378</v>
      </c>
      <c r="D971" s="48">
        <f t="shared" ca="1" si="57"/>
        <v>0.67865409497025009</v>
      </c>
      <c r="E971" s="48">
        <f t="shared" ca="1" si="58"/>
        <v>0</v>
      </c>
      <c r="F971" s="17">
        <f t="shared" ca="1" si="59"/>
        <v>0</v>
      </c>
      <c r="H971" s="17">
        <v>956</v>
      </c>
      <c r="I971" s="43">
        <v>0.66968363237803841</v>
      </c>
      <c r="J971" s="43">
        <v>1.9771846892267058E-2</v>
      </c>
      <c r="K971" s="43"/>
      <c r="L971" s="43">
        <v>0.25019999999999998</v>
      </c>
      <c r="O971" s="50"/>
    </row>
    <row r="972" spans="2:15" x14ac:dyDescent="0.2">
      <c r="B972">
        <v>957</v>
      </c>
      <c r="C972" s="48">
        <f t="shared" ca="1" si="60"/>
        <v>0.24474230903456093</v>
      </c>
      <c r="D972" s="48">
        <f t="shared" ca="1" si="57"/>
        <v>0.68073423434799618</v>
      </c>
      <c r="E972" s="48">
        <f t="shared" ca="1" si="58"/>
        <v>0</v>
      </c>
      <c r="F972" s="17">
        <f t="shared" ca="1" si="59"/>
        <v>0</v>
      </c>
      <c r="H972" s="17">
        <v>957</v>
      </c>
      <c r="I972" s="43">
        <v>0.66851314482457469</v>
      </c>
      <c r="J972" s="43">
        <v>1.8948066532683452E-2</v>
      </c>
      <c r="K972" s="43"/>
      <c r="L972" s="43">
        <v>0.246</v>
      </c>
      <c r="O972" s="50"/>
    </row>
    <row r="973" spans="2:15" x14ac:dyDescent="0.2">
      <c r="B973">
        <v>958</v>
      </c>
      <c r="C973" s="48">
        <f t="shared" ca="1" si="60"/>
        <v>-1.1711620258375612</v>
      </c>
      <c r="D973" s="48">
        <f t="shared" ca="1" si="57"/>
        <v>0.59204434920370341</v>
      </c>
      <c r="E973" s="48">
        <f t="shared" ca="1" si="58"/>
        <v>0</v>
      </c>
      <c r="F973" s="17">
        <f t="shared" ca="1" si="59"/>
        <v>0</v>
      </c>
      <c r="H973" s="17">
        <v>958</v>
      </c>
      <c r="I973" s="43">
        <v>0.66939358984097874</v>
      </c>
      <c r="J973" s="43">
        <v>1.9697162503099976E-2</v>
      </c>
      <c r="K973" s="43"/>
      <c r="L973" s="43">
        <v>0.25059999999999999</v>
      </c>
      <c r="O973" s="50"/>
    </row>
    <row r="974" spans="2:15" x14ac:dyDescent="0.2">
      <c r="B974">
        <v>959</v>
      </c>
      <c r="C974" s="48">
        <f t="shared" ca="1" si="60"/>
        <v>1.0767110302629324</v>
      </c>
      <c r="D974" s="48">
        <f t="shared" ca="1" si="57"/>
        <v>0.73892295752386261</v>
      </c>
      <c r="E974" s="48">
        <f t="shared" ca="1" si="58"/>
        <v>0</v>
      </c>
      <c r="F974" s="17">
        <f t="shared" ca="1" si="59"/>
        <v>0</v>
      </c>
      <c r="H974" s="17">
        <v>959</v>
      </c>
      <c r="I974" s="43">
        <v>0.66855370980620787</v>
      </c>
      <c r="J974" s="43">
        <v>1.8998863022142484E-2</v>
      </c>
      <c r="K974" s="43"/>
      <c r="L974" s="43">
        <v>0.24399999999999999</v>
      </c>
      <c r="O974" s="50"/>
    </row>
    <row r="975" spans="2:15" x14ac:dyDescent="0.2">
      <c r="B975">
        <v>960</v>
      </c>
      <c r="C975" s="48">
        <f t="shared" ca="1" si="60"/>
        <v>-0.67919773100000669</v>
      </c>
      <c r="D975" s="48">
        <f t="shared" ca="1" si="57"/>
        <v>0.62146715481335424</v>
      </c>
      <c r="E975" s="48">
        <f t="shared" ca="1" si="58"/>
        <v>0</v>
      </c>
      <c r="F975" s="17">
        <f t="shared" ca="1" si="59"/>
        <v>0</v>
      </c>
      <c r="H975" s="17">
        <v>960</v>
      </c>
      <c r="I975" s="43">
        <v>0.66868998090932874</v>
      </c>
      <c r="J975" s="43">
        <v>1.9093116655008485E-2</v>
      </c>
      <c r="K975" s="43"/>
      <c r="L975" s="43">
        <v>0.25119999999999998</v>
      </c>
      <c r="O975" s="50"/>
    </row>
    <row r="976" spans="2:15" x14ac:dyDescent="0.2">
      <c r="B976">
        <v>961</v>
      </c>
      <c r="C976" s="48">
        <f t="shared" ca="1" si="60"/>
        <v>1.984823170409511</v>
      </c>
      <c r="D976" s="48">
        <f t="shared" ref="D976:D1039" ca="1" si="61">S0*EXP((μ-0.5*σ*σ)*T+σ*SQRT(T)*$C976)</f>
        <v>0.80812935725328472</v>
      </c>
      <c r="E976" s="48">
        <f t="shared" ref="E976:E1039" ca="1" si="62">MAX(0,CP*(D976-K))</f>
        <v>1.9929357253284707E-2</v>
      </c>
      <c r="F976" s="17">
        <f t="shared" ref="F976:F1039" ca="1" si="63">(CP*(D976-K)&gt;0)*1</f>
        <v>1</v>
      </c>
      <c r="H976" s="17">
        <v>961</v>
      </c>
      <c r="I976" s="43">
        <v>0.66933452221278444</v>
      </c>
      <c r="J976" s="43">
        <v>1.9825568921802966E-2</v>
      </c>
      <c r="K976" s="43"/>
      <c r="L976" s="43">
        <v>0.25540000000000002</v>
      </c>
      <c r="O976" s="50"/>
    </row>
    <row r="977" spans="2:15" x14ac:dyDescent="0.2">
      <c r="B977">
        <v>962</v>
      </c>
      <c r="C977" s="48">
        <f t="shared" ref="C977:C1040" ca="1" si="64">_xlfn.NORM.S.INV(RAND())</f>
        <v>0.45996496503306189</v>
      </c>
      <c r="D977" s="48">
        <f t="shared" ca="1" si="61"/>
        <v>0.69533255611815237</v>
      </c>
      <c r="E977" s="48">
        <f t="shared" ca="1" si="62"/>
        <v>0</v>
      </c>
      <c r="F977" s="17">
        <f t="shared" ca="1" si="63"/>
        <v>0</v>
      </c>
      <c r="H977" s="17">
        <v>962</v>
      </c>
      <c r="I977" s="43">
        <v>0.6674918213114831</v>
      </c>
      <c r="J977" s="43">
        <v>1.8451000610273365E-2</v>
      </c>
      <c r="K977" s="43"/>
      <c r="L977" s="43">
        <v>0.24360000000000001</v>
      </c>
      <c r="O977" s="50"/>
    </row>
    <row r="978" spans="2:15" x14ac:dyDescent="0.2">
      <c r="B978">
        <v>963</v>
      </c>
      <c r="C978" s="48">
        <f t="shared" ca="1" si="64"/>
        <v>1.5272802317219096</v>
      </c>
      <c r="D978" s="48">
        <f t="shared" ca="1" si="61"/>
        <v>0.77248619703291221</v>
      </c>
      <c r="E978" s="48">
        <f t="shared" ca="1" si="62"/>
        <v>0</v>
      </c>
      <c r="F978" s="17">
        <f t="shared" ca="1" si="63"/>
        <v>0</v>
      </c>
      <c r="H978" s="17">
        <v>963</v>
      </c>
      <c r="I978" s="43">
        <v>0.66795038273981422</v>
      </c>
      <c r="J978" s="43">
        <v>1.858707632716055E-2</v>
      </c>
      <c r="K978" s="43"/>
      <c r="L978" s="43">
        <v>0.24279999999999999</v>
      </c>
      <c r="O978" s="50"/>
    </row>
    <row r="979" spans="2:15" x14ac:dyDescent="0.2">
      <c r="B979">
        <v>964</v>
      </c>
      <c r="C979" s="48">
        <f t="shared" ca="1" si="64"/>
        <v>0.59288622036005545</v>
      </c>
      <c r="D979" s="48">
        <f t="shared" ca="1" si="61"/>
        <v>0.70450441584228585</v>
      </c>
      <c r="E979" s="48">
        <f t="shared" ca="1" si="62"/>
        <v>0</v>
      </c>
      <c r="F979" s="17">
        <f t="shared" ca="1" si="63"/>
        <v>0</v>
      </c>
      <c r="H979" s="17">
        <v>964</v>
      </c>
      <c r="I979" s="43">
        <v>0.66871590578036177</v>
      </c>
      <c r="J979" s="43">
        <v>1.9349005361850441E-2</v>
      </c>
      <c r="K979" s="43"/>
      <c r="L979" s="43">
        <v>0.25380000000000003</v>
      </c>
      <c r="O979" s="50"/>
    </row>
    <row r="980" spans="2:15" x14ac:dyDescent="0.2">
      <c r="B980">
        <v>965</v>
      </c>
      <c r="C980" s="48">
        <f t="shared" ca="1" si="64"/>
        <v>1.6388268345372514</v>
      </c>
      <c r="D980" s="48">
        <f t="shared" ca="1" si="61"/>
        <v>0.78102818538028462</v>
      </c>
      <c r="E980" s="48">
        <f t="shared" ca="1" si="62"/>
        <v>0</v>
      </c>
      <c r="F980" s="17">
        <f t="shared" ca="1" si="63"/>
        <v>0</v>
      </c>
      <c r="H980" s="17">
        <v>965</v>
      </c>
      <c r="I980" s="43">
        <v>0.67015046360092978</v>
      </c>
      <c r="J980" s="43">
        <v>2.0591505378983358E-2</v>
      </c>
      <c r="K980" s="43"/>
      <c r="L980" s="43">
        <v>0.25840000000000002</v>
      </c>
      <c r="O980" s="50"/>
    </row>
    <row r="981" spans="2:15" x14ac:dyDescent="0.2">
      <c r="B981">
        <v>966</v>
      </c>
      <c r="C981" s="48">
        <f t="shared" ca="1" si="64"/>
        <v>-0.98368572092910833</v>
      </c>
      <c r="D981" s="48">
        <f t="shared" ca="1" si="61"/>
        <v>0.60308874647264765</v>
      </c>
      <c r="E981" s="48">
        <f t="shared" ca="1" si="62"/>
        <v>0</v>
      </c>
      <c r="F981" s="17">
        <f t="shared" ca="1" si="63"/>
        <v>0</v>
      </c>
      <c r="H981" s="17">
        <v>966</v>
      </c>
      <c r="I981" s="43">
        <v>0.66898129954092633</v>
      </c>
      <c r="J981" s="43">
        <v>1.911579905145765E-2</v>
      </c>
      <c r="K981" s="43"/>
      <c r="L981" s="43">
        <v>0.24560000000000001</v>
      </c>
      <c r="O981" s="50"/>
    </row>
    <row r="982" spans="2:15" x14ac:dyDescent="0.2">
      <c r="B982">
        <v>967</v>
      </c>
      <c r="C982" s="48">
        <f t="shared" ca="1" si="64"/>
        <v>-1.0994207273146899</v>
      </c>
      <c r="D982" s="48">
        <f t="shared" ca="1" si="61"/>
        <v>0.59624659969636229</v>
      </c>
      <c r="E982" s="48">
        <f t="shared" ca="1" si="62"/>
        <v>0</v>
      </c>
      <c r="F982" s="17">
        <f t="shared" ca="1" si="63"/>
        <v>0</v>
      </c>
      <c r="H982" s="17">
        <v>967</v>
      </c>
      <c r="I982" s="43">
        <v>0.66898743273222128</v>
      </c>
      <c r="J982" s="43">
        <v>1.933875189957688E-2</v>
      </c>
      <c r="K982" s="43"/>
      <c r="L982" s="43">
        <v>0.25</v>
      </c>
      <c r="O982" s="50"/>
    </row>
    <row r="983" spans="2:15" x14ac:dyDescent="0.2">
      <c r="B983">
        <v>968</v>
      </c>
      <c r="C983" s="48">
        <f t="shared" ca="1" si="64"/>
        <v>-1.588336171402305</v>
      </c>
      <c r="D983" s="48">
        <f t="shared" ca="1" si="61"/>
        <v>0.56818859827229928</v>
      </c>
      <c r="E983" s="48">
        <f t="shared" ca="1" si="62"/>
        <v>0</v>
      </c>
      <c r="F983" s="17">
        <f t="shared" ca="1" si="63"/>
        <v>0</v>
      </c>
      <c r="H983" s="17">
        <v>968</v>
      </c>
      <c r="I983" s="43">
        <v>0.66920496355828019</v>
      </c>
      <c r="J983" s="43">
        <v>1.9620266493551655E-2</v>
      </c>
      <c r="K983" s="43"/>
      <c r="L983" s="43">
        <v>0.24879999999999999</v>
      </c>
      <c r="O983" s="50"/>
    </row>
    <row r="984" spans="2:15" x14ac:dyDescent="0.2">
      <c r="B984">
        <v>969</v>
      </c>
      <c r="C984" s="48">
        <f t="shared" ca="1" si="64"/>
        <v>-0.32561280613324206</v>
      </c>
      <c r="D984" s="48">
        <f t="shared" ca="1" si="61"/>
        <v>0.64351291990512971</v>
      </c>
      <c r="E984" s="48">
        <f t="shared" ca="1" si="62"/>
        <v>0</v>
      </c>
      <c r="F984" s="17">
        <f t="shared" ca="1" si="63"/>
        <v>0</v>
      </c>
      <c r="H984" s="17">
        <v>969</v>
      </c>
      <c r="I984" s="43">
        <v>0.66928164873648199</v>
      </c>
      <c r="J984" s="43">
        <v>1.9745780975455741E-2</v>
      </c>
      <c r="K984" s="43"/>
      <c r="L984" s="43">
        <v>0.24940000000000001</v>
      </c>
      <c r="O984" s="50"/>
    </row>
    <row r="985" spans="2:15" x14ac:dyDescent="0.2">
      <c r="B985">
        <v>970</v>
      </c>
      <c r="C985" s="48">
        <f t="shared" ca="1" si="64"/>
        <v>-7.8427159794768705E-2</v>
      </c>
      <c r="D985" s="48">
        <f t="shared" ca="1" si="61"/>
        <v>0.65938759098614763</v>
      </c>
      <c r="E985" s="48">
        <f t="shared" ca="1" si="62"/>
        <v>0</v>
      </c>
      <c r="F985" s="17">
        <f t="shared" ca="1" si="63"/>
        <v>0</v>
      </c>
      <c r="H985" s="17">
        <v>970</v>
      </c>
      <c r="I985" s="43">
        <v>0.6695545852424829</v>
      </c>
      <c r="J985" s="43">
        <v>1.9845682936616295E-2</v>
      </c>
      <c r="K985" s="43"/>
      <c r="L985" s="43">
        <v>0.24660000000000001</v>
      </c>
      <c r="O985" s="50"/>
    </row>
    <row r="986" spans="2:15" x14ac:dyDescent="0.2">
      <c r="B986">
        <v>971</v>
      </c>
      <c r="C986" s="48">
        <f t="shared" ca="1" si="64"/>
        <v>0.63593491572315963</v>
      </c>
      <c r="D986" s="48">
        <f t="shared" ca="1" si="61"/>
        <v>0.70750073000226299</v>
      </c>
      <c r="E986" s="48">
        <f t="shared" ca="1" si="62"/>
        <v>0</v>
      </c>
      <c r="F986" s="17">
        <f t="shared" ca="1" si="63"/>
        <v>0</v>
      </c>
      <c r="H986" s="17">
        <v>971</v>
      </c>
      <c r="I986" s="43">
        <v>0.66955178314188291</v>
      </c>
      <c r="J986" s="43">
        <v>2.0228916473800505E-2</v>
      </c>
      <c r="K986" s="43"/>
      <c r="L986" s="43">
        <v>0.26340000000000002</v>
      </c>
      <c r="O986" s="50"/>
    </row>
    <row r="987" spans="2:15" x14ac:dyDescent="0.2">
      <c r="B987">
        <v>972</v>
      </c>
      <c r="C987" s="48">
        <f t="shared" ca="1" si="64"/>
        <v>-0.15883506167106998</v>
      </c>
      <c r="D987" s="48">
        <f t="shared" ca="1" si="61"/>
        <v>0.65418114957640727</v>
      </c>
      <c r="E987" s="48">
        <f t="shared" ca="1" si="62"/>
        <v>0</v>
      </c>
      <c r="F987" s="17">
        <f t="shared" ca="1" si="63"/>
        <v>0</v>
      </c>
      <c r="H987" s="17">
        <v>972</v>
      </c>
      <c r="I987" s="43">
        <v>0.66902638334608155</v>
      </c>
      <c r="J987" s="43">
        <v>1.9269796728483304E-2</v>
      </c>
      <c r="K987" s="43"/>
      <c r="L987" s="43">
        <v>0.25900000000000001</v>
      </c>
      <c r="O987" s="50"/>
    </row>
    <row r="988" spans="2:15" x14ac:dyDescent="0.2">
      <c r="B988">
        <v>973</v>
      </c>
      <c r="C988" s="48">
        <f t="shared" ca="1" si="64"/>
        <v>1.1283920962826992</v>
      </c>
      <c r="D988" s="48">
        <f t="shared" ca="1" si="61"/>
        <v>0.74269745554017541</v>
      </c>
      <c r="E988" s="48">
        <f t="shared" ca="1" si="62"/>
        <v>0</v>
      </c>
      <c r="F988" s="17">
        <f t="shared" ca="1" si="63"/>
        <v>0</v>
      </c>
      <c r="H988" s="17">
        <v>973</v>
      </c>
      <c r="I988" s="43">
        <v>0.66833296381484064</v>
      </c>
      <c r="J988" s="43">
        <v>1.9159203529503704E-2</v>
      </c>
      <c r="K988" s="43"/>
      <c r="L988" s="43">
        <v>0.2492</v>
      </c>
      <c r="O988" s="50"/>
    </row>
    <row r="989" spans="2:15" x14ac:dyDescent="0.2">
      <c r="B989">
        <v>974</v>
      </c>
      <c r="C989" s="48">
        <f t="shared" ca="1" si="64"/>
        <v>1.2072025396427137</v>
      </c>
      <c r="D989" s="48">
        <f t="shared" ca="1" si="61"/>
        <v>0.74849048441799448</v>
      </c>
      <c r="E989" s="48">
        <f t="shared" ca="1" si="62"/>
        <v>0</v>
      </c>
      <c r="F989" s="17">
        <f t="shared" ca="1" si="63"/>
        <v>0</v>
      </c>
      <c r="H989" s="17">
        <v>974</v>
      </c>
      <c r="I989" s="43">
        <v>0.66938815142307329</v>
      </c>
      <c r="J989" s="43">
        <v>1.9824427989666441E-2</v>
      </c>
      <c r="K989" s="43"/>
      <c r="L989" s="43">
        <v>0.25219999999999998</v>
      </c>
      <c r="O989" s="50"/>
    </row>
    <row r="990" spans="2:15" x14ac:dyDescent="0.2">
      <c r="B990">
        <v>975</v>
      </c>
      <c r="C990" s="48">
        <f t="shared" ca="1" si="64"/>
        <v>-0.66292903133828363</v>
      </c>
      <c r="D990" s="48">
        <f t="shared" ca="1" si="61"/>
        <v>0.62246471950643656</v>
      </c>
      <c r="E990" s="48">
        <f t="shared" ca="1" si="62"/>
        <v>0</v>
      </c>
      <c r="F990" s="17">
        <f t="shared" ca="1" si="63"/>
        <v>0</v>
      </c>
      <c r="H990" s="17">
        <v>975</v>
      </c>
      <c r="I990" s="43">
        <v>0.66792663879720782</v>
      </c>
      <c r="J990" s="43">
        <v>1.8702528269947533E-2</v>
      </c>
      <c r="K990" s="43"/>
      <c r="L990" s="43">
        <v>0.2452</v>
      </c>
      <c r="O990" s="50"/>
    </row>
    <row r="991" spans="2:15" x14ac:dyDescent="0.2">
      <c r="B991">
        <v>976</v>
      </c>
      <c r="C991" s="48">
        <f t="shared" ca="1" si="64"/>
        <v>0.18107283101297744</v>
      </c>
      <c r="D991" s="48">
        <f t="shared" ca="1" si="61"/>
        <v>0.67647463963890009</v>
      </c>
      <c r="E991" s="48">
        <f t="shared" ca="1" si="62"/>
        <v>0</v>
      </c>
      <c r="F991" s="17">
        <f t="shared" ca="1" si="63"/>
        <v>0</v>
      </c>
      <c r="H991" s="17">
        <v>976</v>
      </c>
      <c r="I991" s="43">
        <v>0.66788253249671781</v>
      </c>
      <c r="J991" s="43">
        <v>1.8448335726452145E-2</v>
      </c>
      <c r="K991" s="43"/>
      <c r="L991" s="43">
        <v>0.2422</v>
      </c>
      <c r="O991" s="50"/>
    </row>
    <row r="992" spans="2:15" x14ac:dyDescent="0.2">
      <c r="B992">
        <v>977</v>
      </c>
      <c r="C992" s="48">
        <f t="shared" ca="1" si="64"/>
        <v>-0.13381957149869719</v>
      </c>
      <c r="D992" s="48">
        <f t="shared" ca="1" si="61"/>
        <v>0.65579649127816253</v>
      </c>
      <c r="E992" s="48">
        <f t="shared" ca="1" si="62"/>
        <v>0</v>
      </c>
      <c r="F992" s="17">
        <f t="shared" ca="1" si="63"/>
        <v>0</v>
      </c>
      <c r="H992" s="17">
        <v>977</v>
      </c>
      <c r="I992" s="43">
        <v>0.66866985232510445</v>
      </c>
      <c r="J992" s="43">
        <v>1.9447913378937195E-2</v>
      </c>
      <c r="K992" s="43"/>
      <c r="L992" s="43">
        <v>0.25459999999999999</v>
      </c>
      <c r="O992" s="50"/>
    </row>
    <row r="993" spans="2:15" x14ac:dyDescent="0.2">
      <c r="B993">
        <v>978</v>
      </c>
      <c r="C993" s="48">
        <f t="shared" ca="1" si="64"/>
        <v>0.18474987847047097</v>
      </c>
      <c r="D993" s="48">
        <f t="shared" ca="1" si="61"/>
        <v>0.67671991345956894</v>
      </c>
      <c r="E993" s="48">
        <f t="shared" ca="1" si="62"/>
        <v>0</v>
      </c>
      <c r="F993" s="17">
        <f t="shared" ca="1" si="63"/>
        <v>0</v>
      </c>
      <c r="H993" s="17">
        <v>978</v>
      </c>
      <c r="I993" s="43">
        <v>0.66876069562328366</v>
      </c>
      <c r="J993" s="43">
        <v>1.9242058516840382E-2</v>
      </c>
      <c r="K993" s="43"/>
      <c r="L993" s="43">
        <v>0.25040000000000001</v>
      </c>
      <c r="O993" s="50"/>
    </row>
    <row r="994" spans="2:15" x14ac:dyDescent="0.2">
      <c r="B994">
        <v>979</v>
      </c>
      <c r="C994" s="48">
        <f t="shared" ca="1" si="64"/>
        <v>-1.2538388565735215</v>
      </c>
      <c r="D994" s="48">
        <f t="shared" ca="1" si="61"/>
        <v>0.58723826873308371</v>
      </c>
      <c r="E994" s="48">
        <f t="shared" ca="1" si="62"/>
        <v>0</v>
      </c>
      <c r="F994" s="17">
        <f t="shared" ca="1" si="63"/>
        <v>0</v>
      </c>
      <c r="H994" s="17">
        <v>979</v>
      </c>
      <c r="I994" s="43">
        <v>0.66931648748841943</v>
      </c>
      <c r="J994" s="43">
        <v>1.9791580267408241E-2</v>
      </c>
      <c r="K994" s="43"/>
      <c r="L994" s="43">
        <v>0.25180000000000002</v>
      </c>
      <c r="O994" s="50"/>
    </row>
    <row r="995" spans="2:15" x14ac:dyDescent="0.2">
      <c r="B995">
        <v>980</v>
      </c>
      <c r="C995" s="48">
        <f t="shared" ca="1" si="64"/>
        <v>-0.18434344221948215</v>
      </c>
      <c r="D995" s="48">
        <f t="shared" ca="1" si="61"/>
        <v>0.65253807731187718</v>
      </c>
      <c r="E995" s="48">
        <f t="shared" ca="1" si="62"/>
        <v>0</v>
      </c>
      <c r="F995" s="17">
        <f t="shared" ca="1" si="63"/>
        <v>0</v>
      </c>
      <c r="H995" s="17">
        <v>980</v>
      </c>
      <c r="I995" s="43">
        <v>0.66895531569934596</v>
      </c>
      <c r="J995" s="43">
        <v>1.928199265651415E-2</v>
      </c>
      <c r="K995" s="43"/>
      <c r="L995" s="43">
        <v>0.2462</v>
      </c>
      <c r="O995" s="50"/>
    </row>
    <row r="996" spans="2:15" x14ac:dyDescent="0.2">
      <c r="B996">
        <v>981</v>
      </c>
      <c r="C996" s="48">
        <f t="shared" ca="1" si="64"/>
        <v>-0.21433077413998261</v>
      </c>
      <c r="D996" s="48">
        <f t="shared" ca="1" si="61"/>
        <v>0.65061177877077081</v>
      </c>
      <c r="E996" s="48">
        <f t="shared" ca="1" si="62"/>
        <v>0</v>
      </c>
      <c r="F996" s="17">
        <f t="shared" ca="1" si="63"/>
        <v>0</v>
      </c>
      <c r="H996" s="17">
        <v>981</v>
      </c>
      <c r="I996" s="43">
        <v>0.66874332915569157</v>
      </c>
      <c r="J996" s="43">
        <v>1.9164666558519072E-2</v>
      </c>
      <c r="K996" s="43"/>
      <c r="L996" s="43">
        <v>0.245</v>
      </c>
      <c r="O996" s="50"/>
    </row>
    <row r="997" spans="2:15" x14ac:dyDescent="0.2">
      <c r="B997">
        <v>982</v>
      </c>
      <c r="C997" s="48">
        <f t="shared" ca="1" si="64"/>
        <v>1.2529250984399556</v>
      </c>
      <c r="D997" s="48">
        <f t="shared" ca="1" si="61"/>
        <v>0.75187204932010554</v>
      </c>
      <c r="E997" s="48">
        <f t="shared" ca="1" si="62"/>
        <v>0</v>
      </c>
      <c r="F997" s="17">
        <f t="shared" ca="1" si="63"/>
        <v>0</v>
      </c>
      <c r="H997" s="17">
        <v>982</v>
      </c>
      <c r="I997" s="43">
        <v>0.66811460662202005</v>
      </c>
      <c r="J997" s="43">
        <v>1.8413808462647129E-2</v>
      </c>
      <c r="K997" s="43"/>
      <c r="L997" s="43">
        <v>0.2424</v>
      </c>
      <c r="O997" s="50"/>
    </row>
    <row r="998" spans="2:15" x14ac:dyDescent="0.2">
      <c r="B998">
        <v>983</v>
      </c>
      <c r="C998" s="48">
        <f t="shared" ca="1" si="64"/>
        <v>-0.96301994717997852</v>
      </c>
      <c r="D998" s="48">
        <f t="shared" ca="1" si="61"/>
        <v>0.60431872379309015</v>
      </c>
      <c r="E998" s="48">
        <f t="shared" ca="1" si="62"/>
        <v>0</v>
      </c>
      <c r="F998" s="17">
        <f t="shared" ca="1" si="63"/>
        <v>0</v>
      </c>
      <c r="H998" s="17">
        <v>983</v>
      </c>
      <c r="I998" s="43">
        <v>0.66832073761983279</v>
      </c>
      <c r="J998" s="43">
        <v>1.8970680132274109E-2</v>
      </c>
      <c r="K998" s="43"/>
      <c r="L998" s="43">
        <v>0.24959999999999999</v>
      </c>
      <c r="O998" s="50"/>
    </row>
    <row r="999" spans="2:15" x14ac:dyDescent="0.2">
      <c r="B999">
        <v>984</v>
      </c>
      <c r="C999" s="48">
        <f t="shared" ca="1" si="64"/>
        <v>1.5458259983797626</v>
      </c>
      <c r="D999" s="48">
        <f t="shared" ca="1" si="61"/>
        <v>0.77389988749548311</v>
      </c>
      <c r="E999" s="48">
        <f t="shared" ca="1" si="62"/>
        <v>0</v>
      </c>
      <c r="F999" s="17">
        <f t="shared" ca="1" si="63"/>
        <v>0</v>
      </c>
      <c r="H999" s="17">
        <v>984</v>
      </c>
      <c r="I999" s="43">
        <v>0.66847872979768053</v>
      </c>
      <c r="J999" s="43">
        <v>1.8998916089105894E-2</v>
      </c>
      <c r="K999" s="43"/>
      <c r="L999" s="43">
        <v>0.2414</v>
      </c>
      <c r="O999" s="50"/>
    </row>
    <row r="1000" spans="2:15" x14ac:dyDescent="0.2">
      <c r="B1000">
        <v>985</v>
      </c>
      <c r="C1000" s="48">
        <f t="shared" ca="1" si="64"/>
        <v>-0.86331667455977534</v>
      </c>
      <c r="D1000" s="48">
        <f t="shared" ca="1" si="61"/>
        <v>0.61028816089150795</v>
      </c>
      <c r="E1000" s="48">
        <f t="shared" ca="1" si="62"/>
        <v>0</v>
      </c>
      <c r="F1000" s="17">
        <f t="shared" ca="1" si="63"/>
        <v>0</v>
      </c>
      <c r="H1000" s="17">
        <v>985</v>
      </c>
      <c r="I1000" s="43">
        <v>0.66923341920479329</v>
      </c>
      <c r="J1000" s="43">
        <v>1.9513218791747521E-2</v>
      </c>
      <c r="K1000" s="43"/>
      <c r="L1000" s="43">
        <v>0.251</v>
      </c>
      <c r="O1000" s="50"/>
    </row>
    <row r="1001" spans="2:15" x14ac:dyDescent="0.2">
      <c r="B1001">
        <v>986</v>
      </c>
      <c r="C1001" s="48">
        <f t="shared" ca="1" si="64"/>
        <v>1.3060258015988691</v>
      </c>
      <c r="D1001" s="48">
        <f t="shared" ca="1" si="61"/>
        <v>0.75581846845793632</v>
      </c>
      <c r="E1001" s="48">
        <f t="shared" ca="1" si="62"/>
        <v>0</v>
      </c>
      <c r="F1001" s="17">
        <f t="shared" ca="1" si="63"/>
        <v>0</v>
      </c>
      <c r="H1001" s="17">
        <v>986</v>
      </c>
      <c r="I1001" s="43">
        <v>0.66921372608040242</v>
      </c>
      <c r="J1001" s="43">
        <v>1.9748006341699223E-2</v>
      </c>
      <c r="K1001" s="43"/>
      <c r="L1001" s="43">
        <v>0.2492</v>
      </c>
      <c r="O1001" s="50"/>
    </row>
    <row r="1002" spans="2:15" x14ac:dyDescent="0.2">
      <c r="B1002">
        <v>987</v>
      </c>
      <c r="C1002" s="48">
        <f t="shared" ca="1" si="64"/>
        <v>0.60676410353633881</v>
      </c>
      <c r="D1002" s="48">
        <f t="shared" ca="1" si="61"/>
        <v>0.70546896818238214</v>
      </c>
      <c r="E1002" s="48">
        <f t="shared" ca="1" si="62"/>
        <v>0</v>
      </c>
      <c r="F1002" s="17">
        <f t="shared" ca="1" si="63"/>
        <v>0</v>
      </c>
      <c r="H1002" s="17">
        <v>987</v>
      </c>
      <c r="I1002" s="43">
        <v>0.66952568538081014</v>
      </c>
      <c r="J1002" s="43">
        <v>1.9983916545788766E-2</v>
      </c>
      <c r="K1002" s="43"/>
      <c r="L1002" s="43">
        <v>0.25659999999999999</v>
      </c>
      <c r="O1002" s="50"/>
    </row>
    <row r="1003" spans="2:15" x14ac:dyDescent="0.2">
      <c r="B1003">
        <v>988</v>
      </c>
      <c r="C1003" s="48">
        <f t="shared" ca="1" si="64"/>
        <v>-2.089362173555066E-2</v>
      </c>
      <c r="D1003" s="48">
        <f t="shared" ca="1" si="61"/>
        <v>0.6631383212480354</v>
      </c>
      <c r="E1003" s="48">
        <f t="shared" ca="1" si="62"/>
        <v>0</v>
      </c>
      <c r="F1003" s="17">
        <f t="shared" ca="1" si="63"/>
        <v>0</v>
      </c>
      <c r="H1003" s="17">
        <v>988</v>
      </c>
      <c r="I1003" s="43">
        <v>0.6705346064527784</v>
      </c>
      <c r="J1003" s="43">
        <v>2.0695487792074939E-2</v>
      </c>
      <c r="K1003" s="43"/>
      <c r="L1003" s="43">
        <v>0.25900000000000001</v>
      </c>
      <c r="O1003" s="50"/>
    </row>
    <row r="1004" spans="2:15" x14ac:dyDescent="0.2">
      <c r="B1004">
        <v>989</v>
      </c>
      <c r="C1004" s="48">
        <f t="shared" ca="1" si="64"/>
        <v>0.2227564605283803</v>
      </c>
      <c r="D1004" s="48">
        <f t="shared" ca="1" si="61"/>
        <v>0.67926032098721512</v>
      </c>
      <c r="E1004" s="48">
        <f t="shared" ca="1" si="62"/>
        <v>0</v>
      </c>
      <c r="F1004" s="17">
        <f t="shared" ca="1" si="63"/>
        <v>0</v>
      </c>
      <c r="H1004" s="17">
        <v>989</v>
      </c>
      <c r="I1004" s="43">
        <v>0.66894859779063032</v>
      </c>
      <c r="J1004" s="43">
        <v>1.9567775463141954E-2</v>
      </c>
      <c r="K1004" s="43"/>
      <c r="L1004" s="43">
        <v>0.25580000000000003</v>
      </c>
      <c r="O1004" s="50"/>
    </row>
    <row r="1005" spans="2:15" x14ac:dyDescent="0.2">
      <c r="B1005">
        <v>990</v>
      </c>
      <c r="C1005" s="48">
        <f t="shared" ca="1" si="64"/>
        <v>-0.76155286495394325</v>
      </c>
      <c r="D1005" s="48">
        <f t="shared" ca="1" si="61"/>
        <v>0.6164417770519901</v>
      </c>
      <c r="E1005" s="48">
        <f t="shared" ca="1" si="62"/>
        <v>0</v>
      </c>
      <c r="F1005" s="17">
        <f t="shared" ca="1" si="63"/>
        <v>0</v>
      </c>
      <c r="H1005" s="17">
        <v>990</v>
      </c>
      <c r="I1005" s="43">
        <v>0.66880031754869673</v>
      </c>
      <c r="J1005" s="43">
        <v>1.9317382599493137E-2</v>
      </c>
      <c r="K1005" s="43"/>
      <c r="L1005" s="43">
        <v>0.25779999999999997</v>
      </c>
      <c r="O1005" s="50"/>
    </row>
    <row r="1006" spans="2:15" x14ac:dyDescent="0.2">
      <c r="B1006">
        <v>991</v>
      </c>
      <c r="C1006" s="48">
        <f t="shared" ca="1" si="64"/>
        <v>0.54495636944145076</v>
      </c>
      <c r="D1006" s="48">
        <f t="shared" ca="1" si="61"/>
        <v>0.70118328611292313</v>
      </c>
      <c r="E1006" s="48">
        <f t="shared" ca="1" si="62"/>
        <v>0</v>
      </c>
      <c r="F1006" s="17">
        <f t="shared" ca="1" si="63"/>
        <v>0</v>
      </c>
      <c r="H1006" s="17">
        <v>991</v>
      </c>
      <c r="I1006" s="43">
        <v>0.66853839440821816</v>
      </c>
      <c r="J1006" s="43">
        <v>1.904433359141345E-2</v>
      </c>
      <c r="K1006" s="43"/>
      <c r="L1006" s="43">
        <v>0.24779999999999999</v>
      </c>
      <c r="O1006" s="50"/>
    </row>
    <row r="1007" spans="2:15" x14ac:dyDescent="0.2">
      <c r="B1007">
        <v>992</v>
      </c>
      <c r="C1007" s="48">
        <f t="shared" ca="1" si="64"/>
        <v>0.74485218463544778</v>
      </c>
      <c r="D1007" s="48">
        <f t="shared" ca="1" si="61"/>
        <v>0.7151387210110699</v>
      </c>
      <c r="E1007" s="48">
        <f t="shared" ca="1" si="62"/>
        <v>0</v>
      </c>
      <c r="F1007" s="17">
        <f t="shared" ca="1" si="63"/>
        <v>0</v>
      </c>
      <c r="H1007" s="17">
        <v>992</v>
      </c>
      <c r="I1007" s="43">
        <v>0.66973001640670948</v>
      </c>
      <c r="J1007" s="43">
        <v>1.9886820178473482E-2</v>
      </c>
      <c r="K1007" s="43"/>
      <c r="L1007" s="43">
        <v>0.25580000000000003</v>
      </c>
      <c r="O1007" s="50"/>
    </row>
    <row r="1008" spans="2:15" x14ac:dyDescent="0.2">
      <c r="B1008">
        <v>993</v>
      </c>
      <c r="C1008" s="48">
        <f t="shared" ca="1" si="64"/>
        <v>-0.18442417476469425</v>
      </c>
      <c r="D1008" s="48">
        <f t="shared" ca="1" si="61"/>
        <v>0.65253288364015405</v>
      </c>
      <c r="E1008" s="48">
        <f t="shared" ca="1" si="62"/>
        <v>0</v>
      </c>
      <c r="F1008" s="17">
        <f t="shared" ca="1" si="63"/>
        <v>0</v>
      </c>
      <c r="H1008" s="17">
        <v>993</v>
      </c>
      <c r="I1008" s="43">
        <v>0.66758876681887103</v>
      </c>
      <c r="J1008" s="43">
        <v>1.8190912175785195E-2</v>
      </c>
      <c r="K1008" s="43"/>
      <c r="L1008" s="43">
        <v>0.24779999999999999</v>
      </c>
      <c r="O1008" s="50"/>
    </row>
    <row r="1009" spans="2:15" x14ac:dyDescent="0.2">
      <c r="B1009">
        <v>994</v>
      </c>
      <c r="C1009" s="48">
        <f t="shared" ca="1" si="64"/>
        <v>0.54122883561381152</v>
      </c>
      <c r="D1009" s="48">
        <f t="shared" ca="1" si="61"/>
        <v>0.70092565692014475</v>
      </c>
      <c r="E1009" s="48">
        <f t="shared" ca="1" si="62"/>
        <v>0</v>
      </c>
      <c r="F1009" s="17">
        <f t="shared" ca="1" si="63"/>
        <v>0</v>
      </c>
      <c r="H1009" s="17">
        <v>994</v>
      </c>
      <c r="I1009" s="43">
        <v>0.66868311710598505</v>
      </c>
      <c r="J1009" s="43">
        <v>1.8942308337041153E-2</v>
      </c>
      <c r="K1009" s="43"/>
      <c r="L1009" s="43">
        <v>0.24679999999999999</v>
      </c>
      <c r="O1009" s="50"/>
    </row>
    <row r="1010" spans="2:15" x14ac:dyDescent="0.2">
      <c r="B1010">
        <v>995</v>
      </c>
      <c r="C1010" s="48">
        <f t="shared" ca="1" si="64"/>
        <v>0.51377248994434632</v>
      </c>
      <c r="D1010" s="48">
        <f t="shared" ca="1" si="61"/>
        <v>0.69903092069246864</v>
      </c>
      <c r="E1010" s="48">
        <f t="shared" ca="1" si="62"/>
        <v>0</v>
      </c>
      <c r="F1010" s="17">
        <f t="shared" ca="1" si="63"/>
        <v>0</v>
      </c>
      <c r="H1010" s="17">
        <v>995</v>
      </c>
      <c r="I1010" s="43">
        <v>0.66825013612751727</v>
      </c>
      <c r="J1010" s="43">
        <v>1.8582906624964583E-2</v>
      </c>
      <c r="K1010" s="43"/>
      <c r="L1010" s="43">
        <v>0.23980000000000001</v>
      </c>
      <c r="O1010" s="50"/>
    </row>
    <row r="1011" spans="2:15" x14ac:dyDescent="0.2">
      <c r="B1011">
        <v>996</v>
      </c>
      <c r="C1011" s="48">
        <f t="shared" ca="1" si="64"/>
        <v>0.5626477207362296</v>
      </c>
      <c r="D1011" s="48">
        <f t="shared" ca="1" si="61"/>
        <v>0.70240731896391839</v>
      </c>
      <c r="E1011" s="48">
        <f t="shared" ca="1" si="62"/>
        <v>0</v>
      </c>
      <c r="F1011" s="17">
        <f t="shared" ca="1" si="63"/>
        <v>0</v>
      </c>
      <c r="H1011" s="17">
        <v>996</v>
      </c>
      <c r="I1011" s="43">
        <v>0.66909989750436627</v>
      </c>
      <c r="J1011" s="43">
        <v>1.9292137275483928E-2</v>
      </c>
      <c r="K1011" s="43"/>
      <c r="L1011" s="43">
        <v>0.24560000000000001</v>
      </c>
      <c r="O1011" s="50"/>
    </row>
    <row r="1012" spans="2:15" x14ac:dyDescent="0.2">
      <c r="B1012">
        <v>997</v>
      </c>
      <c r="C1012" s="48">
        <f t="shared" ca="1" si="64"/>
        <v>0.22646010236461858</v>
      </c>
      <c r="D1012" s="48">
        <f t="shared" ca="1" si="61"/>
        <v>0.67950838641255584</v>
      </c>
      <c r="E1012" s="48">
        <f t="shared" ca="1" si="62"/>
        <v>0</v>
      </c>
      <c r="F1012" s="17">
        <f t="shared" ca="1" si="63"/>
        <v>0</v>
      </c>
      <c r="H1012" s="17">
        <v>997</v>
      </c>
      <c r="I1012" s="43">
        <v>0.6684223317889183</v>
      </c>
      <c r="J1012" s="43">
        <v>1.9003859582077245E-2</v>
      </c>
      <c r="K1012" s="43"/>
      <c r="L1012" s="43">
        <v>0.25019999999999998</v>
      </c>
      <c r="O1012" s="50"/>
    </row>
    <row r="1013" spans="2:15" x14ac:dyDescent="0.2">
      <c r="B1013">
        <v>998</v>
      </c>
      <c r="C1013" s="48">
        <f t="shared" ca="1" si="64"/>
        <v>-1.0013053102328335</v>
      </c>
      <c r="D1013" s="48">
        <f t="shared" ca="1" si="61"/>
        <v>0.6020420480229598</v>
      </c>
      <c r="E1013" s="48">
        <f t="shared" ca="1" si="62"/>
        <v>0</v>
      </c>
      <c r="F1013" s="17">
        <f t="shared" ca="1" si="63"/>
        <v>0</v>
      </c>
      <c r="H1013" s="17">
        <v>998</v>
      </c>
      <c r="I1013" s="43">
        <v>0.66936186965990407</v>
      </c>
      <c r="J1013" s="43">
        <v>1.9786152004354213E-2</v>
      </c>
      <c r="K1013" s="43"/>
      <c r="L1013" s="43">
        <v>0.25940000000000002</v>
      </c>
      <c r="O1013" s="50"/>
    </row>
    <row r="1014" spans="2:15" x14ac:dyDescent="0.2">
      <c r="B1014">
        <v>999</v>
      </c>
      <c r="C1014" s="48">
        <f t="shared" ca="1" si="64"/>
        <v>-0.18463900921042817</v>
      </c>
      <c r="D1014" s="48">
        <f t="shared" ca="1" si="61"/>
        <v>0.65251906315020536</v>
      </c>
      <c r="E1014" s="48">
        <f t="shared" ca="1" si="62"/>
        <v>0</v>
      </c>
      <c r="F1014" s="17">
        <f t="shared" ca="1" si="63"/>
        <v>0</v>
      </c>
      <c r="H1014" s="17">
        <v>999</v>
      </c>
      <c r="I1014" s="43">
        <v>0.66863266503536789</v>
      </c>
      <c r="J1014" s="43">
        <v>1.9282713067850666E-2</v>
      </c>
      <c r="K1014" s="43"/>
      <c r="L1014" s="43">
        <v>0.25419999999999998</v>
      </c>
      <c r="O1014" s="50"/>
    </row>
    <row r="1015" spans="2:15" x14ac:dyDescent="0.2">
      <c r="B1015">
        <v>1000</v>
      </c>
      <c r="C1015" s="48">
        <f t="shared" ca="1" si="64"/>
        <v>1.2389580636984483</v>
      </c>
      <c r="D1015" s="48">
        <f t="shared" ca="1" si="61"/>
        <v>0.75083745306434291</v>
      </c>
      <c r="E1015" s="48">
        <f t="shared" ca="1" si="62"/>
        <v>0</v>
      </c>
      <c r="F1015" s="17">
        <f t="shared" ca="1" si="63"/>
        <v>0</v>
      </c>
      <c r="H1015" s="17">
        <v>1000</v>
      </c>
      <c r="I1015" s="43">
        <v>0.66944129375059858</v>
      </c>
      <c r="J1015" s="43">
        <v>1.9651274643793328E-2</v>
      </c>
      <c r="K1015" s="43"/>
      <c r="L1015" s="43">
        <v>0.25679999999999997</v>
      </c>
      <c r="O1015" s="50"/>
    </row>
    <row r="1016" spans="2:15" x14ac:dyDescent="0.2">
      <c r="B1016">
        <v>1001</v>
      </c>
      <c r="C1016" s="48">
        <f t="shared" ca="1" si="64"/>
        <v>-6.2093297818757706E-2</v>
      </c>
      <c r="D1016" s="48">
        <f t="shared" ca="1" si="61"/>
        <v>0.66045026752855696</v>
      </c>
      <c r="E1016" s="48">
        <f t="shared" ca="1" si="62"/>
        <v>0</v>
      </c>
      <c r="F1016" s="17">
        <f t="shared" ca="1" si="63"/>
        <v>0</v>
      </c>
      <c r="H1016" s="17">
        <v>1001</v>
      </c>
      <c r="I1016" s="43">
        <v>0.6684317340924204</v>
      </c>
      <c r="J1016" s="43">
        <v>1.9018153430533438E-2</v>
      </c>
      <c r="K1016" s="43"/>
      <c r="L1016" s="43">
        <v>0.25180000000000002</v>
      </c>
      <c r="O1016" s="50"/>
    </row>
    <row r="1017" spans="2:15" x14ac:dyDescent="0.2">
      <c r="B1017">
        <v>1002</v>
      </c>
      <c r="C1017" s="48">
        <f t="shared" ca="1" si="64"/>
        <v>0.68375969345314924</v>
      </c>
      <c r="D1017" s="48">
        <f t="shared" ca="1" si="61"/>
        <v>0.71084441847597235</v>
      </c>
      <c r="E1017" s="48">
        <f t="shared" ca="1" si="62"/>
        <v>0</v>
      </c>
      <c r="F1017" s="17">
        <f t="shared" ca="1" si="63"/>
        <v>0</v>
      </c>
      <c r="H1017" s="17">
        <v>1002</v>
      </c>
      <c r="I1017" s="43">
        <v>0.66821470341025035</v>
      </c>
      <c r="J1017" s="43">
        <v>1.8829911577265969E-2</v>
      </c>
      <c r="K1017" s="43"/>
      <c r="L1017" s="43">
        <v>0.24340000000000001</v>
      </c>
      <c r="O1017" s="50"/>
    </row>
    <row r="1018" spans="2:15" x14ac:dyDescent="0.2">
      <c r="B1018">
        <v>1003</v>
      </c>
      <c r="C1018" s="48">
        <f t="shared" ca="1" si="64"/>
        <v>1.3096314197197709</v>
      </c>
      <c r="D1018" s="48">
        <f t="shared" ca="1" si="61"/>
        <v>0.75608718607482672</v>
      </c>
      <c r="E1018" s="48">
        <f t="shared" ca="1" si="62"/>
        <v>0</v>
      </c>
      <c r="F1018" s="17">
        <f t="shared" ca="1" si="63"/>
        <v>0</v>
      </c>
      <c r="H1018" s="17">
        <v>1003</v>
      </c>
      <c r="I1018" s="43">
        <v>0.66929407199219282</v>
      </c>
      <c r="J1018" s="43">
        <v>1.9485933678565964E-2</v>
      </c>
      <c r="K1018" s="43"/>
      <c r="L1018" s="43">
        <v>0.24579999999999999</v>
      </c>
      <c r="O1018" s="50"/>
    </row>
    <row r="1019" spans="2:15" x14ac:dyDescent="0.2">
      <c r="B1019">
        <v>1004</v>
      </c>
      <c r="C1019" s="48">
        <f t="shared" ca="1" si="64"/>
        <v>1.3709993960742779</v>
      </c>
      <c r="D1019" s="48">
        <f t="shared" ca="1" si="61"/>
        <v>0.76067546518457008</v>
      </c>
      <c r="E1019" s="48">
        <f t="shared" ca="1" si="62"/>
        <v>0</v>
      </c>
      <c r="F1019" s="17">
        <f t="shared" ca="1" si="63"/>
        <v>0</v>
      </c>
      <c r="H1019" s="17">
        <v>1004</v>
      </c>
      <c r="I1019" s="43">
        <v>0.66840909437806562</v>
      </c>
      <c r="J1019" s="43">
        <v>1.9234899403857496E-2</v>
      </c>
      <c r="K1019" s="43"/>
      <c r="L1019" s="43">
        <v>0.2492</v>
      </c>
      <c r="O1019" s="50"/>
    </row>
    <row r="1020" spans="2:15" x14ac:dyDescent="0.2">
      <c r="B1020">
        <v>1005</v>
      </c>
      <c r="C1020" s="48">
        <f t="shared" ca="1" si="64"/>
        <v>1.4240937442520518</v>
      </c>
      <c r="D1020" s="48">
        <f t="shared" ca="1" si="61"/>
        <v>0.7646676125302394</v>
      </c>
      <c r="E1020" s="48">
        <f t="shared" ca="1" si="62"/>
        <v>0</v>
      </c>
      <c r="F1020" s="17">
        <f t="shared" ca="1" si="63"/>
        <v>0</v>
      </c>
      <c r="H1020" s="17">
        <v>1005</v>
      </c>
      <c r="I1020" s="43">
        <v>0.66841638790423563</v>
      </c>
      <c r="J1020" s="43">
        <v>1.8893735939438945E-2</v>
      </c>
      <c r="K1020" s="43"/>
      <c r="L1020" s="43">
        <v>0.25219999999999998</v>
      </c>
      <c r="O1020" s="50"/>
    </row>
    <row r="1021" spans="2:15" x14ac:dyDescent="0.2">
      <c r="B1021">
        <v>1006</v>
      </c>
      <c r="C1021" s="48">
        <f t="shared" ca="1" si="64"/>
        <v>-5.1614003398955471E-2</v>
      </c>
      <c r="D1021" s="48">
        <f t="shared" ca="1" si="61"/>
        <v>0.66113294920012211</v>
      </c>
      <c r="E1021" s="48">
        <f t="shared" ca="1" si="62"/>
        <v>0</v>
      </c>
      <c r="F1021" s="17">
        <f t="shared" ca="1" si="63"/>
        <v>0</v>
      </c>
      <c r="H1021" s="17">
        <v>1006</v>
      </c>
      <c r="I1021" s="43">
        <v>0.66964216072101079</v>
      </c>
      <c r="J1021" s="43">
        <v>2.0024519912268175E-2</v>
      </c>
      <c r="K1021" s="43"/>
      <c r="L1021" s="43">
        <v>0.249</v>
      </c>
      <c r="O1021" s="50"/>
    </row>
    <row r="1022" spans="2:15" x14ac:dyDescent="0.2">
      <c r="B1022">
        <v>1007</v>
      </c>
      <c r="C1022" s="48">
        <f t="shared" ca="1" si="64"/>
        <v>0.13032174366370564</v>
      </c>
      <c r="D1022" s="48">
        <f t="shared" ca="1" si="61"/>
        <v>0.67309840543032717</v>
      </c>
      <c r="E1022" s="48">
        <f t="shared" ca="1" si="62"/>
        <v>0</v>
      </c>
      <c r="F1022" s="17">
        <f t="shared" ca="1" si="63"/>
        <v>0</v>
      </c>
      <c r="H1022" s="17">
        <v>1007</v>
      </c>
      <c r="I1022" s="43">
        <v>0.66997517689027497</v>
      </c>
      <c r="J1022" s="43">
        <v>2.0147335848846475E-2</v>
      </c>
      <c r="K1022" s="43"/>
      <c r="L1022" s="43">
        <v>0.25540000000000002</v>
      </c>
      <c r="O1022" s="50"/>
    </row>
    <row r="1023" spans="2:15" x14ac:dyDescent="0.2">
      <c r="B1023">
        <v>1008</v>
      </c>
      <c r="C1023" s="48">
        <f t="shared" ca="1" si="64"/>
        <v>-0.68689969130918749</v>
      </c>
      <c r="D1023" s="48">
        <f t="shared" ca="1" si="61"/>
        <v>0.62099544348696945</v>
      </c>
      <c r="E1023" s="48">
        <f t="shared" ca="1" si="62"/>
        <v>0</v>
      </c>
      <c r="F1023" s="17">
        <f t="shared" ca="1" si="63"/>
        <v>0</v>
      </c>
      <c r="H1023" s="17">
        <v>1008</v>
      </c>
      <c r="I1023" s="43">
        <v>0.66922419491255691</v>
      </c>
      <c r="J1023" s="43">
        <v>1.9427464173569726E-2</v>
      </c>
      <c r="K1023" s="43"/>
      <c r="L1023" s="43">
        <v>0.2482</v>
      </c>
      <c r="O1023" s="50"/>
    </row>
    <row r="1024" spans="2:15" x14ac:dyDescent="0.2">
      <c r="B1024">
        <v>1009</v>
      </c>
      <c r="C1024" s="48">
        <f t="shared" ca="1" si="64"/>
        <v>0.18532473526406706</v>
      </c>
      <c r="D1024" s="48">
        <f t="shared" ca="1" si="61"/>
        <v>0.67675826675199202</v>
      </c>
      <c r="E1024" s="48">
        <f t="shared" ca="1" si="62"/>
        <v>0</v>
      </c>
      <c r="F1024" s="17">
        <f t="shared" ca="1" si="63"/>
        <v>0</v>
      </c>
      <c r="H1024" s="17">
        <v>1009</v>
      </c>
      <c r="I1024" s="43">
        <v>0.66806340673819353</v>
      </c>
      <c r="J1024" s="43">
        <v>1.8558027716531512E-2</v>
      </c>
      <c r="K1024" s="43"/>
      <c r="L1024" s="43">
        <v>0.24679999999999999</v>
      </c>
      <c r="O1024" s="50"/>
    </row>
    <row r="1025" spans="2:15" x14ac:dyDescent="0.2">
      <c r="B1025">
        <v>1010</v>
      </c>
      <c r="C1025" s="48">
        <f t="shared" ca="1" si="64"/>
        <v>-0.41482209162023526</v>
      </c>
      <c r="D1025" s="48">
        <f t="shared" ca="1" si="61"/>
        <v>0.63787809195946632</v>
      </c>
      <c r="E1025" s="48">
        <f t="shared" ca="1" si="62"/>
        <v>0</v>
      </c>
      <c r="F1025" s="17">
        <f t="shared" ca="1" si="63"/>
        <v>0</v>
      </c>
      <c r="H1025" s="17">
        <v>1010</v>
      </c>
      <c r="I1025" s="43">
        <v>0.66796035024273781</v>
      </c>
      <c r="J1025" s="43">
        <v>1.8711896741431342E-2</v>
      </c>
      <c r="K1025" s="43"/>
      <c r="L1025" s="43">
        <v>0.24479999999999999</v>
      </c>
      <c r="O1025" s="50"/>
    </row>
    <row r="1026" spans="2:15" x14ac:dyDescent="0.2">
      <c r="B1026">
        <v>1011</v>
      </c>
      <c r="C1026" s="48">
        <f t="shared" ca="1" si="64"/>
        <v>-0.8760344882602159</v>
      </c>
      <c r="D1026" s="48">
        <f t="shared" ca="1" si="61"/>
        <v>0.60952345067923619</v>
      </c>
      <c r="E1026" s="48">
        <f t="shared" ca="1" si="62"/>
        <v>0</v>
      </c>
      <c r="F1026" s="17">
        <f t="shared" ca="1" si="63"/>
        <v>0</v>
      </c>
      <c r="H1026" s="17">
        <v>1011</v>
      </c>
      <c r="I1026" s="43">
        <v>0.6695251081547422</v>
      </c>
      <c r="J1026" s="43">
        <v>1.9987426856329701E-2</v>
      </c>
      <c r="K1026" s="43"/>
      <c r="L1026" s="43">
        <v>0.25419999999999998</v>
      </c>
      <c r="O1026" s="50"/>
    </row>
    <row r="1027" spans="2:15" x14ac:dyDescent="0.2">
      <c r="B1027">
        <v>1012</v>
      </c>
      <c r="C1027" s="48">
        <f t="shared" ca="1" si="64"/>
        <v>1.8813363936296532</v>
      </c>
      <c r="D1027" s="48">
        <f t="shared" ca="1" si="61"/>
        <v>0.79992633473194119</v>
      </c>
      <c r="E1027" s="48">
        <f t="shared" ca="1" si="62"/>
        <v>1.1726334731941179E-2</v>
      </c>
      <c r="F1027" s="17">
        <f t="shared" ca="1" si="63"/>
        <v>1</v>
      </c>
      <c r="H1027" s="17">
        <v>1012</v>
      </c>
      <c r="I1027" s="43">
        <v>0.66936961859268163</v>
      </c>
      <c r="J1027" s="43">
        <v>1.9421803145711014E-2</v>
      </c>
      <c r="K1027" s="43"/>
      <c r="L1027" s="43">
        <v>0.25459999999999999</v>
      </c>
      <c r="O1027" s="50"/>
    </row>
    <row r="1028" spans="2:15" x14ac:dyDescent="0.2">
      <c r="B1028">
        <v>1013</v>
      </c>
      <c r="C1028" s="48">
        <f t="shared" ca="1" si="64"/>
        <v>-0.20630368792878184</v>
      </c>
      <c r="D1028" s="48">
        <f t="shared" ca="1" si="61"/>
        <v>0.65112685727352704</v>
      </c>
      <c r="E1028" s="48">
        <f t="shared" ca="1" si="62"/>
        <v>0</v>
      </c>
      <c r="F1028" s="17">
        <f t="shared" ca="1" si="63"/>
        <v>0</v>
      </c>
      <c r="H1028" s="17">
        <v>1013</v>
      </c>
      <c r="I1028" s="43">
        <v>0.66848055947206209</v>
      </c>
      <c r="J1028" s="43">
        <v>1.882538966790304E-2</v>
      </c>
      <c r="K1028" s="43"/>
      <c r="L1028" s="43">
        <v>0.24299999999999999</v>
      </c>
      <c r="O1028" s="50"/>
    </row>
    <row r="1029" spans="2:15" x14ac:dyDescent="0.2">
      <c r="B1029">
        <v>1014</v>
      </c>
      <c r="C1029" s="48">
        <f t="shared" ca="1" si="64"/>
        <v>-0.37567643449497584</v>
      </c>
      <c r="D1029" s="48">
        <f t="shared" ca="1" si="61"/>
        <v>0.6403445929515259</v>
      </c>
      <c r="E1029" s="48">
        <f t="shared" ca="1" si="62"/>
        <v>0</v>
      </c>
      <c r="F1029" s="17">
        <f t="shared" ca="1" si="63"/>
        <v>0</v>
      </c>
      <c r="H1029" s="17">
        <v>1014</v>
      </c>
      <c r="I1029" s="43">
        <v>0.66767764498303916</v>
      </c>
      <c r="J1029" s="43">
        <v>1.8323194302665755E-2</v>
      </c>
      <c r="K1029" s="43"/>
      <c r="L1029" s="43">
        <v>0.24660000000000001</v>
      </c>
      <c r="O1029" s="50"/>
    </row>
    <row r="1030" spans="2:15" x14ac:dyDescent="0.2">
      <c r="B1030">
        <v>1015</v>
      </c>
      <c r="C1030" s="48">
        <f t="shared" ca="1" si="64"/>
        <v>1.7794723244237518</v>
      </c>
      <c r="D1030" s="48">
        <f t="shared" ca="1" si="61"/>
        <v>0.79193326032898315</v>
      </c>
      <c r="E1030" s="48">
        <f t="shared" ca="1" si="62"/>
        <v>3.7332603289831345E-3</v>
      </c>
      <c r="F1030" s="17">
        <f t="shared" ca="1" si="63"/>
        <v>1</v>
      </c>
      <c r="H1030" s="17">
        <v>1015</v>
      </c>
      <c r="I1030" s="43">
        <v>0.67045614353782035</v>
      </c>
      <c r="J1030" s="43">
        <v>1.9986120199437862E-2</v>
      </c>
      <c r="K1030" s="43"/>
      <c r="L1030" s="43">
        <v>0.2452</v>
      </c>
      <c r="O1030" s="50"/>
    </row>
    <row r="1031" spans="2:15" x14ac:dyDescent="0.2">
      <c r="B1031">
        <v>1016</v>
      </c>
      <c r="C1031" s="48">
        <f t="shared" ca="1" si="64"/>
        <v>1.095294676383033E-2</v>
      </c>
      <c r="D1031" s="48">
        <f t="shared" ca="1" si="61"/>
        <v>0.66522363035173881</v>
      </c>
      <c r="E1031" s="48">
        <f t="shared" ca="1" si="62"/>
        <v>0</v>
      </c>
      <c r="F1031" s="17">
        <f t="shared" ca="1" si="63"/>
        <v>0</v>
      </c>
      <c r="H1031" s="17">
        <v>1016</v>
      </c>
      <c r="I1031" s="43">
        <v>0.66856704745801998</v>
      </c>
      <c r="J1031" s="43">
        <v>1.8980986457481377E-2</v>
      </c>
      <c r="K1031" s="43"/>
      <c r="L1031" s="43">
        <v>0.2472</v>
      </c>
      <c r="O1031" s="50"/>
    </row>
    <row r="1032" spans="2:15" x14ac:dyDescent="0.2">
      <c r="B1032">
        <v>1017</v>
      </c>
      <c r="C1032" s="48">
        <f t="shared" ca="1" si="64"/>
        <v>-0.15287004347946712</v>
      </c>
      <c r="D1032" s="48">
        <f t="shared" ca="1" si="61"/>
        <v>0.65456597098418556</v>
      </c>
      <c r="E1032" s="48">
        <f t="shared" ca="1" si="62"/>
        <v>0</v>
      </c>
      <c r="F1032" s="17">
        <f t="shared" ca="1" si="63"/>
        <v>0</v>
      </c>
      <c r="H1032" s="17">
        <v>1017</v>
      </c>
      <c r="I1032" s="43">
        <v>0.66835779320103139</v>
      </c>
      <c r="J1032" s="43">
        <v>1.9223716891478969E-2</v>
      </c>
      <c r="K1032" s="43"/>
      <c r="L1032" s="43">
        <v>0.25219999999999998</v>
      </c>
      <c r="O1032" s="50"/>
    </row>
    <row r="1033" spans="2:15" x14ac:dyDescent="0.2">
      <c r="B1033">
        <v>1018</v>
      </c>
      <c r="C1033" s="48">
        <f t="shared" ca="1" si="64"/>
        <v>-1.5493701198506753E-2</v>
      </c>
      <c r="D1033" s="48">
        <f t="shared" ca="1" si="61"/>
        <v>0.66349144653789982</v>
      </c>
      <c r="E1033" s="48">
        <f t="shared" ca="1" si="62"/>
        <v>0</v>
      </c>
      <c r="F1033" s="17">
        <f t="shared" ca="1" si="63"/>
        <v>0</v>
      </c>
      <c r="H1033" s="17">
        <v>1018</v>
      </c>
      <c r="I1033" s="43">
        <v>0.66865933212202533</v>
      </c>
      <c r="J1033" s="43">
        <v>1.9308831189512314E-2</v>
      </c>
      <c r="K1033" s="43"/>
      <c r="L1033" s="43">
        <v>0.25140000000000001</v>
      </c>
      <c r="O1033" s="50"/>
    </row>
    <row r="1034" spans="2:15" x14ac:dyDescent="0.2">
      <c r="B1034">
        <v>1019</v>
      </c>
      <c r="C1034" s="48">
        <f t="shared" ca="1" si="64"/>
        <v>1.5638176433820257</v>
      </c>
      <c r="D1034" s="48">
        <f t="shared" ca="1" si="61"/>
        <v>0.7752738111458306</v>
      </c>
      <c r="E1034" s="48">
        <f t="shared" ca="1" si="62"/>
        <v>0</v>
      </c>
      <c r="F1034" s="17">
        <f t="shared" ca="1" si="63"/>
        <v>0</v>
      </c>
      <c r="H1034" s="17">
        <v>1019</v>
      </c>
      <c r="I1034" s="43">
        <v>0.66914428452149988</v>
      </c>
      <c r="J1034" s="43">
        <v>1.9502596788158893E-2</v>
      </c>
      <c r="K1034" s="43"/>
      <c r="L1034" s="43">
        <v>0.25059999999999999</v>
      </c>
      <c r="O1034" s="50"/>
    </row>
    <row r="1035" spans="2:15" x14ac:dyDescent="0.2">
      <c r="B1035">
        <v>1020</v>
      </c>
      <c r="C1035" s="48">
        <f t="shared" ca="1" si="64"/>
        <v>-9.7656817195797177E-2</v>
      </c>
      <c r="D1035" s="48">
        <f t="shared" ca="1" si="61"/>
        <v>0.65813870603094848</v>
      </c>
      <c r="E1035" s="48">
        <f t="shared" ca="1" si="62"/>
        <v>0</v>
      </c>
      <c r="F1035" s="17">
        <f t="shared" ca="1" si="63"/>
        <v>0</v>
      </c>
      <c r="H1035" s="17">
        <v>1020</v>
      </c>
      <c r="I1035" s="43">
        <v>0.66857983923521491</v>
      </c>
      <c r="J1035" s="43">
        <v>1.8945818007888089E-2</v>
      </c>
      <c r="K1035" s="43"/>
      <c r="L1035" s="43">
        <v>0.24179999999999999</v>
      </c>
      <c r="O1035" s="50"/>
    </row>
    <row r="1036" spans="2:15" x14ac:dyDescent="0.2">
      <c r="B1036">
        <v>1021</v>
      </c>
      <c r="C1036" s="48">
        <f t="shared" ca="1" si="64"/>
        <v>-0.26685826377985672</v>
      </c>
      <c r="D1036" s="48">
        <f t="shared" ca="1" si="61"/>
        <v>0.64725126047021786</v>
      </c>
      <c r="E1036" s="48">
        <f t="shared" ca="1" si="62"/>
        <v>0</v>
      </c>
      <c r="F1036" s="17">
        <f t="shared" ca="1" si="63"/>
        <v>0</v>
      </c>
      <c r="H1036" s="17">
        <v>1021</v>
      </c>
      <c r="I1036" s="43">
        <v>0.66953209444662576</v>
      </c>
      <c r="J1036" s="43">
        <v>1.957783830855463E-2</v>
      </c>
      <c r="K1036" s="43"/>
      <c r="L1036" s="43">
        <v>0.25080000000000002</v>
      </c>
      <c r="O1036" s="50"/>
    </row>
    <row r="1037" spans="2:15" x14ac:dyDescent="0.2">
      <c r="B1037">
        <v>1022</v>
      </c>
      <c r="C1037" s="48">
        <f t="shared" ca="1" si="64"/>
        <v>0.12434608977185962</v>
      </c>
      <c r="D1037" s="48">
        <f t="shared" ca="1" si="61"/>
        <v>0.67270198338576803</v>
      </c>
      <c r="E1037" s="48">
        <f t="shared" ca="1" si="62"/>
        <v>0</v>
      </c>
      <c r="F1037" s="17">
        <f t="shared" ca="1" si="63"/>
        <v>0</v>
      </c>
      <c r="H1037" s="17">
        <v>1022</v>
      </c>
      <c r="I1037" s="43">
        <v>0.66853065587896898</v>
      </c>
      <c r="J1037" s="43">
        <v>1.946379359664591E-2</v>
      </c>
      <c r="K1037" s="43"/>
      <c r="L1037" s="43">
        <v>0.25480000000000003</v>
      </c>
      <c r="O1037" s="50"/>
    </row>
    <row r="1038" spans="2:15" x14ac:dyDescent="0.2">
      <c r="B1038">
        <v>1023</v>
      </c>
      <c r="C1038" s="48">
        <f t="shared" ca="1" si="64"/>
        <v>0.41344964260914208</v>
      </c>
      <c r="D1038" s="48">
        <f t="shared" ca="1" si="61"/>
        <v>0.69215118084840122</v>
      </c>
      <c r="E1038" s="48">
        <f t="shared" ca="1" si="62"/>
        <v>0</v>
      </c>
      <c r="F1038" s="17">
        <f t="shared" ca="1" si="63"/>
        <v>0</v>
      </c>
      <c r="H1038" s="17">
        <v>1023</v>
      </c>
      <c r="I1038" s="43">
        <v>0.66865742136177564</v>
      </c>
      <c r="J1038" s="43">
        <v>1.9023578673130415E-2</v>
      </c>
      <c r="K1038" s="43"/>
      <c r="L1038" s="43">
        <v>0.249</v>
      </c>
      <c r="O1038" s="50"/>
    </row>
    <row r="1039" spans="2:15" x14ac:dyDescent="0.2">
      <c r="B1039">
        <v>1024</v>
      </c>
      <c r="C1039" s="48">
        <f t="shared" ca="1" si="64"/>
        <v>4.3409891826887391E-2</v>
      </c>
      <c r="D1039" s="48">
        <f t="shared" ca="1" si="61"/>
        <v>0.66735565417133058</v>
      </c>
      <c r="E1039" s="48">
        <f t="shared" ca="1" si="62"/>
        <v>0</v>
      </c>
      <c r="F1039" s="17">
        <f t="shared" ca="1" si="63"/>
        <v>0</v>
      </c>
      <c r="H1039" s="17">
        <v>1024</v>
      </c>
      <c r="I1039" s="43">
        <v>0.66911930546265352</v>
      </c>
      <c r="J1039" s="43">
        <v>1.9283517257452386E-2</v>
      </c>
      <c r="K1039" s="43"/>
      <c r="L1039" s="43">
        <v>0.24540000000000001</v>
      </c>
      <c r="O1039" s="50"/>
    </row>
    <row r="1040" spans="2:15" x14ac:dyDescent="0.2">
      <c r="B1040">
        <v>1025</v>
      </c>
      <c r="C1040" s="48">
        <f t="shared" ca="1" si="64"/>
        <v>-0.44638825303081447</v>
      </c>
      <c r="D1040" s="48">
        <f t="shared" ref="D1040:D1103" ca="1" si="65">S0*EXP((μ-0.5*σ*σ)*T+σ*SQRT(T)*$C1040)</f>
        <v>0.63589608312065149</v>
      </c>
      <c r="E1040" s="48">
        <f t="shared" ref="E1040:E1103" ca="1" si="66">MAX(0,CP*(D1040-K))</f>
        <v>0</v>
      </c>
      <c r="F1040" s="17">
        <f t="shared" ref="F1040:F1103" ca="1" si="67">(CP*(D1040-K)&gt;0)*1</f>
        <v>0</v>
      </c>
      <c r="H1040" s="17">
        <v>1025</v>
      </c>
      <c r="I1040" s="43">
        <v>0.66795682949400703</v>
      </c>
      <c r="J1040" s="43">
        <v>1.8806417061941916E-2</v>
      </c>
      <c r="K1040" s="43"/>
      <c r="L1040" s="43">
        <v>0.246</v>
      </c>
      <c r="O1040" s="50"/>
    </row>
    <row r="1041" spans="2:15" x14ac:dyDescent="0.2">
      <c r="B1041">
        <v>1026</v>
      </c>
      <c r="C1041" s="48">
        <f t="shared" ref="C1041:C1104" ca="1" si="68">_xlfn.NORM.S.INV(RAND())</f>
        <v>1.1994833568290406</v>
      </c>
      <c r="D1041" s="48">
        <f t="shared" ca="1" si="65"/>
        <v>0.74792108884166564</v>
      </c>
      <c r="E1041" s="48">
        <f t="shared" ca="1" si="66"/>
        <v>0</v>
      </c>
      <c r="F1041" s="17">
        <f t="shared" ca="1" si="67"/>
        <v>0</v>
      </c>
      <c r="H1041" s="17">
        <v>1026</v>
      </c>
      <c r="I1041" s="43">
        <v>0.66846034792857689</v>
      </c>
      <c r="J1041" s="43">
        <v>1.9023014652354377E-2</v>
      </c>
      <c r="K1041" s="43"/>
      <c r="L1041" s="43">
        <v>0.24440000000000001</v>
      </c>
      <c r="O1041" s="50"/>
    </row>
    <row r="1042" spans="2:15" x14ac:dyDescent="0.2">
      <c r="B1042">
        <v>1027</v>
      </c>
      <c r="C1042" s="48">
        <f t="shared" ca="1" si="68"/>
        <v>-1.6470365925167951</v>
      </c>
      <c r="D1042" s="48">
        <f t="shared" ca="1" si="65"/>
        <v>0.56490991549335989</v>
      </c>
      <c r="E1042" s="48">
        <f t="shared" ca="1" si="66"/>
        <v>0</v>
      </c>
      <c r="F1042" s="17">
        <f t="shared" ca="1" si="67"/>
        <v>0</v>
      </c>
      <c r="H1042" s="17">
        <v>1027</v>
      </c>
      <c r="I1042" s="43">
        <v>0.6691529585719096</v>
      </c>
      <c r="J1042" s="43">
        <v>1.9512210010904186E-2</v>
      </c>
      <c r="K1042" s="43"/>
      <c r="L1042" s="43">
        <v>0.24399999999999999</v>
      </c>
      <c r="O1042" s="50"/>
    </row>
    <row r="1043" spans="2:15" x14ac:dyDescent="0.2">
      <c r="B1043">
        <v>1028</v>
      </c>
      <c r="C1043" s="48">
        <f t="shared" ca="1" si="68"/>
        <v>-1.3998084076664228</v>
      </c>
      <c r="D1043" s="48">
        <f t="shared" ca="1" si="65"/>
        <v>0.57884797482237871</v>
      </c>
      <c r="E1043" s="48">
        <f t="shared" ca="1" si="66"/>
        <v>0</v>
      </c>
      <c r="F1043" s="17">
        <f t="shared" ca="1" si="67"/>
        <v>0</v>
      </c>
      <c r="H1043" s="17">
        <v>1028</v>
      </c>
      <c r="I1043" s="43">
        <v>0.66781672479471177</v>
      </c>
      <c r="J1043" s="43">
        <v>1.8319086491010536E-2</v>
      </c>
      <c r="K1043" s="43"/>
      <c r="L1043" s="43">
        <v>0.24660000000000001</v>
      </c>
      <c r="O1043" s="50"/>
    </row>
    <row r="1044" spans="2:15" x14ac:dyDescent="0.2">
      <c r="B1044">
        <v>1029</v>
      </c>
      <c r="C1044" s="48">
        <f t="shared" ca="1" si="68"/>
        <v>1.1817719863191389</v>
      </c>
      <c r="D1044" s="48">
        <f t="shared" ca="1" si="65"/>
        <v>0.74661626898220801</v>
      </c>
      <c r="E1044" s="48">
        <f t="shared" ca="1" si="66"/>
        <v>0</v>
      </c>
      <c r="F1044" s="17">
        <f t="shared" ca="1" si="67"/>
        <v>0</v>
      </c>
      <c r="H1044" s="17">
        <v>1029</v>
      </c>
      <c r="I1044" s="43">
        <v>0.66929169137409972</v>
      </c>
      <c r="J1044" s="43">
        <v>1.9713749805290844E-2</v>
      </c>
      <c r="K1044" s="43"/>
      <c r="L1044" s="43">
        <v>0.25219999999999998</v>
      </c>
      <c r="O1044" s="50"/>
    </row>
    <row r="1045" spans="2:15" x14ac:dyDescent="0.2">
      <c r="B1045">
        <v>1030</v>
      </c>
      <c r="C1045" s="48">
        <f t="shared" ca="1" si="68"/>
        <v>1.315538978566394</v>
      </c>
      <c r="D1045" s="48">
        <f t="shared" ca="1" si="65"/>
        <v>0.75652766803831972</v>
      </c>
      <c r="E1045" s="48">
        <f t="shared" ca="1" si="66"/>
        <v>0</v>
      </c>
      <c r="F1045" s="17">
        <f t="shared" ca="1" si="67"/>
        <v>0</v>
      </c>
      <c r="H1045" s="17">
        <v>1030</v>
      </c>
      <c r="I1045" s="43">
        <v>0.6695236498741659</v>
      </c>
      <c r="J1045" s="43">
        <v>1.9676487501879995E-2</v>
      </c>
      <c r="K1045" s="43"/>
      <c r="L1045" s="43">
        <v>0.25919999999999999</v>
      </c>
      <c r="O1045" s="50"/>
    </row>
    <row r="1046" spans="2:15" x14ac:dyDescent="0.2">
      <c r="B1046">
        <v>1031</v>
      </c>
      <c r="C1046" s="48">
        <f t="shared" ca="1" si="68"/>
        <v>5.1445396139698604E-2</v>
      </c>
      <c r="D1046" s="48">
        <f t="shared" ca="1" si="65"/>
        <v>0.66788454281127074</v>
      </c>
      <c r="E1046" s="48">
        <f t="shared" ca="1" si="66"/>
        <v>0</v>
      </c>
      <c r="F1046" s="17">
        <f t="shared" ca="1" si="67"/>
        <v>0</v>
      </c>
      <c r="H1046" s="17">
        <v>1031</v>
      </c>
      <c r="I1046" s="43">
        <v>0.67013061709628441</v>
      </c>
      <c r="J1046" s="43">
        <v>2.0207518869319294E-2</v>
      </c>
      <c r="K1046" s="43"/>
      <c r="L1046" s="43">
        <v>0.25380000000000003</v>
      </c>
      <c r="O1046" s="50"/>
    </row>
    <row r="1047" spans="2:15" x14ac:dyDescent="0.2">
      <c r="B1047">
        <v>1032</v>
      </c>
      <c r="C1047" s="48">
        <f t="shared" ca="1" si="68"/>
        <v>-0.9715395392617896</v>
      </c>
      <c r="D1047" s="48">
        <f t="shared" ca="1" si="65"/>
        <v>0.60381135447886114</v>
      </c>
      <c r="E1047" s="48">
        <f t="shared" ca="1" si="66"/>
        <v>0</v>
      </c>
      <c r="F1047" s="17">
        <f t="shared" ca="1" si="67"/>
        <v>0</v>
      </c>
      <c r="H1047" s="17">
        <v>1032</v>
      </c>
      <c r="I1047" s="43">
        <v>0.66994430553946172</v>
      </c>
      <c r="J1047" s="43">
        <v>2.0291551606556268E-2</v>
      </c>
      <c r="K1047" s="43"/>
      <c r="L1047" s="43">
        <v>0.255</v>
      </c>
      <c r="O1047" s="50"/>
    </row>
    <row r="1048" spans="2:15" x14ac:dyDescent="0.2">
      <c r="B1048">
        <v>1033</v>
      </c>
      <c r="C1048" s="48">
        <f t="shared" ca="1" si="68"/>
        <v>0.98575494600023206</v>
      </c>
      <c r="D1048" s="48">
        <f t="shared" ca="1" si="65"/>
        <v>0.73232655873654495</v>
      </c>
      <c r="E1048" s="48">
        <f t="shared" ca="1" si="66"/>
        <v>0</v>
      </c>
      <c r="F1048" s="17">
        <f t="shared" ca="1" si="67"/>
        <v>0</v>
      </c>
      <c r="H1048" s="17">
        <v>1033</v>
      </c>
      <c r="I1048" s="43">
        <v>0.66949593243237338</v>
      </c>
      <c r="J1048" s="43">
        <v>1.9754463176875178E-2</v>
      </c>
      <c r="K1048" s="43"/>
      <c r="L1048" s="43">
        <v>0.25319999999999998</v>
      </c>
      <c r="O1048" s="50"/>
    </row>
    <row r="1049" spans="2:15" x14ac:dyDescent="0.2">
      <c r="B1049">
        <v>1034</v>
      </c>
      <c r="C1049" s="48">
        <f t="shared" ca="1" si="68"/>
        <v>-0.87917333341906201</v>
      </c>
      <c r="D1049" s="48">
        <f t="shared" ca="1" si="65"/>
        <v>0.60933486233942069</v>
      </c>
      <c r="E1049" s="48">
        <f t="shared" ca="1" si="66"/>
        <v>0</v>
      </c>
      <c r="F1049" s="17">
        <f t="shared" ca="1" si="67"/>
        <v>0</v>
      </c>
      <c r="H1049" s="17">
        <v>1034</v>
      </c>
      <c r="I1049" s="43">
        <v>0.66908693446606726</v>
      </c>
      <c r="J1049" s="43">
        <v>1.9220321316011941E-2</v>
      </c>
      <c r="K1049" s="43"/>
      <c r="L1049" s="43">
        <v>0.2452</v>
      </c>
      <c r="O1049" s="50"/>
    </row>
    <row r="1050" spans="2:15" x14ac:dyDescent="0.2">
      <c r="B1050">
        <v>1035</v>
      </c>
      <c r="C1050" s="48">
        <f t="shared" ca="1" si="68"/>
        <v>-0.18835247424969231</v>
      </c>
      <c r="D1050" s="48">
        <f t="shared" ca="1" si="65"/>
        <v>0.65228021891216881</v>
      </c>
      <c r="E1050" s="48">
        <f t="shared" ca="1" si="66"/>
        <v>0</v>
      </c>
      <c r="F1050" s="17">
        <f t="shared" ca="1" si="67"/>
        <v>0</v>
      </c>
      <c r="H1050" s="17">
        <v>1035</v>
      </c>
      <c r="I1050" s="43">
        <v>0.66861614394974467</v>
      </c>
      <c r="J1050" s="43">
        <v>1.9029176498008893E-2</v>
      </c>
      <c r="K1050" s="43"/>
      <c r="L1050" s="43">
        <v>0.24979999999999999</v>
      </c>
      <c r="O1050" s="50"/>
    </row>
    <row r="1051" spans="2:15" x14ac:dyDescent="0.2">
      <c r="B1051">
        <v>1036</v>
      </c>
      <c r="C1051" s="48">
        <f t="shared" ca="1" si="68"/>
        <v>0.11244201756675874</v>
      </c>
      <c r="D1051" s="48">
        <f t="shared" ca="1" si="65"/>
        <v>0.67191296856007321</v>
      </c>
      <c r="E1051" s="48">
        <f t="shared" ca="1" si="66"/>
        <v>0</v>
      </c>
      <c r="F1051" s="17">
        <f t="shared" ca="1" si="67"/>
        <v>0</v>
      </c>
      <c r="H1051" s="17">
        <v>1036</v>
      </c>
      <c r="I1051" s="43">
        <v>0.66875502520035912</v>
      </c>
      <c r="J1051" s="43">
        <v>1.9121621252030412E-2</v>
      </c>
      <c r="K1051" s="43"/>
      <c r="L1051" s="43">
        <v>0.2492</v>
      </c>
      <c r="O1051" s="50"/>
    </row>
    <row r="1052" spans="2:15" x14ac:dyDescent="0.2">
      <c r="B1052">
        <v>1037</v>
      </c>
      <c r="C1052" s="48">
        <f t="shared" ca="1" si="68"/>
        <v>-0.39745933641126746</v>
      </c>
      <c r="D1052" s="48">
        <f t="shared" ca="1" si="65"/>
        <v>0.63897091490265545</v>
      </c>
      <c r="E1052" s="48">
        <f t="shared" ca="1" si="66"/>
        <v>0</v>
      </c>
      <c r="F1052" s="17">
        <f t="shared" ca="1" si="67"/>
        <v>0</v>
      </c>
      <c r="H1052" s="17">
        <v>1037</v>
      </c>
      <c r="I1052" s="43">
        <v>0.66926829575994384</v>
      </c>
      <c r="J1052" s="43">
        <v>1.9451528660885283E-2</v>
      </c>
      <c r="K1052" s="43"/>
      <c r="L1052" s="43">
        <v>0.24959999999999999</v>
      </c>
      <c r="O1052" s="50"/>
    </row>
    <row r="1053" spans="2:15" x14ac:dyDescent="0.2">
      <c r="B1053">
        <v>1038</v>
      </c>
      <c r="C1053" s="48">
        <f t="shared" ca="1" si="68"/>
        <v>1.7103736305928132</v>
      </c>
      <c r="D1053" s="48">
        <f t="shared" ca="1" si="65"/>
        <v>0.78655673474247878</v>
      </c>
      <c r="E1053" s="48">
        <f t="shared" ca="1" si="66"/>
        <v>0</v>
      </c>
      <c r="F1053" s="17">
        <f t="shared" ca="1" si="67"/>
        <v>0</v>
      </c>
      <c r="H1053" s="17">
        <v>1038</v>
      </c>
      <c r="I1053" s="43">
        <v>0.66978222164512513</v>
      </c>
      <c r="J1053" s="43">
        <v>1.9579547397643199E-2</v>
      </c>
      <c r="K1053" s="43"/>
      <c r="L1053" s="43">
        <v>0.2482</v>
      </c>
      <c r="O1053" s="50"/>
    </row>
    <row r="1054" spans="2:15" x14ac:dyDescent="0.2">
      <c r="B1054">
        <v>1039</v>
      </c>
      <c r="C1054" s="48">
        <f t="shared" ca="1" si="68"/>
        <v>-0.88173987025804801</v>
      </c>
      <c r="D1054" s="48">
        <f t="shared" ca="1" si="65"/>
        <v>0.6091807028348033</v>
      </c>
      <c r="E1054" s="48">
        <f t="shared" ca="1" si="66"/>
        <v>0</v>
      </c>
      <c r="F1054" s="17">
        <f t="shared" ca="1" si="67"/>
        <v>0</v>
      </c>
      <c r="H1054" s="17">
        <v>1039</v>
      </c>
      <c r="I1054" s="43">
        <v>0.66804721125508371</v>
      </c>
      <c r="J1054" s="43">
        <v>1.8561288135792213E-2</v>
      </c>
      <c r="K1054" s="43"/>
      <c r="L1054" s="43">
        <v>0.24959999999999999</v>
      </c>
      <c r="O1054" s="50"/>
    </row>
    <row r="1055" spans="2:15" x14ac:dyDescent="0.2">
      <c r="B1055">
        <v>1040</v>
      </c>
      <c r="C1055" s="48">
        <f t="shared" ca="1" si="68"/>
        <v>-1.0792482504089842</v>
      </c>
      <c r="D1055" s="48">
        <f t="shared" ca="1" si="65"/>
        <v>0.59743356708401218</v>
      </c>
      <c r="E1055" s="48">
        <f t="shared" ca="1" si="66"/>
        <v>0</v>
      </c>
      <c r="F1055" s="17">
        <f t="shared" ca="1" si="67"/>
        <v>0</v>
      </c>
      <c r="H1055" s="17">
        <v>1040</v>
      </c>
      <c r="I1055" s="43">
        <v>0.66902219227767923</v>
      </c>
      <c r="J1055" s="43">
        <v>1.9647441500354811E-2</v>
      </c>
      <c r="K1055" s="43"/>
      <c r="L1055" s="43">
        <v>0.25359999999999999</v>
      </c>
      <c r="O1055" s="50"/>
    </row>
    <row r="1056" spans="2:15" x14ac:dyDescent="0.2">
      <c r="B1056">
        <v>1041</v>
      </c>
      <c r="C1056" s="48">
        <f t="shared" ca="1" si="68"/>
        <v>0.10523829613402544</v>
      </c>
      <c r="D1056" s="48">
        <f t="shared" ca="1" si="65"/>
        <v>0.67143594761747982</v>
      </c>
      <c r="E1056" s="48">
        <f t="shared" ca="1" si="66"/>
        <v>0</v>
      </c>
      <c r="F1056" s="17">
        <f t="shared" ca="1" si="67"/>
        <v>0</v>
      </c>
      <c r="H1056" s="17">
        <v>1041</v>
      </c>
      <c r="I1056" s="43">
        <v>0.66860260800943427</v>
      </c>
      <c r="J1056" s="43">
        <v>1.8975111132597762E-2</v>
      </c>
      <c r="K1056" s="43"/>
      <c r="L1056" s="43">
        <v>0.25059999999999999</v>
      </c>
      <c r="O1056" s="50"/>
    </row>
    <row r="1057" spans="2:15" x14ac:dyDescent="0.2">
      <c r="B1057">
        <v>1042</v>
      </c>
      <c r="C1057" s="48">
        <f t="shared" ca="1" si="68"/>
        <v>-0.93199959722800729</v>
      </c>
      <c r="D1057" s="48">
        <f t="shared" ca="1" si="65"/>
        <v>0.6061696909662655</v>
      </c>
      <c r="E1057" s="48">
        <f t="shared" ca="1" si="66"/>
        <v>0</v>
      </c>
      <c r="F1057" s="17">
        <f t="shared" ca="1" si="67"/>
        <v>0</v>
      </c>
      <c r="H1057" s="17">
        <v>1042</v>
      </c>
      <c r="I1057" s="43">
        <v>0.66805720947614977</v>
      </c>
      <c r="J1057" s="43">
        <v>1.8641196674165712E-2</v>
      </c>
      <c r="K1057" s="43"/>
      <c r="L1057" s="43">
        <v>0.246</v>
      </c>
      <c r="O1057" s="50"/>
    </row>
    <row r="1058" spans="2:15" x14ac:dyDescent="0.2">
      <c r="B1058">
        <v>1043</v>
      </c>
      <c r="C1058" s="48">
        <f t="shared" ca="1" si="68"/>
        <v>-1.1683967281425776</v>
      </c>
      <c r="D1058" s="48">
        <f t="shared" ca="1" si="65"/>
        <v>0.59220577652988349</v>
      </c>
      <c r="E1058" s="48">
        <f t="shared" ca="1" si="66"/>
        <v>0</v>
      </c>
      <c r="F1058" s="17">
        <f t="shared" ca="1" si="67"/>
        <v>0</v>
      </c>
      <c r="H1058" s="17">
        <v>1043</v>
      </c>
      <c r="I1058" s="43">
        <v>0.66995431367021752</v>
      </c>
      <c r="J1058" s="43">
        <v>2.0094680192688646E-2</v>
      </c>
      <c r="K1058" s="43"/>
      <c r="L1058" s="43">
        <v>0.25359999999999999</v>
      </c>
      <c r="O1058" s="50"/>
    </row>
    <row r="1059" spans="2:15" x14ac:dyDescent="0.2">
      <c r="B1059">
        <v>1044</v>
      </c>
      <c r="C1059" s="48">
        <f t="shared" ca="1" si="68"/>
        <v>-1.251267435050192</v>
      </c>
      <c r="D1059" s="48">
        <f t="shared" ca="1" si="65"/>
        <v>0.58738715834401256</v>
      </c>
      <c r="E1059" s="48">
        <f t="shared" ca="1" si="66"/>
        <v>0</v>
      </c>
      <c r="F1059" s="17">
        <f t="shared" ca="1" si="67"/>
        <v>0</v>
      </c>
      <c r="H1059" s="17">
        <v>1044</v>
      </c>
      <c r="I1059" s="43">
        <v>0.66954013448699101</v>
      </c>
      <c r="J1059" s="43">
        <v>1.9841082425600547E-2</v>
      </c>
      <c r="K1059" s="43"/>
      <c r="L1059" s="43">
        <v>0.254</v>
      </c>
      <c r="O1059" s="50"/>
    </row>
    <row r="1060" spans="2:15" x14ac:dyDescent="0.2">
      <c r="B1060">
        <v>1045</v>
      </c>
      <c r="C1060" s="48">
        <f t="shared" ca="1" si="68"/>
        <v>0.3382368398646316</v>
      </c>
      <c r="D1060" s="48">
        <f t="shared" ca="1" si="65"/>
        <v>0.68703783348154013</v>
      </c>
      <c r="E1060" s="48">
        <f t="shared" ca="1" si="66"/>
        <v>0</v>
      </c>
      <c r="F1060" s="17">
        <f t="shared" ca="1" si="67"/>
        <v>0</v>
      </c>
      <c r="H1060" s="17">
        <v>1045</v>
      </c>
      <c r="I1060" s="43">
        <v>0.67025785654330872</v>
      </c>
      <c r="J1060" s="43">
        <v>2.0027415520203984E-2</v>
      </c>
      <c r="K1060" s="43"/>
      <c r="L1060" s="43">
        <v>0.247</v>
      </c>
      <c r="O1060" s="50"/>
    </row>
    <row r="1061" spans="2:15" x14ac:dyDescent="0.2">
      <c r="B1061">
        <v>1046</v>
      </c>
      <c r="C1061" s="48">
        <f t="shared" ca="1" si="68"/>
        <v>-0.69316708166245933</v>
      </c>
      <c r="D1061" s="48">
        <f t="shared" ca="1" si="65"/>
        <v>0.62061185751742443</v>
      </c>
      <c r="E1061" s="48">
        <f t="shared" ca="1" si="66"/>
        <v>0</v>
      </c>
      <c r="F1061" s="17">
        <f t="shared" ca="1" si="67"/>
        <v>0</v>
      </c>
      <c r="H1061" s="17">
        <v>1046</v>
      </c>
      <c r="I1061" s="43">
        <v>0.66819188207557256</v>
      </c>
      <c r="J1061" s="43">
        <v>1.8904423106608944E-2</v>
      </c>
      <c r="K1061" s="43"/>
      <c r="L1061" s="43">
        <v>0.24959999999999999</v>
      </c>
      <c r="O1061" s="50"/>
    </row>
    <row r="1062" spans="2:15" x14ac:dyDescent="0.2">
      <c r="B1062">
        <v>1047</v>
      </c>
      <c r="C1062" s="48">
        <f t="shared" ca="1" si="68"/>
        <v>-0.15305805207954909</v>
      </c>
      <c r="D1062" s="48">
        <f t="shared" ca="1" si="65"/>
        <v>0.65455383852510718</v>
      </c>
      <c r="E1062" s="48">
        <f t="shared" ca="1" si="66"/>
        <v>0</v>
      </c>
      <c r="F1062" s="17">
        <f t="shared" ca="1" si="67"/>
        <v>0</v>
      </c>
      <c r="H1062" s="17">
        <v>1047</v>
      </c>
      <c r="I1062" s="43">
        <v>0.66842760265885726</v>
      </c>
      <c r="J1062" s="43">
        <v>1.9094963546074421E-2</v>
      </c>
      <c r="K1062" s="43"/>
      <c r="L1062" s="43">
        <v>0.24399999999999999</v>
      </c>
      <c r="O1062" s="50"/>
    </row>
    <row r="1063" spans="2:15" x14ac:dyDescent="0.2">
      <c r="B1063">
        <v>1048</v>
      </c>
      <c r="C1063" s="48">
        <f t="shared" ca="1" si="68"/>
        <v>-0.89322395302462299</v>
      </c>
      <c r="D1063" s="48">
        <f t="shared" ca="1" si="65"/>
        <v>0.60849138685894855</v>
      </c>
      <c r="E1063" s="48">
        <f t="shared" ca="1" si="66"/>
        <v>0</v>
      </c>
      <c r="F1063" s="17">
        <f t="shared" ca="1" si="67"/>
        <v>0</v>
      </c>
      <c r="H1063" s="17">
        <v>1048</v>
      </c>
      <c r="I1063" s="43">
        <v>0.67094017321636423</v>
      </c>
      <c r="J1063" s="43">
        <v>2.0780395911987902E-2</v>
      </c>
      <c r="K1063" s="43"/>
      <c r="L1063" s="43">
        <v>0.2626</v>
      </c>
      <c r="O1063" s="50"/>
    </row>
    <row r="1064" spans="2:15" x14ac:dyDescent="0.2">
      <c r="B1064">
        <v>1049</v>
      </c>
      <c r="C1064" s="48">
        <f t="shared" ca="1" si="68"/>
        <v>-0.11705827738308554</v>
      </c>
      <c r="D1064" s="48">
        <f t="shared" ca="1" si="65"/>
        <v>0.65688106038887406</v>
      </c>
      <c r="E1064" s="48">
        <f t="shared" ca="1" si="66"/>
        <v>0</v>
      </c>
      <c r="F1064" s="17">
        <f t="shared" ca="1" si="67"/>
        <v>0</v>
      </c>
      <c r="H1064" s="17">
        <v>1049</v>
      </c>
      <c r="I1064" s="43">
        <v>0.66935554300332023</v>
      </c>
      <c r="J1064" s="43">
        <v>1.9601728282456207E-2</v>
      </c>
      <c r="K1064" s="43"/>
      <c r="L1064" s="43">
        <v>0.24560000000000001</v>
      </c>
      <c r="O1064" s="50"/>
    </row>
    <row r="1065" spans="2:15" x14ac:dyDescent="0.2">
      <c r="B1065">
        <v>1050</v>
      </c>
      <c r="C1065" s="48">
        <f t="shared" ca="1" si="68"/>
        <v>0.63319943942804091</v>
      </c>
      <c r="D1065" s="48">
        <f t="shared" ca="1" si="65"/>
        <v>0.70730995432291099</v>
      </c>
      <c r="E1065" s="48">
        <f t="shared" ca="1" si="66"/>
        <v>0</v>
      </c>
      <c r="F1065" s="17">
        <f t="shared" ca="1" si="67"/>
        <v>0</v>
      </c>
      <c r="H1065" s="17">
        <v>1050</v>
      </c>
      <c r="I1065" s="43">
        <v>0.66931280094236523</v>
      </c>
      <c r="J1065" s="43">
        <v>1.9520561687095015E-2</v>
      </c>
      <c r="K1065" s="43"/>
      <c r="L1065" s="43">
        <v>0.246</v>
      </c>
      <c r="O1065" s="50"/>
    </row>
    <row r="1066" spans="2:15" x14ac:dyDescent="0.2">
      <c r="B1066">
        <v>1051</v>
      </c>
      <c r="C1066" s="48">
        <f t="shared" ca="1" si="68"/>
        <v>-0.82365580585012432</v>
      </c>
      <c r="D1066" s="48">
        <f t="shared" ca="1" si="65"/>
        <v>0.61267909839649692</v>
      </c>
      <c r="E1066" s="48">
        <f t="shared" ca="1" si="66"/>
        <v>0</v>
      </c>
      <c r="F1066" s="17">
        <f t="shared" ca="1" si="67"/>
        <v>0</v>
      </c>
      <c r="H1066" s="17">
        <v>1051</v>
      </c>
      <c r="I1066" s="43">
        <v>0.66860487315859363</v>
      </c>
      <c r="J1066" s="43">
        <v>1.8965188722259638E-2</v>
      </c>
      <c r="K1066" s="43"/>
      <c r="L1066" s="43">
        <v>0.2442</v>
      </c>
      <c r="O1066" s="50"/>
    </row>
    <row r="1067" spans="2:15" x14ac:dyDescent="0.2">
      <c r="B1067">
        <v>1052</v>
      </c>
      <c r="C1067" s="48">
        <f t="shared" ca="1" si="68"/>
        <v>1.3365563122353645</v>
      </c>
      <c r="D1067" s="48">
        <f t="shared" ca="1" si="65"/>
        <v>0.75809685312571129</v>
      </c>
      <c r="E1067" s="48">
        <f t="shared" ca="1" si="66"/>
        <v>0</v>
      </c>
      <c r="F1067" s="17">
        <f t="shared" ca="1" si="67"/>
        <v>0</v>
      </c>
      <c r="H1067" s="17">
        <v>1052</v>
      </c>
      <c r="I1067" s="43">
        <v>0.66893473260199521</v>
      </c>
      <c r="J1067" s="43">
        <v>1.9316812591342405E-2</v>
      </c>
      <c r="K1067" s="43"/>
      <c r="L1067" s="43">
        <v>0.24560000000000001</v>
      </c>
      <c r="O1067" s="50"/>
    </row>
    <row r="1068" spans="2:15" x14ac:dyDescent="0.2">
      <c r="B1068">
        <v>1053</v>
      </c>
      <c r="C1068" s="48">
        <f t="shared" ca="1" si="68"/>
        <v>-0.39715339994468923</v>
      </c>
      <c r="D1068" s="48">
        <f t="shared" ca="1" si="65"/>
        <v>0.63899018751591807</v>
      </c>
      <c r="E1068" s="48">
        <f t="shared" ca="1" si="66"/>
        <v>0</v>
      </c>
      <c r="F1068" s="17">
        <f t="shared" ca="1" si="67"/>
        <v>0</v>
      </c>
      <c r="H1068" s="17">
        <v>1053</v>
      </c>
      <c r="I1068" s="43">
        <v>0.66836526528865647</v>
      </c>
      <c r="J1068" s="43">
        <v>1.892626278326591E-2</v>
      </c>
      <c r="K1068" s="43"/>
      <c r="L1068" s="43">
        <v>0.2492</v>
      </c>
      <c r="O1068" s="50"/>
    </row>
    <row r="1069" spans="2:15" x14ac:dyDescent="0.2">
      <c r="B1069">
        <v>1054</v>
      </c>
      <c r="C1069" s="48">
        <f t="shared" ca="1" si="68"/>
        <v>-0.82286703085367874</v>
      </c>
      <c r="D1069" s="48">
        <f t="shared" ca="1" si="65"/>
        <v>0.612726744216606</v>
      </c>
      <c r="E1069" s="48">
        <f t="shared" ca="1" si="66"/>
        <v>0</v>
      </c>
      <c r="F1069" s="17">
        <f t="shared" ca="1" si="67"/>
        <v>0</v>
      </c>
      <c r="H1069" s="17">
        <v>1054</v>
      </c>
      <c r="I1069" s="43">
        <v>0.66873955920975836</v>
      </c>
      <c r="J1069" s="43">
        <v>1.9076704063484703E-2</v>
      </c>
      <c r="K1069" s="43"/>
      <c r="L1069" s="43">
        <v>0.24879999999999999</v>
      </c>
      <c r="O1069" s="50"/>
    </row>
    <row r="1070" spans="2:15" x14ac:dyDescent="0.2">
      <c r="B1070">
        <v>1055</v>
      </c>
      <c r="C1070" s="48">
        <f t="shared" ca="1" si="68"/>
        <v>0.83375208309241955</v>
      </c>
      <c r="D1070" s="48">
        <f t="shared" ca="1" si="65"/>
        <v>0.72143404140062484</v>
      </c>
      <c r="E1070" s="48">
        <f t="shared" ca="1" si="66"/>
        <v>0</v>
      </c>
      <c r="F1070" s="17">
        <f t="shared" ca="1" si="67"/>
        <v>0</v>
      </c>
      <c r="H1070" s="17">
        <v>1055</v>
      </c>
      <c r="I1070" s="43">
        <v>0.66846439631544952</v>
      </c>
      <c r="J1070" s="43">
        <v>1.9171168144373443E-2</v>
      </c>
      <c r="K1070" s="43"/>
      <c r="L1070" s="43">
        <v>0.25380000000000003</v>
      </c>
      <c r="O1070" s="50"/>
    </row>
    <row r="1071" spans="2:15" x14ac:dyDescent="0.2">
      <c r="B1071">
        <v>1056</v>
      </c>
      <c r="C1071" s="48">
        <f t="shared" ca="1" si="68"/>
        <v>0.38441840368066438</v>
      </c>
      <c r="D1071" s="48">
        <f t="shared" ca="1" si="65"/>
        <v>0.69017299585794445</v>
      </c>
      <c r="E1071" s="48">
        <f t="shared" ca="1" si="66"/>
        <v>0</v>
      </c>
      <c r="F1071" s="17">
        <f t="shared" ca="1" si="67"/>
        <v>0</v>
      </c>
      <c r="H1071" s="17">
        <v>1056</v>
      </c>
      <c r="I1071" s="43">
        <v>0.66907581061900256</v>
      </c>
      <c r="J1071" s="43">
        <v>1.9470989241522112E-2</v>
      </c>
      <c r="K1071" s="43"/>
      <c r="L1071" s="43">
        <v>0.25159999999999999</v>
      </c>
      <c r="O1071" s="50"/>
    </row>
    <row r="1072" spans="2:15" x14ac:dyDescent="0.2">
      <c r="B1072">
        <v>1057</v>
      </c>
      <c r="C1072" s="48">
        <f t="shared" ca="1" si="68"/>
        <v>-0.19335414441433679</v>
      </c>
      <c r="D1072" s="48">
        <f t="shared" ca="1" si="65"/>
        <v>0.65195865751553583</v>
      </c>
      <c r="E1072" s="48">
        <f t="shared" ca="1" si="66"/>
        <v>0</v>
      </c>
      <c r="F1072" s="17">
        <f t="shared" ca="1" si="67"/>
        <v>0</v>
      </c>
      <c r="H1072" s="17">
        <v>1057</v>
      </c>
      <c r="I1072" s="43">
        <v>0.67005857500684696</v>
      </c>
      <c r="J1072" s="43">
        <v>1.9967093992155533E-2</v>
      </c>
      <c r="K1072" s="43"/>
      <c r="L1072" s="43">
        <v>0.25700000000000001</v>
      </c>
      <c r="O1072" s="50"/>
    </row>
    <row r="1073" spans="2:15" x14ac:dyDescent="0.2">
      <c r="B1073">
        <v>1058</v>
      </c>
      <c r="C1073" s="48">
        <f t="shared" ca="1" si="68"/>
        <v>0.77088885993161604</v>
      </c>
      <c r="D1073" s="48">
        <f t="shared" ca="1" si="65"/>
        <v>0.71697676141276501</v>
      </c>
      <c r="E1073" s="48">
        <f t="shared" ca="1" si="66"/>
        <v>0</v>
      </c>
      <c r="F1073" s="17">
        <f t="shared" ca="1" si="67"/>
        <v>0</v>
      </c>
      <c r="H1073" s="17">
        <v>1058</v>
      </c>
      <c r="I1073" s="43">
        <v>0.66943791387540041</v>
      </c>
      <c r="J1073" s="43">
        <v>1.9674559981688714E-2</v>
      </c>
      <c r="K1073" s="43"/>
      <c r="L1073" s="43">
        <v>0.2606</v>
      </c>
      <c r="O1073" s="50"/>
    </row>
    <row r="1074" spans="2:15" x14ac:dyDescent="0.2">
      <c r="B1074">
        <v>1059</v>
      </c>
      <c r="C1074" s="48">
        <f t="shared" ca="1" si="68"/>
        <v>1.2221561782064216</v>
      </c>
      <c r="D1074" s="48">
        <f t="shared" ca="1" si="65"/>
        <v>0.7495947538495803</v>
      </c>
      <c r="E1074" s="48">
        <f t="shared" ca="1" si="66"/>
        <v>0</v>
      </c>
      <c r="F1074" s="17">
        <f t="shared" ca="1" si="67"/>
        <v>0</v>
      </c>
      <c r="H1074" s="17">
        <v>1059</v>
      </c>
      <c r="I1074" s="43">
        <v>0.67006434971019113</v>
      </c>
      <c r="J1074" s="43">
        <v>2.0160200262348219E-2</v>
      </c>
      <c r="K1074" s="43"/>
      <c r="L1074" s="43">
        <v>0.25340000000000001</v>
      </c>
      <c r="O1074" s="50"/>
    </row>
    <row r="1075" spans="2:15" x14ac:dyDescent="0.2">
      <c r="B1075">
        <v>1060</v>
      </c>
      <c r="C1075" s="48">
        <f t="shared" ca="1" si="68"/>
        <v>1.8600967578826679</v>
      </c>
      <c r="D1075" s="48">
        <f t="shared" ca="1" si="65"/>
        <v>0.79825307191269179</v>
      </c>
      <c r="E1075" s="48">
        <f t="shared" ca="1" si="66"/>
        <v>1.005307191269178E-2</v>
      </c>
      <c r="F1075" s="17">
        <f t="shared" ca="1" si="67"/>
        <v>1</v>
      </c>
      <c r="H1075" s="17">
        <v>1060</v>
      </c>
      <c r="I1075" s="43">
        <v>0.66865650595887594</v>
      </c>
      <c r="J1075" s="43">
        <v>1.9128971318117974E-2</v>
      </c>
      <c r="K1075" s="43"/>
      <c r="L1075" s="43">
        <v>0.252</v>
      </c>
      <c r="O1075" s="50"/>
    </row>
    <row r="1076" spans="2:15" x14ac:dyDescent="0.2">
      <c r="B1076">
        <v>1061</v>
      </c>
      <c r="C1076" s="48">
        <f t="shared" ca="1" si="68"/>
        <v>-0.73447458949572153</v>
      </c>
      <c r="D1076" s="48">
        <f t="shared" ca="1" si="65"/>
        <v>0.61808961540506013</v>
      </c>
      <c r="E1076" s="48">
        <f t="shared" ca="1" si="66"/>
        <v>0</v>
      </c>
      <c r="F1076" s="17">
        <f t="shared" ca="1" si="67"/>
        <v>0</v>
      </c>
      <c r="H1076" s="17">
        <v>1061</v>
      </c>
      <c r="I1076" s="43">
        <v>0.66940196344196845</v>
      </c>
      <c r="J1076" s="43">
        <v>1.9580320514503754E-2</v>
      </c>
      <c r="K1076" s="43"/>
      <c r="L1076" s="43">
        <v>0.25480000000000003</v>
      </c>
      <c r="O1076" s="50"/>
    </row>
    <row r="1077" spans="2:15" x14ac:dyDescent="0.2">
      <c r="B1077">
        <v>1062</v>
      </c>
      <c r="C1077" s="48">
        <f t="shared" ca="1" si="68"/>
        <v>0.38280539821138293</v>
      </c>
      <c r="D1077" s="48">
        <f t="shared" ca="1" si="65"/>
        <v>0.69006325180562311</v>
      </c>
      <c r="E1077" s="48">
        <f t="shared" ca="1" si="66"/>
        <v>0</v>
      </c>
      <c r="F1077" s="17">
        <f t="shared" ca="1" si="67"/>
        <v>0</v>
      </c>
      <c r="H1077" s="17">
        <v>1062</v>
      </c>
      <c r="I1077" s="43">
        <v>0.66982014095428266</v>
      </c>
      <c r="J1077" s="43">
        <v>2.0108842336264459E-2</v>
      </c>
      <c r="K1077" s="43"/>
      <c r="L1077" s="43">
        <v>0.24979999999999999</v>
      </c>
      <c r="O1077" s="50"/>
    </row>
    <row r="1078" spans="2:15" x14ac:dyDescent="0.2">
      <c r="B1078">
        <v>1063</v>
      </c>
      <c r="C1078" s="48">
        <f t="shared" ca="1" si="68"/>
        <v>-0.25089319880180616</v>
      </c>
      <c r="D1078" s="48">
        <f t="shared" ca="1" si="65"/>
        <v>0.64827080721125341</v>
      </c>
      <c r="E1078" s="48">
        <f t="shared" ca="1" si="66"/>
        <v>0</v>
      </c>
      <c r="F1078" s="17">
        <f t="shared" ca="1" si="67"/>
        <v>0</v>
      </c>
      <c r="H1078" s="17">
        <v>1063</v>
      </c>
      <c r="I1078" s="43">
        <v>0.67034547623995522</v>
      </c>
      <c r="J1078" s="43">
        <v>2.0353515427520088E-2</v>
      </c>
      <c r="K1078" s="43"/>
      <c r="L1078" s="43">
        <v>0.25779999999999997</v>
      </c>
      <c r="O1078" s="50"/>
    </row>
    <row r="1079" spans="2:15" x14ac:dyDescent="0.2">
      <c r="B1079">
        <v>1064</v>
      </c>
      <c r="C1079" s="48">
        <f t="shared" ca="1" si="68"/>
        <v>-1.8330071043321912</v>
      </c>
      <c r="D1079" s="48">
        <f t="shared" ca="1" si="65"/>
        <v>0.5546470217805759</v>
      </c>
      <c r="E1079" s="48">
        <f t="shared" ca="1" si="66"/>
        <v>0</v>
      </c>
      <c r="F1079" s="17">
        <f t="shared" ca="1" si="67"/>
        <v>0</v>
      </c>
      <c r="H1079" s="17">
        <v>1064</v>
      </c>
      <c r="I1079" s="43">
        <v>0.66924038385197049</v>
      </c>
      <c r="J1079" s="43">
        <v>1.9543803945929965E-2</v>
      </c>
      <c r="K1079" s="43"/>
      <c r="L1079" s="43">
        <v>0.24879999999999999</v>
      </c>
      <c r="O1079" s="50"/>
    </row>
    <row r="1080" spans="2:15" x14ac:dyDescent="0.2">
      <c r="B1080">
        <v>1065</v>
      </c>
      <c r="C1080" s="48">
        <f t="shared" ca="1" si="68"/>
        <v>0.72685759529512517</v>
      </c>
      <c r="D1080" s="48">
        <f t="shared" ca="1" si="65"/>
        <v>0.71387116026116637</v>
      </c>
      <c r="E1080" s="48">
        <f t="shared" ca="1" si="66"/>
        <v>0</v>
      </c>
      <c r="F1080" s="17">
        <f t="shared" ca="1" si="67"/>
        <v>0</v>
      </c>
      <c r="H1080" s="17">
        <v>1065</v>
      </c>
      <c r="I1080" s="43">
        <v>0.6673575788246805</v>
      </c>
      <c r="J1080" s="43">
        <v>1.8119995820709535E-2</v>
      </c>
      <c r="K1080" s="43"/>
      <c r="L1080" s="43">
        <v>0.24179999999999999</v>
      </c>
      <c r="O1080" s="50"/>
    </row>
    <row r="1081" spans="2:15" x14ac:dyDescent="0.2">
      <c r="B1081">
        <v>1066</v>
      </c>
      <c r="C1081" s="48">
        <f t="shared" ca="1" si="68"/>
        <v>1.1316586273294755</v>
      </c>
      <c r="D1081" s="48">
        <f t="shared" ca="1" si="65"/>
        <v>0.7429366716252801</v>
      </c>
      <c r="E1081" s="48">
        <f t="shared" ca="1" si="66"/>
        <v>0</v>
      </c>
      <c r="F1081" s="17">
        <f t="shared" ca="1" si="67"/>
        <v>0</v>
      </c>
      <c r="H1081" s="17">
        <v>1066</v>
      </c>
      <c r="I1081" s="43">
        <v>0.66881170445172888</v>
      </c>
      <c r="J1081" s="43">
        <v>1.9025893769139626E-2</v>
      </c>
      <c r="K1081" s="43"/>
      <c r="L1081" s="43">
        <v>0.24640000000000001</v>
      </c>
      <c r="O1081" s="50"/>
    </row>
    <row r="1082" spans="2:15" x14ac:dyDescent="0.2">
      <c r="B1082">
        <v>1067</v>
      </c>
      <c r="C1082" s="48">
        <f t="shared" ca="1" si="68"/>
        <v>2.3671362511695708</v>
      </c>
      <c r="D1082" s="48">
        <f t="shared" ca="1" si="65"/>
        <v>0.83917009439661394</v>
      </c>
      <c r="E1082" s="48">
        <f t="shared" ca="1" si="66"/>
        <v>5.097009439661393E-2</v>
      </c>
      <c r="F1082" s="17">
        <f t="shared" ca="1" si="67"/>
        <v>1</v>
      </c>
      <c r="H1082" s="17">
        <v>1067</v>
      </c>
      <c r="I1082" s="43">
        <v>0.66860527178806917</v>
      </c>
      <c r="J1082" s="43">
        <v>1.8849541629906135E-2</v>
      </c>
      <c r="K1082" s="43"/>
      <c r="L1082" s="43">
        <v>0.25180000000000002</v>
      </c>
      <c r="O1082" s="50"/>
    </row>
    <row r="1083" spans="2:15" x14ac:dyDescent="0.2">
      <c r="B1083">
        <v>1068</v>
      </c>
      <c r="C1083" s="48">
        <f t="shared" ca="1" si="68"/>
        <v>-1.2548251659067513</v>
      </c>
      <c r="D1083" s="48">
        <f t="shared" ca="1" si="65"/>
        <v>0.58718116978621349</v>
      </c>
      <c r="E1083" s="48">
        <f t="shared" ca="1" si="66"/>
        <v>0</v>
      </c>
      <c r="F1083" s="17">
        <f t="shared" ca="1" si="67"/>
        <v>0</v>
      </c>
      <c r="H1083" s="17">
        <v>1068</v>
      </c>
      <c r="I1083" s="43">
        <v>0.6683985655450061</v>
      </c>
      <c r="J1083" s="43">
        <v>1.8970309106012335E-2</v>
      </c>
      <c r="K1083" s="43"/>
      <c r="L1083" s="43">
        <v>0.24859999999999999</v>
      </c>
      <c r="O1083" s="50"/>
    </row>
    <row r="1084" spans="2:15" x14ac:dyDescent="0.2">
      <c r="B1084">
        <v>1069</v>
      </c>
      <c r="C1084" s="48">
        <f t="shared" ca="1" si="68"/>
        <v>0.52969063527416693</v>
      </c>
      <c r="D1084" s="48">
        <f t="shared" ca="1" si="65"/>
        <v>0.70012879189291044</v>
      </c>
      <c r="E1084" s="48">
        <f t="shared" ca="1" si="66"/>
        <v>0</v>
      </c>
      <c r="F1084" s="17">
        <f t="shared" ca="1" si="67"/>
        <v>0</v>
      </c>
      <c r="H1084" s="17">
        <v>1069</v>
      </c>
      <c r="I1084" s="43">
        <v>0.66931823739142804</v>
      </c>
      <c r="J1084" s="43">
        <v>1.9437615759663365E-2</v>
      </c>
      <c r="K1084" s="43"/>
      <c r="L1084" s="43">
        <v>0.25040000000000001</v>
      </c>
      <c r="O1084" s="50"/>
    </row>
    <row r="1085" spans="2:15" x14ac:dyDescent="0.2">
      <c r="B1085">
        <v>1070</v>
      </c>
      <c r="C1085" s="48">
        <f t="shared" ca="1" si="68"/>
        <v>0.45722684108174133</v>
      </c>
      <c r="D1085" s="48">
        <f t="shared" ca="1" si="65"/>
        <v>0.69514488010361897</v>
      </c>
      <c r="E1085" s="48">
        <f t="shared" ca="1" si="66"/>
        <v>0</v>
      </c>
      <c r="F1085" s="17">
        <f t="shared" ca="1" si="67"/>
        <v>0</v>
      </c>
      <c r="H1085" s="17">
        <v>1070</v>
      </c>
      <c r="I1085" s="43">
        <v>0.66844324793433274</v>
      </c>
      <c r="J1085" s="43">
        <v>1.8746581220215448E-2</v>
      </c>
      <c r="K1085" s="43"/>
      <c r="L1085" s="43">
        <v>0.24260000000000001</v>
      </c>
      <c r="O1085" s="50"/>
    </row>
    <row r="1086" spans="2:15" x14ac:dyDescent="0.2">
      <c r="B1086">
        <v>1071</v>
      </c>
      <c r="C1086" s="48">
        <f t="shared" ca="1" si="68"/>
        <v>-0.10909249598289623</v>
      </c>
      <c r="D1086" s="48">
        <f t="shared" ca="1" si="65"/>
        <v>0.65739712893196633</v>
      </c>
      <c r="E1086" s="48">
        <f t="shared" ca="1" si="66"/>
        <v>0</v>
      </c>
      <c r="F1086" s="17">
        <f t="shared" ca="1" si="67"/>
        <v>0</v>
      </c>
      <c r="H1086" s="17">
        <v>1071</v>
      </c>
      <c r="I1086" s="43">
        <v>0.66838634636697491</v>
      </c>
      <c r="J1086" s="43">
        <v>1.8767890209225459E-2</v>
      </c>
      <c r="K1086" s="43"/>
      <c r="L1086" s="43">
        <v>0.2442</v>
      </c>
      <c r="O1086" s="50"/>
    </row>
    <row r="1087" spans="2:15" x14ac:dyDescent="0.2">
      <c r="B1087">
        <v>1072</v>
      </c>
      <c r="C1087" s="48">
        <f t="shared" ca="1" si="68"/>
        <v>0.3287139698689267</v>
      </c>
      <c r="D1087" s="48">
        <f t="shared" ca="1" si="65"/>
        <v>0.68639312055246793</v>
      </c>
      <c r="E1087" s="48">
        <f t="shared" ca="1" si="66"/>
        <v>0</v>
      </c>
      <c r="F1087" s="17">
        <f t="shared" ca="1" si="67"/>
        <v>0</v>
      </c>
      <c r="H1087" s="17">
        <v>1072</v>
      </c>
      <c r="I1087" s="43">
        <v>0.66855387459444504</v>
      </c>
      <c r="J1087" s="43">
        <v>1.9322046309195758E-2</v>
      </c>
      <c r="K1087" s="43"/>
      <c r="L1087" s="43">
        <v>0.25040000000000001</v>
      </c>
      <c r="O1087" s="50"/>
    </row>
    <row r="1088" spans="2:15" x14ac:dyDescent="0.2">
      <c r="B1088">
        <v>1073</v>
      </c>
      <c r="C1088" s="48">
        <f t="shared" ca="1" si="68"/>
        <v>-1.386986824784932</v>
      </c>
      <c r="D1088" s="48">
        <f t="shared" ca="1" si="65"/>
        <v>0.57958012874942721</v>
      </c>
      <c r="E1088" s="48">
        <f t="shared" ca="1" si="66"/>
        <v>0</v>
      </c>
      <c r="F1088" s="17">
        <f t="shared" ca="1" si="67"/>
        <v>0</v>
      </c>
      <c r="H1088" s="17">
        <v>1073</v>
      </c>
      <c r="I1088" s="43">
        <v>0.66879222607994671</v>
      </c>
      <c r="J1088" s="43">
        <v>1.9279395220346988E-2</v>
      </c>
      <c r="K1088" s="43"/>
      <c r="L1088" s="43">
        <v>0.24759999999999999</v>
      </c>
      <c r="O1088" s="50"/>
    </row>
    <row r="1089" spans="2:15" x14ac:dyDescent="0.2">
      <c r="B1089">
        <v>1074</v>
      </c>
      <c r="C1089" s="48">
        <f t="shared" ca="1" si="68"/>
        <v>-0.50321415004254133</v>
      </c>
      <c r="D1089" s="48">
        <f t="shared" ca="1" si="65"/>
        <v>0.63234354939408532</v>
      </c>
      <c r="E1089" s="48">
        <f t="shared" ca="1" si="66"/>
        <v>0</v>
      </c>
      <c r="F1089" s="17">
        <f t="shared" ca="1" si="67"/>
        <v>0</v>
      </c>
      <c r="H1089" s="17">
        <v>1074</v>
      </c>
      <c r="I1089" s="43">
        <v>0.66900228003225382</v>
      </c>
      <c r="J1089" s="43">
        <v>1.9485374617997223E-2</v>
      </c>
      <c r="K1089" s="43"/>
      <c r="L1089" s="43">
        <v>0.2472</v>
      </c>
      <c r="O1089" s="50"/>
    </row>
    <row r="1090" spans="2:15" x14ac:dyDescent="0.2">
      <c r="B1090">
        <v>1075</v>
      </c>
      <c r="C1090" s="48">
        <f t="shared" ca="1" si="68"/>
        <v>1.0166604330650979</v>
      </c>
      <c r="D1090" s="48">
        <f t="shared" ca="1" si="65"/>
        <v>0.73456128272106691</v>
      </c>
      <c r="E1090" s="48">
        <f t="shared" ca="1" si="66"/>
        <v>0</v>
      </c>
      <c r="F1090" s="17">
        <f t="shared" ca="1" si="67"/>
        <v>0</v>
      </c>
      <c r="H1090" s="17">
        <v>1075</v>
      </c>
      <c r="I1090" s="43">
        <v>0.66937812841386257</v>
      </c>
      <c r="J1090" s="43">
        <v>1.954892913675662E-2</v>
      </c>
      <c r="K1090" s="43"/>
      <c r="L1090" s="43">
        <v>0.25019999999999998</v>
      </c>
      <c r="O1090" s="50"/>
    </row>
    <row r="1091" spans="2:15" x14ac:dyDescent="0.2">
      <c r="B1091">
        <v>1076</v>
      </c>
      <c r="C1091" s="48">
        <f t="shared" ca="1" si="68"/>
        <v>0.92487542766193831</v>
      </c>
      <c r="D1091" s="48">
        <f t="shared" ca="1" si="65"/>
        <v>0.72794432986019564</v>
      </c>
      <c r="E1091" s="48">
        <f t="shared" ca="1" si="66"/>
        <v>0</v>
      </c>
      <c r="F1091" s="17">
        <f t="shared" ca="1" si="67"/>
        <v>0</v>
      </c>
      <c r="H1091" s="17">
        <v>1076</v>
      </c>
      <c r="I1091" s="43">
        <v>0.66907625718912722</v>
      </c>
      <c r="J1091" s="43">
        <v>1.9651463762043742E-2</v>
      </c>
      <c r="K1091" s="43"/>
      <c r="L1091" s="43">
        <v>0.25280000000000002</v>
      </c>
      <c r="O1091" s="50"/>
    </row>
    <row r="1092" spans="2:15" x14ac:dyDescent="0.2">
      <c r="B1092">
        <v>1077</v>
      </c>
      <c r="C1092" s="48">
        <f t="shared" ca="1" si="68"/>
        <v>-0.84705871864351145</v>
      </c>
      <c r="D1092" s="48">
        <f t="shared" ca="1" si="65"/>
        <v>0.61126713386859965</v>
      </c>
      <c r="E1092" s="48">
        <f t="shared" ca="1" si="66"/>
        <v>0</v>
      </c>
      <c r="F1092" s="17">
        <f t="shared" ca="1" si="67"/>
        <v>0</v>
      </c>
      <c r="H1092" s="17">
        <v>1077</v>
      </c>
      <c r="I1092" s="43">
        <v>0.66885673721717653</v>
      </c>
      <c r="J1092" s="43">
        <v>1.9304052117664752E-2</v>
      </c>
      <c r="K1092" s="43"/>
      <c r="L1092" s="43">
        <v>0.25119999999999998</v>
      </c>
      <c r="O1092" s="50"/>
    </row>
    <row r="1093" spans="2:15" x14ac:dyDescent="0.2">
      <c r="B1093">
        <v>1078</v>
      </c>
      <c r="C1093" s="48">
        <f t="shared" ca="1" si="68"/>
        <v>-0.60605906574877866</v>
      </c>
      <c r="D1093" s="48">
        <f t="shared" ca="1" si="65"/>
        <v>0.62596447309981673</v>
      </c>
      <c r="E1093" s="48">
        <f t="shared" ca="1" si="66"/>
        <v>0</v>
      </c>
      <c r="F1093" s="17">
        <f t="shared" ca="1" si="67"/>
        <v>0</v>
      </c>
      <c r="H1093" s="17">
        <v>1078</v>
      </c>
      <c r="I1093" s="43">
        <v>0.66916577769109331</v>
      </c>
      <c r="J1093" s="43">
        <v>1.9398114121357762E-2</v>
      </c>
      <c r="K1093" s="43"/>
      <c r="L1093" s="43">
        <v>0.24859999999999999</v>
      </c>
      <c r="O1093" s="50"/>
    </row>
    <row r="1094" spans="2:15" x14ac:dyDescent="0.2">
      <c r="B1094">
        <v>1079</v>
      </c>
      <c r="C1094" s="48">
        <f t="shared" ca="1" si="68"/>
        <v>-0.40706443432183753</v>
      </c>
      <c r="D1094" s="48">
        <f t="shared" ca="1" si="65"/>
        <v>0.63836613270721065</v>
      </c>
      <c r="E1094" s="48">
        <f t="shared" ca="1" si="66"/>
        <v>0</v>
      </c>
      <c r="F1094" s="17">
        <f t="shared" ca="1" si="67"/>
        <v>0</v>
      </c>
      <c r="H1094" s="17">
        <v>1079</v>
      </c>
      <c r="I1094" s="43">
        <v>0.66897917405601304</v>
      </c>
      <c r="J1094" s="43">
        <v>1.9437972886451677E-2</v>
      </c>
      <c r="K1094" s="43"/>
      <c r="L1094" s="43">
        <v>0.25240000000000001</v>
      </c>
      <c r="O1094" s="50"/>
    </row>
    <row r="1095" spans="2:15" x14ac:dyDescent="0.2">
      <c r="B1095">
        <v>1080</v>
      </c>
      <c r="C1095" s="48">
        <f t="shared" ca="1" si="68"/>
        <v>0.60830184453776981</v>
      </c>
      <c r="D1095" s="48">
        <f t="shared" ca="1" si="65"/>
        <v>0.70557592679234638</v>
      </c>
      <c r="E1095" s="48">
        <f t="shared" ca="1" si="66"/>
        <v>0</v>
      </c>
      <c r="F1095" s="17">
        <f t="shared" ca="1" si="67"/>
        <v>0</v>
      </c>
      <c r="H1095" s="17">
        <v>1080</v>
      </c>
      <c r="I1095" s="43">
        <v>0.66841067447664126</v>
      </c>
      <c r="J1095" s="43">
        <v>1.8923982833209833E-2</v>
      </c>
      <c r="K1095" s="43"/>
      <c r="L1095" s="43">
        <v>0.2412</v>
      </c>
      <c r="O1095" s="50"/>
    </row>
    <row r="1096" spans="2:15" x14ac:dyDescent="0.2">
      <c r="B1096">
        <v>1081</v>
      </c>
      <c r="C1096" s="48">
        <f t="shared" ca="1" si="68"/>
        <v>-0.12841339734281593</v>
      </c>
      <c r="D1096" s="48">
        <f t="shared" ca="1" si="65"/>
        <v>0.6561461115304269</v>
      </c>
      <c r="E1096" s="48">
        <f t="shared" ca="1" si="66"/>
        <v>0</v>
      </c>
      <c r="F1096" s="17">
        <f t="shared" ca="1" si="67"/>
        <v>0</v>
      </c>
      <c r="H1096" s="17">
        <v>1081</v>
      </c>
      <c r="I1096" s="43">
        <v>0.66964012519842642</v>
      </c>
      <c r="J1096" s="43">
        <v>1.998600752186952E-2</v>
      </c>
      <c r="K1096" s="43"/>
      <c r="L1096" s="43">
        <v>0.26279999999999998</v>
      </c>
      <c r="O1096" s="50"/>
    </row>
    <row r="1097" spans="2:15" x14ac:dyDescent="0.2">
      <c r="B1097">
        <v>1082</v>
      </c>
      <c r="C1097" s="48">
        <f t="shared" ca="1" si="68"/>
        <v>-0.1550582741053233</v>
      </c>
      <c r="D1097" s="48">
        <f t="shared" ca="1" si="65"/>
        <v>0.65442477530995002</v>
      </c>
      <c r="E1097" s="48">
        <f t="shared" ca="1" si="66"/>
        <v>0</v>
      </c>
      <c r="F1097" s="17">
        <f t="shared" ca="1" si="67"/>
        <v>0</v>
      </c>
      <c r="H1097" s="17">
        <v>1082</v>
      </c>
      <c r="I1097" s="43">
        <v>0.66867937416688472</v>
      </c>
      <c r="J1097" s="43">
        <v>1.922484320413775E-2</v>
      </c>
      <c r="K1097" s="43"/>
      <c r="L1097" s="43">
        <v>0.24979999999999999</v>
      </c>
      <c r="O1097" s="50"/>
    </row>
    <row r="1098" spans="2:15" x14ac:dyDescent="0.2">
      <c r="B1098">
        <v>1083</v>
      </c>
      <c r="C1098" s="48">
        <f t="shared" ca="1" si="68"/>
        <v>-1.3927283240350936</v>
      </c>
      <c r="D1098" s="48">
        <f t="shared" ca="1" si="65"/>
        <v>0.57925215611236403</v>
      </c>
      <c r="E1098" s="48">
        <f t="shared" ca="1" si="66"/>
        <v>0</v>
      </c>
      <c r="F1098" s="17">
        <f t="shared" ca="1" si="67"/>
        <v>0</v>
      </c>
      <c r="H1098" s="17">
        <v>1083</v>
      </c>
      <c r="I1098" s="43">
        <v>0.66996062429630954</v>
      </c>
      <c r="J1098" s="43">
        <v>2.0068865701802791E-2</v>
      </c>
      <c r="K1098" s="43"/>
      <c r="L1098" s="43">
        <v>0.25440000000000002</v>
      </c>
      <c r="O1098" s="50"/>
    </row>
    <row r="1099" spans="2:15" x14ac:dyDescent="0.2">
      <c r="B1099">
        <v>1084</v>
      </c>
      <c r="C1099" s="48">
        <f t="shared" ca="1" si="68"/>
        <v>-1.0695502494038791</v>
      </c>
      <c r="D1099" s="48">
        <f t="shared" ca="1" si="65"/>
        <v>0.59800504729532811</v>
      </c>
      <c r="E1099" s="48">
        <f t="shared" ca="1" si="66"/>
        <v>0</v>
      </c>
      <c r="F1099" s="17">
        <f t="shared" ca="1" si="67"/>
        <v>0</v>
      </c>
      <c r="H1099" s="17">
        <v>1084</v>
      </c>
      <c r="I1099" s="43">
        <v>0.66933261111994513</v>
      </c>
      <c r="J1099" s="43">
        <v>1.9738160688989561E-2</v>
      </c>
      <c r="K1099" s="43"/>
      <c r="L1099" s="43">
        <v>0.25059999999999999</v>
      </c>
      <c r="O1099" s="50"/>
    </row>
    <row r="1100" spans="2:15" x14ac:dyDescent="0.2">
      <c r="B1100">
        <v>1085</v>
      </c>
      <c r="C1100" s="48">
        <f t="shared" ca="1" si="68"/>
        <v>0.59424813384267827</v>
      </c>
      <c r="D1100" s="48">
        <f t="shared" ca="1" si="65"/>
        <v>0.70459901431300487</v>
      </c>
      <c r="E1100" s="48">
        <f t="shared" ca="1" si="66"/>
        <v>0</v>
      </c>
      <c r="F1100" s="17">
        <f t="shared" ca="1" si="67"/>
        <v>0</v>
      </c>
      <c r="H1100" s="17">
        <v>1085</v>
      </c>
      <c r="I1100" s="43">
        <v>0.66871034330658508</v>
      </c>
      <c r="J1100" s="43">
        <v>1.9424254758011E-2</v>
      </c>
      <c r="K1100" s="43"/>
      <c r="L1100" s="43">
        <v>0.25459999999999999</v>
      </c>
      <c r="O1100" s="50"/>
    </row>
    <row r="1101" spans="2:15" x14ac:dyDescent="0.2">
      <c r="B1101">
        <v>1086</v>
      </c>
      <c r="C1101" s="48">
        <f t="shared" ca="1" si="68"/>
        <v>-0.84459968303980582</v>
      </c>
      <c r="D1101" s="48">
        <f t="shared" ca="1" si="65"/>
        <v>0.61141534138413123</v>
      </c>
      <c r="E1101" s="48">
        <f t="shared" ca="1" si="66"/>
        <v>0</v>
      </c>
      <c r="F1101" s="17">
        <f t="shared" ca="1" si="67"/>
        <v>0</v>
      </c>
      <c r="H1101" s="17">
        <v>1086</v>
      </c>
      <c r="I1101" s="43">
        <v>0.66868245562735429</v>
      </c>
      <c r="J1101" s="43">
        <v>1.888799389018531E-2</v>
      </c>
      <c r="K1101" s="43"/>
      <c r="L1101" s="43">
        <v>0.246</v>
      </c>
      <c r="O1101" s="50"/>
    </row>
    <row r="1102" spans="2:15" x14ac:dyDescent="0.2">
      <c r="B1102">
        <v>1087</v>
      </c>
      <c r="C1102" s="48">
        <f t="shared" ca="1" si="68"/>
        <v>-1.3474675148019537</v>
      </c>
      <c r="D1102" s="48">
        <f t="shared" ca="1" si="65"/>
        <v>0.58184264061028979</v>
      </c>
      <c r="E1102" s="48">
        <f t="shared" ca="1" si="66"/>
        <v>0</v>
      </c>
      <c r="F1102" s="17">
        <f t="shared" ca="1" si="67"/>
        <v>0</v>
      </c>
      <c r="H1102" s="17">
        <v>1087</v>
      </c>
      <c r="I1102" s="43">
        <v>0.66854569004010711</v>
      </c>
      <c r="J1102" s="43">
        <v>1.897643215986795E-2</v>
      </c>
      <c r="K1102" s="43"/>
      <c r="L1102" s="43">
        <v>0.24840000000000001</v>
      </c>
      <c r="O1102" s="50"/>
    </row>
    <row r="1103" spans="2:15" x14ac:dyDescent="0.2">
      <c r="B1103">
        <v>1088</v>
      </c>
      <c r="C1103" s="48">
        <f t="shared" ca="1" si="68"/>
        <v>0.21301575538880219</v>
      </c>
      <c r="D1103" s="48">
        <f t="shared" ca="1" si="65"/>
        <v>0.67860833261372888</v>
      </c>
      <c r="E1103" s="48">
        <f t="shared" ca="1" si="66"/>
        <v>0</v>
      </c>
      <c r="F1103" s="17">
        <f t="shared" ca="1" si="67"/>
        <v>0</v>
      </c>
      <c r="H1103" s="17">
        <v>1088</v>
      </c>
      <c r="I1103" s="43">
        <v>0.66901738104571506</v>
      </c>
      <c r="J1103" s="43">
        <v>1.9390346984375497E-2</v>
      </c>
      <c r="K1103" s="43"/>
      <c r="L1103" s="43">
        <v>0.25119999999999998</v>
      </c>
      <c r="O1103" s="50"/>
    </row>
    <row r="1104" spans="2:15" x14ac:dyDescent="0.2">
      <c r="B1104">
        <v>1089</v>
      </c>
      <c r="C1104" s="48">
        <f t="shared" ca="1" si="68"/>
        <v>1.6247222159934789</v>
      </c>
      <c r="D1104" s="48">
        <f t="shared" ref="D1104:D1167" ca="1" si="69">S0*EXP((μ-0.5*σ*σ)*T+σ*SQRT(T)*$C1104)</f>
        <v>0.77994289024600716</v>
      </c>
      <c r="E1104" s="48">
        <f t="shared" ref="E1104:E1167" ca="1" si="70">MAX(0,CP*(D1104-K))</f>
        <v>0</v>
      </c>
      <c r="F1104" s="17">
        <f t="shared" ref="F1104:F1167" ca="1" si="71">(CP*(D1104-K)&gt;0)*1</f>
        <v>0</v>
      </c>
      <c r="H1104" s="17">
        <v>1089</v>
      </c>
      <c r="I1104" s="43">
        <v>0.66886651076860448</v>
      </c>
      <c r="J1104" s="43">
        <v>1.9186346590484928E-2</v>
      </c>
      <c r="K1104" s="43"/>
      <c r="L1104" s="43">
        <v>0.25140000000000001</v>
      </c>
      <c r="O1104" s="50"/>
    </row>
    <row r="1105" spans="2:15" x14ac:dyDescent="0.2">
      <c r="B1105">
        <v>1090</v>
      </c>
      <c r="C1105" s="48">
        <f t="shared" ref="C1105:C1168" ca="1" si="72">_xlfn.NORM.S.INV(RAND())</f>
        <v>1.9602684713868115</v>
      </c>
      <c r="D1105" s="48">
        <f t="shared" ca="1" si="69"/>
        <v>0.8061754152959002</v>
      </c>
      <c r="E1105" s="48">
        <f t="shared" ca="1" si="70"/>
        <v>1.7975415295900188E-2</v>
      </c>
      <c r="F1105" s="17">
        <f t="shared" ca="1" si="71"/>
        <v>1</v>
      </c>
      <c r="H1105" s="17">
        <v>1090</v>
      </c>
      <c r="I1105" s="43">
        <v>0.66987351204675361</v>
      </c>
      <c r="J1105" s="43">
        <v>1.999589734741325E-2</v>
      </c>
      <c r="K1105" s="43"/>
      <c r="L1105" s="43">
        <v>0.253</v>
      </c>
      <c r="O1105" s="50"/>
    </row>
    <row r="1106" spans="2:15" x14ac:dyDescent="0.2">
      <c r="B1106">
        <v>1091</v>
      </c>
      <c r="C1106" s="48">
        <f t="shared" ca="1" si="72"/>
        <v>-0.89690085489253324</v>
      </c>
      <c r="D1106" s="48">
        <f t="shared" ca="1" si="69"/>
        <v>0.60827085086452504</v>
      </c>
      <c r="E1106" s="48">
        <f t="shared" ca="1" si="70"/>
        <v>0</v>
      </c>
      <c r="F1106" s="17">
        <f t="shared" ca="1" si="71"/>
        <v>0</v>
      </c>
      <c r="H1106" s="17">
        <v>1091</v>
      </c>
      <c r="I1106" s="43">
        <v>0.6695654453585117</v>
      </c>
      <c r="J1106" s="43">
        <v>1.9978781376997358E-2</v>
      </c>
      <c r="K1106" s="43"/>
      <c r="L1106" s="43">
        <v>0.25800000000000001</v>
      </c>
      <c r="O1106" s="50"/>
    </row>
    <row r="1107" spans="2:15" x14ac:dyDescent="0.2">
      <c r="B1107">
        <v>1092</v>
      </c>
      <c r="C1107" s="48">
        <f t="shared" ca="1" si="72"/>
        <v>0.61241035572249702</v>
      </c>
      <c r="D1107" s="48">
        <f t="shared" ca="1" si="69"/>
        <v>0.70586177660177007</v>
      </c>
      <c r="E1107" s="48">
        <f t="shared" ca="1" si="70"/>
        <v>0</v>
      </c>
      <c r="F1107" s="17">
        <f t="shared" ca="1" si="71"/>
        <v>0</v>
      </c>
      <c r="H1107" s="17">
        <v>1092</v>
      </c>
      <c r="I1107" s="43">
        <v>0.66882742183254895</v>
      </c>
      <c r="J1107" s="43">
        <v>1.9247838511986318E-2</v>
      </c>
      <c r="K1107" s="43"/>
      <c r="L1107" s="43">
        <v>0.25719999999999998</v>
      </c>
      <c r="O1107" s="50"/>
    </row>
    <row r="1108" spans="2:15" x14ac:dyDescent="0.2">
      <c r="B1108">
        <v>1093</v>
      </c>
      <c r="C1108" s="48">
        <f t="shared" ca="1" si="72"/>
        <v>0.32729331228875624</v>
      </c>
      <c r="D1108" s="48">
        <f t="shared" ca="1" si="69"/>
        <v>0.68629699172556147</v>
      </c>
      <c r="E1108" s="48">
        <f t="shared" ca="1" si="70"/>
        <v>0</v>
      </c>
      <c r="F1108" s="17">
        <f t="shared" ca="1" si="71"/>
        <v>0</v>
      </c>
      <c r="H1108" s="17">
        <v>1093</v>
      </c>
      <c r="I1108" s="43">
        <v>0.66878906711069008</v>
      </c>
      <c r="J1108" s="43">
        <v>1.9097071185701826E-2</v>
      </c>
      <c r="K1108" s="43"/>
      <c r="L1108" s="43">
        <v>0.25259999999999999</v>
      </c>
      <c r="O1108" s="50"/>
    </row>
    <row r="1109" spans="2:15" x14ac:dyDescent="0.2">
      <c r="B1109">
        <v>1094</v>
      </c>
      <c r="C1109" s="48">
        <f t="shared" ca="1" si="72"/>
        <v>0.24740295999573073</v>
      </c>
      <c r="D1109" s="48">
        <f t="shared" ca="1" si="69"/>
        <v>0.68091281901902834</v>
      </c>
      <c r="E1109" s="48">
        <f t="shared" ca="1" si="70"/>
        <v>0</v>
      </c>
      <c r="F1109" s="17">
        <f t="shared" ca="1" si="71"/>
        <v>0</v>
      </c>
      <c r="H1109" s="17">
        <v>1094</v>
      </c>
      <c r="I1109" s="43">
        <v>0.66942185742985039</v>
      </c>
      <c r="J1109" s="43">
        <v>1.9759271571957247E-2</v>
      </c>
      <c r="K1109" s="43"/>
      <c r="L1109" s="43">
        <v>0.25040000000000001</v>
      </c>
      <c r="O1109" s="50"/>
    </row>
    <row r="1110" spans="2:15" x14ac:dyDescent="0.2">
      <c r="B1110">
        <v>1095</v>
      </c>
      <c r="C1110" s="48">
        <f t="shared" ca="1" si="72"/>
        <v>0.87555525809288071</v>
      </c>
      <c r="D1110" s="48">
        <f t="shared" ca="1" si="69"/>
        <v>0.72441340048521718</v>
      </c>
      <c r="E1110" s="48">
        <f t="shared" ca="1" si="70"/>
        <v>0</v>
      </c>
      <c r="F1110" s="17">
        <f t="shared" ca="1" si="71"/>
        <v>0</v>
      </c>
      <c r="H1110" s="17">
        <v>1095</v>
      </c>
      <c r="I1110" s="43">
        <v>0.66818276507679963</v>
      </c>
      <c r="J1110" s="43">
        <v>1.899739802808062E-2</v>
      </c>
      <c r="K1110" s="43"/>
      <c r="L1110" s="43">
        <v>0.254</v>
      </c>
      <c r="O1110" s="50"/>
    </row>
    <row r="1111" spans="2:15" x14ac:dyDescent="0.2">
      <c r="B1111">
        <v>1096</v>
      </c>
      <c r="C1111" s="48">
        <f t="shared" ca="1" si="72"/>
        <v>-0.12153655446551376</v>
      </c>
      <c r="D1111" s="48">
        <f t="shared" ca="1" si="69"/>
        <v>0.65659111009429783</v>
      </c>
      <c r="E1111" s="48">
        <f t="shared" ca="1" si="70"/>
        <v>0</v>
      </c>
      <c r="F1111" s="17">
        <f t="shared" ca="1" si="71"/>
        <v>0</v>
      </c>
      <c r="H1111" s="17">
        <v>1096</v>
      </c>
      <c r="I1111" s="43">
        <v>0.668370807046337</v>
      </c>
      <c r="J1111" s="43">
        <v>1.8908038351170428E-2</v>
      </c>
      <c r="K1111" s="43"/>
      <c r="L1111" s="43">
        <v>0.24879999999999999</v>
      </c>
      <c r="O1111" s="50"/>
    </row>
    <row r="1112" spans="2:15" x14ac:dyDescent="0.2">
      <c r="B1112">
        <v>1097</v>
      </c>
      <c r="C1112" s="48">
        <f t="shared" ca="1" si="72"/>
        <v>-0.62208940458890505</v>
      </c>
      <c r="D1112" s="48">
        <f t="shared" ca="1" si="69"/>
        <v>0.62497598606831162</v>
      </c>
      <c r="E1112" s="48">
        <f t="shared" ca="1" si="70"/>
        <v>0</v>
      </c>
      <c r="F1112" s="17">
        <f t="shared" ca="1" si="71"/>
        <v>0</v>
      </c>
      <c r="H1112" s="17">
        <v>1097</v>
      </c>
      <c r="I1112" s="43">
        <v>0.6693462720996618</v>
      </c>
      <c r="J1112" s="43">
        <v>1.9425385151153825E-2</v>
      </c>
      <c r="K1112" s="43"/>
      <c r="L1112" s="43">
        <v>0.24740000000000001</v>
      </c>
      <c r="O1112" s="50"/>
    </row>
    <row r="1113" spans="2:15" x14ac:dyDescent="0.2">
      <c r="B1113">
        <v>1098</v>
      </c>
      <c r="C1113" s="48">
        <f t="shared" ca="1" si="72"/>
        <v>-0.45276463023211516</v>
      </c>
      <c r="D1113" s="48">
        <f t="shared" ca="1" si="69"/>
        <v>0.63549646481653821</v>
      </c>
      <c r="E1113" s="48">
        <f t="shared" ca="1" si="70"/>
        <v>0</v>
      </c>
      <c r="F1113" s="17">
        <f t="shared" ca="1" si="71"/>
        <v>0</v>
      </c>
      <c r="H1113" s="17">
        <v>1098</v>
      </c>
      <c r="I1113" s="43">
        <v>0.66900601138169369</v>
      </c>
      <c r="J1113" s="43">
        <v>1.9346240100758413E-2</v>
      </c>
      <c r="K1113" s="43"/>
      <c r="L1113" s="43">
        <v>0.25280000000000002</v>
      </c>
      <c r="O1113" s="50"/>
    </row>
    <row r="1114" spans="2:15" x14ac:dyDescent="0.2">
      <c r="B1114">
        <v>1099</v>
      </c>
      <c r="C1114" s="48">
        <f t="shared" ca="1" si="72"/>
        <v>0.82113864904250022</v>
      </c>
      <c r="D1114" s="48">
        <f t="shared" ca="1" si="69"/>
        <v>0.72053747658430156</v>
      </c>
      <c r="E1114" s="48">
        <f t="shared" ca="1" si="70"/>
        <v>0</v>
      </c>
      <c r="F1114" s="17">
        <f t="shared" ca="1" si="71"/>
        <v>0</v>
      </c>
      <c r="H1114" s="17">
        <v>1099</v>
      </c>
      <c r="I1114" s="43">
        <v>0.66893434859145018</v>
      </c>
      <c r="J1114" s="43">
        <v>1.9623372317765522E-2</v>
      </c>
      <c r="K1114" s="43"/>
      <c r="L1114" s="43">
        <v>0.25059999999999999</v>
      </c>
      <c r="O1114" s="50"/>
    </row>
    <row r="1115" spans="2:15" x14ac:dyDescent="0.2">
      <c r="B1115">
        <v>1100</v>
      </c>
      <c r="C1115" s="48">
        <f t="shared" ca="1" si="72"/>
        <v>-0.28233148130987146</v>
      </c>
      <c r="D1115" s="48">
        <f t="shared" ca="1" si="69"/>
        <v>0.64626465379835174</v>
      </c>
      <c r="E1115" s="48">
        <f t="shared" ca="1" si="70"/>
        <v>0</v>
      </c>
      <c r="F1115" s="17">
        <f t="shared" ca="1" si="71"/>
        <v>0</v>
      </c>
      <c r="H1115" s="17">
        <v>1100</v>
      </c>
      <c r="I1115" s="43">
        <v>0.66910385375796511</v>
      </c>
      <c r="J1115" s="43">
        <v>1.9439017863138022E-2</v>
      </c>
      <c r="K1115" s="43"/>
      <c r="L1115" s="43">
        <v>0.25340000000000001</v>
      </c>
      <c r="O1115" s="50"/>
    </row>
    <row r="1116" spans="2:15" x14ac:dyDescent="0.2">
      <c r="B1116">
        <v>1101</v>
      </c>
      <c r="C1116" s="48">
        <f t="shared" ca="1" si="72"/>
        <v>0.79062367543884182</v>
      </c>
      <c r="D1116" s="48">
        <f t="shared" ca="1" si="69"/>
        <v>0.71837307325784272</v>
      </c>
      <c r="E1116" s="48">
        <f t="shared" ca="1" si="70"/>
        <v>0</v>
      </c>
      <c r="F1116" s="17">
        <f t="shared" ca="1" si="71"/>
        <v>0</v>
      </c>
      <c r="H1116" s="17">
        <v>1101</v>
      </c>
      <c r="I1116" s="43">
        <v>0.66915854661413809</v>
      </c>
      <c r="J1116" s="43">
        <v>1.9302031707453177E-2</v>
      </c>
      <c r="K1116" s="43"/>
      <c r="L1116" s="43">
        <v>0.24540000000000001</v>
      </c>
      <c r="O1116" s="50"/>
    </row>
    <row r="1117" spans="2:15" x14ac:dyDescent="0.2">
      <c r="B1117">
        <v>1102</v>
      </c>
      <c r="C1117" s="48">
        <f t="shared" ca="1" si="72"/>
        <v>-0.73362460768162496</v>
      </c>
      <c r="D1117" s="48">
        <f t="shared" ca="1" si="69"/>
        <v>0.61814141197463712</v>
      </c>
      <c r="E1117" s="48">
        <f t="shared" ca="1" si="70"/>
        <v>0</v>
      </c>
      <c r="F1117" s="17">
        <f t="shared" ca="1" si="71"/>
        <v>0</v>
      </c>
      <c r="H1117" s="17">
        <v>1102</v>
      </c>
      <c r="I1117" s="43">
        <v>0.66851390256244447</v>
      </c>
      <c r="J1117" s="43">
        <v>1.9189861087294348E-2</v>
      </c>
      <c r="K1117" s="43"/>
      <c r="L1117" s="43">
        <v>0.25800000000000001</v>
      </c>
      <c r="O1117" s="50"/>
    </row>
    <row r="1118" spans="2:15" x14ac:dyDescent="0.2">
      <c r="B1118">
        <v>1103</v>
      </c>
      <c r="C1118" s="48">
        <f t="shared" ca="1" si="72"/>
        <v>0.5337719791801161</v>
      </c>
      <c r="D1118" s="48">
        <f t="shared" ca="1" si="69"/>
        <v>0.70041055895642601</v>
      </c>
      <c r="E1118" s="48">
        <f t="shared" ca="1" si="70"/>
        <v>0</v>
      </c>
      <c r="F1118" s="17">
        <f t="shared" ca="1" si="71"/>
        <v>0</v>
      </c>
      <c r="H1118" s="17">
        <v>1103</v>
      </c>
      <c r="I1118" s="43">
        <v>0.66849058646000614</v>
      </c>
      <c r="J1118" s="43">
        <v>1.9177017924392723E-2</v>
      </c>
      <c r="K1118" s="43"/>
      <c r="L1118" s="43">
        <v>0.24540000000000001</v>
      </c>
      <c r="O1118" s="50"/>
    </row>
    <row r="1119" spans="2:15" x14ac:dyDescent="0.2">
      <c r="B1119">
        <v>1104</v>
      </c>
      <c r="C1119" s="48">
        <f t="shared" ca="1" si="72"/>
        <v>0.57932920657270759</v>
      </c>
      <c r="D1119" s="48">
        <f t="shared" ca="1" si="69"/>
        <v>0.70356343824977163</v>
      </c>
      <c r="E1119" s="48">
        <f t="shared" ca="1" si="70"/>
        <v>0</v>
      </c>
      <c r="F1119" s="17">
        <f t="shared" ca="1" si="71"/>
        <v>0</v>
      </c>
      <c r="H1119" s="17">
        <v>1104</v>
      </c>
      <c r="I1119" s="43">
        <v>0.66911493558316093</v>
      </c>
      <c r="J1119" s="43">
        <v>1.9576224405888597E-2</v>
      </c>
      <c r="K1119" s="43"/>
      <c r="L1119" s="43">
        <v>0.253</v>
      </c>
      <c r="O1119" s="50"/>
    </row>
    <row r="1120" spans="2:15" x14ac:dyDescent="0.2">
      <c r="B1120">
        <v>1105</v>
      </c>
      <c r="C1120" s="48">
        <f t="shared" ca="1" si="72"/>
        <v>0.68238125952238249</v>
      </c>
      <c r="D1120" s="48">
        <f t="shared" ca="1" si="69"/>
        <v>0.71074782390364233</v>
      </c>
      <c r="E1120" s="48">
        <f t="shared" ca="1" si="70"/>
        <v>0</v>
      </c>
      <c r="F1120" s="17">
        <f t="shared" ca="1" si="71"/>
        <v>0</v>
      </c>
      <c r="H1120" s="17">
        <v>1105</v>
      </c>
      <c r="I1120" s="43">
        <v>0.6683492899434198</v>
      </c>
      <c r="J1120" s="43">
        <v>1.8735574992816785E-2</v>
      </c>
      <c r="K1120" s="43"/>
      <c r="L1120" s="43">
        <v>0.24399999999999999</v>
      </c>
      <c r="O1120" s="50"/>
    </row>
    <row r="1121" spans="2:15" x14ac:dyDescent="0.2">
      <c r="B1121">
        <v>1106</v>
      </c>
      <c r="C1121" s="48">
        <f t="shared" ca="1" si="72"/>
        <v>0.49057113136928887</v>
      </c>
      <c r="D1121" s="48">
        <f t="shared" ca="1" si="69"/>
        <v>0.69743381034538099</v>
      </c>
      <c r="E1121" s="48">
        <f t="shared" ca="1" si="70"/>
        <v>0</v>
      </c>
      <c r="F1121" s="17">
        <f t="shared" ca="1" si="71"/>
        <v>0</v>
      </c>
      <c r="H1121" s="17">
        <v>1106</v>
      </c>
      <c r="I1121" s="43">
        <v>0.66769853315160577</v>
      </c>
      <c r="J1121" s="43">
        <v>1.8589324796198795E-2</v>
      </c>
      <c r="K1121" s="43"/>
      <c r="L1121" s="43">
        <v>0.25019999999999998</v>
      </c>
      <c r="O1121" s="50"/>
    </row>
    <row r="1122" spans="2:15" x14ac:dyDescent="0.2">
      <c r="B1122">
        <v>1107</v>
      </c>
      <c r="C1122" s="48">
        <f t="shared" ca="1" si="72"/>
        <v>-0.87332467464769648</v>
      </c>
      <c r="D1122" s="48">
        <f t="shared" ca="1" si="69"/>
        <v>0.60968630885764385</v>
      </c>
      <c r="E1122" s="48">
        <f t="shared" ca="1" si="70"/>
        <v>0</v>
      </c>
      <c r="F1122" s="17">
        <f t="shared" ca="1" si="71"/>
        <v>0</v>
      </c>
      <c r="H1122" s="17">
        <v>1107</v>
      </c>
      <c r="I1122" s="43">
        <v>0.66965412692849113</v>
      </c>
      <c r="J1122" s="43">
        <v>1.9992272011046773E-2</v>
      </c>
      <c r="K1122" s="43"/>
      <c r="L1122" s="43">
        <v>0.25540000000000002</v>
      </c>
      <c r="O1122" s="50"/>
    </row>
    <row r="1123" spans="2:15" x14ac:dyDescent="0.2">
      <c r="B1123">
        <v>1108</v>
      </c>
      <c r="C1123" s="48">
        <f t="shared" ca="1" si="72"/>
        <v>-1.0714065113402438</v>
      </c>
      <c r="D1123" s="48">
        <f t="shared" ca="1" si="69"/>
        <v>0.59789561989263595</v>
      </c>
      <c r="E1123" s="48">
        <f t="shared" ca="1" si="70"/>
        <v>0</v>
      </c>
      <c r="F1123" s="17">
        <f t="shared" ca="1" si="71"/>
        <v>0</v>
      </c>
      <c r="H1123" s="17">
        <v>1108</v>
      </c>
      <c r="I1123" s="43">
        <v>0.6689716792516035</v>
      </c>
      <c r="J1123" s="43">
        <v>1.9572914190631896E-2</v>
      </c>
      <c r="K1123" s="43"/>
      <c r="L1123" s="43">
        <v>0.25080000000000002</v>
      </c>
      <c r="O1123" s="50"/>
    </row>
    <row r="1124" spans="2:15" x14ac:dyDescent="0.2">
      <c r="B1124">
        <v>1109</v>
      </c>
      <c r="C1124" s="48">
        <f t="shared" ca="1" si="72"/>
        <v>0.90749174813398381</v>
      </c>
      <c r="D1124" s="48">
        <f t="shared" ca="1" si="69"/>
        <v>0.72669783785152686</v>
      </c>
      <c r="E1124" s="48">
        <f t="shared" ca="1" si="70"/>
        <v>0</v>
      </c>
      <c r="F1124" s="17">
        <f t="shared" ca="1" si="71"/>
        <v>0</v>
      </c>
      <c r="H1124" s="17">
        <v>1109</v>
      </c>
      <c r="I1124" s="43">
        <v>0.66776416274789463</v>
      </c>
      <c r="J1124" s="43">
        <v>1.8693607055239949E-2</v>
      </c>
      <c r="K1124" s="43"/>
      <c r="L1124" s="43">
        <v>0.24879999999999999</v>
      </c>
      <c r="O1124" s="50"/>
    </row>
    <row r="1125" spans="2:15" x14ac:dyDescent="0.2">
      <c r="B1125">
        <v>1110</v>
      </c>
      <c r="C1125" s="48">
        <f t="shared" ca="1" si="72"/>
        <v>-0.41746720636037798</v>
      </c>
      <c r="D1125" s="48">
        <f t="shared" ca="1" si="69"/>
        <v>0.6377117708791189</v>
      </c>
      <c r="E1125" s="48">
        <f t="shared" ca="1" si="70"/>
        <v>0</v>
      </c>
      <c r="F1125" s="17">
        <f t="shared" ca="1" si="71"/>
        <v>0</v>
      </c>
      <c r="H1125" s="17">
        <v>1110</v>
      </c>
      <c r="I1125" s="43">
        <v>0.66910733576429471</v>
      </c>
      <c r="J1125" s="43">
        <v>1.9569338175102875E-2</v>
      </c>
      <c r="K1125" s="43"/>
      <c r="L1125" s="43">
        <v>0.25700000000000001</v>
      </c>
      <c r="O1125" s="50"/>
    </row>
    <row r="1126" spans="2:15" x14ac:dyDescent="0.2">
      <c r="B1126">
        <v>1111</v>
      </c>
      <c r="C1126" s="48">
        <f t="shared" ca="1" si="72"/>
        <v>-0.94430323685847206</v>
      </c>
      <c r="D1126" s="48">
        <f t="shared" ca="1" si="69"/>
        <v>0.60543486216378839</v>
      </c>
      <c r="E1126" s="48">
        <f t="shared" ca="1" si="70"/>
        <v>0</v>
      </c>
      <c r="F1126" s="17">
        <f t="shared" ca="1" si="71"/>
        <v>0</v>
      </c>
      <c r="H1126" s="17">
        <v>1111</v>
      </c>
      <c r="I1126" s="43">
        <v>0.66797138399178024</v>
      </c>
      <c r="J1126" s="43">
        <v>1.8643131590787412E-2</v>
      </c>
      <c r="K1126" s="43"/>
      <c r="L1126" s="43">
        <v>0.2472</v>
      </c>
      <c r="O1126" s="50"/>
    </row>
    <row r="1127" spans="2:15" x14ac:dyDescent="0.2">
      <c r="B1127">
        <v>1112</v>
      </c>
      <c r="C1127" s="48">
        <f t="shared" ca="1" si="72"/>
        <v>-0.56401759437624388</v>
      </c>
      <c r="D1127" s="48">
        <f t="shared" ca="1" si="69"/>
        <v>0.62856433121586353</v>
      </c>
      <c r="E1127" s="48">
        <f t="shared" ca="1" si="70"/>
        <v>0</v>
      </c>
      <c r="F1127" s="17">
        <f t="shared" ca="1" si="71"/>
        <v>0</v>
      </c>
      <c r="H1127" s="17">
        <v>1112</v>
      </c>
      <c r="I1127" s="43">
        <v>0.6680076619091172</v>
      </c>
      <c r="J1127" s="43">
        <v>1.8677580003366813E-2</v>
      </c>
      <c r="K1127" s="43"/>
      <c r="L1127" s="43">
        <v>0.248</v>
      </c>
      <c r="O1127" s="50"/>
    </row>
    <row r="1128" spans="2:15" x14ac:dyDescent="0.2">
      <c r="B1128">
        <v>1113</v>
      </c>
      <c r="C1128" s="48">
        <f t="shared" ca="1" si="72"/>
        <v>1.5585354415251758</v>
      </c>
      <c r="D1128" s="48">
        <f t="shared" ca="1" si="69"/>
        <v>0.77487018550148601</v>
      </c>
      <c r="E1128" s="48">
        <f t="shared" ca="1" si="70"/>
        <v>0</v>
      </c>
      <c r="F1128" s="17">
        <f t="shared" ca="1" si="71"/>
        <v>0</v>
      </c>
      <c r="H1128" s="17">
        <v>1113</v>
      </c>
      <c r="I1128" s="43">
        <v>0.66894566515785736</v>
      </c>
      <c r="J1128" s="43">
        <v>1.9352789650787176E-2</v>
      </c>
      <c r="K1128" s="43"/>
      <c r="L1128" s="43">
        <v>0.25540000000000002</v>
      </c>
      <c r="O1128" s="50"/>
    </row>
    <row r="1129" spans="2:15" x14ac:dyDescent="0.2">
      <c r="B1129">
        <v>1114</v>
      </c>
      <c r="C1129" s="48">
        <f t="shared" ca="1" si="72"/>
        <v>0.16369618435093586</v>
      </c>
      <c r="D1129" s="48">
        <f t="shared" ca="1" si="69"/>
        <v>0.67531674974168177</v>
      </c>
      <c r="E1129" s="48">
        <f t="shared" ca="1" si="70"/>
        <v>0</v>
      </c>
      <c r="F1129" s="17">
        <f t="shared" ca="1" si="71"/>
        <v>0</v>
      </c>
      <c r="H1129" s="17">
        <v>1114</v>
      </c>
      <c r="I1129" s="43">
        <v>0.66962524776753529</v>
      </c>
      <c r="J1129" s="43">
        <v>1.9602153332588388E-2</v>
      </c>
      <c r="K1129" s="43"/>
      <c r="L1129" s="43">
        <v>0.24440000000000001</v>
      </c>
      <c r="O1129" s="50"/>
    </row>
    <row r="1130" spans="2:15" x14ac:dyDescent="0.2">
      <c r="B1130">
        <v>1115</v>
      </c>
      <c r="C1130" s="48">
        <f t="shared" ca="1" si="72"/>
        <v>-0.35724269584592966</v>
      </c>
      <c r="D1130" s="48">
        <f t="shared" ca="1" si="69"/>
        <v>0.64150937208616798</v>
      </c>
      <c r="E1130" s="48">
        <f t="shared" ca="1" si="70"/>
        <v>0</v>
      </c>
      <c r="F1130" s="17">
        <f t="shared" ca="1" si="71"/>
        <v>0</v>
      </c>
      <c r="H1130" s="17">
        <v>1115</v>
      </c>
      <c r="I1130" s="43">
        <v>0.66910054737837765</v>
      </c>
      <c r="J1130" s="43">
        <v>1.94970839391348E-2</v>
      </c>
      <c r="K1130" s="43"/>
      <c r="L1130" s="43">
        <v>0.25119999999999998</v>
      </c>
      <c r="O1130" s="50"/>
    </row>
    <row r="1131" spans="2:15" x14ac:dyDescent="0.2">
      <c r="B1131">
        <v>1116</v>
      </c>
      <c r="C1131" s="48">
        <f t="shared" ca="1" si="72"/>
        <v>-0.76650484051456613</v>
      </c>
      <c r="D1131" s="48">
        <f t="shared" ca="1" si="69"/>
        <v>0.61614090193692395</v>
      </c>
      <c r="E1131" s="48">
        <f t="shared" ca="1" si="70"/>
        <v>0</v>
      </c>
      <c r="F1131" s="17">
        <f t="shared" ca="1" si="71"/>
        <v>0</v>
      </c>
      <c r="H1131" s="17">
        <v>1116</v>
      </c>
      <c r="I1131" s="43">
        <v>0.67017304324412663</v>
      </c>
      <c r="J1131" s="43">
        <v>2.0095144694055558E-2</v>
      </c>
      <c r="K1131" s="43"/>
      <c r="L1131" s="43">
        <v>0.26119999999999999</v>
      </c>
      <c r="O1131" s="50"/>
    </row>
    <row r="1132" spans="2:15" x14ac:dyDescent="0.2">
      <c r="B1132">
        <v>1117</v>
      </c>
      <c r="C1132" s="48">
        <f t="shared" ca="1" si="72"/>
        <v>-0.8502032273828779</v>
      </c>
      <c r="D1132" s="48">
        <f t="shared" ca="1" si="69"/>
        <v>0.61107766482785864</v>
      </c>
      <c r="E1132" s="48">
        <f t="shared" ca="1" si="70"/>
        <v>0</v>
      </c>
      <c r="F1132" s="17">
        <f t="shared" ca="1" si="71"/>
        <v>0</v>
      </c>
      <c r="H1132" s="17">
        <v>1117</v>
      </c>
      <c r="I1132" s="43">
        <v>0.66865365506434871</v>
      </c>
      <c r="J1132" s="43">
        <v>1.9380925387693412E-2</v>
      </c>
      <c r="K1132" s="43"/>
      <c r="L1132" s="43">
        <v>0.25459999999999999</v>
      </c>
      <c r="O1132" s="50"/>
    </row>
    <row r="1133" spans="2:15" x14ac:dyDescent="0.2">
      <c r="B1133">
        <v>1118</v>
      </c>
      <c r="C1133" s="48">
        <f t="shared" ca="1" si="72"/>
        <v>1.4100934678700148</v>
      </c>
      <c r="D1133" s="48">
        <f t="shared" ca="1" si="69"/>
        <v>0.76361290671039161</v>
      </c>
      <c r="E1133" s="48">
        <f t="shared" ca="1" si="70"/>
        <v>0</v>
      </c>
      <c r="F1133" s="17">
        <f t="shared" ca="1" si="71"/>
        <v>0</v>
      </c>
      <c r="H1133" s="17">
        <v>1118</v>
      </c>
      <c r="I1133" s="43">
        <v>0.66864642833448751</v>
      </c>
      <c r="J1133" s="43">
        <v>1.9057225668871854E-2</v>
      </c>
      <c r="K1133" s="43"/>
      <c r="L1133" s="43">
        <v>0.252</v>
      </c>
      <c r="O1133" s="50"/>
    </row>
    <row r="1134" spans="2:15" x14ac:dyDescent="0.2">
      <c r="B1134">
        <v>1119</v>
      </c>
      <c r="C1134" s="48">
        <f t="shared" ca="1" si="72"/>
        <v>0.16546492427523513</v>
      </c>
      <c r="D1134" s="48">
        <f t="shared" ca="1" si="69"/>
        <v>0.67543451876862437</v>
      </c>
      <c r="E1134" s="48">
        <f t="shared" ca="1" si="70"/>
        <v>0</v>
      </c>
      <c r="F1134" s="17">
        <f t="shared" ca="1" si="71"/>
        <v>0</v>
      </c>
      <c r="H1134" s="17">
        <v>1119</v>
      </c>
      <c r="I1134" s="43">
        <v>0.66903843121498607</v>
      </c>
      <c r="J1134" s="43">
        <v>1.9343083428276859E-2</v>
      </c>
      <c r="K1134" s="43"/>
      <c r="L1134" s="43">
        <v>0.24979999999999999</v>
      </c>
      <c r="O1134" s="50"/>
    </row>
    <row r="1135" spans="2:15" x14ac:dyDescent="0.2">
      <c r="B1135">
        <v>1120</v>
      </c>
      <c r="C1135" s="48">
        <f t="shared" ca="1" si="72"/>
        <v>-0.44365542333381031</v>
      </c>
      <c r="D1135" s="48">
        <f t="shared" ca="1" si="69"/>
        <v>0.63606743108314501</v>
      </c>
      <c r="E1135" s="48">
        <f t="shared" ca="1" si="70"/>
        <v>0</v>
      </c>
      <c r="F1135" s="17">
        <f t="shared" ca="1" si="71"/>
        <v>0</v>
      </c>
      <c r="H1135" s="17">
        <v>1120</v>
      </c>
      <c r="I1135" s="43">
        <v>0.67005622135778775</v>
      </c>
      <c r="J1135" s="43">
        <v>2.0077583866394282E-2</v>
      </c>
      <c r="K1135" s="43"/>
      <c r="L1135" s="43">
        <v>0.25540000000000002</v>
      </c>
      <c r="O1135" s="50"/>
    </row>
    <row r="1136" spans="2:15" x14ac:dyDescent="0.2">
      <c r="B1136">
        <v>1121</v>
      </c>
      <c r="C1136" s="48">
        <f t="shared" ca="1" si="72"/>
        <v>-1.4033887146572426</v>
      </c>
      <c r="D1136" s="48">
        <f t="shared" ca="1" si="69"/>
        <v>0.57864369293565443</v>
      </c>
      <c r="E1136" s="48">
        <f t="shared" ca="1" si="70"/>
        <v>0</v>
      </c>
      <c r="F1136" s="17">
        <f t="shared" ca="1" si="71"/>
        <v>0</v>
      </c>
      <c r="H1136" s="17">
        <v>1121</v>
      </c>
      <c r="I1136" s="43">
        <v>0.66873585379866429</v>
      </c>
      <c r="J1136" s="43">
        <v>1.9269439235962121E-2</v>
      </c>
      <c r="K1136" s="43"/>
      <c r="L1136" s="43">
        <v>0.247</v>
      </c>
      <c r="O1136" s="50"/>
    </row>
    <row r="1137" spans="2:15" x14ac:dyDescent="0.2">
      <c r="B1137">
        <v>1122</v>
      </c>
      <c r="C1137" s="48">
        <f t="shared" ca="1" si="72"/>
        <v>0.30904637882113889</v>
      </c>
      <c r="D1137" s="48">
        <f t="shared" ca="1" si="69"/>
        <v>0.68506350882727329</v>
      </c>
      <c r="E1137" s="48">
        <f t="shared" ca="1" si="70"/>
        <v>0</v>
      </c>
      <c r="F1137" s="17">
        <f t="shared" ca="1" si="71"/>
        <v>0</v>
      </c>
      <c r="H1137" s="17">
        <v>1122</v>
      </c>
      <c r="I1137" s="43">
        <v>0.66976544091626722</v>
      </c>
      <c r="J1137" s="43">
        <v>2.0063960490057958E-2</v>
      </c>
      <c r="K1137" s="43"/>
      <c r="L1137" s="43">
        <v>0.25</v>
      </c>
      <c r="O1137" s="50"/>
    </row>
    <row r="1138" spans="2:15" x14ac:dyDescent="0.2">
      <c r="B1138">
        <v>1123</v>
      </c>
      <c r="C1138" s="48">
        <f t="shared" ca="1" si="72"/>
        <v>0.34683390528195063</v>
      </c>
      <c r="D1138" s="48">
        <f t="shared" ca="1" si="69"/>
        <v>0.68762038811942772</v>
      </c>
      <c r="E1138" s="48">
        <f t="shared" ca="1" si="70"/>
        <v>0</v>
      </c>
      <c r="F1138" s="17">
        <f t="shared" ca="1" si="71"/>
        <v>0</v>
      </c>
      <c r="H1138" s="17">
        <v>1123</v>
      </c>
      <c r="I1138" s="43">
        <v>0.6682116199727246</v>
      </c>
      <c r="J1138" s="43">
        <v>1.8784015785112684E-2</v>
      </c>
      <c r="K1138" s="43"/>
      <c r="L1138" s="43">
        <v>0.25080000000000002</v>
      </c>
      <c r="O1138" s="50"/>
    </row>
    <row r="1139" spans="2:15" x14ac:dyDescent="0.2">
      <c r="B1139">
        <v>1124</v>
      </c>
      <c r="C1139" s="48">
        <f t="shared" ca="1" si="72"/>
        <v>0.80466542989036982</v>
      </c>
      <c r="D1139" s="48">
        <f t="shared" ca="1" si="69"/>
        <v>0.71936823524957993</v>
      </c>
      <c r="E1139" s="48">
        <f t="shared" ca="1" si="70"/>
        <v>0</v>
      </c>
      <c r="F1139" s="17">
        <f t="shared" ca="1" si="71"/>
        <v>0</v>
      </c>
      <c r="H1139" s="17">
        <v>1124</v>
      </c>
      <c r="I1139" s="43">
        <v>0.66960571496283305</v>
      </c>
      <c r="J1139" s="43">
        <v>1.9736223686171558E-2</v>
      </c>
      <c r="K1139" s="43"/>
      <c r="L1139" s="43">
        <v>0.25619999999999998</v>
      </c>
      <c r="O1139" s="50"/>
    </row>
    <row r="1140" spans="2:15" x14ac:dyDescent="0.2">
      <c r="B1140">
        <v>1125</v>
      </c>
      <c r="C1140" s="48">
        <f t="shared" ca="1" si="72"/>
        <v>6.6841913979612408E-2</v>
      </c>
      <c r="D1140" s="48">
        <f t="shared" ca="1" si="69"/>
        <v>0.66889909705752448</v>
      </c>
      <c r="E1140" s="48">
        <f t="shared" ca="1" si="70"/>
        <v>0</v>
      </c>
      <c r="F1140" s="17">
        <f t="shared" ca="1" si="71"/>
        <v>0</v>
      </c>
      <c r="H1140" s="17">
        <v>1125</v>
      </c>
      <c r="I1140" s="43">
        <v>0.66986489163335239</v>
      </c>
      <c r="J1140" s="43">
        <v>1.9735341060855477E-2</v>
      </c>
      <c r="K1140" s="43"/>
      <c r="L1140" s="43">
        <v>0.246</v>
      </c>
      <c r="O1140" s="50"/>
    </row>
    <row r="1141" spans="2:15" x14ac:dyDescent="0.2">
      <c r="B1141">
        <v>1126</v>
      </c>
      <c r="C1141" s="48">
        <f t="shared" ca="1" si="72"/>
        <v>2.7854426921056605</v>
      </c>
      <c r="D1141" s="48">
        <f t="shared" ca="1" si="69"/>
        <v>0.8745007868140835</v>
      </c>
      <c r="E1141" s="48">
        <f t="shared" ca="1" si="70"/>
        <v>8.6300786814083486E-2</v>
      </c>
      <c r="F1141" s="17">
        <f t="shared" ca="1" si="71"/>
        <v>1</v>
      </c>
      <c r="H1141" s="17">
        <v>1126</v>
      </c>
      <c r="I1141" s="43">
        <v>0.66816586145332568</v>
      </c>
      <c r="J1141" s="43">
        <v>1.8936910401720342E-2</v>
      </c>
      <c r="K1141" s="43"/>
      <c r="L1141" s="43">
        <v>0.25059999999999999</v>
      </c>
      <c r="O1141" s="50"/>
    </row>
    <row r="1142" spans="2:15" x14ac:dyDescent="0.2">
      <c r="B1142">
        <v>1127</v>
      </c>
      <c r="C1142" s="48">
        <f t="shared" ca="1" si="72"/>
        <v>0.90712101733145944</v>
      </c>
      <c r="D1142" s="48">
        <f t="shared" ca="1" si="69"/>
        <v>0.72667127795839115</v>
      </c>
      <c r="E1142" s="48">
        <f t="shared" ca="1" si="70"/>
        <v>0</v>
      </c>
      <c r="F1142" s="17">
        <f t="shared" ca="1" si="71"/>
        <v>0</v>
      </c>
      <c r="H1142" s="17">
        <v>1127</v>
      </c>
      <c r="I1142" s="43">
        <v>0.6693981833714957</v>
      </c>
      <c r="J1142" s="43">
        <v>2.0107185007330265E-2</v>
      </c>
      <c r="K1142" s="43"/>
      <c r="L1142" s="43">
        <v>0.25979999999999998</v>
      </c>
      <c r="O1142" s="50"/>
    </row>
    <row r="1143" spans="2:15" x14ac:dyDescent="0.2">
      <c r="B1143">
        <v>1128</v>
      </c>
      <c r="C1143" s="48">
        <f t="shared" ca="1" si="72"/>
        <v>0.22638441240424798</v>
      </c>
      <c r="D1143" s="48">
        <f t="shared" ca="1" si="69"/>
        <v>0.67950331588439405</v>
      </c>
      <c r="E1143" s="48">
        <f t="shared" ca="1" si="70"/>
        <v>0</v>
      </c>
      <c r="F1143" s="17">
        <f t="shared" ca="1" si="71"/>
        <v>0</v>
      </c>
      <c r="H1143" s="17">
        <v>1128</v>
      </c>
      <c r="I1143" s="43">
        <v>0.6689742165074104</v>
      </c>
      <c r="J1143" s="43">
        <v>1.9403202704670833E-2</v>
      </c>
      <c r="K1143" s="43"/>
      <c r="L1143" s="43">
        <v>0.24940000000000001</v>
      </c>
      <c r="O1143" s="50"/>
    </row>
    <row r="1144" spans="2:15" x14ac:dyDescent="0.2">
      <c r="B1144">
        <v>1129</v>
      </c>
      <c r="C1144" s="48">
        <f t="shared" ca="1" si="72"/>
        <v>0.69098169531453324</v>
      </c>
      <c r="D1144" s="48">
        <f t="shared" ca="1" si="69"/>
        <v>0.7113507191342493</v>
      </c>
      <c r="E1144" s="48">
        <f t="shared" ca="1" si="70"/>
        <v>0</v>
      </c>
      <c r="F1144" s="17">
        <f t="shared" ca="1" si="71"/>
        <v>0</v>
      </c>
      <c r="H1144" s="17">
        <v>1129</v>
      </c>
      <c r="I1144" s="43">
        <v>0.66927119557568027</v>
      </c>
      <c r="J1144" s="43">
        <v>1.9574224633184322E-2</v>
      </c>
      <c r="K1144" s="43"/>
      <c r="L1144" s="43">
        <v>0.24740000000000001</v>
      </c>
      <c r="O1144" s="50"/>
    </row>
    <row r="1145" spans="2:15" x14ac:dyDescent="0.2">
      <c r="B1145">
        <v>1130</v>
      </c>
      <c r="C1145" s="48">
        <f t="shared" ca="1" si="72"/>
        <v>-1.143199712987198</v>
      </c>
      <c r="D1145" s="48">
        <f t="shared" ca="1" si="69"/>
        <v>0.59367870950952262</v>
      </c>
      <c r="E1145" s="48">
        <f t="shared" ca="1" si="70"/>
        <v>0</v>
      </c>
      <c r="F1145" s="17">
        <f t="shared" ca="1" si="71"/>
        <v>0</v>
      </c>
      <c r="H1145" s="17">
        <v>1130</v>
      </c>
      <c r="I1145" s="43">
        <v>0.66934887747014149</v>
      </c>
      <c r="J1145" s="43">
        <v>1.9439931801998812E-2</v>
      </c>
      <c r="K1145" s="43"/>
      <c r="L1145" s="43">
        <v>0.25359999999999999</v>
      </c>
      <c r="O1145" s="50"/>
    </row>
    <row r="1146" spans="2:15" x14ac:dyDescent="0.2">
      <c r="B1146">
        <v>1131</v>
      </c>
      <c r="C1146" s="48">
        <f t="shared" ca="1" si="72"/>
        <v>-1.1542021123806365</v>
      </c>
      <c r="D1146" s="48">
        <f t="shared" ca="1" si="69"/>
        <v>0.59303509610125316</v>
      </c>
      <c r="E1146" s="48">
        <f t="shared" ca="1" si="70"/>
        <v>0</v>
      </c>
      <c r="F1146" s="17">
        <f t="shared" ca="1" si="71"/>
        <v>0</v>
      </c>
      <c r="H1146" s="17">
        <v>1131</v>
      </c>
      <c r="I1146" s="43">
        <v>0.66842413130461431</v>
      </c>
      <c r="J1146" s="43">
        <v>1.8683932008035482E-2</v>
      </c>
      <c r="K1146" s="43"/>
      <c r="L1146" s="43">
        <v>0.247</v>
      </c>
      <c r="O1146" s="50"/>
    </row>
    <row r="1147" spans="2:15" x14ac:dyDescent="0.2">
      <c r="B1147">
        <v>1132</v>
      </c>
      <c r="C1147" s="48">
        <f t="shared" ca="1" si="72"/>
        <v>-2.8295510489149574E-2</v>
      </c>
      <c r="D1147" s="48">
        <f t="shared" ca="1" si="69"/>
        <v>0.66265458353207551</v>
      </c>
      <c r="E1147" s="48">
        <f t="shared" ca="1" si="70"/>
        <v>0</v>
      </c>
      <c r="F1147" s="17">
        <f t="shared" ca="1" si="71"/>
        <v>0</v>
      </c>
      <c r="H1147" s="17">
        <v>1132</v>
      </c>
      <c r="I1147" s="43">
        <v>0.6683288518813395</v>
      </c>
      <c r="J1147" s="43">
        <v>1.9059269729353075E-2</v>
      </c>
      <c r="K1147" s="43"/>
      <c r="L1147" s="43">
        <v>0.249</v>
      </c>
      <c r="O1147" s="50"/>
    </row>
    <row r="1148" spans="2:15" x14ac:dyDescent="0.2">
      <c r="B1148">
        <v>1133</v>
      </c>
      <c r="C1148" s="48">
        <f t="shared" ca="1" si="72"/>
        <v>-0.70546524250677978</v>
      </c>
      <c r="D1148" s="48">
        <f t="shared" ca="1" si="69"/>
        <v>0.61985985601900795</v>
      </c>
      <c r="E1148" s="48">
        <f t="shared" ca="1" si="70"/>
        <v>0</v>
      </c>
      <c r="F1148" s="17">
        <f t="shared" ca="1" si="71"/>
        <v>0</v>
      </c>
      <c r="H1148" s="17">
        <v>1133</v>
      </c>
      <c r="I1148" s="43">
        <v>0.66975360670430806</v>
      </c>
      <c r="J1148" s="43">
        <v>1.9950830042441005E-2</v>
      </c>
      <c r="K1148" s="43"/>
      <c r="L1148" s="43">
        <v>0.24679999999999999</v>
      </c>
      <c r="O1148" s="50"/>
    </row>
    <row r="1149" spans="2:15" x14ac:dyDescent="0.2">
      <c r="B1149">
        <v>1134</v>
      </c>
      <c r="C1149" s="48">
        <f t="shared" ca="1" si="72"/>
        <v>2.2548676223929425</v>
      </c>
      <c r="D1149" s="48">
        <f t="shared" ca="1" si="69"/>
        <v>0.8299331376991872</v>
      </c>
      <c r="E1149" s="48">
        <f t="shared" ca="1" si="70"/>
        <v>4.1733137699187184E-2</v>
      </c>
      <c r="F1149" s="17">
        <f t="shared" ca="1" si="71"/>
        <v>1</v>
      </c>
      <c r="H1149" s="17">
        <v>1134</v>
      </c>
      <c r="I1149" s="43">
        <v>0.66978285778440616</v>
      </c>
      <c r="J1149" s="43">
        <v>1.9979718907840071E-2</v>
      </c>
      <c r="K1149" s="43"/>
      <c r="L1149" s="43">
        <v>0.25800000000000001</v>
      </c>
      <c r="O1149" s="50"/>
    </row>
    <row r="1150" spans="2:15" x14ac:dyDescent="0.2">
      <c r="B1150">
        <v>1135</v>
      </c>
      <c r="C1150" s="48">
        <f t="shared" ca="1" si="72"/>
        <v>-2.0767077192797658E-2</v>
      </c>
      <c r="D1150" s="48">
        <f t="shared" ca="1" si="69"/>
        <v>0.66314659441856105</v>
      </c>
      <c r="E1150" s="48">
        <f t="shared" ca="1" si="70"/>
        <v>0</v>
      </c>
      <c r="F1150" s="17">
        <f t="shared" ca="1" si="71"/>
        <v>0</v>
      </c>
      <c r="H1150" s="17">
        <v>1135</v>
      </c>
      <c r="I1150" s="43">
        <v>0.66770491382702035</v>
      </c>
      <c r="J1150" s="43">
        <v>1.8278773448242244E-2</v>
      </c>
      <c r="K1150" s="43"/>
      <c r="L1150" s="43">
        <v>0.24759999999999999</v>
      </c>
      <c r="O1150" s="50"/>
    </row>
    <row r="1151" spans="2:15" x14ac:dyDescent="0.2">
      <c r="B1151">
        <v>1136</v>
      </c>
      <c r="C1151" s="48">
        <f t="shared" ca="1" si="72"/>
        <v>0.17957770683546423</v>
      </c>
      <c r="D1151" s="48">
        <f t="shared" ca="1" si="69"/>
        <v>0.67637493428076811</v>
      </c>
      <c r="E1151" s="48">
        <f t="shared" ca="1" si="70"/>
        <v>0</v>
      </c>
      <c r="F1151" s="17">
        <f t="shared" ca="1" si="71"/>
        <v>0</v>
      </c>
      <c r="H1151" s="17">
        <v>1136</v>
      </c>
      <c r="I1151" s="43">
        <v>0.66904341565648073</v>
      </c>
      <c r="J1151" s="43">
        <v>1.9672719350254952E-2</v>
      </c>
      <c r="K1151" s="43"/>
      <c r="L1151" s="43">
        <v>0.25659999999999999</v>
      </c>
      <c r="O1151" s="50"/>
    </row>
    <row r="1152" spans="2:15" x14ac:dyDescent="0.2">
      <c r="B1152">
        <v>1137</v>
      </c>
      <c r="C1152" s="48">
        <f t="shared" ca="1" si="72"/>
        <v>0.1635901340710362</v>
      </c>
      <c r="D1152" s="48">
        <f t="shared" ca="1" si="69"/>
        <v>0.67530968918748724</v>
      </c>
      <c r="E1152" s="48">
        <f t="shared" ca="1" si="70"/>
        <v>0</v>
      </c>
      <c r="F1152" s="17">
        <f t="shared" ca="1" si="71"/>
        <v>0</v>
      </c>
      <c r="H1152" s="17">
        <v>1137</v>
      </c>
      <c r="I1152" s="43">
        <v>0.66830539201258721</v>
      </c>
      <c r="J1152" s="43">
        <v>1.8950179476877486E-2</v>
      </c>
      <c r="K1152" s="43"/>
      <c r="L1152" s="43">
        <v>0.2412</v>
      </c>
      <c r="O1152" s="50"/>
    </row>
    <row r="1153" spans="2:15" x14ac:dyDescent="0.2">
      <c r="B1153">
        <v>1138</v>
      </c>
      <c r="C1153" s="48">
        <f t="shared" ca="1" si="72"/>
        <v>0.46225477552768196</v>
      </c>
      <c r="D1153" s="48">
        <f t="shared" ca="1" si="69"/>
        <v>0.69548954281339881</v>
      </c>
      <c r="E1153" s="48">
        <f t="shared" ca="1" si="70"/>
        <v>0</v>
      </c>
      <c r="F1153" s="17">
        <f t="shared" ca="1" si="71"/>
        <v>0</v>
      </c>
      <c r="H1153" s="17">
        <v>1138</v>
      </c>
      <c r="I1153" s="43">
        <v>0.66975968715997203</v>
      </c>
      <c r="J1153" s="43">
        <v>1.9749533305672792E-2</v>
      </c>
      <c r="K1153" s="43"/>
      <c r="L1153" s="43">
        <v>0.24740000000000001</v>
      </c>
      <c r="O1153" s="50"/>
    </row>
    <row r="1154" spans="2:15" x14ac:dyDescent="0.2">
      <c r="B1154">
        <v>1139</v>
      </c>
      <c r="C1154" s="48">
        <f t="shared" ca="1" si="72"/>
        <v>-1.0004210024928446</v>
      </c>
      <c r="D1154" s="48">
        <f t="shared" ca="1" si="69"/>
        <v>0.60209453733765683</v>
      </c>
      <c r="E1154" s="48">
        <f t="shared" ca="1" si="70"/>
        <v>0</v>
      </c>
      <c r="F1154" s="17">
        <f t="shared" ca="1" si="71"/>
        <v>0</v>
      </c>
      <c r="H1154" s="17">
        <v>1139</v>
      </c>
      <c r="I1154" s="43">
        <v>0.6684306230027135</v>
      </c>
      <c r="J1154" s="43">
        <v>1.8874912313288483E-2</v>
      </c>
      <c r="K1154" s="43"/>
      <c r="L1154" s="43">
        <v>0.23980000000000001</v>
      </c>
      <c r="O1154" s="50"/>
    </row>
    <row r="1155" spans="2:15" x14ac:dyDescent="0.2">
      <c r="B1155">
        <v>1140</v>
      </c>
      <c r="C1155" s="48">
        <f t="shared" ca="1" si="72"/>
        <v>-7.7328327387041013E-2</v>
      </c>
      <c r="D1155" s="48">
        <f t="shared" ca="1" si="69"/>
        <v>0.65945902704295967</v>
      </c>
      <c r="E1155" s="48">
        <f t="shared" ca="1" si="70"/>
        <v>0</v>
      </c>
      <c r="F1155" s="17">
        <f t="shared" ca="1" si="71"/>
        <v>0</v>
      </c>
      <c r="H1155" s="17">
        <v>1140</v>
      </c>
      <c r="I1155" s="43">
        <v>0.66908582618040902</v>
      </c>
      <c r="J1155" s="43">
        <v>1.9104880311573594E-2</v>
      </c>
      <c r="K1155" s="43"/>
      <c r="L1155" s="43">
        <v>0.24640000000000001</v>
      </c>
      <c r="O1155" s="50"/>
    </row>
    <row r="1156" spans="2:15" x14ac:dyDescent="0.2">
      <c r="B1156">
        <v>1141</v>
      </c>
      <c r="C1156" s="48">
        <f t="shared" ca="1" si="72"/>
        <v>-0.64780412964271827</v>
      </c>
      <c r="D1156" s="48">
        <f t="shared" ca="1" si="69"/>
        <v>0.6233935850575657</v>
      </c>
      <c r="E1156" s="48">
        <f t="shared" ca="1" si="70"/>
        <v>0</v>
      </c>
      <c r="F1156" s="17">
        <f t="shared" ca="1" si="71"/>
        <v>0</v>
      </c>
      <c r="H1156" s="17">
        <v>1141</v>
      </c>
      <c r="I1156" s="43">
        <v>0.66946873216151026</v>
      </c>
      <c r="J1156" s="43">
        <v>1.9759130086125353E-2</v>
      </c>
      <c r="K1156" s="43"/>
      <c r="L1156" s="43">
        <v>0.251</v>
      </c>
      <c r="O1156" s="50"/>
    </row>
    <row r="1157" spans="2:15" x14ac:dyDescent="0.2">
      <c r="B1157">
        <v>1142</v>
      </c>
      <c r="C1157" s="48">
        <f t="shared" ca="1" si="72"/>
        <v>-0.35139533685649504</v>
      </c>
      <c r="D1157" s="48">
        <f t="shared" ca="1" si="69"/>
        <v>0.641879293668284</v>
      </c>
      <c r="E1157" s="48">
        <f t="shared" ca="1" si="70"/>
        <v>0</v>
      </c>
      <c r="F1157" s="17">
        <f t="shared" ca="1" si="71"/>
        <v>0</v>
      </c>
      <c r="H1157" s="17">
        <v>1142</v>
      </c>
      <c r="I1157" s="43">
        <v>0.66895445305952339</v>
      </c>
      <c r="J1157" s="43">
        <v>1.9295614135284484E-2</v>
      </c>
      <c r="K1157" s="43"/>
      <c r="L1157" s="43">
        <v>0.2452</v>
      </c>
      <c r="O1157" s="50"/>
    </row>
    <row r="1158" spans="2:15" x14ac:dyDescent="0.2">
      <c r="B1158">
        <v>1143</v>
      </c>
      <c r="C1158" s="48">
        <f t="shared" ca="1" si="72"/>
        <v>0.68822493170034982</v>
      </c>
      <c r="D1158" s="48">
        <f t="shared" ca="1" si="69"/>
        <v>0.7111574128343644</v>
      </c>
      <c r="E1158" s="48">
        <f t="shared" ca="1" si="70"/>
        <v>0</v>
      </c>
      <c r="F1158" s="17">
        <f t="shared" ca="1" si="71"/>
        <v>0</v>
      </c>
      <c r="H1158" s="17">
        <v>1143</v>
      </c>
      <c r="I1158" s="43">
        <v>0.66910002550162762</v>
      </c>
      <c r="J1158" s="43">
        <v>1.9747733735966798E-2</v>
      </c>
      <c r="K1158" s="43"/>
      <c r="L1158" s="43">
        <v>0.25740000000000002</v>
      </c>
      <c r="O1158" s="50"/>
    </row>
    <row r="1159" spans="2:15" x14ac:dyDescent="0.2">
      <c r="B1159">
        <v>1144</v>
      </c>
      <c r="C1159" s="48">
        <f t="shared" ca="1" si="72"/>
        <v>-1.7513674676811264</v>
      </c>
      <c r="D1159" s="48">
        <f t="shared" ca="1" si="69"/>
        <v>0.55912919237862124</v>
      </c>
      <c r="E1159" s="48">
        <f t="shared" ca="1" si="70"/>
        <v>0</v>
      </c>
      <c r="F1159" s="17">
        <f t="shared" ca="1" si="71"/>
        <v>0</v>
      </c>
      <c r="H1159" s="17">
        <v>1144</v>
      </c>
      <c r="I1159" s="43">
        <v>0.66794359694345418</v>
      </c>
      <c r="J1159" s="43">
        <v>1.8664064242330251E-2</v>
      </c>
      <c r="K1159" s="43"/>
      <c r="L1159" s="43">
        <v>0.24460000000000001</v>
      </c>
      <c r="O1159" s="50"/>
    </row>
    <row r="1160" spans="2:15" x14ac:dyDescent="0.2">
      <c r="B1160">
        <v>1145</v>
      </c>
      <c r="C1160" s="48">
        <f t="shared" ca="1" si="72"/>
        <v>1.1189666835162517</v>
      </c>
      <c r="D1160" s="48">
        <f t="shared" ca="1" si="69"/>
        <v>0.74200764111599815</v>
      </c>
      <c r="E1160" s="48">
        <f t="shared" ca="1" si="70"/>
        <v>0</v>
      </c>
      <c r="F1160" s="17">
        <f t="shared" ca="1" si="71"/>
        <v>0</v>
      </c>
      <c r="H1160" s="17">
        <v>1145</v>
      </c>
      <c r="I1160" s="43">
        <v>0.6686620894370553</v>
      </c>
      <c r="J1160" s="43">
        <v>1.9167159097269827E-2</v>
      </c>
      <c r="K1160" s="43"/>
      <c r="L1160" s="43">
        <v>0.25700000000000001</v>
      </c>
      <c r="O1160" s="50"/>
    </row>
    <row r="1161" spans="2:15" x14ac:dyDescent="0.2">
      <c r="B1161">
        <v>1146</v>
      </c>
      <c r="C1161" s="48">
        <f t="shared" ca="1" si="72"/>
        <v>1.4007620538526973</v>
      </c>
      <c r="D1161" s="48">
        <f t="shared" ca="1" si="69"/>
        <v>0.76291073603531301</v>
      </c>
      <c r="E1161" s="48">
        <f t="shared" ca="1" si="70"/>
        <v>0</v>
      </c>
      <c r="F1161" s="17">
        <f t="shared" ca="1" si="71"/>
        <v>0</v>
      </c>
      <c r="H1161" s="17">
        <v>1146</v>
      </c>
      <c r="I1161" s="43">
        <v>0.66938218363882585</v>
      </c>
      <c r="J1161" s="43">
        <v>1.9179178091397801E-2</v>
      </c>
      <c r="K1161" s="43"/>
      <c r="L1161" s="43">
        <v>0.247</v>
      </c>
      <c r="O1161" s="50"/>
    </row>
    <row r="1162" spans="2:15" x14ac:dyDescent="0.2">
      <c r="B1162">
        <v>1147</v>
      </c>
      <c r="C1162" s="48">
        <f t="shared" ca="1" si="72"/>
        <v>-0.22887028441777202</v>
      </c>
      <c r="D1162" s="48">
        <f t="shared" ca="1" si="69"/>
        <v>0.64967985112298787</v>
      </c>
      <c r="E1162" s="48">
        <f t="shared" ca="1" si="70"/>
        <v>0</v>
      </c>
      <c r="F1162" s="17">
        <f t="shared" ca="1" si="71"/>
        <v>0</v>
      </c>
      <c r="H1162" s="17">
        <v>1147</v>
      </c>
      <c r="I1162" s="43">
        <v>0.66994956850961829</v>
      </c>
      <c r="J1162" s="43">
        <v>2.0273323427519759E-2</v>
      </c>
      <c r="K1162" s="43"/>
      <c r="L1162" s="43">
        <v>0.26</v>
      </c>
      <c r="O1162" s="50"/>
    </row>
    <row r="1163" spans="2:15" x14ac:dyDescent="0.2">
      <c r="B1163">
        <v>1148</v>
      </c>
      <c r="C1163" s="48">
        <f t="shared" ca="1" si="72"/>
        <v>-8.1313840702620252E-2</v>
      </c>
      <c r="D1163" s="48">
        <f t="shared" ca="1" si="69"/>
        <v>0.65919996219793797</v>
      </c>
      <c r="E1163" s="48">
        <f t="shared" ca="1" si="70"/>
        <v>0</v>
      </c>
      <c r="F1163" s="17">
        <f t="shared" ca="1" si="71"/>
        <v>0</v>
      </c>
      <c r="H1163" s="17">
        <v>1148</v>
      </c>
      <c r="I1163" s="43">
        <v>0.66849946744604427</v>
      </c>
      <c r="J1163" s="43">
        <v>1.9365775203932394E-2</v>
      </c>
      <c r="K1163" s="43"/>
      <c r="L1163" s="43">
        <v>0.25319999999999998</v>
      </c>
      <c r="O1163" s="50"/>
    </row>
    <row r="1164" spans="2:15" x14ac:dyDescent="0.2">
      <c r="B1164">
        <v>1149</v>
      </c>
      <c r="C1164" s="48">
        <f t="shared" ca="1" si="72"/>
        <v>0.40305213840131771</v>
      </c>
      <c r="D1164" s="48">
        <f t="shared" ca="1" si="69"/>
        <v>0.69144204536201248</v>
      </c>
      <c r="E1164" s="48">
        <f t="shared" ca="1" si="70"/>
        <v>0</v>
      </c>
      <c r="F1164" s="17">
        <f t="shared" ca="1" si="71"/>
        <v>0</v>
      </c>
      <c r="H1164" s="17">
        <v>1149</v>
      </c>
      <c r="I1164" s="43">
        <v>0.66935714289326431</v>
      </c>
      <c r="J1164" s="43">
        <v>1.974721713091878E-2</v>
      </c>
      <c r="K1164" s="43"/>
      <c r="L1164" s="43">
        <v>0.25280000000000002</v>
      </c>
      <c r="O1164" s="50"/>
    </row>
    <row r="1165" spans="2:15" x14ac:dyDescent="0.2">
      <c r="B1165">
        <v>1150</v>
      </c>
      <c r="C1165" s="48">
        <f t="shared" ca="1" si="72"/>
        <v>-8.1357059102848434E-2</v>
      </c>
      <c r="D1165" s="48">
        <f t="shared" ca="1" si="69"/>
        <v>0.65919715348951857</v>
      </c>
      <c r="E1165" s="48">
        <f t="shared" ca="1" si="70"/>
        <v>0</v>
      </c>
      <c r="F1165" s="17">
        <f t="shared" ca="1" si="71"/>
        <v>0</v>
      </c>
      <c r="H1165" s="17">
        <v>1150</v>
      </c>
      <c r="I1165" s="43">
        <v>0.66959766558503819</v>
      </c>
      <c r="J1165" s="43">
        <v>2.010300573290787E-2</v>
      </c>
      <c r="K1165" s="43"/>
      <c r="L1165" s="43">
        <v>0.25919999999999999</v>
      </c>
      <c r="O1165" s="50"/>
    </row>
    <row r="1166" spans="2:15" x14ac:dyDescent="0.2">
      <c r="B1166">
        <v>1151</v>
      </c>
      <c r="C1166" s="48">
        <f t="shared" ca="1" si="72"/>
        <v>-1.1473457606645061</v>
      </c>
      <c r="D1166" s="48">
        <f t="shared" ca="1" si="69"/>
        <v>0.59343609390435847</v>
      </c>
      <c r="E1166" s="48">
        <f t="shared" ca="1" si="70"/>
        <v>0</v>
      </c>
      <c r="F1166" s="17">
        <f t="shared" ca="1" si="71"/>
        <v>0</v>
      </c>
      <c r="H1166" s="17">
        <v>1151</v>
      </c>
      <c r="I1166" s="43">
        <v>0.66854891400702621</v>
      </c>
      <c r="J1166" s="43">
        <v>1.8771409054671305E-2</v>
      </c>
      <c r="K1166" s="43"/>
      <c r="L1166" s="43">
        <v>0.247</v>
      </c>
      <c r="O1166" s="50"/>
    </row>
    <row r="1167" spans="2:15" x14ac:dyDescent="0.2">
      <c r="B1167">
        <v>1152</v>
      </c>
      <c r="C1167" s="48">
        <f t="shared" ca="1" si="72"/>
        <v>-0.34923081502748593</v>
      </c>
      <c r="D1167" s="48">
        <f t="shared" ca="1" si="69"/>
        <v>0.64201628194282589</v>
      </c>
      <c r="E1167" s="48">
        <f t="shared" ca="1" si="70"/>
        <v>0</v>
      </c>
      <c r="F1167" s="17">
        <f t="shared" ca="1" si="71"/>
        <v>0</v>
      </c>
      <c r="H1167" s="17">
        <v>1152</v>
      </c>
      <c r="I1167" s="43">
        <v>0.66925149543991358</v>
      </c>
      <c r="J1167" s="43">
        <v>1.9484742282254577E-2</v>
      </c>
      <c r="K1167" s="43"/>
      <c r="L1167" s="43">
        <v>0.25080000000000002</v>
      </c>
      <c r="O1167" s="50"/>
    </row>
    <row r="1168" spans="2:15" x14ac:dyDescent="0.2">
      <c r="B1168">
        <v>1153</v>
      </c>
      <c r="C1168" s="48">
        <f t="shared" ca="1" si="72"/>
        <v>0.79435985556480959</v>
      </c>
      <c r="D1168" s="48">
        <f t="shared" ref="D1168:D1231" ca="1" si="73">S0*EXP((μ-0.5*σ*σ)*T+σ*SQRT(T)*$C1168)</f>
        <v>0.7186377279257784</v>
      </c>
      <c r="E1168" s="48">
        <f t="shared" ref="E1168:E1231" ca="1" si="74">MAX(0,CP*(D1168-K))</f>
        <v>0</v>
      </c>
      <c r="F1168" s="17">
        <f t="shared" ref="F1168:F1231" ca="1" si="75">(CP*(D1168-K)&gt;0)*1</f>
        <v>0</v>
      </c>
      <c r="H1168" s="17">
        <v>1153</v>
      </c>
      <c r="I1168" s="43">
        <v>0.66824663659793904</v>
      </c>
      <c r="J1168" s="43">
        <v>1.8858397985299327E-2</v>
      </c>
      <c r="K1168" s="43"/>
      <c r="L1168" s="43">
        <v>0.24879999999999999</v>
      </c>
      <c r="O1168" s="50"/>
    </row>
    <row r="1169" spans="2:15" x14ac:dyDescent="0.2">
      <c r="B1169">
        <v>1154</v>
      </c>
      <c r="C1169" s="48">
        <f t="shared" ref="C1169:C1232" ca="1" si="76">_xlfn.NORM.S.INV(RAND())</f>
        <v>0.47169255557214651</v>
      </c>
      <c r="D1169" s="48">
        <f t="shared" ca="1" si="73"/>
        <v>0.69613696001784209</v>
      </c>
      <c r="E1169" s="48">
        <f t="shared" ca="1" si="74"/>
        <v>0</v>
      </c>
      <c r="F1169" s="17">
        <f t="shared" ca="1" si="75"/>
        <v>0</v>
      </c>
      <c r="H1169" s="17">
        <v>1154</v>
      </c>
      <c r="I1169" s="43">
        <v>0.66838662203861299</v>
      </c>
      <c r="J1169" s="43">
        <v>1.8945475869241134E-2</v>
      </c>
      <c r="K1169" s="43"/>
      <c r="L1169" s="43">
        <v>0.25040000000000001</v>
      </c>
      <c r="O1169" s="50"/>
    </row>
    <row r="1170" spans="2:15" x14ac:dyDescent="0.2">
      <c r="B1170">
        <v>1155</v>
      </c>
      <c r="C1170" s="48">
        <f t="shared" ca="1" si="76"/>
        <v>-1.4525496312196431</v>
      </c>
      <c r="D1170" s="48">
        <f t="shared" ca="1" si="73"/>
        <v>0.57584599447444373</v>
      </c>
      <c r="E1170" s="48">
        <f t="shared" ca="1" si="74"/>
        <v>0</v>
      </c>
      <c r="F1170" s="17">
        <f t="shared" ca="1" si="75"/>
        <v>0</v>
      </c>
      <c r="H1170" s="17">
        <v>1155</v>
      </c>
      <c r="I1170" s="43">
        <v>0.6703985263374882</v>
      </c>
      <c r="J1170" s="43">
        <v>2.0514003169220626E-2</v>
      </c>
      <c r="K1170" s="43"/>
      <c r="L1170" s="43">
        <v>0.2586</v>
      </c>
      <c r="O1170" s="50"/>
    </row>
    <row r="1171" spans="2:15" x14ac:dyDescent="0.2">
      <c r="B1171">
        <v>1156</v>
      </c>
      <c r="C1171" s="48">
        <f t="shared" ca="1" si="76"/>
        <v>4.8838158065798935E-2</v>
      </c>
      <c r="D1171" s="48">
        <f t="shared" ca="1" si="73"/>
        <v>0.66771289115904908</v>
      </c>
      <c r="E1171" s="48">
        <f t="shared" ca="1" si="74"/>
        <v>0</v>
      </c>
      <c r="F1171" s="17">
        <f t="shared" ca="1" si="75"/>
        <v>0</v>
      </c>
      <c r="H1171" s="17">
        <v>1156</v>
      </c>
      <c r="I1171" s="43">
        <v>0.66755938937693238</v>
      </c>
      <c r="J1171" s="43">
        <v>1.8427242838823087E-2</v>
      </c>
      <c r="K1171" s="43"/>
      <c r="L1171" s="43">
        <v>0.246</v>
      </c>
      <c r="O1171" s="50"/>
    </row>
    <row r="1172" spans="2:15" x14ac:dyDescent="0.2">
      <c r="B1172">
        <v>1157</v>
      </c>
      <c r="C1172" s="48">
        <f t="shared" ca="1" si="76"/>
        <v>-1.4516832332231546</v>
      </c>
      <c r="D1172" s="48">
        <f t="shared" ca="1" si="73"/>
        <v>0.57589518302871257</v>
      </c>
      <c r="E1172" s="48">
        <f t="shared" ca="1" si="74"/>
        <v>0</v>
      </c>
      <c r="F1172" s="17">
        <f t="shared" ca="1" si="75"/>
        <v>0</v>
      </c>
      <c r="H1172" s="17">
        <v>1157</v>
      </c>
      <c r="I1172" s="43">
        <v>0.66930586636367184</v>
      </c>
      <c r="J1172" s="43">
        <v>1.981461968194035E-2</v>
      </c>
      <c r="K1172" s="43"/>
      <c r="L1172" s="43">
        <v>0.25879999999999997</v>
      </c>
      <c r="O1172" s="50"/>
    </row>
    <row r="1173" spans="2:15" x14ac:dyDescent="0.2">
      <c r="B1173">
        <v>1158</v>
      </c>
      <c r="C1173" s="48">
        <f t="shared" ca="1" si="76"/>
        <v>-0.31105404196558034</v>
      </c>
      <c r="D1173" s="48">
        <f t="shared" ca="1" si="73"/>
        <v>0.64443722471633025</v>
      </c>
      <c r="E1173" s="48">
        <f t="shared" ca="1" si="74"/>
        <v>0</v>
      </c>
      <c r="F1173" s="17">
        <f t="shared" ca="1" si="75"/>
        <v>0</v>
      </c>
      <c r="H1173" s="17">
        <v>1158</v>
      </c>
      <c r="I1173" s="43">
        <v>0.66732646766871195</v>
      </c>
      <c r="J1173" s="43">
        <v>1.8003552031961755E-2</v>
      </c>
      <c r="K1173" s="43"/>
      <c r="L1173" s="43">
        <v>0.24</v>
      </c>
      <c r="O1173" s="50"/>
    </row>
    <row r="1174" spans="2:15" x14ac:dyDescent="0.2">
      <c r="B1174">
        <v>1159</v>
      </c>
      <c r="C1174" s="48">
        <f t="shared" ca="1" si="76"/>
        <v>-6.8711462973378601E-2</v>
      </c>
      <c r="D1174" s="48">
        <f t="shared" ca="1" si="73"/>
        <v>0.66001948531087784</v>
      </c>
      <c r="E1174" s="48">
        <f t="shared" ca="1" si="74"/>
        <v>0</v>
      </c>
      <c r="F1174" s="17">
        <f t="shared" ca="1" si="75"/>
        <v>0</v>
      </c>
      <c r="H1174" s="17">
        <v>1159</v>
      </c>
      <c r="I1174" s="43">
        <v>0.66872211814019544</v>
      </c>
      <c r="J1174" s="43">
        <v>1.9094594138746139E-2</v>
      </c>
      <c r="K1174" s="43"/>
      <c r="L1174" s="43">
        <v>0.25380000000000003</v>
      </c>
      <c r="O1174" s="50"/>
    </row>
    <row r="1175" spans="2:15" x14ac:dyDescent="0.2">
      <c r="B1175">
        <v>1160</v>
      </c>
      <c r="C1175" s="48">
        <f t="shared" ca="1" si="76"/>
        <v>-0.37738678789699964</v>
      </c>
      <c r="D1175" s="48">
        <f t="shared" ca="1" si="73"/>
        <v>0.64023662752411969</v>
      </c>
      <c r="E1175" s="48">
        <f t="shared" ca="1" si="74"/>
        <v>0</v>
      </c>
      <c r="F1175" s="17">
        <f t="shared" ca="1" si="75"/>
        <v>0</v>
      </c>
      <c r="H1175" s="17">
        <v>1160</v>
      </c>
      <c r="I1175" s="43">
        <v>0.6694255574609651</v>
      </c>
      <c r="J1175" s="43">
        <v>1.9681456902795977E-2</v>
      </c>
      <c r="K1175" s="43"/>
      <c r="L1175" s="43">
        <v>0.25240000000000001</v>
      </c>
      <c r="O1175" s="50"/>
    </row>
    <row r="1176" spans="2:15" x14ac:dyDescent="0.2">
      <c r="B1176">
        <v>1161</v>
      </c>
      <c r="C1176" s="48">
        <f t="shared" ca="1" si="76"/>
        <v>-0.99444748436883423</v>
      </c>
      <c r="D1176" s="48">
        <f t="shared" ca="1" si="73"/>
        <v>0.60244922369211795</v>
      </c>
      <c r="E1176" s="48">
        <f t="shared" ca="1" si="74"/>
        <v>0</v>
      </c>
      <c r="F1176" s="17">
        <f t="shared" ca="1" si="75"/>
        <v>0</v>
      </c>
      <c r="H1176" s="17">
        <v>1161</v>
      </c>
      <c r="I1176" s="43">
        <v>0.6676404524372419</v>
      </c>
      <c r="J1176" s="43">
        <v>1.8187490538666529E-2</v>
      </c>
      <c r="K1176" s="43"/>
      <c r="L1176" s="43">
        <v>0.2432</v>
      </c>
      <c r="O1176" s="50"/>
    </row>
    <row r="1177" spans="2:15" x14ac:dyDescent="0.2">
      <c r="B1177">
        <v>1162</v>
      </c>
      <c r="C1177" s="48">
        <f t="shared" ca="1" si="76"/>
        <v>4.76531179747671E-3</v>
      </c>
      <c r="D1177" s="48">
        <f t="shared" ca="1" si="73"/>
        <v>0.66481795220326401</v>
      </c>
      <c r="E1177" s="48">
        <f t="shared" ca="1" si="74"/>
        <v>0</v>
      </c>
      <c r="F1177" s="17">
        <f t="shared" ca="1" si="75"/>
        <v>0</v>
      </c>
      <c r="H1177" s="17">
        <v>1162</v>
      </c>
      <c r="I1177" s="43">
        <v>0.66819251540093672</v>
      </c>
      <c r="J1177" s="43">
        <v>1.9056797590115401E-2</v>
      </c>
      <c r="K1177" s="43"/>
      <c r="L1177" s="43">
        <v>0.249</v>
      </c>
      <c r="O1177" s="50"/>
    </row>
    <row r="1178" spans="2:15" x14ac:dyDescent="0.2">
      <c r="B1178">
        <v>1163</v>
      </c>
      <c r="C1178" s="48">
        <f t="shared" ca="1" si="76"/>
        <v>1.9227452494360893</v>
      </c>
      <c r="D1178" s="48">
        <f t="shared" ca="1" si="73"/>
        <v>0.80319862429991729</v>
      </c>
      <c r="E1178" s="48">
        <f t="shared" ca="1" si="74"/>
        <v>1.4998624299917274E-2</v>
      </c>
      <c r="F1178" s="17">
        <f t="shared" ca="1" si="75"/>
        <v>1</v>
      </c>
      <c r="H1178" s="17">
        <v>1163</v>
      </c>
      <c r="I1178" s="43">
        <v>0.66784598501214087</v>
      </c>
      <c r="J1178" s="43">
        <v>1.833718860652429E-2</v>
      </c>
      <c r="K1178" s="43"/>
      <c r="L1178" s="43">
        <v>0.2452</v>
      </c>
      <c r="O1178" s="50"/>
    </row>
    <row r="1179" spans="2:15" x14ac:dyDescent="0.2">
      <c r="B1179">
        <v>1164</v>
      </c>
      <c r="C1179" s="48">
        <f t="shared" ca="1" si="76"/>
        <v>1.6578787445662582</v>
      </c>
      <c r="D1179" s="48">
        <f t="shared" ca="1" si="73"/>
        <v>0.7824965532616952</v>
      </c>
      <c r="E1179" s="48">
        <f t="shared" ca="1" si="74"/>
        <v>0</v>
      </c>
      <c r="F1179" s="17">
        <f t="shared" ca="1" si="75"/>
        <v>0</v>
      </c>
      <c r="H1179" s="17">
        <v>1164</v>
      </c>
      <c r="I1179" s="43">
        <v>0.66894305932253917</v>
      </c>
      <c r="J1179" s="43">
        <v>1.9605943814034167E-2</v>
      </c>
      <c r="K1179" s="43"/>
      <c r="L1179" s="43">
        <v>0.24979999999999999</v>
      </c>
      <c r="O1179" s="50"/>
    </row>
    <row r="1180" spans="2:15" x14ac:dyDescent="0.2">
      <c r="B1180">
        <v>1165</v>
      </c>
      <c r="C1180" s="48">
        <f t="shared" ca="1" si="76"/>
        <v>-1.9649288222694239</v>
      </c>
      <c r="D1180" s="48">
        <f t="shared" ca="1" si="73"/>
        <v>0.54748008480700683</v>
      </c>
      <c r="E1180" s="48">
        <f t="shared" ca="1" si="74"/>
        <v>0</v>
      </c>
      <c r="F1180" s="17">
        <f t="shared" ca="1" si="75"/>
        <v>0</v>
      </c>
      <c r="H1180" s="17">
        <v>1165</v>
      </c>
      <c r="I1180" s="43">
        <v>0.66886336520821343</v>
      </c>
      <c r="J1180" s="43">
        <v>1.915465455442146E-2</v>
      </c>
      <c r="K1180" s="43"/>
      <c r="L1180" s="43">
        <v>0.2452</v>
      </c>
      <c r="O1180" s="50"/>
    </row>
    <row r="1181" spans="2:15" x14ac:dyDescent="0.2">
      <c r="B1181">
        <v>1166</v>
      </c>
      <c r="C1181" s="48">
        <f t="shared" ca="1" si="76"/>
        <v>0.21730838428402302</v>
      </c>
      <c r="D1181" s="48">
        <f t="shared" ca="1" si="73"/>
        <v>0.67889558004458361</v>
      </c>
      <c r="E1181" s="48">
        <f t="shared" ca="1" si="74"/>
        <v>0</v>
      </c>
      <c r="F1181" s="17">
        <f t="shared" ca="1" si="75"/>
        <v>0</v>
      </c>
      <c r="H1181" s="17">
        <v>1166</v>
      </c>
      <c r="I1181" s="43">
        <v>0.66886914567091882</v>
      </c>
      <c r="J1181" s="43">
        <v>1.9294956759502008E-2</v>
      </c>
      <c r="K1181" s="43"/>
      <c r="L1181" s="43">
        <v>0.252</v>
      </c>
      <c r="O1181" s="50"/>
    </row>
    <row r="1182" spans="2:15" x14ac:dyDescent="0.2">
      <c r="B1182">
        <v>1167</v>
      </c>
      <c r="C1182" s="48">
        <f t="shared" ca="1" si="76"/>
        <v>0.11408623373231731</v>
      </c>
      <c r="D1182" s="48">
        <f t="shared" ca="1" si="73"/>
        <v>0.6720218938833743</v>
      </c>
      <c r="E1182" s="48">
        <f t="shared" ca="1" si="74"/>
        <v>0</v>
      </c>
      <c r="F1182" s="17">
        <f t="shared" ca="1" si="75"/>
        <v>0</v>
      </c>
      <c r="H1182" s="17">
        <v>1167</v>
      </c>
      <c r="I1182" s="43">
        <v>0.66946024715619445</v>
      </c>
      <c r="J1182" s="43">
        <v>1.981802927194912E-2</v>
      </c>
      <c r="K1182" s="43"/>
      <c r="L1182" s="43">
        <v>0.25559999999999999</v>
      </c>
      <c r="O1182" s="50"/>
    </row>
    <row r="1183" spans="2:15" x14ac:dyDescent="0.2">
      <c r="B1183">
        <v>1168</v>
      </c>
      <c r="C1183" s="48">
        <f t="shared" ca="1" si="76"/>
        <v>-1.3299341998476417</v>
      </c>
      <c r="D1183" s="48">
        <f t="shared" ca="1" si="73"/>
        <v>0.58284926328182107</v>
      </c>
      <c r="E1183" s="48">
        <f t="shared" ca="1" si="74"/>
        <v>0</v>
      </c>
      <c r="F1183" s="17">
        <f t="shared" ca="1" si="75"/>
        <v>0</v>
      </c>
      <c r="H1183" s="17">
        <v>1168</v>
      </c>
      <c r="I1183" s="43">
        <v>0.66999211563056704</v>
      </c>
      <c r="J1183" s="43">
        <v>1.9992358468261921E-2</v>
      </c>
      <c r="K1183" s="43"/>
      <c r="L1183" s="43">
        <v>0.25059999999999999</v>
      </c>
      <c r="O1183" s="50"/>
    </row>
    <row r="1184" spans="2:15" x14ac:dyDescent="0.2">
      <c r="B1184">
        <v>1169</v>
      </c>
      <c r="C1184" s="48">
        <f t="shared" ca="1" si="76"/>
        <v>-1.5417822369063641</v>
      </c>
      <c r="D1184" s="48">
        <f t="shared" ca="1" si="73"/>
        <v>0.57080236986718769</v>
      </c>
      <c r="E1184" s="48">
        <f t="shared" ca="1" si="74"/>
        <v>0</v>
      </c>
      <c r="F1184" s="17">
        <f t="shared" ca="1" si="75"/>
        <v>0</v>
      </c>
      <c r="H1184" s="17">
        <v>1169</v>
      </c>
      <c r="I1184" s="43">
        <v>0.66884008658982708</v>
      </c>
      <c r="J1184" s="43">
        <v>1.927865395855715E-2</v>
      </c>
      <c r="K1184" s="43"/>
      <c r="L1184" s="43">
        <v>0.25319999999999998</v>
      </c>
      <c r="O1184" s="50"/>
    </row>
    <row r="1185" spans="2:15" x14ac:dyDescent="0.2">
      <c r="B1185">
        <v>1170</v>
      </c>
      <c r="C1185" s="48">
        <f t="shared" ca="1" si="76"/>
        <v>-0.23477394659951981</v>
      </c>
      <c r="D1185" s="48">
        <f t="shared" ca="1" si="73"/>
        <v>0.64930182985243712</v>
      </c>
      <c r="E1185" s="48">
        <f t="shared" ca="1" si="74"/>
        <v>0</v>
      </c>
      <c r="F1185" s="17">
        <f t="shared" ca="1" si="75"/>
        <v>0</v>
      </c>
      <c r="H1185" s="17">
        <v>1170</v>
      </c>
      <c r="I1185" s="43">
        <v>0.66816303685544798</v>
      </c>
      <c r="J1185" s="43">
        <v>1.8889491595079654E-2</v>
      </c>
      <c r="K1185" s="43"/>
      <c r="L1185" s="43">
        <v>0.24740000000000001</v>
      </c>
      <c r="O1185" s="50"/>
    </row>
    <row r="1186" spans="2:15" x14ac:dyDescent="0.2">
      <c r="B1186">
        <v>1171</v>
      </c>
      <c r="C1186" s="48">
        <f t="shared" ca="1" si="76"/>
        <v>-0.90535528894432138</v>
      </c>
      <c r="D1186" s="48">
        <f t="shared" ca="1" si="73"/>
        <v>0.60776406757472834</v>
      </c>
      <c r="E1186" s="48">
        <f t="shared" ca="1" si="74"/>
        <v>0</v>
      </c>
      <c r="F1186" s="17">
        <f t="shared" ca="1" si="75"/>
        <v>0</v>
      </c>
      <c r="H1186" s="17">
        <v>1171</v>
      </c>
      <c r="I1186" s="43">
        <v>0.66785896156532121</v>
      </c>
      <c r="J1186" s="43">
        <v>1.8486151002470981E-2</v>
      </c>
      <c r="K1186" s="43"/>
      <c r="L1186" s="43">
        <v>0.24679999999999999</v>
      </c>
      <c r="O1186" s="50"/>
    </row>
    <row r="1187" spans="2:15" x14ac:dyDescent="0.2">
      <c r="B1187">
        <v>1172</v>
      </c>
      <c r="C1187" s="48">
        <f t="shared" ca="1" si="76"/>
        <v>-1.4474189325850018</v>
      </c>
      <c r="D1187" s="48">
        <f t="shared" ca="1" si="73"/>
        <v>0.57613734406988948</v>
      </c>
      <c r="E1187" s="48">
        <f t="shared" ca="1" si="74"/>
        <v>0</v>
      </c>
      <c r="F1187" s="17">
        <f t="shared" ca="1" si="75"/>
        <v>0</v>
      </c>
      <c r="H1187" s="17">
        <v>1172</v>
      </c>
      <c r="I1187" s="43">
        <v>0.66951444726950415</v>
      </c>
      <c r="J1187" s="43">
        <v>1.9694823409721035E-2</v>
      </c>
      <c r="K1187" s="43"/>
      <c r="L1187" s="43">
        <v>0.24479999999999999</v>
      </c>
      <c r="O1187" s="50"/>
    </row>
    <row r="1188" spans="2:15" x14ac:dyDescent="0.2">
      <c r="B1188">
        <v>1173</v>
      </c>
      <c r="C1188" s="48">
        <f t="shared" ca="1" si="76"/>
        <v>1.1382326274964021</v>
      </c>
      <c r="D1188" s="48">
        <f t="shared" ca="1" si="73"/>
        <v>0.74341833538454627</v>
      </c>
      <c r="E1188" s="48">
        <f t="shared" ca="1" si="74"/>
        <v>0</v>
      </c>
      <c r="F1188" s="17">
        <f t="shared" ca="1" si="75"/>
        <v>0</v>
      </c>
      <c r="H1188" s="17">
        <v>1173</v>
      </c>
      <c r="I1188" s="43">
        <v>0.66829092698219505</v>
      </c>
      <c r="J1188" s="43">
        <v>1.896073958209523E-2</v>
      </c>
      <c r="K1188" s="43"/>
      <c r="L1188" s="43">
        <v>0.2462</v>
      </c>
      <c r="O1188" s="50"/>
    </row>
    <row r="1189" spans="2:15" x14ac:dyDescent="0.2">
      <c r="B1189">
        <v>1174</v>
      </c>
      <c r="C1189" s="48">
        <f t="shared" ca="1" si="76"/>
        <v>-2.7243415220886891</v>
      </c>
      <c r="D1189" s="48">
        <f t="shared" ca="1" si="73"/>
        <v>0.50798783969389361</v>
      </c>
      <c r="E1189" s="48">
        <f t="shared" ca="1" si="74"/>
        <v>0</v>
      </c>
      <c r="F1189" s="17">
        <f t="shared" ca="1" si="75"/>
        <v>0</v>
      </c>
      <c r="H1189" s="17">
        <v>1174</v>
      </c>
      <c r="I1189" s="43">
        <v>0.67003461023843824</v>
      </c>
      <c r="J1189" s="43">
        <v>2.0218232405743872E-2</v>
      </c>
      <c r="K1189" s="43"/>
      <c r="L1189" s="43">
        <v>0.25679999999999997</v>
      </c>
      <c r="O1189" s="50"/>
    </row>
    <row r="1190" spans="2:15" x14ac:dyDescent="0.2">
      <c r="B1190">
        <v>1175</v>
      </c>
      <c r="C1190" s="48">
        <f t="shared" ca="1" si="76"/>
        <v>0.23499493750295836</v>
      </c>
      <c r="D1190" s="48">
        <f t="shared" ca="1" si="73"/>
        <v>0.68008038427357342</v>
      </c>
      <c r="E1190" s="48">
        <f t="shared" ca="1" si="74"/>
        <v>0</v>
      </c>
      <c r="F1190" s="17">
        <f t="shared" ca="1" si="75"/>
        <v>0</v>
      </c>
      <c r="H1190" s="17">
        <v>1175</v>
      </c>
      <c r="I1190" s="43">
        <v>0.66844624963161137</v>
      </c>
      <c r="J1190" s="43">
        <v>1.8869472301101427E-2</v>
      </c>
      <c r="K1190" s="43"/>
      <c r="L1190" s="43">
        <v>0.24399999999999999</v>
      </c>
      <c r="O1190" s="50"/>
    </row>
    <row r="1191" spans="2:15" x14ac:dyDescent="0.2">
      <c r="B1191">
        <v>1176</v>
      </c>
      <c r="C1191" s="48">
        <f t="shared" ca="1" si="76"/>
        <v>0.12701571655792204</v>
      </c>
      <c r="D1191" s="48">
        <f t="shared" ca="1" si="73"/>
        <v>0.67287905629904388</v>
      </c>
      <c r="E1191" s="48">
        <f t="shared" ca="1" si="74"/>
        <v>0</v>
      </c>
      <c r="F1191" s="17">
        <f t="shared" ca="1" si="75"/>
        <v>0</v>
      </c>
      <c r="H1191" s="17">
        <v>1176</v>
      </c>
      <c r="I1191" s="43">
        <v>0.66932455726848483</v>
      </c>
      <c r="J1191" s="43">
        <v>1.9315718573098287E-2</v>
      </c>
      <c r="K1191" s="43"/>
      <c r="L1191" s="43">
        <v>0.24759999999999999</v>
      </c>
      <c r="O1191" s="50"/>
    </row>
    <row r="1192" spans="2:15" x14ac:dyDescent="0.2">
      <c r="B1192">
        <v>1177</v>
      </c>
      <c r="C1192" s="48">
        <f t="shared" ca="1" si="76"/>
        <v>0.67018929916793257</v>
      </c>
      <c r="D1192" s="48">
        <f t="shared" ca="1" si="73"/>
        <v>0.70989403634558956</v>
      </c>
      <c r="E1192" s="48">
        <f t="shared" ca="1" si="74"/>
        <v>0</v>
      </c>
      <c r="F1192" s="17">
        <f t="shared" ca="1" si="75"/>
        <v>0</v>
      </c>
      <c r="H1192" s="17">
        <v>1177</v>
      </c>
      <c r="I1192" s="43">
        <v>0.66900745359767666</v>
      </c>
      <c r="J1192" s="43">
        <v>1.9219717413913994E-2</v>
      </c>
      <c r="K1192" s="43"/>
      <c r="L1192" s="43">
        <v>0.25180000000000002</v>
      </c>
      <c r="O1192" s="50"/>
    </row>
    <row r="1193" spans="2:15" x14ac:dyDescent="0.2">
      <c r="B1193">
        <v>1178</v>
      </c>
      <c r="C1193" s="48">
        <f t="shared" ca="1" si="76"/>
        <v>-0.34138440650625135</v>
      </c>
      <c r="D1193" s="48">
        <f t="shared" ca="1" si="73"/>
        <v>0.64251311063110494</v>
      </c>
      <c r="E1193" s="48">
        <f t="shared" ca="1" si="74"/>
        <v>0</v>
      </c>
      <c r="F1193" s="17">
        <f t="shared" ca="1" si="75"/>
        <v>0</v>
      </c>
      <c r="H1193" s="17">
        <v>1178</v>
      </c>
      <c r="I1193" s="43">
        <v>0.67062160087431488</v>
      </c>
      <c r="J1193" s="43">
        <v>2.0286365216012542E-2</v>
      </c>
      <c r="K1193" s="43"/>
      <c r="L1193" s="43">
        <v>0.25</v>
      </c>
      <c r="O1193" s="50"/>
    </row>
    <row r="1194" spans="2:15" x14ac:dyDescent="0.2">
      <c r="B1194">
        <v>1179</v>
      </c>
      <c r="C1194" s="48">
        <f t="shared" ca="1" si="76"/>
        <v>-0.32399155876250196</v>
      </c>
      <c r="D1194" s="48">
        <f t="shared" ca="1" si="73"/>
        <v>0.64361578380464446</v>
      </c>
      <c r="E1194" s="48">
        <f t="shared" ca="1" si="74"/>
        <v>0</v>
      </c>
      <c r="F1194" s="17">
        <f t="shared" ca="1" si="75"/>
        <v>0</v>
      </c>
      <c r="H1194" s="17">
        <v>1179</v>
      </c>
      <c r="I1194" s="43">
        <v>0.66991076289099694</v>
      </c>
      <c r="J1194" s="43">
        <v>2.0300017618604147E-2</v>
      </c>
      <c r="K1194" s="43"/>
      <c r="L1194" s="43">
        <v>0.255</v>
      </c>
      <c r="O1194" s="50"/>
    </row>
    <row r="1195" spans="2:15" x14ac:dyDescent="0.2">
      <c r="B1195">
        <v>1180</v>
      </c>
      <c r="C1195" s="48">
        <f t="shared" ca="1" si="76"/>
        <v>-1.8337205221550059</v>
      </c>
      <c r="D1195" s="48">
        <f t="shared" ca="1" si="73"/>
        <v>0.55460801257661874</v>
      </c>
      <c r="E1195" s="48">
        <f t="shared" ca="1" si="74"/>
        <v>0</v>
      </c>
      <c r="F1195" s="17">
        <f t="shared" ca="1" si="75"/>
        <v>0</v>
      </c>
      <c r="H1195" s="17">
        <v>1180</v>
      </c>
      <c r="I1195" s="43">
        <v>0.66861491578984855</v>
      </c>
      <c r="J1195" s="43">
        <v>1.9173297135501192E-2</v>
      </c>
      <c r="K1195" s="43"/>
      <c r="L1195" s="43">
        <v>0.247</v>
      </c>
      <c r="O1195" s="50"/>
    </row>
    <row r="1196" spans="2:15" x14ac:dyDescent="0.2">
      <c r="B1196">
        <v>1181</v>
      </c>
      <c r="C1196" s="48">
        <f t="shared" ca="1" si="76"/>
        <v>1.150718394975651</v>
      </c>
      <c r="D1196" s="48">
        <f t="shared" ca="1" si="73"/>
        <v>0.74433400236655689</v>
      </c>
      <c r="E1196" s="48">
        <f t="shared" ca="1" si="74"/>
        <v>0</v>
      </c>
      <c r="F1196" s="17">
        <f t="shared" ca="1" si="75"/>
        <v>0</v>
      </c>
      <c r="H1196" s="17">
        <v>1181</v>
      </c>
      <c r="I1196" s="43">
        <v>0.66941007925471996</v>
      </c>
      <c r="J1196" s="43">
        <v>1.9841059849334281E-2</v>
      </c>
      <c r="K1196" s="43"/>
      <c r="L1196" s="43">
        <v>0.2482</v>
      </c>
      <c r="O1196" s="50"/>
    </row>
    <row r="1197" spans="2:15" x14ac:dyDescent="0.2">
      <c r="B1197">
        <v>1182</v>
      </c>
      <c r="C1197" s="48">
        <f t="shared" ca="1" si="76"/>
        <v>0.53914123263609359</v>
      </c>
      <c r="D1197" s="48">
        <f t="shared" ca="1" si="73"/>
        <v>0.70078141320654541</v>
      </c>
      <c r="E1197" s="48">
        <f t="shared" ca="1" si="74"/>
        <v>0</v>
      </c>
      <c r="F1197" s="17">
        <f t="shared" ca="1" si="75"/>
        <v>0</v>
      </c>
      <c r="H1197" s="17">
        <v>1182</v>
      </c>
      <c r="I1197" s="43">
        <v>0.67002075628217428</v>
      </c>
      <c r="J1197" s="43">
        <v>2.0252894103245284E-2</v>
      </c>
      <c r="K1197" s="43"/>
      <c r="L1197" s="43">
        <v>0.25259999999999999</v>
      </c>
      <c r="O1197" s="50"/>
    </row>
    <row r="1198" spans="2:15" x14ac:dyDescent="0.2">
      <c r="B1198">
        <v>1183</v>
      </c>
      <c r="C1198" s="48">
        <f t="shared" ca="1" si="76"/>
        <v>0.44685781636148336</v>
      </c>
      <c r="D1198" s="48">
        <f t="shared" ca="1" si="73"/>
        <v>0.69443462723296989</v>
      </c>
      <c r="E1198" s="48">
        <f t="shared" ca="1" si="74"/>
        <v>0</v>
      </c>
      <c r="F1198" s="17">
        <f t="shared" ca="1" si="75"/>
        <v>0</v>
      </c>
      <c r="H1198" s="17">
        <v>1183</v>
      </c>
      <c r="I1198" s="43">
        <v>0.66925154700279343</v>
      </c>
      <c r="J1198" s="43">
        <v>1.9705178702229879E-2</v>
      </c>
      <c r="K1198" s="43"/>
      <c r="L1198" s="43">
        <v>0.245</v>
      </c>
      <c r="O1198" s="50"/>
    </row>
    <row r="1199" spans="2:15" x14ac:dyDescent="0.2">
      <c r="B1199">
        <v>1184</v>
      </c>
      <c r="C1199" s="48">
        <f t="shared" ca="1" si="76"/>
        <v>0.53771374061433352</v>
      </c>
      <c r="D1199" s="48">
        <f t="shared" ca="1" si="73"/>
        <v>0.70068279719692117</v>
      </c>
      <c r="E1199" s="48">
        <f t="shared" ca="1" si="74"/>
        <v>0</v>
      </c>
      <c r="F1199" s="17">
        <f t="shared" ca="1" si="75"/>
        <v>0</v>
      </c>
      <c r="H1199" s="17">
        <v>1184</v>
      </c>
      <c r="I1199" s="43">
        <v>0.66870256626884195</v>
      </c>
      <c r="J1199" s="43">
        <v>1.9109422028169887E-2</v>
      </c>
      <c r="K1199" s="43"/>
      <c r="L1199" s="43">
        <v>0.2442</v>
      </c>
      <c r="O1199" s="50"/>
    </row>
    <row r="1200" spans="2:15" x14ac:dyDescent="0.2">
      <c r="B1200">
        <v>1185</v>
      </c>
      <c r="C1200" s="48">
        <f t="shared" ca="1" si="76"/>
        <v>-1.2696218860079902</v>
      </c>
      <c r="D1200" s="48">
        <f t="shared" ca="1" si="73"/>
        <v>0.58632523127033453</v>
      </c>
      <c r="E1200" s="48">
        <f t="shared" ca="1" si="74"/>
        <v>0</v>
      </c>
      <c r="F1200" s="17">
        <f t="shared" ca="1" si="75"/>
        <v>0</v>
      </c>
      <c r="H1200" s="17">
        <v>1185</v>
      </c>
      <c r="I1200" s="43">
        <v>0.66872556976443576</v>
      </c>
      <c r="J1200" s="43">
        <v>1.9043875828302286E-2</v>
      </c>
      <c r="K1200" s="43"/>
      <c r="L1200" s="43">
        <v>0.24779999999999999</v>
      </c>
      <c r="O1200" s="50"/>
    </row>
    <row r="1201" spans="2:15" x14ac:dyDescent="0.2">
      <c r="B1201">
        <v>1186</v>
      </c>
      <c r="C1201" s="48">
        <f t="shared" ca="1" si="76"/>
        <v>0.96333363203088029</v>
      </c>
      <c r="D1201" s="48">
        <f t="shared" ca="1" si="73"/>
        <v>0.73070956752902416</v>
      </c>
      <c r="E1201" s="48">
        <f t="shared" ca="1" si="74"/>
        <v>0</v>
      </c>
      <c r="F1201" s="17">
        <f t="shared" ca="1" si="75"/>
        <v>0</v>
      </c>
      <c r="H1201" s="17">
        <v>1186</v>
      </c>
      <c r="I1201" s="43">
        <v>0.66858584038552349</v>
      </c>
      <c r="J1201" s="43">
        <v>1.9287578693798057E-2</v>
      </c>
      <c r="K1201" s="43"/>
      <c r="L1201" s="43">
        <v>0.25219999999999998</v>
      </c>
      <c r="O1201" s="50"/>
    </row>
    <row r="1202" spans="2:15" x14ac:dyDescent="0.2">
      <c r="B1202">
        <v>1187</v>
      </c>
      <c r="C1202" s="48">
        <f t="shared" ca="1" si="76"/>
        <v>1.0706028501616205</v>
      </c>
      <c r="D1202" s="48">
        <f t="shared" ca="1" si="73"/>
        <v>0.73847811944458008</v>
      </c>
      <c r="E1202" s="48">
        <f t="shared" ca="1" si="74"/>
        <v>0</v>
      </c>
      <c r="F1202" s="17">
        <f t="shared" ca="1" si="75"/>
        <v>0</v>
      </c>
      <c r="H1202" s="17">
        <v>1187</v>
      </c>
      <c r="I1202" s="43">
        <v>0.66959942978210851</v>
      </c>
      <c r="J1202" s="43">
        <v>1.965543105619651E-2</v>
      </c>
      <c r="K1202" s="43"/>
      <c r="L1202" s="43">
        <v>0.25440000000000002</v>
      </c>
      <c r="O1202" s="50"/>
    </row>
    <row r="1203" spans="2:15" x14ac:dyDescent="0.2">
      <c r="B1203">
        <v>1188</v>
      </c>
      <c r="C1203" s="48">
        <f t="shared" ca="1" si="76"/>
        <v>1.0356813194685395</v>
      </c>
      <c r="D1203" s="48">
        <f t="shared" ca="1" si="73"/>
        <v>0.73594003984350065</v>
      </c>
      <c r="E1203" s="48">
        <f t="shared" ca="1" si="74"/>
        <v>0</v>
      </c>
      <c r="F1203" s="17">
        <f t="shared" ca="1" si="75"/>
        <v>0</v>
      </c>
      <c r="H1203" s="17">
        <v>1188</v>
      </c>
      <c r="I1203" s="43">
        <v>0.66810887946745101</v>
      </c>
      <c r="J1203" s="43">
        <v>1.8718805003088538E-2</v>
      </c>
      <c r="K1203" s="43"/>
      <c r="L1203" s="43">
        <v>0.24660000000000001</v>
      </c>
      <c r="O1203" s="50"/>
    </row>
    <row r="1204" spans="2:15" x14ac:dyDescent="0.2">
      <c r="B1204">
        <v>1189</v>
      </c>
      <c r="C1204" s="48">
        <f t="shared" ca="1" si="76"/>
        <v>-0.73654113869000637</v>
      </c>
      <c r="D1204" s="48">
        <f t="shared" ca="1" si="73"/>
        <v>0.61796370121513278</v>
      </c>
      <c r="E1204" s="48">
        <f t="shared" ca="1" si="74"/>
        <v>0</v>
      </c>
      <c r="F1204" s="17">
        <f t="shared" ca="1" si="75"/>
        <v>0</v>
      </c>
      <c r="H1204" s="17">
        <v>1189</v>
      </c>
      <c r="I1204" s="43">
        <v>0.66878805583627221</v>
      </c>
      <c r="J1204" s="43">
        <v>1.9221305962652976E-2</v>
      </c>
      <c r="K1204" s="43"/>
      <c r="L1204" s="43">
        <v>0.2482</v>
      </c>
      <c r="O1204" s="50"/>
    </row>
    <row r="1205" spans="2:15" x14ac:dyDescent="0.2">
      <c r="B1205">
        <v>1190</v>
      </c>
      <c r="C1205" s="48">
        <f t="shared" ca="1" si="76"/>
        <v>1.7543781546650796</v>
      </c>
      <c r="D1205" s="48">
        <f t="shared" ca="1" si="73"/>
        <v>0.78997646217384898</v>
      </c>
      <c r="E1205" s="48">
        <f t="shared" ca="1" si="74"/>
        <v>1.7764621738489694E-3</v>
      </c>
      <c r="F1205" s="17">
        <f t="shared" ca="1" si="75"/>
        <v>1</v>
      </c>
      <c r="H1205" s="17">
        <v>1190</v>
      </c>
      <c r="I1205" s="43">
        <v>0.66984174586546918</v>
      </c>
      <c r="J1205" s="43">
        <v>1.9943894234966227E-2</v>
      </c>
      <c r="K1205" s="43"/>
      <c r="L1205" s="43">
        <v>0.25619999999999998</v>
      </c>
      <c r="O1205" s="50"/>
    </row>
    <row r="1206" spans="2:15" x14ac:dyDescent="0.2">
      <c r="B1206">
        <v>1191</v>
      </c>
      <c r="C1206" s="48">
        <f t="shared" ca="1" si="76"/>
        <v>0.24244499681493581</v>
      </c>
      <c r="D1206" s="48">
        <f t="shared" ca="1" si="73"/>
        <v>0.68058007489692174</v>
      </c>
      <c r="E1206" s="48">
        <f t="shared" ca="1" si="74"/>
        <v>0</v>
      </c>
      <c r="F1206" s="17">
        <f t="shared" ca="1" si="75"/>
        <v>0</v>
      </c>
      <c r="H1206" s="17">
        <v>1191</v>
      </c>
      <c r="I1206" s="43">
        <v>0.66955557185415782</v>
      </c>
      <c r="J1206" s="43">
        <v>1.9785685870220868E-2</v>
      </c>
      <c r="K1206" s="43"/>
      <c r="L1206" s="43">
        <v>0.252</v>
      </c>
      <c r="O1206" s="50"/>
    </row>
    <row r="1207" spans="2:15" x14ac:dyDescent="0.2">
      <c r="B1207">
        <v>1192</v>
      </c>
      <c r="C1207" s="48">
        <f t="shared" ca="1" si="76"/>
        <v>1.0840563342438967</v>
      </c>
      <c r="D1207" s="48">
        <f t="shared" ca="1" si="73"/>
        <v>0.73945824602189292</v>
      </c>
      <c r="E1207" s="48">
        <f t="shared" ca="1" si="74"/>
        <v>0</v>
      </c>
      <c r="F1207" s="17">
        <f t="shared" ca="1" si="75"/>
        <v>0</v>
      </c>
      <c r="H1207" s="17">
        <v>1192</v>
      </c>
      <c r="I1207" s="43">
        <v>0.66851294449780352</v>
      </c>
      <c r="J1207" s="43">
        <v>1.8796938557370621E-2</v>
      </c>
      <c r="K1207" s="43"/>
      <c r="L1207" s="43">
        <v>0.23899999999999999</v>
      </c>
      <c r="O1207" s="50"/>
    </row>
    <row r="1208" spans="2:15" x14ac:dyDescent="0.2">
      <c r="B1208">
        <v>1193</v>
      </c>
      <c r="C1208" s="48">
        <f t="shared" ca="1" si="76"/>
        <v>-0.20261618460364689</v>
      </c>
      <c r="D1208" s="48">
        <f t="shared" ca="1" si="73"/>
        <v>0.65136361202016424</v>
      </c>
      <c r="E1208" s="48">
        <f t="shared" ca="1" si="74"/>
        <v>0</v>
      </c>
      <c r="F1208" s="17">
        <f t="shared" ca="1" si="75"/>
        <v>0</v>
      </c>
      <c r="H1208" s="17">
        <v>1193</v>
      </c>
      <c r="I1208" s="43">
        <v>0.66817031461628662</v>
      </c>
      <c r="J1208" s="43">
        <v>1.8904571115512459E-2</v>
      </c>
      <c r="K1208" s="43"/>
      <c r="L1208" s="43">
        <v>0.24279999999999999</v>
      </c>
      <c r="O1208" s="50"/>
    </row>
    <row r="1209" spans="2:15" x14ac:dyDescent="0.2">
      <c r="B1209">
        <v>1194</v>
      </c>
      <c r="C1209" s="48">
        <f t="shared" ca="1" si="76"/>
        <v>-1.9042871834459181</v>
      </c>
      <c r="D1209" s="48">
        <f t="shared" ca="1" si="73"/>
        <v>0.55076300132184608</v>
      </c>
      <c r="E1209" s="48">
        <f t="shared" ca="1" si="74"/>
        <v>0</v>
      </c>
      <c r="F1209" s="17">
        <f t="shared" ca="1" si="75"/>
        <v>0</v>
      </c>
      <c r="H1209" s="17">
        <v>1194</v>
      </c>
      <c r="I1209" s="43">
        <v>0.66801244591533326</v>
      </c>
      <c r="J1209" s="43">
        <v>1.8743586790165259E-2</v>
      </c>
      <c r="K1209" s="43"/>
      <c r="L1209" s="43">
        <v>0.24479999999999999</v>
      </c>
      <c r="O1209" s="50"/>
    </row>
    <row r="1210" spans="2:15" x14ac:dyDescent="0.2">
      <c r="B1210">
        <v>1195</v>
      </c>
      <c r="C1210" s="48">
        <f t="shared" ca="1" si="76"/>
        <v>-0.11708572444397038</v>
      </c>
      <c r="D1210" s="48">
        <f t="shared" ca="1" si="73"/>
        <v>0.65687928291298303</v>
      </c>
      <c r="E1210" s="48">
        <f t="shared" ca="1" si="74"/>
        <v>0</v>
      </c>
      <c r="F1210" s="17">
        <f t="shared" ca="1" si="75"/>
        <v>0</v>
      </c>
      <c r="H1210" s="17">
        <v>1195</v>
      </c>
      <c r="I1210" s="43">
        <v>0.66940662540245399</v>
      </c>
      <c r="J1210" s="43">
        <v>1.9822028420795033E-2</v>
      </c>
      <c r="K1210" s="43"/>
      <c r="L1210" s="43">
        <v>0.25719999999999998</v>
      </c>
      <c r="O1210" s="50"/>
    </row>
    <row r="1211" spans="2:15" x14ac:dyDescent="0.2">
      <c r="B1211">
        <v>1196</v>
      </c>
      <c r="C1211" s="48">
        <f t="shared" ca="1" si="76"/>
        <v>1.3759628824754002</v>
      </c>
      <c r="D1211" s="48">
        <f t="shared" ca="1" si="73"/>
        <v>0.76104778335195888</v>
      </c>
      <c r="E1211" s="48">
        <f t="shared" ca="1" si="74"/>
        <v>0</v>
      </c>
      <c r="F1211" s="17">
        <f t="shared" ca="1" si="75"/>
        <v>0</v>
      </c>
      <c r="H1211" s="17">
        <v>1196</v>
      </c>
      <c r="I1211" s="43">
        <v>0.66950915685318446</v>
      </c>
      <c r="J1211" s="43">
        <v>1.9989291295858861E-2</v>
      </c>
      <c r="K1211" s="43"/>
      <c r="L1211" s="43">
        <v>0.25340000000000001</v>
      </c>
      <c r="O1211" s="50"/>
    </row>
    <row r="1212" spans="2:15" x14ac:dyDescent="0.2">
      <c r="B1212">
        <v>1197</v>
      </c>
      <c r="C1212" s="48">
        <f t="shared" ca="1" si="76"/>
        <v>4.9291398045567786E-2</v>
      </c>
      <c r="D1212" s="48">
        <f t="shared" ca="1" si="73"/>
        <v>0.66774272776344612</v>
      </c>
      <c r="E1212" s="48">
        <f t="shared" ca="1" si="74"/>
        <v>0</v>
      </c>
      <c r="F1212" s="17">
        <f t="shared" ca="1" si="75"/>
        <v>0</v>
      </c>
      <c r="H1212" s="17">
        <v>1197</v>
      </c>
      <c r="I1212" s="43">
        <v>0.66915353268866418</v>
      </c>
      <c r="J1212" s="43">
        <v>1.9478793825851416E-2</v>
      </c>
      <c r="K1212" s="43"/>
      <c r="L1212" s="43">
        <v>0.248</v>
      </c>
      <c r="O1212" s="50"/>
    </row>
    <row r="1213" spans="2:15" x14ac:dyDescent="0.2">
      <c r="B1213">
        <v>1198</v>
      </c>
      <c r="C1213" s="48">
        <f t="shared" ca="1" si="76"/>
        <v>-1.2139294939413883</v>
      </c>
      <c r="D1213" s="48">
        <f t="shared" ca="1" si="73"/>
        <v>0.58955334616746535</v>
      </c>
      <c r="E1213" s="48">
        <f t="shared" ca="1" si="74"/>
        <v>0</v>
      </c>
      <c r="F1213" s="17">
        <f t="shared" ca="1" si="75"/>
        <v>0</v>
      </c>
      <c r="H1213" s="17">
        <v>1198</v>
      </c>
      <c r="I1213" s="43">
        <v>0.66842789352872656</v>
      </c>
      <c r="J1213" s="43">
        <v>1.91337328696187E-2</v>
      </c>
      <c r="K1213" s="43"/>
      <c r="L1213" s="43">
        <v>0.255</v>
      </c>
      <c r="O1213" s="50"/>
    </row>
    <row r="1214" spans="2:15" x14ac:dyDescent="0.2">
      <c r="B1214">
        <v>1199</v>
      </c>
      <c r="C1214" s="48">
        <f t="shared" ca="1" si="76"/>
        <v>-0.20492885053253351</v>
      </c>
      <c r="D1214" s="48">
        <f t="shared" ca="1" si="73"/>
        <v>0.65121511812223487</v>
      </c>
      <c r="E1214" s="48">
        <f t="shared" ca="1" si="74"/>
        <v>0</v>
      </c>
      <c r="F1214" s="17">
        <f t="shared" ca="1" si="75"/>
        <v>0</v>
      </c>
      <c r="H1214" s="17">
        <v>1199</v>
      </c>
      <c r="I1214" s="43">
        <v>0.66931975003310773</v>
      </c>
      <c r="J1214" s="43">
        <v>1.9309922677019205E-2</v>
      </c>
      <c r="K1214" s="43"/>
      <c r="L1214" s="43">
        <v>0.25019999999999998</v>
      </c>
      <c r="O1214" s="50"/>
    </row>
    <row r="1215" spans="2:15" x14ac:dyDescent="0.2">
      <c r="B1215">
        <v>1200</v>
      </c>
      <c r="C1215" s="48">
        <f t="shared" ca="1" si="76"/>
        <v>-0.73768813968809543</v>
      </c>
      <c r="D1215" s="48">
        <f t="shared" ca="1" si="73"/>
        <v>0.61789382587623221</v>
      </c>
      <c r="E1215" s="48">
        <f t="shared" ca="1" si="74"/>
        <v>0</v>
      </c>
      <c r="F1215" s="17">
        <f t="shared" ca="1" si="75"/>
        <v>0</v>
      </c>
      <c r="H1215" s="17">
        <v>1200</v>
      </c>
      <c r="I1215" s="43">
        <v>0.67000651213652185</v>
      </c>
      <c r="J1215" s="43">
        <v>2.0130772899788405E-2</v>
      </c>
      <c r="K1215" s="43"/>
      <c r="L1215" s="43">
        <v>0.25419999999999998</v>
      </c>
      <c r="O1215" s="50"/>
    </row>
    <row r="1216" spans="2:15" x14ac:dyDescent="0.2">
      <c r="B1216">
        <v>1201</v>
      </c>
      <c r="C1216" s="48">
        <f t="shared" ca="1" si="76"/>
        <v>1.0394879264820982</v>
      </c>
      <c r="D1216" s="48">
        <f t="shared" ca="1" si="73"/>
        <v>0.73621627801481138</v>
      </c>
      <c r="E1216" s="48">
        <f t="shared" ca="1" si="74"/>
        <v>0</v>
      </c>
      <c r="F1216" s="17">
        <f t="shared" ca="1" si="75"/>
        <v>0</v>
      </c>
      <c r="H1216" s="17">
        <v>1201</v>
      </c>
      <c r="I1216" s="43">
        <v>0.66919763694714807</v>
      </c>
      <c r="J1216" s="43">
        <v>1.9685958815760365E-2</v>
      </c>
      <c r="K1216" s="43"/>
      <c r="L1216" s="43">
        <v>0.25519999999999998</v>
      </c>
      <c r="O1216" s="50"/>
    </row>
    <row r="1217" spans="2:15" x14ac:dyDescent="0.2">
      <c r="B1217">
        <v>1202</v>
      </c>
      <c r="C1217" s="48">
        <f t="shared" ca="1" si="76"/>
        <v>1.8131297501192212</v>
      </c>
      <c r="D1217" s="48">
        <f t="shared" ca="1" si="73"/>
        <v>0.79456541821840621</v>
      </c>
      <c r="E1217" s="48">
        <f t="shared" ca="1" si="74"/>
        <v>6.3654182184061936E-3</v>
      </c>
      <c r="F1217" s="17">
        <f t="shared" ca="1" si="75"/>
        <v>1</v>
      </c>
      <c r="H1217" s="17">
        <v>1202</v>
      </c>
      <c r="I1217" s="43">
        <v>0.66918562044483976</v>
      </c>
      <c r="J1217" s="43">
        <v>1.9521049521062133E-2</v>
      </c>
      <c r="K1217" s="43"/>
      <c r="L1217" s="43">
        <v>0.25280000000000002</v>
      </c>
      <c r="O1217" s="50"/>
    </row>
    <row r="1218" spans="2:15" x14ac:dyDescent="0.2">
      <c r="B1218">
        <v>1203</v>
      </c>
      <c r="C1218" s="48">
        <f t="shared" ca="1" si="76"/>
        <v>0.2496648441304947</v>
      </c>
      <c r="D1218" s="48">
        <f t="shared" ca="1" si="73"/>
        <v>0.68106467503740864</v>
      </c>
      <c r="E1218" s="48">
        <f t="shared" ca="1" si="74"/>
        <v>0</v>
      </c>
      <c r="F1218" s="17">
        <f t="shared" ca="1" si="75"/>
        <v>0</v>
      </c>
      <c r="H1218" s="17">
        <v>1203</v>
      </c>
      <c r="I1218" s="43">
        <v>0.66876309158723013</v>
      </c>
      <c r="J1218" s="43">
        <v>1.917771252492436E-2</v>
      </c>
      <c r="K1218" s="43"/>
      <c r="L1218" s="43">
        <v>0.24279999999999999</v>
      </c>
      <c r="O1218" s="50"/>
    </row>
    <row r="1219" spans="2:15" x14ac:dyDescent="0.2">
      <c r="B1219">
        <v>1204</v>
      </c>
      <c r="C1219" s="48">
        <f t="shared" ca="1" si="76"/>
        <v>-0.5792365069649249</v>
      </c>
      <c r="D1219" s="48">
        <f t="shared" ca="1" si="73"/>
        <v>0.62762194416443862</v>
      </c>
      <c r="E1219" s="48">
        <f t="shared" ca="1" si="74"/>
        <v>0</v>
      </c>
      <c r="F1219" s="17">
        <f t="shared" ca="1" si="75"/>
        <v>0</v>
      </c>
      <c r="H1219" s="17">
        <v>1204</v>
      </c>
      <c r="I1219" s="43">
        <v>0.66902282333073992</v>
      </c>
      <c r="J1219" s="43">
        <v>1.9200817521973241E-2</v>
      </c>
      <c r="K1219" s="43"/>
      <c r="L1219" s="43">
        <v>0.25040000000000001</v>
      </c>
      <c r="O1219" s="50"/>
    </row>
    <row r="1220" spans="2:15" x14ac:dyDescent="0.2">
      <c r="B1220">
        <v>1205</v>
      </c>
      <c r="C1220" s="48">
        <f t="shared" ca="1" si="76"/>
        <v>-1.3005093524935578</v>
      </c>
      <c r="D1220" s="48">
        <f t="shared" ca="1" si="73"/>
        <v>0.58454251790589506</v>
      </c>
      <c r="E1220" s="48">
        <f t="shared" ca="1" si="74"/>
        <v>0</v>
      </c>
      <c r="F1220" s="17">
        <f t="shared" ca="1" si="75"/>
        <v>0</v>
      </c>
      <c r="H1220" s="17">
        <v>1205</v>
      </c>
      <c r="I1220" s="43">
        <v>0.66853334973049028</v>
      </c>
      <c r="J1220" s="43">
        <v>1.9142860324489166E-2</v>
      </c>
      <c r="K1220" s="43"/>
      <c r="L1220" s="43">
        <v>0.24399999999999999</v>
      </c>
      <c r="O1220" s="50"/>
    </row>
    <row r="1221" spans="2:15" x14ac:dyDescent="0.2">
      <c r="B1221">
        <v>1206</v>
      </c>
      <c r="C1221" s="48">
        <f t="shared" ca="1" si="76"/>
        <v>0.24633164100516791</v>
      </c>
      <c r="D1221" s="48">
        <f t="shared" ca="1" si="73"/>
        <v>0.68084090573866751</v>
      </c>
      <c r="E1221" s="48">
        <f t="shared" ca="1" si="74"/>
        <v>0</v>
      </c>
      <c r="F1221" s="17">
        <f t="shared" ca="1" si="75"/>
        <v>0</v>
      </c>
      <c r="H1221" s="17">
        <v>1206</v>
      </c>
      <c r="I1221" s="43">
        <v>0.66906392553148986</v>
      </c>
      <c r="J1221" s="43">
        <v>1.9427860527409423E-2</v>
      </c>
      <c r="K1221" s="43"/>
      <c r="L1221" s="43">
        <v>0.25040000000000001</v>
      </c>
      <c r="O1221" s="50"/>
    </row>
    <row r="1222" spans="2:15" x14ac:dyDescent="0.2">
      <c r="B1222">
        <v>1207</v>
      </c>
      <c r="C1222" s="48">
        <f t="shared" ca="1" si="76"/>
        <v>-1.8235232341223568</v>
      </c>
      <c r="D1222" s="48">
        <f t="shared" ca="1" si="73"/>
        <v>0.55516585413901842</v>
      </c>
      <c r="E1222" s="48">
        <f t="shared" ca="1" si="74"/>
        <v>0</v>
      </c>
      <c r="F1222" s="17">
        <f t="shared" ca="1" si="75"/>
        <v>0</v>
      </c>
      <c r="H1222" s="17">
        <v>1207</v>
      </c>
      <c r="I1222" s="43">
        <v>0.67055325885267325</v>
      </c>
      <c r="J1222" s="43">
        <v>2.0513501526095913E-2</v>
      </c>
      <c r="K1222" s="43"/>
      <c r="L1222" s="43">
        <v>0.25440000000000002</v>
      </c>
      <c r="O1222" s="50"/>
    </row>
    <row r="1223" spans="2:15" x14ac:dyDescent="0.2">
      <c r="B1223">
        <v>1208</v>
      </c>
      <c r="C1223" s="48">
        <f t="shared" ca="1" si="76"/>
        <v>-1.1234732663131559</v>
      </c>
      <c r="D1223" s="48">
        <f t="shared" ca="1" si="73"/>
        <v>0.59483440769140272</v>
      </c>
      <c r="E1223" s="48">
        <f t="shared" ca="1" si="74"/>
        <v>0</v>
      </c>
      <c r="F1223" s="17">
        <f t="shared" ca="1" si="75"/>
        <v>0</v>
      </c>
      <c r="H1223" s="17">
        <v>1208</v>
      </c>
      <c r="I1223" s="43">
        <v>0.66955742658548012</v>
      </c>
      <c r="J1223" s="43">
        <v>2.005867581972624E-2</v>
      </c>
      <c r="K1223" s="43"/>
      <c r="L1223" s="43">
        <v>0.25540000000000002</v>
      </c>
      <c r="O1223" s="50"/>
    </row>
    <row r="1224" spans="2:15" x14ac:dyDescent="0.2">
      <c r="B1224">
        <v>1209</v>
      </c>
      <c r="C1224" s="48">
        <f t="shared" ca="1" si="76"/>
        <v>-0.42026707599307717</v>
      </c>
      <c r="D1224" s="48">
        <f t="shared" ca="1" si="73"/>
        <v>0.63753576627617081</v>
      </c>
      <c r="E1224" s="48">
        <f t="shared" ca="1" si="74"/>
        <v>0</v>
      </c>
      <c r="F1224" s="17">
        <f t="shared" ca="1" si="75"/>
        <v>0</v>
      </c>
      <c r="H1224" s="17">
        <v>1209</v>
      </c>
      <c r="I1224" s="43">
        <v>0.66835424235344132</v>
      </c>
      <c r="J1224" s="43">
        <v>1.9127938062945934E-2</v>
      </c>
      <c r="K1224" s="43"/>
      <c r="L1224" s="43">
        <v>0.249</v>
      </c>
      <c r="O1224" s="50"/>
    </row>
    <row r="1225" spans="2:15" x14ac:dyDescent="0.2">
      <c r="B1225">
        <v>1210</v>
      </c>
      <c r="C1225" s="48">
        <f t="shared" ca="1" si="76"/>
        <v>2.9251946825049049</v>
      </c>
      <c r="D1225" s="48">
        <f t="shared" ca="1" si="73"/>
        <v>0.88663286421352416</v>
      </c>
      <c r="E1225" s="48">
        <f t="shared" ca="1" si="74"/>
        <v>9.8432864213524152E-2</v>
      </c>
      <c r="F1225" s="17">
        <f t="shared" ca="1" si="75"/>
        <v>1</v>
      </c>
      <c r="H1225" s="17">
        <v>1210</v>
      </c>
      <c r="I1225" s="43">
        <v>0.66892583990648713</v>
      </c>
      <c r="J1225" s="43">
        <v>1.954050462150287E-2</v>
      </c>
      <c r="K1225" s="43"/>
      <c r="L1225" s="43">
        <v>0.25619999999999998</v>
      </c>
      <c r="O1225" s="50"/>
    </row>
    <row r="1226" spans="2:15" x14ac:dyDescent="0.2">
      <c r="B1226">
        <v>1211</v>
      </c>
      <c r="C1226" s="48">
        <f t="shared" ca="1" si="76"/>
        <v>-0.48406254755933098</v>
      </c>
      <c r="D1226" s="48">
        <f t="shared" ca="1" si="73"/>
        <v>0.63353861017453161</v>
      </c>
      <c r="E1226" s="48">
        <f t="shared" ca="1" si="74"/>
        <v>0</v>
      </c>
      <c r="F1226" s="17">
        <f t="shared" ca="1" si="75"/>
        <v>0</v>
      </c>
      <c r="H1226" s="17">
        <v>1211</v>
      </c>
      <c r="I1226" s="43">
        <v>0.66955559512301599</v>
      </c>
      <c r="J1226" s="43">
        <v>1.958952836637004E-2</v>
      </c>
      <c r="K1226" s="43"/>
      <c r="L1226" s="43">
        <v>0.253</v>
      </c>
      <c r="O1226" s="50"/>
    </row>
    <row r="1227" spans="2:15" x14ac:dyDescent="0.2">
      <c r="B1227">
        <v>1212</v>
      </c>
      <c r="C1227" s="48">
        <f t="shared" ca="1" si="76"/>
        <v>1.0920830096564336</v>
      </c>
      <c r="D1227" s="48">
        <f t="shared" ca="1" si="73"/>
        <v>0.74004363282066599</v>
      </c>
      <c r="E1227" s="48">
        <f t="shared" ca="1" si="74"/>
        <v>0</v>
      </c>
      <c r="F1227" s="17">
        <f t="shared" ca="1" si="75"/>
        <v>0</v>
      </c>
      <c r="H1227" s="17">
        <v>1212</v>
      </c>
      <c r="I1227" s="43">
        <v>0.66885667127109438</v>
      </c>
      <c r="J1227" s="43">
        <v>1.9352414544431883E-2</v>
      </c>
      <c r="K1227" s="43"/>
      <c r="L1227" s="43">
        <v>0.24660000000000001</v>
      </c>
      <c r="O1227" s="50"/>
    </row>
    <row r="1228" spans="2:15" x14ac:dyDescent="0.2">
      <c r="B1228">
        <v>1213</v>
      </c>
      <c r="C1228" s="48">
        <f t="shared" ca="1" si="76"/>
        <v>0.15161724981461849</v>
      </c>
      <c r="D1228" s="48">
        <f t="shared" ca="1" si="73"/>
        <v>0.6745130398572603</v>
      </c>
      <c r="E1228" s="48">
        <f t="shared" ca="1" si="74"/>
        <v>0</v>
      </c>
      <c r="F1228" s="17">
        <f t="shared" ca="1" si="75"/>
        <v>0</v>
      </c>
      <c r="H1228" s="17">
        <v>1213</v>
      </c>
      <c r="I1228" s="43">
        <v>0.66959319771531256</v>
      </c>
      <c r="J1228" s="43">
        <v>1.9967258820542476E-2</v>
      </c>
      <c r="K1228" s="43"/>
      <c r="L1228" s="43">
        <v>0.26540000000000002</v>
      </c>
      <c r="O1228" s="50"/>
    </row>
    <row r="1229" spans="2:15" x14ac:dyDescent="0.2">
      <c r="B1229">
        <v>1214</v>
      </c>
      <c r="C1229" s="48">
        <f t="shared" ca="1" si="76"/>
        <v>1.108102065067599</v>
      </c>
      <c r="D1229" s="48">
        <f t="shared" ca="1" si="73"/>
        <v>0.74121329091774013</v>
      </c>
      <c r="E1229" s="48">
        <f t="shared" ca="1" si="74"/>
        <v>0</v>
      </c>
      <c r="F1229" s="17">
        <f t="shared" ca="1" si="75"/>
        <v>0</v>
      </c>
      <c r="H1229" s="17">
        <v>1214</v>
      </c>
      <c r="I1229" s="43">
        <v>0.66959178707276734</v>
      </c>
      <c r="J1229" s="43">
        <v>1.9887284434799118E-2</v>
      </c>
      <c r="K1229" s="43"/>
      <c r="L1229" s="43">
        <v>0.25319999999999998</v>
      </c>
      <c r="O1229" s="50"/>
    </row>
    <row r="1230" spans="2:15" x14ac:dyDescent="0.2">
      <c r="B1230">
        <v>1215</v>
      </c>
      <c r="C1230" s="48">
        <f t="shared" ca="1" si="76"/>
        <v>0.4903210477270169</v>
      </c>
      <c r="D1230" s="48">
        <f t="shared" ca="1" si="73"/>
        <v>0.6974166152475918</v>
      </c>
      <c r="E1230" s="48">
        <f t="shared" ca="1" si="74"/>
        <v>0</v>
      </c>
      <c r="F1230" s="17">
        <f t="shared" ca="1" si="75"/>
        <v>0</v>
      </c>
      <c r="H1230" s="17">
        <v>1215</v>
      </c>
      <c r="I1230" s="43">
        <v>0.66896294090948127</v>
      </c>
      <c r="J1230" s="43">
        <v>1.9395494293236514E-2</v>
      </c>
      <c r="K1230" s="43"/>
      <c r="L1230" s="43">
        <v>0.25159999999999999</v>
      </c>
      <c r="O1230" s="50"/>
    </row>
    <row r="1231" spans="2:15" x14ac:dyDescent="0.2">
      <c r="B1231">
        <v>1216</v>
      </c>
      <c r="C1231" s="48">
        <f t="shared" ca="1" si="76"/>
        <v>1.3695761703120393</v>
      </c>
      <c r="D1231" s="48">
        <f t="shared" ca="1" si="73"/>
        <v>0.76056874060375601</v>
      </c>
      <c r="E1231" s="48">
        <f t="shared" ca="1" si="74"/>
        <v>0</v>
      </c>
      <c r="F1231" s="17">
        <f t="shared" ca="1" si="75"/>
        <v>0</v>
      </c>
      <c r="H1231" s="17">
        <v>1216</v>
      </c>
      <c r="I1231" s="43">
        <v>0.66883451926919635</v>
      </c>
      <c r="J1231" s="43">
        <v>1.9507217422071871E-2</v>
      </c>
      <c r="K1231" s="43"/>
      <c r="L1231" s="43">
        <v>0.25119999999999998</v>
      </c>
      <c r="O1231" s="50"/>
    </row>
    <row r="1232" spans="2:15" x14ac:dyDescent="0.2">
      <c r="B1232">
        <v>1217</v>
      </c>
      <c r="C1232" s="48">
        <f t="shared" ca="1" si="76"/>
        <v>-2.8583086875728294</v>
      </c>
      <c r="D1232" s="48">
        <f t="shared" ref="D1232:D1295" ca="1" si="77">S0*EXP((μ-0.5*σ*σ)*T+σ*SQRT(T)*$C1232)</f>
        <v>0.50132271017557684</v>
      </c>
      <c r="E1232" s="48">
        <f t="shared" ref="E1232:E1295" ca="1" si="78">MAX(0,CP*(D1232-K))</f>
        <v>0</v>
      </c>
      <c r="F1232" s="17">
        <f t="shared" ref="F1232:F1295" ca="1" si="79">(CP*(D1232-K)&gt;0)*1</f>
        <v>0</v>
      </c>
      <c r="H1232" s="17">
        <v>1217</v>
      </c>
      <c r="I1232" s="43">
        <v>0.66879516504022662</v>
      </c>
      <c r="J1232" s="43">
        <v>1.9103569540132127E-2</v>
      </c>
      <c r="K1232" s="43"/>
      <c r="L1232" s="43">
        <v>0.25779999999999997</v>
      </c>
      <c r="O1232" s="50"/>
    </row>
    <row r="1233" spans="2:15" x14ac:dyDescent="0.2">
      <c r="B1233">
        <v>1218</v>
      </c>
      <c r="C1233" s="48">
        <f t="shared" ref="C1233:C1296" ca="1" si="80">_xlfn.NORM.S.INV(RAND())</f>
        <v>-0.16958691793038949</v>
      </c>
      <c r="D1233" s="48">
        <f t="shared" ca="1" si="77"/>
        <v>0.65348808605555098</v>
      </c>
      <c r="E1233" s="48">
        <f t="shared" ca="1" si="78"/>
        <v>0</v>
      </c>
      <c r="F1233" s="17">
        <f t="shared" ca="1" si="79"/>
        <v>0</v>
      </c>
      <c r="H1233" s="17">
        <v>1218</v>
      </c>
      <c r="I1233" s="43">
        <v>0.66976340450284932</v>
      </c>
      <c r="J1233" s="43">
        <v>2.0066191402361794E-2</v>
      </c>
      <c r="K1233" s="43"/>
      <c r="L1233" s="43">
        <v>0.25640000000000002</v>
      </c>
      <c r="O1233" s="50"/>
    </row>
    <row r="1234" spans="2:15" x14ac:dyDescent="0.2">
      <c r="B1234">
        <v>1219</v>
      </c>
      <c r="C1234" s="48">
        <f t="shared" ca="1" si="80"/>
        <v>0.56058112611169353</v>
      </c>
      <c r="D1234" s="48">
        <f t="shared" ca="1" si="77"/>
        <v>0.70226422483895146</v>
      </c>
      <c r="E1234" s="48">
        <f t="shared" ca="1" si="78"/>
        <v>0</v>
      </c>
      <c r="F1234" s="17">
        <f t="shared" ca="1" si="79"/>
        <v>0</v>
      </c>
      <c r="H1234" s="17">
        <v>1219</v>
      </c>
      <c r="I1234" s="43">
        <v>0.667533592318453</v>
      </c>
      <c r="J1234" s="43">
        <v>1.8180619028956981E-2</v>
      </c>
      <c r="K1234" s="43"/>
      <c r="L1234" s="43">
        <v>0.24379999999999999</v>
      </c>
      <c r="O1234" s="50"/>
    </row>
    <row r="1235" spans="2:15" x14ac:dyDescent="0.2">
      <c r="B1235">
        <v>1220</v>
      </c>
      <c r="C1235" s="48">
        <f t="shared" ca="1" si="80"/>
        <v>-0.90878031534283843</v>
      </c>
      <c r="D1235" s="48">
        <f t="shared" ca="1" si="77"/>
        <v>0.60755888175537798</v>
      </c>
      <c r="E1235" s="48">
        <f t="shared" ca="1" si="78"/>
        <v>0</v>
      </c>
      <c r="F1235" s="17">
        <f t="shared" ca="1" si="79"/>
        <v>0</v>
      </c>
      <c r="H1235" s="17">
        <v>1220</v>
      </c>
      <c r="I1235" s="43">
        <v>0.6697327905808691</v>
      </c>
      <c r="J1235" s="43">
        <v>2.0122330597227272E-2</v>
      </c>
      <c r="K1235" s="43"/>
      <c r="L1235" s="43">
        <v>0.25719999999999998</v>
      </c>
      <c r="O1235" s="50"/>
    </row>
    <row r="1236" spans="2:15" x14ac:dyDescent="0.2">
      <c r="B1236">
        <v>1221</v>
      </c>
      <c r="C1236" s="48">
        <f t="shared" ca="1" si="80"/>
        <v>0.73186649631409229</v>
      </c>
      <c r="D1236" s="48">
        <f t="shared" ca="1" si="77"/>
        <v>0.71422376751501915</v>
      </c>
      <c r="E1236" s="48">
        <f t="shared" ca="1" si="78"/>
        <v>0</v>
      </c>
      <c r="F1236" s="17">
        <f t="shared" ca="1" si="79"/>
        <v>0</v>
      </c>
      <c r="H1236" s="17">
        <v>1221</v>
      </c>
      <c r="I1236" s="43">
        <v>0.66865673529790148</v>
      </c>
      <c r="J1236" s="43">
        <v>1.930919953181974E-2</v>
      </c>
      <c r="K1236" s="43"/>
      <c r="L1236" s="43">
        <v>0.25259999999999999</v>
      </c>
      <c r="O1236" s="50"/>
    </row>
    <row r="1237" spans="2:15" x14ac:dyDescent="0.2">
      <c r="B1237">
        <v>1222</v>
      </c>
      <c r="C1237" s="48">
        <f t="shared" ca="1" si="80"/>
        <v>-1.507740109773732</v>
      </c>
      <c r="D1237" s="48">
        <f t="shared" ca="1" si="77"/>
        <v>0.57272127345544821</v>
      </c>
      <c r="E1237" s="48">
        <f t="shared" ca="1" si="78"/>
        <v>0</v>
      </c>
      <c r="F1237" s="17">
        <f t="shared" ca="1" si="79"/>
        <v>0</v>
      </c>
      <c r="H1237" s="17">
        <v>1222</v>
      </c>
      <c r="I1237" s="43">
        <v>0.66882118515277567</v>
      </c>
      <c r="J1237" s="43">
        <v>1.9540075954288156E-2</v>
      </c>
      <c r="K1237" s="43"/>
      <c r="L1237" s="43">
        <v>0.24779999999999999</v>
      </c>
      <c r="O1237" s="50"/>
    </row>
    <row r="1238" spans="2:15" x14ac:dyDescent="0.2">
      <c r="B1238">
        <v>1223</v>
      </c>
      <c r="C1238" s="48">
        <f t="shared" ca="1" si="80"/>
        <v>-0.1604387381891742</v>
      </c>
      <c r="D1238" s="48">
        <f t="shared" ca="1" si="77"/>
        <v>0.65407773013559478</v>
      </c>
      <c r="E1238" s="48">
        <f t="shared" ca="1" si="78"/>
        <v>0</v>
      </c>
      <c r="F1238" s="17">
        <f t="shared" ca="1" si="79"/>
        <v>0</v>
      </c>
      <c r="H1238" s="17">
        <v>1223</v>
      </c>
      <c r="I1238" s="43">
        <v>0.6703514187294296</v>
      </c>
      <c r="J1238" s="43">
        <v>2.0561807757786012E-2</v>
      </c>
      <c r="K1238" s="43"/>
      <c r="L1238" s="43">
        <v>0.26119999999999999</v>
      </c>
      <c r="O1238" s="50"/>
    </row>
    <row r="1239" spans="2:15" x14ac:dyDescent="0.2">
      <c r="B1239">
        <v>1224</v>
      </c>
      <c r="C1239" s="48">
        <f t="shared" ca="1" si="80"/>
        <v>-1.1657794619346669</v>
      </c>
      <c r="D1239" s="48">
        <f t="shared" ca="1" si="77"/>
        <v>0.59235860289697362</v>
      </c>
      <c r="E1239" s="48">
        <f t="shared" ca="1" si="78"/>
        <v>0</v>
      </c>
      <c r="F1239" s="17">
        <f t="shared" ca="1" si="79"/>
        <v>0</v>
      </c>
      <c r="H1239" s="17">
        <v>1224</v>
      </c>
      <c r="I1239" s="43">
        <v>0.66878478423042309</v>
      </c>
      <c r="J1239" s="43">
        <v>1.9422607392010932E-2</v>
      </c>
      <c r="K1239" s="43"/>
      <c r="L1239" s="43">
        <v>0.255</v>
      </c>
      <c r="O1239" s="50"/>
    </row>
    <row r="1240" spans="2:15" x14ac:dyDescent="0.2">
      <c r="B1240">
        <v>1225</v>
      </c>
      <c r="C1240" s="48">
        <f t="shared" ca="1" si="80"/>
        <v>1.0967259998347634</v>
      </c>
      <c r="D1240" s="48">
        <f t="shared" ca="1" si="77"/>
        <v>0.74038245841814587</v>
      </c>
      <c r="E1240" s="48">
        <f t="shared" ca="1" si="78"/>
        <v>0</v>
      </c>
      <c r="F1240" s="17">
        <f t="shared" ca="1" si="79"/>
        <v>0</v>
      </c>
      <c r="H1240" s="17">
        <v>1225</v>
      </c>
      <c r="I1240" s="43">
        <v>0.6692966661947175</v>
      </c>
      <c r="J1240" s="43">
        <v>1.9997902866655488E-2</v>
      </c>
      <c r="K1240" s="43"/>
      <c r="L1240" s="43">
        <v>0.25540000000000002</v>
      </c>
      <c r="O1240" s="50"/>
    </row>
    <row r="1241" spans="2:15" x14ac:dyDescent="0.2">
      <c r="B1241">
        <v>1226</v>
      </c>
      <c r="C1241" s="48">
        <f t="shared" ca="1" si="80"/>
        <v>0.2203030353853527</v>
      </c>
      <c r="D1241" s="48">
        <f t="shared" ca="1" si="77"/>
        <v>0.67909604342242269</v>
      </c>
      <c r="E1241" s="48">
        <f t="shared" ca="1" si="78"/>
        <v>0</v>
      </c>
      <c r="F1241" s="17">
        <f t="shared" ca="1" si="79"/>
        <v>0</v>
      </c>
      <c r="H1241" s="17">
        <v>1226</v>
      </c>
      <c r="I1241" s="43">
        <v>0.66935774376292856</v>
      </c>
      <c r="J1241" s="43">
        <v>1.9587215651329853E-2</v>
      </c>
      <c r="K1241" s="43"/>
      <c r="L1241" s="43">
        <v>0.25240000000000001</v>
      </c>
      <c r="O1241" s="50"/>
    </row>
    <row r="1242" spans="2:15" x14ac:dyDescent="0.2">
      <c r="B1242">
        <v>1227</v>
      </c>
      <c r="C1242" s="48">
        <f t="shared" ca="1" si="80"/>
        <v>-1.6394414704879934</v>
      </c>
      <c r="D1242" s="48">
        <f t="shared" ca="1" si="77"/>
        <v>0.5653330693278581</v>
      </c>
      <c r="E1242" s="48">
        <f t="shared" ca="1" si="78"/>
        <v>0</v>
      </c>
      <c r="F1242" s="17">
        <f t="shared" ca="1" si="79"/>
        <v>0</v>
      </c>
      <c r="H1242" s="17">
        <v>1227</v>
      </c>
      <c r="I1242" s="43">
        <v>0.66940801435118069</v>
      </c>
      <c r="J1242" s="43">
        <v>1.9861924724912744E-2</v>
      </c>
      <c r="K1242" s="43"/>
      <c r="L1242" s="43">
        <v>0.25259999999999999</v>
      </c>
      <c r="O1242" s="50"/>
    </row>
    <row r="1243" spans="2:15" x14ac:dyDescent="0.2">
      <c r="B1243">
        <v>1228</v>
      </c>
      <c r="C1243" s="48">
        <f t="shared" ca="1" si="80"/>
        <v>2.0941218712357061</v>
      </c>
      <c r="D1243" s="48">
        <f t="shared" ca="1" si="77"/>
        <v>0.81688442621992574</v>
      </c>
      <c r="E1243" s="48">
        <f t="shared" ca="1" si="78"/>
        <v>2.8684426219925729E-2</v>
      </c>
      <c r="F1243" s="17">
        <f t="shared" ca="1" si="79"/>
        <v>1</v>
      </c>
      <c r="H1243" s="17">
        <v>1228</v>
      </c>
      <c r="I1243" s="43">
        <v>0.66956382264340408</v>
      </c>
      <c r="J1243" s="43">
        <v>1.9851969471454785E-2</v>
      </c>
      <c r="K1243" s="43"/>
      <c r="L1243" s="43">
        <v>0.25280000000000002</v>
      </c>
      <c r="O1243" s="50"/>
    </row>
    <row r="1244" spans="2:15" x14ac:dyDescent="0.2">
      <c r="B1244">
        <v>1229</v>
      </c>
      <c r="C1244" s="48">
        <f t="shared" ca="1" si="80"/>
        <v>-0.86898916695482542</v>
      </c>
      <c r="D1244" s="48">
        <f t="shared" ca="1" si="77"/>
        <v>0.60994696078592603</v>
      </c>
      <c r="E1244" s="48">
        <f t="shared" ca="1" si="78"/>
        <v>0</v>
      </c>
      <c r="F1244" s="17">
        <f t="shared" ca="1" si="79"/>
        <v>0</v>
      </c>
      <c r="H1244" s="17">
        <v>1229</v>
      </c>
      <c r="I1244" s="43">
        <v>0.66955173743159013</v>
      </c>
      <c r="J1244" s="43">
        <v>1.973928407671529E-2</v>
      </c>
      <c r="K1244" s="43"/>
      <c r="L1244" s="43">
        <v>0.25019999999999998</v>
      </c>
      <c r="O1244" s="50"/>
    </row>
    <row r="1245" spans="2:15" x14ac:dyDescent="0.2">
      <c r="B1245">
        <v>1230</v>
      </c>
      <c r="C1245" s="48">
        <f t="shared" ca="1" si="80"/>
        <v>-2.6704186876924005</v>
      </c>
      <c r="D1245" s="48">
        <f t="shared" ca="1" si="77"/>
        <v>0.51069555275818368</v>
      </c>
      <c r="E1245" s="48">
        <f t="shared" ca="1" si="78"/>
        <v>0</v>
      </c>
      <c r="F1245" s="17">
        <f t="shared" ca="1" si="79"/>
        <v>0</v>
      </c>
      <c r="H1245" s="17">
        <v>1230</v>
      </c>
      <c r="I1245" s="43">
        <v>0.66893354915892511</v>
      </c>
      <c r="J1245" s="43">
        <v>1.9247264059652783E-2</v>
      </c>
      <c r="K1245" s="43"/>
      <c r="L1245" s="43">
        <v>0.24740000000000001</v>
      </c>
      <c r="O1245" s="50"/>
    </row>
    <row r="1246" spans="2:15" x14ac:dyDescent="0.2">
      <c r="B1246">
        <v>1231</v>
      </c>
      <c r="C1246" s="48">
        <f t="shared" ca="1" si="80"/>
        <v>0.39077992538234102</v>
      </c>
      <c r="D1246" s="48">
        <f t="shared" ca="1" si="77"/>
        <v>0.6906059848855135</v>
      </c>
      <c r="E1246" s="48">
        <f t="shared" ca="1" si="78"/>
        <v>0</v>
      </c>
      <c r="F1246" s="17">
        <f t="shared" ca="1" si="79"/>
        <v>0</v>
      </c>
      <c r="H1246" s="17">
        <v>1231</v>
      </c>
      <c r="I1246" s="43">
        <v>0.66920411099429877</v>
      </c>
      <c r="J1246" s="43">
        <v>1.9608789480070211E-2</v>
      </c>
      <c r="K1246" s="43"/>
      <c r="L1246" s="43">
        <v>0.24859999999999999</v>
      </c>
      <c r="O1246" s="50"/>
    </row>
    <row r="1247" spans="2:15" x14ac:dyDescent="0.2">
      <c r="B1247">
        <v>1232</v>
      </c>
      <c r="C1247" s="48">
        <f t="shared" ca="1" si="80"/>
        <v>-0.22447416377226723</v>
      </c>
      <c r="D1247" s="48">
        <f t="shared" ca="1" si="77"/>
        <v>0.64996148496290806</v>
      </c>
      <c r="E1247" s="48">
        <f t="shared" ca="1" si="78"/>
        <v>0</v>
      </c>
      <c r="F1247" s="17">
        <f t="shared" ca="1" si="79"/>
        <v>0</v>
      </c>
      <c r="H1247" s="17">
        <v>1232</v>
      </c>
      <c r="I1247" s="43">
        <v>0.66823834431981077</v>
      </c>
      <c r="J1247" s="43">
        <v>1.873968164269163E-2</v>
      </c>
      <c r="K1247" s="43"/>
      <c r="L1247" s="43">
        <v>0.24779999999999999</v>
      </c>
      <c r="O1247" s="50"/>
    </row>
    <row r="1248" spans="2:15" x14ac:dyDescent="0.2">
      <c r="B1248">
        <v>1233</v>
      </c>
      <c r="C1248" s="48">
        <f t="shared" ca="1" si="80"/>
        <v>-7.3607089632907741E-2</v>
      </c>
      <c r="D1248" s="48">
        <f t="shared" ca="1" si="77"/>
        <v>0.65970100545545751</v>
      </c>
      <c r="E1248" s="48">
        <f t="shared" ca="1" si="78"/>
        <v>0</v>
      </c>
      <c r="F1248" s="17">
        <f t="shared" ca="1" si="79"/>
        <v>0</v>
      </c>
      <c r="H1248" s="17">
        <v>1233</v>
      </c>
      <c r="I1248" s="43">
        <v>0.66883824542184467</v>
      </c>
      <c r="J1248" s="43">
        <v>1.9238338731582202E-2</v>
      </c>
      <c r="K1248" s="43"/>
      <c r="L1248" s="43">
        <v>0.25340000000000001</v>
      </c>
      <c r="O1248" s="50"/>
    </row>
    <row r="1249" spans="2:15" x14ac:dyDescent="0.2">
      <c r="B1249">
        <v>1234</v>
      </c>
      <c r="C1249" s="48">
        <f t="shared" ca="1" si="80"/>
        <v>-0.21032242158203726</v>
      </c>
      <c r="D1249" s="48">
        <f t="shared" ca="1" si="77"/>
        <v>0.65086893400526991</v>
      </c>
      <c r="E1249" s="48">
        <f t="shared" ca="1" si="78"/>
        <v>0</v>
      </c>
      <c r="F1249" s="17">
        <f t="shared" ca="1" si="79"/>
        <v>0</v>
      </c>
      <c r="H1249" s="17">
        <v>1234</v>
      </c>
      <c r="I1249" s="43">
        <v>0.66948002434730869</v>
      </c>
      <c r="J1249" s="43">
        <v>1.9845561371290909E-2</v>
      </c>
      <c r="K1249" s="43"/>
      <c r="L1249" s="43">
        <v>0.2492</v>
      </c>
      <c r="O1249" s="50"/>
    </row>
    <row r="1250" spans="2:15" x14ac:dyDescent="0.2">
      <c r="B1250">
        <v>1235</v>
      </c>
      <c r="C1250" s="48">
        <f t="shared" ca="1" si="80"/>
        <v>-0.31551519175103843</v>
      </c>
      <c r="D1250" s="48">
        <f t="shared" ca="1" si="77"/>
        <v>0.64415385486416443</v>
      </c>
      <c r="E1250" s="48">
        <f t="shared" ca="1" si="78"/>
        <v>0</v>
      </c>
      <c r="F1250" s="17">
        <f t="shared" ca="1" si="79"/>
        <v>0</v>
      </c>
      <c r="H1250" s="17">
        <v>1235</v>
      </c>
      <c r="I1250" s="43">
        <v>0.66933038731065631</v>
      </c>
      <c r="J1250" s="43">
        <v>1.9815490310785826E-2</v>
      </c>
      <c r="K1250" s="43"/>
      <c r="L1250" s="43">
        <v>0.25700000000000001</v>
      </c>
      <c r="O1250" s="50"/>
    </row>
    <row r="1251" spans="2:15" x14ac:dyDescent="0.2">
      <c r="B1251">
        <v>1236</v>
      </c>
      <c r="C1251" s="48">
        <f t="shared" ca="1" si="80"/>
        <v>0.48365936879418803</v>
      </c>
      <c r="D1251" s="48">
        <f t="shared" ca="1" si="77"/>
        <v>0.69695873163305511</v>
      </c>
      <c r="E1251" s="48">
        <f t="shared" ca="1" si="78"/>
        <v>0</v>
      </c>
      <c r="F1251" s="17">
        <f t="shared" ca="1" si="79"/>
        <v>0</v>
      </c>
      <c r="H1251" s="17">
        <v>1236</v>
      </c>
      <c r="I1251" s="43">
        <v>0.66827976935856936</v>
      </c>
      <c r="J1251" s="43">
        <v>1.891199389979752E-2</v>
      </c>
      <c r="K1251" s="43"/>
      <c r="L1251" s="43">
        <v>0.24479999999999999</v>
      </c>
      <c r="O1251" s="50"/>
    </row>
    <row r="1252" spans="2:15" x14ac:dyDescent="0.2">
      <c r="B1252">
        <v>1237</v>
      </c>
      <c r="C1252" s="48">
        <f t="shared" ca="1" si="80"/>
        <v>0.7075857071476771</v>
      </c>
      <c r="D1252" s="48">
        <f t="shared" ca="1" si="77"/>
        <v>0.71251611651260638</v>
      </c>
      <c r="E1252" s="48">
        <f t="shared" ca="1" si="78"/>
        <v>0</v>
      </c>
      <c r="F1252" s="17">
        <f t="shared" ca="1" si="79"/>
        <v>0</v>
      </c>
      <c r="H1252" s="17">
        <v>1237</v>
      </c>
      <c r="I1252" s="43">
        <v>0.66859070485678362</v>
      </c>
      <c r="J1252" s="43">
        <v>1.8993289982213672E-2</v>
      </c>
      <c r="K1252" s="43"/>
      <c r="L1252" s="43">
        <v>0.24640000000000001</v>
      </c>
      <c r="O1252" s="50"/>
    </row>
    <row r="1253" spans="2:15" x14ac:dyDescent="0.2">
      <c r="B1253">
        <v>1238</v>
      </c>
      <c r="C1253" s="48">
        <f t="shared" ca="1" si="80"/>
        <v>0.5639009195679543</v>
      </c>
      <c r="D1253" s="48">
        <f t="shared" ca="1" si="77"/>
        <v>0.70249410653997102</v>
      </c>
      <c r="E1253" s="48">
        <f t="shared" ca="1" si="78"/>
        <v>0</v>
      </c>
      <c r="F1253" s="17">
        <f t="shared" ca="1" si="79"/>
        <v>0</v>
      </c>
      <c r="H1253" s="17">
        <v>1238</v>
      </c>
      <c r="I1253" s="43">
        <v>0.6689539195936739</v>
      </c>
      <c r="J1253" s="43">
        <v>1.9230700113034131E-2</v>
      </c>
      <c r="K1253" s="43"/>
      <c r="L1253" s="43">
        <v>0.25280000000000002</v>
      </c>
      <c r="O1253" s="50"/>
    </row>
    <row r="1254" spans="2:15" x14ac:dyDescent="0.2">
      <c r="B1254">
        <v>1239</v>
      </c>
      <c r="C1254" s="48">
        <f t="shared" ca="1" si="80"/>
        <v>2.4157942501074596</v>
      </c>
      <c r="D1254" s="48">
        <f t="shared" ca="1" si="77"/>
        <v>0.84320532213529398</v>
      </c>
      <c r="E1254" s="48">
        <f t="shared" ca="1" si="78"/>
        <v>5.5005322135293966E-2</v>
      </c>
      <c r="F1254" s="17">
        <f t="shared" ca="1" si="79"/>
        <v>1</v>
      </c>
      <c r="H1254" s="17">
        <v>1239</v>
      </c>
      <c r="I1254" s="43">
        <v>0.66847502487557442</v>
      </c>
      <c r="J1254" s="43">
        <v>1.9117611078328493E-2</v>
      </c>
      <c r="K1254" s="43"/>
      <c r="L1254" s="43">
        <v>0.25559999999999999</v>
      </c>
      <c r="O1254" s="50"/>
    </row>
    <row r="1255" spans="2:15" x14ac:dyDescent="0.2">
      <c r="B1255">
        <v>1240</v>
      </c>
      <c r="C1255" s="48">
        <f t="shared" ca="1" si="80"/>
        <v>0.60870005532240024</v>
      </c>
      <c r="D1255" s="48">
        <f t="shared" ca="1" si="77"/>
        <v>0.70560362725470449</v>
      </c>
      <c r="E1255" s="48">
        <f t="shared" ca="1" si="78"/>
        <v>0</v>
      </c>
      <c r="F1255" s="17">
        <f t="shared" ca="1" si="79"/>
        <v>0</v>
      </c>
      <c r="H1255" s="17">
        <v>1240</v>
      </c>
      <c r="I1255" s="43">
        <v>0.66943434134288338</v>
      </c>
      <c r="J1255" s="43">
        <v>1.9450466053643749E-2</v>
      </c>
      <c r="K1255" s="43"/>
      <c r="L1255" s="43">
        <v>0.246</v>
      </c>
      <c r="O1255" s="50"/>
    </row>
    <row r="1256" spans="2:15" x14ac:dyDescent="0.2">
      <c r="B1256">
        <v>1241</v>
      </c>
      <c r="C1256" s="48">
        <f t="shared" ca="1" si="80"/>
        <v>0.34665008436248246</v>
      </c>
      <c r="D1256" s="48">
        <f t="shared" ca="1" si="77"/>
        <v>0.68760792687357219</v>
      </c>
      <c r="E1256" s="48">
        <f t="shared" ca="1" si="78"/>
        <v>0</v>
      </c>
      <c r="F1256" s="17">
        <f t="shared" ca="1" si="79"/>
        <v>0</v>
      </c>
      <c r="H1256" s="17">
        <v>1241</v>
      </c>
      <c r="I1256" s="43">
        <v>0.6682750734973768</v>
      </c>
      <c r="J1256" s="43">
        <v>1.8860772836666383E-2</v>
      </c>
      <c r="K1256" s="43"/>
      <c r="L1256" s="43">
        <v>0.25019999999999998</v>
      </c>
      <c r="O1256" s="50"/>
    </row>
    <row r="1257" spans="2:15" x14ac:dyDescent="0.2">
      <c r="B1257">
        <v>1242</v>
      </c>
      <c r="C1257" s="48">
        <f t="shared" ca="1" si="80"/>
        <v>0.4674366344064077</v>
      </c>
      <c r="D1257" s="48">
        <f t="shared" ca="1" si="77"/>
        <v>0.69584493579279649</v>
      </c>
      <c r="E1257" s="48">
        <f t="shared" ca="1" si="78"/>
        <v>0</v>
      </c>
      <c r="F1257" s="17">
        <f t="shared" ca="1" si="79"/>
        <v>0</v>
      </c>
      <c r="H1257" s="17">
        <v>1242</v>
      </c>
      <c r="I1257" s="43">
        <v>0.66929683282038877</v>
      </c>
      <c r="J1257" s="43">
        <v>1.9532787134469543E-2</v>
      </c>
      <c r="K1257" s="43"/>
      <c r="L1257" s="43">
        <v>0.254</v>
      </c>
      <c r="O1257" s="50"/>
    </row>
    <row r="1258" spans="2:15" x14ac:dyDescent="0.2">
      <c r="B1258">
        <v>1243</v>
      </c>
      <c r="C1258" s="48">
        <f t="shared" ca="1" si="80"/>
        <v>0.13995625228254524</v>
      </c>
      <c r="D1258" s="48">
        <f t="shared" ca="1" si="77"/>
        <v>0.67373804618013566</v>
      </c>
      <c r="E1258" s="48">
        <f t="shared" ca="1" si="78"/>
        <v>0</v>
      </c>
      <c r="F1258" s="17">
        <f t="shared" ca="1" si="79"/>
        <v>0</v>
      </c>
      <c r="H1258" s="17">
        <v>1243</v>
      </c>
      <c r="I1258" s="43">
        <v>0.66773205795307355</v>
      </c>
      <c r="J1258" s="43">
        <v>1.8300335111590588E-2</v>
      </c>
      <c r="K1258" s="43"/>
      <c r="L1258" s="43">
        <v>0.23860000000000001</v>
      </c>
      <c r="O1258" s="50"/>
    </row>
    <row r="1259" spans="2:15" x14ac:dyDescent="0.2">
      <c r="B1259">
        <v>1244</v>
      </c>
      <c r="C1259" s="48">
        <f t="shared" ca="1" si="80"/>
        <v>-0.12449247129703787</v>
      </c>
      <c r="D1259" s="48">
        <f t="shared" ca="1" si="77"/>
        <v>0.65639979657950231</v>
      </c>
      <c r="E1259" s="48">
        <f t="shared" ca="1" si="78"/>
        <v>0</v>
      </c>
      <c r="F1259" s="17">
        <f t="shared" ca="1" si="79"/>
        <v>0</v>
      </c>
      <c r="H1259" s="17">
        <v>1244</v>
      </c>
      <c r="I1259" s="43">
        <v>0.66900308057122893</v>
      </c>
      <c r="J1259" s="43">
        <v>1.9622813726365568E-2</v>
      </c>
      <c r="K1259" s="43"/>
      <c r="L1259" s="43">
        <v>0.25900000000000001</v>
      </c>
      <c r="O1259" s="50"/>
    </row>
    <row r="1260" spans="2:15" x14ac:dyDescent="0.2">
      <c r="B1260">
        <v>1245</v>
      </c>
      <c r="C1260" s="48">
        <f t="shared" ca="1" si="80"/>
        <v>0.84439496808719405</v>
      </c>
      <c r="D1260" s="48">
        <f t="shared" ca="1" si="77"/>
        <v>0.72219140701499274</v>
      </c>
      <c r="E1260" s="48">
        <f t="shared" ca="1" si="78"/>
        <v>0</v>
      </c>
      <c r="F1260" s="17">
        <f t="shared" ca="1" si="79"/>
        <v>0</v>
      </c>
      <c r="H1260" s="17">
        <v>1245</v>
      </c>
      <c r="I1260" s="43">
        <v>0.66931677065653128</v>
      </c>
      <c r="J1260" s="43">
        <v>1.9802216263526635E-2</v>
      </c>
      <c r="K1260" s="43"/>
      <c r="L1260" s="43">
        <v>0.24859999999999999</v>
      </c>
      <c r="O1260" s="50"/>
    </row>
    <row r="1261" spans="2:15" x14ac:dyDescent="0.2">
      <c r="B1261">
        <v>1246</v>
      </c>
      <c r="C1261" s="48">
        <f t="shared" ca="1" si="80"/>
        <v>-7.946566749602238E-2</v>
      </c>
      <c r="D1261" s="48">
        <f t="shared" ca="1" si="77"/>
        <v>0.65932008380407991</v>
      </c>
      <c r="E1261" s="48">
        <f t="shared" ca="1" si="78"/>
        <v>0</v>
      </c>
      <c r="F1261" s="17">
        <f t="shared" ca="1" si="79"/>
        <v>0</v>
      </c>
      <c r="H1261" s="17">
        <v>1246</v>
      </c>
      <c r="I1261" s="43">
        <v>0.6689835994956802</v>
      </c>
      <c r="J1261" s="43">
        <v>1.941623792884254E-2</v>
      </c>
      <c r="K1261" s="43"/>
      <c r="L1261" s="43">
        <v>0.24579999999999999</v>
      </c>
      <c r="O1261" s="50"/>
    </row>
    <row r="1262" spans="2:15" x14ac:dyDescent="0.2">
      <c r="B1262">
        <v>1247</v>
      </c>
      <c r="C1262" s="48">
        <f t="shared" ca="1" si="80"/>
        <v>-0.70173890701213604</v>
      </c>
      <c r="D1262" s="48">
        <f t="shared" ca="1" si="77"/>
        <v>0.62008761576025517</v>
      </c>
      <c r="E1262" s="48">
        <f t="shared" ca="1" si="78"/>
        <v>0</v>
      </c>
      <c r="F1262" s="17">
        <f t="shared" ca="1" si="79"/>
        <v>0</v>
      </c>
      <c r="H1262" s="17">
        <v>1247</v>
      </c>
      <c r="I1262" s="43">
        <v>0.66997066771573732</v>
      </c>
      <c r="J1262" s="43">
        <v>2.0064638516851467E-2</v>
      </c>
      <c r="K1262" s="43"/>
      <c r="L1262" s="43">
        <v>0.25619999999999998</v>
      </c>
      <c r="O1262" s="50"/>
    </row>
    <row r="1263" spans="2:15" x14ac:dyDescent="0.2">
      <c r="B1263">
        <v>1248</v>
      </c>
      <c r="C1263" s="48">
        <f t="shared" ca="1" si="80"/>
        <v>-0.5593496331021407</v>
      </c>
      <c r="D1263" s="48">
        <f t="shared" ca="1" si="77"/>
        <v>0.62885366465764114</v>
      </c>
      <c r="E1263" s="48">
        <f t="shared" ca="1" si="78"/>
        <v>0</v>
      </c>
      <c r="F1263" s="17">
        <f t="shared" ca="1" si="79"/>
        <v>0</v>
      </c>
      <c r="H1263" s="17">
        <v>1248</v>
      </c>
      <c r="I1263" s="43">
        <v>0.66861142333429202</v>
      </c>
      <c r="J1263" s="43">
        <v>1.9377113482003959E-2</v>
      </c>
      <c r="K1263" s="43"/>
      <c r="L1263" s="43">
        <v>0.25140000000000001</v>
      </c>
      <c r="O1263" s="50"/>
    </row>
    <row r="1264" spans="2:15" x14ac:dyDescent="0.2">
      <c r="B1264">
        <v>1249</v>
      </c>
      <c r="C1264" s="48">
        <f t="shared" ca="1" si="80"/>
        <v>-0.18409292230660676</v>
      </c>
      <c r="D1264" s="48">
        <f t="shared" ca="1" si="77"/>
        <v>0.65255419397746606</v>
      </c>
      <c r="E1264" s="48">
        <f t="shared" ca="1" si="78"/>
        <v>0</v>
      </c>
      <c r="F1264" s="17">
        <f t="shared" ca="1" si="79"/>
        <v>0</v>
      </c>
      <c r="H1264" s="17">
        <v>1249</v>
      </c>
      <c r="I1264" s="43">
        <v>0.66826899902156855</v>
      </c>
      <c r="J1264" s="43">
        <v>1.8795209216624965E-2</v>
      </c>
      <c r="K1264" s="43"/>
      <c r="L1264" s="43">
        <v>0.25059999999999999</v>
      </c>
      <c r="O1264" s="50"/>
    </row>
    <row r="1265" spans="2:15" x14ac:dyDescent="0.2">
      <c r="B1265">
        <v>1250</v>
      </c>
      <c r="C1265" s="48">
        <f t="shared" ca="1" si="80"/>
        <v>-1.445083467584922</v>
      </c>
      <c r="D1265" s="48">
        <f t="shared" ca="1" si="77"/>
        <v>0.5762700135748382</v>
      </c>
      <c r="E1265" s="48">
        <f t="shared" ca="1" si="78"/>
        <v>0</v>
      </c>
      <c r="F1265" s="17">
        <f t="shared" ca="1" si="79"/>
        <v>0</v>
      </c>
      <c r="H1265" s="17">
        <v>1250</v>
      </c>
      <c r="I1265" s="43">
        <v>0.66895522071376723</v>
      </c>
      <c r="J1265" s="43">
        <v>1.9364482023239371E-2</v>
      </c>
      <c r="K1265" s="43"/>
      <c r="L1265" s="43">
        <v>0.25679999999999997</v>
      </c>
      <c r="O1265" s="50"/>
    </row>
    <row r="1266" spans="2:15" x14ac:dyDescent="0.2">
      <c r="B1266">
        <v>1251</v>
      </c>
      <c r="C1266" s="48">
        <f t="shared" ca="1" si="80"/>
        <v>-1.4078575014092236</v>
      </c>
      <c r="D1266" s="48">
        <f t="shared" ca="1" si="77"/>
        <v>0.57838881812805909</v>
      </c>
      <c r="E1266" s="48">
        <f t="shared" ca="1" si="78"/>
        <v>0</v>
      </c>
      <c r="F1266" s="17">
        <f t="shared" ca="1" si="79"/>
        <v>0</v>
      </c>
      <c r="H1266" s="17">
        <v>1251</v>
      </c>
      <c r="I1266" s="43">
        <v>0.66966767081911815</v>
      </c>
      <c r="J1266" s="43">
        <v>1.9667475187631067E-2</v>
      </c>
      <c r="K1266" s="43"/>
      <c r="L1266" s="43">
        <v>0.25180000000000002</v>
      </c>
      <c r="O1266" s="50"/>
    </row>
    <row r="1267" spans="2:15" x14ac:dyDescent="0.2">
      <c r="B1267">
        <v>1252</v>
      </c>
      <c r="C1267" s="48">
        <f t="shared" ca="1" si="80"/>
        <v>-0.9547670347830598</v>
      </c>
      <c r="D1267" s="48">
        <f t="shared" ca="1" si="77"/>
        <v>0.60481061798698665</v>
      </c>
      <c r="E1267" s="48">
        <f t="shared" ca="1" si="78"/>
        <v>0</v>
      </c>
      <c r="F1267" s="17">
        <f t="shared" ca="1" si="79"/>
        <v>0</v>
      </c>
      <c r="H1267" s="17">
        <v>1252</v>
      </c>
      <c r="I1267" s="43">
        <v>0.66997416794387543</v>
      </c>
      <c r="J1267" s="43">
        <v>2.0010078874144268E-2</v>
      </c>
      <c r="K1267" s="43"/>
      <c r="L1267" s="43">
        <v>0.25740000000000002</v>
      </c>
      <c r="O1267" s="50"/>
    </row>
    <row r="1268" spans="2:15" x14ac:dyDescent="0.2">
      <c r="B1268">
        <v>1253</v>
      </c>
      <c r="C1268" s="48">
        <f t="shared" ca="1" si="80"/>
        <v>0.82798028315951389</v>
      </c>
      <c r="D1268" s="48">
        <f t="shared" ca="1" si="77"/>
        <v>0.72102364261833229</v>
      </c>
      <c r="E1268" s="48">
        <f t="shared" ca="1" si="78"/>
        <v>0</v>
      </c>
      <c r="F1268" s="17">
        <f t="shared" ca="1" si="79"/>
        <v>0</v>
      </c>
      <c r="H1268" s="17">
        <v>1253</v>
      </c>
      <c r="I1268" s="43">
        <v>0.66927657851313294</v>
      </c>
      <c r="J1268" s="43">
        <v>1.967896717582359E-2</v>
      </c>
      <c r="K1268" s="43"/>
      <c r="L1268" s="43">
        <v>0.25140000000000001</v>
      </c>
      <c r="O1268" s="50"/>
    </row>
    <row r="1269" spans="2:15" x14ac:dyDescent="0.2">
      <c r="B1269">
        <v>1254</v>
      </c>
      <c r="C1269" s="48">
        <f t="shared" ca="1" si="80"/>
        <v>0.25482298955120297</v>
      </c>
      <c r="D1269" s="48">
        <f t="shared" ca="1" si="77"/>
        <v>0.68141110391583237</v>
      </c>
      <c r="E1269" s="48">
        <f t="shared" ca="1" si="78"/>
        <v>0</v>
      </c>
      <c r="F1269" s="17">
        <f t="shared" ca="1" si="79"/>
        <v>0</v>
      </c>
      <c r="H1269" s="17">
        <v>1254</v>
      </c>
      <c r="I1269" s="43">
        <v>0.66838041879268917</v>
      </c>
      <c r="J1269" s="43">
        <v>1.8766455283700065E-2</v>
      </c>
      <c r="K1269" s="43"/>
      <c r="L1269" s="43">
        <v>0.24440000000000001</v>
      </c>
      <c r="O1269" s="50"/>
    </row>
    <row r="1270" spans="2:15" x14ac:dyDescent="0.2">
      <c r="B1270">
        <v>1255</v>
      </c>
      <c r="C1270" s="48">
        <f t="shared" ca="1" si="80"/>
        <v>0.25022349401097299</v>
      </c>
      <c r="D1270" s="48">
        <f t="shared" ca="1" si="77"/>
        <v>0.68110218630546293</v>
      </c>
      <c r="E1270" s="48">
        <f t="shared" ca="1" si="78"/>
        <v>0</v>
      </c>
      <c r="F1270" s="17">
        <f t="shared" ca="1" si="79"/>
        <v>0</v>
      </c>
      <c r="H1270" s="17">
        <v>1255</v>
      </c>
      <c r="I1270" s="43">
        <v>0.66873403779404672</v>
      </c>
      <c r="J1270" s="43">
        <v>1.934741749184379E-2</v>
      </c>
      <c r="K1270" s="43"/>
      <c r="L1270" s="43">
        <v>0.249</v>
      </c>
      <c r="O1270" s="50"/>
    </row>
    <row r="1271" spans="2:15" x14ac:dyDescent="0.2">
      <c r="B1271">
        <v>1256</v>
      </c>
      <c r="C1271" s="48">
        <f t="shared" ca="1" si="80"/>
        <v>-0.59457461007499701</v>
      </c>
      <c r="D1271" s="48">
        <f t="shared" ca="1" si="77"/>
        <v>0.62667360611301248</v>
      </c>
      <c r="E1271" s="48">
        <f t="shared" ca="1" si="78"/>
        <v>0</v>
      </c>
      <c r="F1271" s="17">
        <f t="shared" ca="1" si="79"/>
        <v>0</v>
      </c>
      <c r="H1271" s="17">
        <v>1256</v>
      </c>
      <c r="I1271" s="43">
        <v>0.66891135566672777</v>
      </c>
      <c r="J1271" s="43">
        <v>1.9351517897897092E-2</v>
      </c>
      <c r="K1271" s="43"/>
      <c r="L1271" s="43">
        <v>0.25119999999999998</v>
      </c>
      <c r="O1271" s="50"/>
    </row>
    <row r="1272" spans="2:15" x14ac:dyDescent="0.2">
      <c r="B1272">
        <v>1257</v>
      </c>
      <c r="C1272" s="48">
        <f t="shared" ca="1" si="80"/>
        <v>1.6813178672006462E-2</v>
      </c>
      <c r="D1272" s="48">
        <f t="shared" ca="1" si="77"/>
        <v>0.6656080713118615</v>
      </c>
      <c r="E1272" s="48">
        <f t="shared" ca="1" si="78"/>
        <v>0</v>
      </c>
      <c r="F1272" s="17">
        <f t="shared" ca="1" si="79"/>
        <v>0</v>
      </c>
      <c r="H1272" s="17">
        <v>1257</v>
      </c>
      <c r="I1272" s="43">
        <v>0.66850448907171189</v>
      </c>
      <c r="J1272" s="43">
        <v>1.8867823434858707E-2</v>
      </c>
      <c r="K1272" s="43"/>
      <c r="L1272" s="43">
        <v>0.245</v>
      </c>
      <c r="O1272" s="50"/>
    </row>
    <row r="1273" spans="2:15" x14ac:dyDescent="0.2">
      <c r="B1273">
        <v>1258</v>
      </c>
      <c r="C1273" s="48">
        <f t="shared" ca="1" si="80"/>
        <v>-0.22642828659580955</v>
      </c>
      <c r="D1273" s="48">
        <f t="shared" ca="1" si="77"/>
        <v>0.64983628062764864</v>
      </c>
      <c r="E1273" s="48">
        <f t="shared" ca="1" si="78"/>
        <v>0</v>
      </c>
      <c r="F1273" s="17">
        <f t="shared" ca="1" si="79"/>
        <v>0</v>
      </c>
      <c r="H1273" s="17">
        <v>1258</v>
      </c>
      <c r="I1273" s="43">
        <v>0.67010201198952146</v>
      </c>
      <c r="J1273" s="43">
        <v>2.0082131486893723E-2</v>
      </c>
      <c r="K1273" s="43"/>
      <c r="L1273" s="43">
        <v>0.25059999999999999</v>
      </c>
      <c r="O1273" s="50"/>
    </row>
    <row r="1274" spans="2:15" x14ac:dyDescent="0.2">
      <c r="B1274">
        <v>1259</v>
      </c>
      <c r="C1274" s="48">
        <f t="shared" ca="1" si="80"/>
        <v>-1.2988570713124261</v>
      </c>
      <c r="D1274" s="48">
        <f t="shared" ca="1" si="77"/>
        <v>0.58463774425966331</v>
      </c>
      <c r="E1274" s="48">
        <f t="shared" ca="1" si="78"/>
        <v>0</v>
      </c>
      <c r="F1274" s="17">
        <f t="shared" ca="1" si="79"/>
        <v>0</v>
      </c>
      <c r="H1274" s="17">
        <v>1259</v>
      </c>
      <c r="I1274" s="43">
        <v>0.66923906273208933</v>
      </c>
      <c r="J1274" s="43">
        <v>1.9573471332353067E-2</v>
      </c>
      <c r="K1274" s="43"/>
      <c r="L1274" s="43">
        <v>0.25380000000000003</v>
      </c>
      <c r="O1274" s="50"/>
    </row>
    <row r="1275" spans="2:15" x14ac:dyDescent="0.2">
      <c r="B1275">
        <v>1260</v>
      </c>
      <c r="C1275" s="48">
        <f t="shared" ca="1" si="80"/>
        <v>0.93016976323952916</v>
      </c>
      <c r="D1275" s="48">
        <f t="shared" ca="1" si="77"/>
        <v>0.72832438332783833</v>
      </c>
      <c r="E1275" s="48">
        <f t="shared" ca="1" si="78"/>
        <v>0</v>
      </c>
      <c r="F1275" s="17">
        <f t="shared" ca="1" si="79"/>
        <v>0</v>
      </c>
      <c r="H1275" s="17">
        <v>1260</v>
      </c>
      <c r="I1275" s="43">
        <v>0.6684587940768989</v>
      </c>
      <c r="J1275" s="43">
        <v>1.8785990995152661E-2</v>
      </c>
      <c r="K1275" s="43"/>
      <c r="L1275" s="43">
        <v>0.24</v>
      </c>
      <c r="O1275" s="50"/>
    </row>
    <row r="1276" spans="2:15" x14ac:dyDescent="0.2">
      <c r="B1276">
        <v>1261</v>
      </c>
      <c r="C1276" s="48">
        <f t="shared" ca="1" si="80"/>
        <v>0.1260832223835231</v>
      </c>
      <c r="D1276" s="48">
        <f t="shared" ca="1" si="77"/>
        <v>0.67281719986268307</v>
      </c>
      <c r="E1276" s="48">
        <f t="shared" ca="1" si="78"/>
        <v>0</v>
      </c>
      <c r="F1276" s="17">
        <f t="shared" ca="1" si="79"/>
        <v>0</v>
      </c>
      <c r="H1276" s="17">
        <v>1261</v>
      </c>
      <c r="I1276" s="43">
        <v>0.66874303376505451</v>
      </c>
      <c r="J1276" s="43">
        <v>1.915164562796727E-2</v>
      </c>
      <c r="K1276" s="43"/>
      <c r="L1276" s="43">
        <v>0.2492</v>
      </c>
      <c r="O1276" s="50"/>
    </row>
    <row r="1277" spans="2:15" x14ac:dyDescent="0.2">
      <c r="B1277">
        <v>1262</v>
      </c>
      <c r="C1277" s="48">
        <f t="shared" ca="1" si="80"/>
        <v>-0.57859557026988973</v>
      </c>
      <c r="D1277" s="48">
        <f t="shared" ca="1" si="77"/>
        <v>0.62766160379809666</v>
      </c>
      <c r="E1277" s="48">
        <f t="shared" ca="1" si="78"/>
        <v>0</v>
      </c>
      <c r="F1277" s="17">
        <f t="shared" ca="1" si="79"/>
        <v>0</v>
      </c>
      <c r="H1277" s="17">
        <v>1262</v>
      </c>
      <c r="I1277" s="43">
        <v>0.66942665021870362</v>
      </c>
      <c r="J1277" s="43">
        <v>1.9618115800934227E-2</v>
      </c>
      <c r="K1277" s="43"/>
      <c r="L1277" s="43">
        <v>0.25140000000000001</v>
      </c>
      <c r="O1277" s="50"/>
    </row>
    <row r="1278" spans="2:15" x14ac:dyDescent="0.2">
      <c r="B1278">
        <v>1263</v>
      </c>
      <c r="C1278" s="48">
        <f t="shared" ca="1" si="80"/>
        <v>-0.23207230237361934</v>
      </c>
      <c r="D1278" s="48">
        <f t="shared" ca="1" si="77"/>
        <v>0.64947479330370772</v>
      </c>
      <c r="E1278" s="48">
        <f t="shared" ca="1" si="78"/>
        <v>0</v>
      </c>
      <c r="F1278" s="17">
        <f t="shared" ca="1" si="79"/>
        <v>0</v>
      </c>
      <c r="H1278" s="17">
        <v>1263</v>
      </c>
      <c r="I1278" s="43">
        <v>0.66901169140292382</v>
      </c>
      <c r="J1278" s="43">
        <v>1.9465140180369423E-2</v>
      </c>
      <c r="K1278" s="43"/>
      <c r="L1278" s="43">
        <v>0.25380000000000003</v>
      </c>
      <c r="O1278" s="50"/>
    </row>
    <row r="1279" spans="2:15" x14ac:dyDescent="0.2">
      <c r="B1279">
        <v>1264</v>
      </c>
      <c r="C1279" s="48">
        <f t="shared" ca="1" si="80"/>
        <v>2.7408709269006081E-2</v>
      </c>
      <c r="D1279" s="48">
        <f t="shared" ca="1" si="77"/>
        <v>0.66630371982143466</v>
      </c>
      <c r="E1279" s="48">
        <f t="shared" ca="1" si="78"/>
        <v>0</v>
      </c>
      <c r="F1279" s="17">
        <f t="shared" ca="1" si="79"/>
        <v>0</v>
      </c>
      <c r="H1279" s="17">
        <v>1264</v>
      </c>
      <c r="I1279" s="43">
        <v>0.66792259622204808</v>
      </c>
      <c r="J1279" s="43">
        <v>1.8563842605009827E-2</v>
      </c>
      <c r="K1279" s="43"/>
      <c r="L1279" s="43">
        <v>0.25259999999999999</v>
      </c>
      <c r="O1279" s="50"/>
    </row>
    <row r="1280" spans="2:15" x14ac:dyDescent="0.2">
      <c r="B1280">
        <v>1265</v>
      </c>
      <c r="C1280" s="48">
        <f t="shared" ca="1" si="80"/>
        <v>1.1701177604827957</v>
      </c>
      <c r="D1280" s="48">
        <f t="shared" ca="1" si="77"/>
        <v>0.74575892889751061</v>
      </c>
      <c r="E1280" s="48">
        <f t="shared" ca="1" si="78"/>
        <v>0</v>
      </c>
      <c r="F1280" s="17">
        <f t="shared" ca="1" si="79"/>
        <v>0</v>
      </c>
      <c r="H1280" s="17">
        <v>1265</v>
      </c>
      <c r="I1280" s="43">
        <v>0.66977303200933025</v>
      </c>
      <c r="J1280" s="43">
        <v>1.9837580283495394E-2</v>
      </c>
      <c r="K1280" s="43"/>
      <c r="L1280" s="43">
        <v>0.24660000000000001</v>
      </c>
      <c r="O1280" s="50"/>
    </row>
    <row r="1281" spans="2:15" x14ac:dyDescent="0.2">
      <c r="B1281">
        <v>1266</v>
      </c>
      <c r="C1281" s="48">
        <f t="shared" ca="1" si="80"/>
        <v>1.4407351252868004</v>
      </c>
      <c r="D1281" s="48">
        <f t="shared" ca="1" si="77"/>
        <v>0.7659231800968207</v>
      </c>
      <c r="E1281" s="48">
        <f t="shared" ca="1" si="78"/>
        <v>0</v>
      </c>
      <c r="F1281" s="17">
        <f t="shared" ca="1" si="79"/>
        <v>0</v>
      </c>
      <c r="H1281" s="17">
        <v>1266</v>
      </c>
      <c r="I1281" s="43">
        <v>0.66878750476950322</v>
      </c>
      <c r="J1281" s="43">
        <v>1.9089294817970885E-2</v>
      </c>
      <c r="K1281" s="43"/>
      <c r="L1281" s="43">
        <v>0.24260000000000001</v>
      </c>
      <c r="O1281" s="50"/>
    </row>
    <row r="1282" spans="2:15" x14ac:dyDescent="0.2">
      <c r="B1282">
        <v>1267</v>
      </c>
      <c r="C1282" s="48">
        <f t="shared" ca="1" si="80"/>
        <v>0.8277278831426409</v>
      </c>
      <c r="D1282" s="48">
        <f t="shared" ca="1" si="77"/>
        <v>0.72100570126486607</v>
      </c>
      <c r="E1282" s="48">
        <f t="shared" ca="1" si="78"/>
        <v>0</v>
      </c>
      <c r="F1282" s="17">
        <f t="shared" ca="1" si="79"/>
        <v>0</v>
      </c>
      <c r="H1282" s="17">
        <v>1267</v>
      </c>
      <c r="I1282" s="43">
        <v>0.66875929882610419</v>
      </c>
      <c r="J1282" s="43">
        <v>1.9593898007863486E-2</v>
      </c>
      <c r="K1282" s="43"/>
      <c r="L1282" s="43">
        <v>0.25700000000000001</v>
      </c>
      <c r="O1282" s="50"/>
    </row>
    <row r="1283" spans="2:15" x14ac:dyDescent="0.2">
      <c r="B1283">
        <v>1268</v>
      </c>
      <c r="C1283" s="48">
        <f t="shared" ca="1" si="80"/>
        <v>0.93134769463813394</v>
      </c>
      <c r="D1283" s="48">
        <f t="shared" ca="1" si="77"/>
        <v>0.72840896802253874</v>
      </c>
      <c r="E1283" s="48">
        <f t="shared" ca="1" si="78"/>
        <v>0</v>
      </c>
      <c r="F1283" s="17">
        <f t="shared" ca="1" si="79"/>
        <v>0</v>
      </c>
      <c r="H1283" s="17">
        <v>1268</v>
      </c>
      <c r="I1283" s="43">
        <v>0.6671707656726571</v>
      </c>
      <c r="J1283" s="43">
        <v>1.8164843586751814E-2</v>
      </c>
      <c r="K1283" s="43"/>
      <c r="L1283" s="43">
        <v>0.24759999999999999</v>
      </c>
      <c r="O1283" s="50"/>
    </row>
    <row r="1284" spans="2:15" x14ac:dyDescent="0.2">
      <c r="B1284">
        <v>1269</v>
      </c>
      <c r="C1284" s="48">
        <f t="shared" ca="1" si="80"/>
        <v>1.1594324892324221</v>
      </c>
      <c r="D1284" s="48">
        <f t="shared" ca="1" si="77"/>
        <v>0.74497373484094143</v>
      </c>
      <c r="E1284" s="48">
        <f t="shared" ca="1" si="78"/>
        <v>0</v>
      </c>
      <c r="F1284" s="17">
        <f t="shared" ca="1" si="79"/>
        <v>0</v>
      </c>
      <c r="H1284" s="17">
        <v>1269</v>
      </c>
      <c r="I1284" s="43">
        <v>0.66783080511297899</v>
      </c>
      <c r="J1284" s="43">
        <v>1.8531730928005249E-2</v>
      </c>
      <c r="K1284" s="43"/>
      <c r="L1284" s="43">
        <v>0.24759999999999999</v>
      </c>
      <c r="O1284" s="50"/>
    </row>
    <row r="1285" spans="2:15" x14ac:dyDescent="0.2">
      <c r="B1285">
        <v>1270</v>
      </c>
      <c r="C1285" s="48">
        <f t="shared" ca="1" si="80"/>
        <v>0.50509690843699051</v>
      </c>
      <c r="D1285" s="48">
        <f t="shared" ca="1" si="77"/>
        <v>0.69843329262212783</v>
      </c>
      <c r="E1285" s="48">
        <f t="shared" ca="1" si="78"/>
        <v>0</v>
      </c>
      <c r="F1285" s="17">
        <f t="shared" ca="1" si="79"/>
        <v>0</v>
      </c>
      <c r="H1285" s="17">
        <v>1270</v>
      </c>
      <c r="I1285" s="43">
        <v>0.66969905217407855</v>
      </c>
      <c r="J1285" s="43">
        <v>1.9994220165308704E-2</v>
      </c>
      <c r="K1285" s="43"/>
      <c r="L1285" s="43">
        <v>0.25259999999999999</v>
      </c>
      <c r="O1285" s="50"/>
    </row>
    <row r="1286" spans="2:15" x14ac:dyDescent="0.2">
      <c r="B1286">
        <v>1271</v>
      </c>
      <c r="C1286" s="48">
        <f t="shared" ca="1" si="80"/>
        <v>-2.6242683485010341</v>
      </c>
      <c r="D1286" s="48">
        <f t="shared" ca="1" si="77"/>
        <v>0.5130244324550447</v>
      </c>
      <c r="E1286" s="48">
        <f t="shared" ca="1" si="78"/>
        <v>0</v>
      </c>
      <c r="F1286" s="17">
        <f t="shared" ca="1" si="79"/>
        <v>0</v>
      </c>
      <c r="H1286" s="17">
        <v>1271</v>
      </c>
      <c r="I1286" s="43">
        <v>0.66864091542583137</v>
      </c>
      <c r="J1286" s="43">
        <v>1.9286596769102486E-2</v>
      </c>
      <c r="K1286" s="43"/>
      <c r="L1286" s="43">
        <v>0.25259999999999999</v>
      </c>
      <c r="O1286" s="50"/>
    </row>
    <row r="1287" spans="2:15" x14ac:dyDescent="0.2">
      <c r="B1287">
        <v>1272</v>
      </c>
      <c r="C1287" s="48">
        <f t="shared" ca="1" si="80"/>
        <v>-0.5196034467447056</v>
      </c>
      <c r="D1287" s="48">
        <f t="shared" ca="1" si="77"/>
        <v>0.63132264677984284</v>
      </c>
      <c r="E1287" s="48">
        <f t="shared" ca="1" si="78"/>
        <v>0</v>
      </c>
      <c r="F1287" s="17">
        <f t="shared" ca="1" si="79"/>
        <v>0</v>
      </c>
      <c r="H1287" s="17">
        <v>1272</v>
      </c>
      <c r="I1287" s="43">
        <v>0.66835832923823502</v>
      </c>
      <c r="J1287" s="43">
        <v>1.8638956734726538E-2</v>
      </c>
      <c r="K1287" s="43"/>
      <c r="L1287" s="43">
        <v>0.2374</v>
      </c>
      <c r="O1287" s="50"/>
    </row>
    <row r="1288" spans="2:15" x14ac:dyDescent="0.2">
      <c r="B1288">
        <v>1273</v>
      </c>
      <c r="C1288" s="48">
        <f t="shared" ca="1" si="80"/>
        <v>0.46146133196912476</v>
      </c>
      <c r="D1288" s="48">
        <f t="shared" ca="1" si="77"/>
        <v>0.69543514125036054</v>
      </c>
      <c r="E1288" s="48">
        <f t="shared" ca="1" si="78"/>
        <v>0</v>
      </c>
      <c r="F1288" s="17">
        <f t="shared" ca="1" si="79"/>
        <v>0</v>
      </c>
      <c r="H1288" s="17">
        <v>1273</v>
      </c>
      <c r="I1288" s="43">
        <v>0.66973275585668679</v>
      </c>
      <c r="J1288" s="43">
        <v>2.0017053210613672E-2</v>
      </c>
      <c r="K1288" s="43"/>
      <c r="L1288" s="43">
        <v>0.25180000000000002</v>
      </c>
      <c r="O1288" s="50"/>
    </row>
    <row r="1289" spans="2:15" x14ac:dyDescent="0.2">
      <c r="B1289">
        <v>1274</v>
      </c>
      <c r="C1289" s="48">
        <f t="shared" ca="1" si="80"/>
        <v>-1.3601510554116882</v>
      </c>
      <c r="D1289" s="48">
        <f t="shared" ca="1" si="77"/>
        <v>0.58111553705375441</v>
      </c>
      <c r="E1289" s="48">
        <f t="shared" ca="1" si="78"/>
        <v>0</v>
      </c>
      <c r="F1289" s="17">
        <f t="shared" ca="1" si="79"/>
        <v>0</v>
      </c>
      <c r="H1289" s="17">
        <v>1274</v>
      </c>
      <c r="I1289" s="43">
        <v>0.66811407973064829</v>
      </c>
      <c r="J1289" s="43">
        <v>1.8330010980359548E-2</v>
      </c>
      <c r="K1289" s="43"/>
      <c r="L1289" s="43">
        <v>0.23960000000000001</v>
      </c>
      <c r="O1289" s="50"/>
    </row>
    <row r="1290" spans="2:15" x14ac:dyDescent="0.2">
      <c r="B1290">
        <v>1275</v>
      </c>
      <c r="C1290" s="48">
        <f t="shared" ca="1" si="80"/>
        <v>-0.75113517369841809</v>
      </c>
      <c r="D1290" s="48">
        <f t="shared" ca="1" si="77"/>
        <v>0.6170752211697289</v>
      </c>
      <c r="E1290" s="48">
        <f t="shared" ca="1" si="78"/>
        <v>0</v>
      </c>
      <c r="F1290" s="17">
        <f t="shared" ca="1" si="79"/>
        <v>0</v>
      </c>
      <c r="H1290" s="17">
        <v>1275</v>
      </c>
      <c r="I1290" s="43">
        <v>0.67007770839875558</v>
      </c>
      <c r="J1290" s="43">
        <v>2.0287915790395229E-2</v>
      </c>
      <c r="K1290" s="43"/>
      <c r="L1290" s="43">
        <v>0.25080000000000002</v>
      </c>
      <c r="O1290" s="50"/>
    </row>
    <row r="1291" spans="2:15" x14ac:dyDescent="0.2">
      <c r="B1291">
        <v>1276</v>
      </c>
      <c r="C1291" s="48">
        <f t="shared" ca="1" si="80"/>
        <v>-2.1574274735172754</v>
      </c>
      <c r="D1291" s="48">
        <f t="shared" ca="1" si="77"/>
        <v>0.53718800265449407</v>
      </c>
      <c r="E1291" s="48">
        <f t="shared" ca="1" si="78"/>
        <v>0</v>
      </c>
      <c r="F1291" s="17">
        <f t="shared" ca="1" si="79"/>
        <v>0</v>
      </c>
      <c r="H1291" s="17">
        <v>1276</v>
      </c>
      <c r="I1291" s="43">
        <v>0.66866753478268504</v>
      </c>
      <c r="J1291" s="43">
        <v>1.9268188182259484E-2</v>
      </c>
      <c r="K1291" s="43"/>
      <c r="L1291" s="43">
        <v>0.2492</v>
      </c>
      <c r="O1291" s="50"/>
    </row>
    <row r="1292" spans="2:15" x14ac:dyDescent="0.2">
      <c r="B1292">
        <v>1277</v>
      </c>
      <c r="C1292" s="48">
        <f t="shared" ca="1" si="80"/>
        <v>0.10350969520030312</v>
      </c>
      <c r="D1292" s="48">
        <f t="shared" ca="1" si="77"/>
        <v>0.67132153233229874</v>
      </c>
      <c r="E1292" s="48">
        <f t="shared" ca="1" si="78"/>
        <v>0</v>
      </c>
      <c r="F1292" s="17">
        <f t="shared" ca="1" si="79"/>
        <v>0</v>
      </c>
      <c r="H1292" s="17">
        <v>1277</v>
      </c>
      <c r="I1292" s="43">
        <v>0.66879052602815448</v>
      </c>
      <c r="J1292" s="43">
        <v>1.9443354799234223E-2</v>
      </c>
      <c r="K1292" s="43"/>
      <c r="L1292" s="43">
        <v>0.25</v>
      </c>
      <c r="O1292" s="50"/>
    </row>
    <row r="1293" spans="2:15" x14ac:dyDescent="0.2">
      <c r="B1293">
        <v>1278</v>
      </c>
      <c r="C1293" s="48">
        <f t="shared" ca="1" si="80"/>
        <v>0.17171093155263095</v>
      </c>
      <c r="D1293" s="48">
        <f t="shared" ca="1" si="77"/>
        <v>0.67585056460464221</v>
      </c>
      <c r="E1293" s="48">
        <f t="shared" ca="1" si="78"/>
        <v>0</v>
      </c>
      <c r="F1293" s="17">
        <f t="shared" ca="1" si="79"/>
        <v>0</v>
      </c>
      <c r="H1293" s="17">
        <v>1278</v>
      </c>
      <c r="I1293" s="43">
        <v>0.67002284221430097</v>
      </c>
      <c r="J1293" s="43">
        <v>2.0532086716840574E-2</v>
      </c>
      <c r="K1293" s="43"/>
      <c r="L1293" s="43">
        <v>0.2626</v>
      </c>
      <c r="O1293" s="50"/>
    </row>
    <row r="1294" spans="2:15" x14ac:dyDescent="0.2">
      <c r="B1294">
        <v>1279</v>
      </c>
      <c r="C1294" s="48">
        <f t="shared" ca="1" si="80"/>
        <v>-0.17096759322297961</v>
      </c>
      <c r="D1294" s="48">
        <f t="shared" ca="1" si="77"/>
        <v>0.65339914108600172</v>
      </c>
      <c r="E1294" s="48">
        <f t="shared" ca="1" si="78"/>
        <v>0</v>
      </c>
      <c r="F1294" s="17">
        <f t="shared" ca="1" si="79"/>
        <v>0</v>
      </c>
      <c r="H1294" s="17">
        <v>1279</v>
      </c>
      <c r="I1294" s="43">
        <v>0.6684976522058319</v>
      </c>
      <c r="J1294" s="43">
        <v>1.9016237017099535E-2</v>
      </c>
      <c r="K1294" s="43"/>
      <c r="L1294" s="43">
        <v>0.24560000000000001</v>
      </c>
      <c r="O1294" s="50"/>
    </row>
    <row r="1295" spans="2:15" x14ac:dyDescent="0.2">
      <c r="B1295">
        <v>1280</v>
      </c>
      <c r="C1295" s="48">
        <f t="shared" ca="1" si="80"/>
        <v>-2.0163858904772987</v>
      </c>
      <c r="D1295" s="48">
        <f t="shared" ca="1" si="77"/>
        <v>0.54470973916113929</v>
      </c>
      <c r="E1295" s="48">
        <f t="shared" ca="1" si="78"/>
        <v>0</v>
      </c>
      <c r="F1295" s="17">
        <f t="shared" ca="1" si="79"/>
        <v>0</v>
      </c>
      <c r="H1295" s="17">
        <v>1280</v>
      </c>
      <c r="I1295" s="43">
        <v>0.66766937867926046</v>
      </c>
      <c r="J1295" s="43">
        <v>1.8713774870437863E-2</v>
      </c>
      <c r="K1295" s="43"/>
      <c r="L1295" s="43">
        <v>0.25540000000000002</v>
      </c>
      <c r="O1295" s="50"/>
    </row>
    <row r="1296" spans="2:15" x14ac:dyDescent="0.2">
      <c r="B1296">
        <v>1281</v>
      </c>
      <c r="C1296" s="48">
        <f t="shared" ca="1" si="80"/>
        <v>-1.0669818401883431</v>
      </c>
      <c r="D1296" s="48">
        <f t="shared" ref="D1296:D1359" ca="1" si="81">S0*EXP((μ-0.5*σ*σ)*T+σ*SQRT(T)*$C1296)</f>
        <v>0.59815648909963648</v>
      </c>
      <c r="E1296" s="48">
        <f t="shared" ref="E1296:E1359" ca="1" si="82">MAX(0,CP*(D1296-K))</f>
        <v>0</v>
      </c>
      <c r="F1296" s="17">
        <f t="shared" ref="F1296:F1359" ca="1" si="83">(CP*(D1296-K)&gt;0)*1</f>
        <v>0</v>
      </c>
      <c r="H1296" s="17">
        <v>1281</v>
      </c>
      <c r="I1296" s="43">
        <v>0.66883598679589096</v>
      </c>
      <c r="J1296" s="43">
        <v>1.8987837636030139E-2</v>
      </c>
      <c r="K1296" s="43"/>
      <c r="L1296" s="43">
        <v>0.24660000000000001</v>
      </c>
      <c r="O1296" s="50"/>
    </row>
    <row r="1297" spans="2:15" x14ac:dyDescent="0.2">
      <c r="B1297">
        <v>1282</v>
      </c>
      <c r="C1297" s="48">
        <f t="shared" ref="C1297:C1360" ca="1" si="84">_xlfn.NORM.S.INV(RAND())</f>
        <v>-0.10194410696222803</v>
      </c>
      <c r="D1297" s="48">
        <f t="shared" ca="1" si="81"/>
        <v>0.65786058731744668</v>
      </c>
      <c r="E1297" s="48">
        <f t="shared" ca="1" si="82"/>
        <v>0</v>
      </c>
      <c r="F1297" s="17">
        <f t="shared" ca="1" si="83"/>
        <v>0</v>
      </c>
      <c r="H1297" s="17">
        <v>1282</v>
      </c>
      <c r="I1297" s="43">
        <v>0.67043585951700813</v>
      </c>
      <c r="J1297" s="43">
        <v>2.0384684527715163E-2</v>
      </c>
      <c r="K1297" s="43"/>
      <c r="L1297" s="43">
        <v>0.25619999999999998</v>
      </c>
      <c r="O1297" s="50"/>
    </row>
    <row r="1298" spans="2:15" x14ac:dyDescent="0.2">
      <c r="B1298">
        <v>1283</v>
      </c>
      <c r="C1298" s="48">
        <f t="shared" ca="1" si="84"/>
        <v>-2.5710914626327814</v>
      </c>
      <c r="D1298" s="48">
        <f t="shared" ca="1" si="81"/>
        <v>0.51572106379664884</v>
      </c>
      <c r="E1298" s="48">
        <f t="shared" ca="1" si="82"/>
        <v>0</v>
      </c>
      <c r="F1298" s="17">
        <f t="shared" ca="1" si="83"/>
        <v>0</v>
      </c>
      <c r="H1298" s="17">
        <v>1283</v>
      </c>
      <c r="I1298" s="43">
        <v>0.67116078991369821</v>
      </c>
      <c r="J1298" s="43">
        <v>2.0871634579180641E-2</v>
      </c>
      <c r="K1298" s="43"/>
      <c r="L1298" s="43">
        <v>0.25900000000000001</v>
      </c>
      <c r="O1298" s="50"/>
    </row>
    <row r="1299" spans="2:15" x14ac:dyDescent="0.2">
      <c r="B1299">
        <v>1284</v>
      </c>
      <c r="C1299" s="48">
        <f t="shared" ca="1" si="84"/>
        <v>1.8113524148188438</v>
      </c>
      <c r="D1299" s="48">
        <f t="shared" ca="1" si="81"/>
        <v>0.79442620428705379</v>
      </c>
      <c r="E1299" s="48">
        <f t="shared" ca="1" si="82"/>
        <v>6.2262042870537826E-3</v>
      </c>
      <c r="F1299" s="17">
        <f t="shared" ca="1" si="83"/>
        <v>1</v>
      </c>
      <c r="H1299" s="17">
        <v>1284</v>
      </c>
      <c r="I1299" s="43">
        <v>0.66968342442546092</v>
      </c>
      <c r="J1299" s="43">
        <v>1.9940966558257237E-2</v>
      </c>
      <c r="K1299" s="43"/>
      <c r="L1299" s="43">
        <v>0.25180000000000002</v>
      </c>
      <c r="O1299" s="50"/>
    </row>
    <row r="1300" spans="2:15" x14ac:dyDescent="0.2">
      <c r="B1300">
        <v>1285</v>
      </c>
      <c r="C1300" s="48">
        <f t="shared" ca="1" si="84"/>
        <v>0.88954630074250474</v>
      </c>
      <c r="D1300" s="48">
        <f t="shared" ca="1" si="81"/>
        <v>0.72541330339248944</v>
      </c>
      <c r="E1300" s="48">
        <f t="shared" ca="1" si="82"/>
        <v>0</v>
      </c>
      <c r="F1300" s="17">
        <f t="shared" ca="1" si="83"/>
        <v>0</v>
      </c>
      <c r="H1300" s="17">
        <v>1285</v>
      </c>
      <c r="I1300" s="43">
        <v>0.66866849916062843</v>
      </c>
      <c r="J1300" s="43">
        <v>1.9006136783906506E-2</v>
      </c>
      <c r="K1300" s="43"/>
      <c r="L1300" s="43">
        <v>0.2482</v>
      </c>
      <c r="O1300" s="50"/>
    </row>
    <row r="1301" spans="2:15" x14ac:dyDescent="0.2">
      <c r="B1301">
        <v>1286</v>
      </c>
      <c r="C1301" s="48">
        <f t="shared" ca="1" si="84"/>
        <v>1.2627348493535742</v>
      </c>
      <c r="D1301" s="48">
        <f t="shared" ca="1" si="81"/>
        <v>0.75259955043791127</v>
      </c>
      <c r="E1301" s="48">
        <f t="shared" ca="1" si="82"/>
        <v>0</v>
      </c>
      <c r="F1301" s="17">
        <f t="shared" ca="1" si="83"/>
        <v>0</v>
      </c>
      <c r="H1301" s="17">
        <v>1286</v>
      </c>
      <c r="I1301" s="43">
        <v>0.6697533390570386</v>
      </c>
      <c r="J1301" s="43">
        <v>2.0122378023574767E-2</v>
      </c>
      <c r="K1301" s="43"/>
      <c r="L1301" s="43">
        <v>0.26400000000000001</v>
      </c>
      <c r="O1301" s="50"/>
    </row>
    <row r="1302" spans="2:15" x14ac:dyDescent="0.2">
      <c r="B1302">
        <v>1287</v>
      </c>
      <c r="C1302" s="48">
        <f t="shared" ca="1" si="84"/>
        <v>-1.7474198730145758</v>
      </c>
      <c r="D1302" s="48">
        <f t="shared" ca="1" si="81"/>
        <v>0.55934683851121492</v>
      </c>
      <c r="E1302" s="48">
        <f t="shared" ca="1" si="82"/>
        <v>0</v>
      </c>
      <c r="F1302" s="17">
        <f t="shared" ca="1" si="83"/>
        <v>0</v>
      </c>
      <c r="H1302" s="17">
        <v>1287</v>
      </c>
      <c r="I1302" s="43">
        <v>0.66821126628052074</v>
      </c>
      <c r="J1302" s="43">
        <v>1.8527080853912126E-2</v>
      </c>
      <c r="K1302" s="43"/>
      <c r="L1302" s="43">
        <v>0.2442</v>
      </c>
      <c r="O1302" s="50"/>
    </row>
    <row r="1303" spans="2:15" x14ac:dyDescent="0.2">
      <c r="B1303">
        <v>1288</v>
      </c>
      <c r="C1303" s="48">
        <f t="shared" ca="1" si="84"/>
        <v>-1.2308905743322924</v>
      </c>
      <c r="D1303" s="48">
        <f t="shared" ca="1" si="81"/>
        <v>0.58856834830136484</v>
      </c>
      <c r="E1303" s="48">
        <f t="shared" ca="1" si="82"/>
        <v>0</v>
      </c>
      <c r="F1303" s="17">
        <f t="shared" ca="1" si="83"/>
        <v>0</v>
      </c>
      <c r="H1303" s="17">
        <v>1288</v>
      </c>
      <c r="I1303" s="43">
        <v>0.66901812792566928</v>
      </c>
      <c r="J1303" s="43">
        <v>1.9466971947328857E-2</v>
      </c>
      <c r="K1303" s="43"/>
      <c r="L1303" s="43">
        <v>0.24940000000000001</v>
      </c>
      <c r="O1303" s="50"/>
    </row>
    <row r="1304" spans="2:15" x14ac:dyDescent="0.2">
      <c r="B1304">
        <v>1289</v>
      </c>
      <c r="C1304" s="48">
        <f t="shared" ca="1" si="84"/>
        <v>0.21454903945560289</v>
      </c>
      <c r="D1304" s="48">
        <f t="shared" ca="1" si="81"/>
        <v>0.67871092056485771</v>
      </c>
      <c r="E1304" s="48">
        <f t="shared" ca="1" si="82"/>
        <v>0</v>
      </c>
      <c r="F1304" s="17">
        <f t="shared" ca="1" si="83"/>
        <v>0</v>
      </c>
      <c r="H1304" s="17">
        <v>1289</v>
      </c>
      <c r="I1304" s="43">
        <v>0.66973160977796775</v>
      </c>
      <c r="J1304" s="43">
        <v>2.0040714382352245E-2</v>
      </c>
      <c r="K1304" s="43"/>
      <c r="L1304" s="43">
        <v>0.25359999999999999</v>
      </c>
      <c r="O1304" s="50"/>
    </row>
    <row r="1305" spans="2:15" x14ac:dyDescent="0.2">
      <c r="B1305">
        <v>1290</v>
      </c>
      <c r="C1305" s="48">
        <f t="shared" ca="1" si="84"/>
        <v>-6.9061457016488165E-2</v>
      </c>
      <c r="D1305" s="48">
        <f t="shared" ca="1" si="81"/>
        <v>0.65999671171353136</v>
      </c>
      <c r="E1305" s="48">
        <f t="shared" ca="1" si="82"/>
        <v>0</v>
      </c>
      <c r="F1305" s="17">
        <f t="shared" ca="1" si="83"/>
        <v>0</v>
      </c>
      <c r="H1305" s="17">
        <v>1290</v>
      </c>
      <c r="I1305" s="43">
        <v>0.66817481535691781</v>
      </c>
      <c r="J1305" s="43">
        <v>1.9021250134805209E-2</v>
      </c>
      <c r="K1305" s="43"/>
      <c r="L1305" s="43">
        <v>0.25240000000000001</v>
      </c>
      <c r="O1305" s="50"/>
    </row>
    <row r="1306" spans="2:15" x14ac:dyDescent="0.2">
      <c r="B1306">
        <v>1291</v>
      </c>
      <c r="C1306" s="48">
        <f t="shared" ca="1" si="84"/>
        <v>-0.26073193242429088</v>
      </c>
      <c r="D1306" s="48">
        <f t="shared" ca="1" si="81"/>
        <v>0.64764230504708808</v>
      </c>
      <c r="E1306" s="48">
        <f t="shared" ca="1" si="82"/>
        <v>0</v>
      </c>
      <c r="F1306" s="17">
        <f t="shared" ca="1" si="83"/>
        <v>0</v>
      </c>
      <c r="H1306" s="17">
        <v>1291</v>
      </c>
      <c r="I1306" s="43">
        <v>0.6680766361190883</v>
      </c>
      <c r="J1306" s="43">
        <v>1.865004807208329E-2</v>
      </c>
      <c r="K1306" s="43"/>
      <c r="L1306" s="43">
        <v>0.24859999999999999</v>
      </c>
      <c r="O1306" s="50"/>
    </row>
    <row r="1307" spans="2:15" x14ac:dyDescent="0.2">
      <c r="B1307">
        <v>1292</v>
      </c>
      <c r="C1307" s="48">
        <f t="shared" ca="1" si="84"/>
        <v>0.93565957570397185</v>
      </c>
      <c r="D1307" s="48">
        <f t="shared" ca="1" si="81"/>
        <v>0.72871867863704576</v>
      </c>
      <c r="E1307" s="48">
        <f t="shared" ca="1" si="82"/>
        <v>0</v>
      </c>
      <c r="F1307" s="17">
        <f t="shared" ca="1" si="83"/>
        <v>0</v>
      </c>
      <c r="H1307" s="17">
        <v>1292</v>
      </c>
      <c r="I1307" s="43">
        <v>0.66859115276936587</v>
      </c>
      <c r="J1307" s="43">
        <v>1.9239799905344791E-2</v>
      </c>
      <c r="K1307" s="43"/>
      <c r="L1307" s="43">
        <v>0.24940000000000001</v>
      </c>
      <c r="O1307" s="50"/>
    </row>
    <row r="1308" spans="2:15" x14ac:dyDescent="0.2">
      <c r="B1308">
        <v>1293</v>
      </c>
      <c r="C1308" s="48">
        <f t="shared" ca="1" si="84"/>
        <v>-0.19898658402226505</v>
      </c>
      <c r="D1308" s="48">
        <f t="shared" ca="1" si="81"/>
        <v>0.65159673321186029</v>
      </c>
      <c r="E1308" s="48">
        <f t="shared" ca="1" si="82"/>
        <v>0</v>
      </c>
      <c r="F1308" s="17">
        <f t="shared" ca="1" si="83"/>
        <v>0</v>
      </c>
      <c r="H1308" s="17">
        <v>1293</v>
      </c>
      <c r="I1308" s="43">
        <v>0.66939896920223019</v>
      </c>
      <c r="J1308" s="43">
        <v>1.9461634492663898E-2</v>
      </c>
      <c r="K1308" s="43"/>
      <c r="L1308" s="43">
        <v>0.2482</v>
      </c>
      <c r="O1308" s="50"/>
    </row>
    <row r="1309" spans="2:15" x14ac:dyDescent="0.2">
      <c r="B1309">
        <v>1294</v>
      </c>
      <c r="C1309" s="48">
        <f t="shared" ca="1" si="84"/>
        <v>0.15227592057762326</v>
      </c>
      <c r="D1309" s="48">
        <f t="shared" ca="1" si="81"/>
        <v>0.67455684191949339</v>
      </c>
      <c r="E1309" s="48">
        <f t="shared" ca="1" si="82"/>
        <v>0</v>
      </c>
      <c r="F1309" s="17">
        <f t="shared" ca="1" si="83"/>
        <v>0</v>
      </c>
      <c r="H1309" s="17">
        <v>1294</v>
      </c>
      <c r="I1309" s="43">
        <v>0.6676720486718527</v>
      </c>
      <c r="J1309" s="43">
        <v>1.8381467385551374E-2</v>
      </c>
      <c r="K1309" s="43"/>
      <c r="L1309" s="43">
        <v>0.24440000000000001</v>
      </c>
      <c r="O1309" s="50"/>
    </row>
    <row r="1310" spans="2:15" x14ac:dyDescent="0.2">
      <c r="B1310">
        <v>1295</v>
      </c>
      <c r="C1310" s="48">
        <f t="shared" ca="1" si="84"/>
        <v>1.2301201998805749</v>
      </c>
      <c r="D1310" s="48">
        <f t="shared" ca="1" si="81"/>
        <v>0.75018353133871141</v>
      </c>
      <c r="E1310" s="48">
        <f t="shared" ca="1" si="82"/>
        <v>0</v>
      </c>
      <c r="F1310" s="17">
        <f t="shared" ca="1" si="83"/>
        <v>0</v>
      </c>
      <c r="H1310" s="17">
        <v>1295</v>
      </c>
      <c r="I1310" s="43">
        <v>0.6683987753162659</v>
      </c>
      <c r="J1310" s="43">
        <v>1.8875697321782077E-2</v>
      </c>
      <c r="K1310" s="43"/>
      <c r="L1310" s="43">
        <v>0.25219999999999998</v>
      </c>
      <c r="O1310" s="50"/>
    </row>
    <row r="1311" spans="2:15" x14ac:dyDescent="0.2">
      <c r="B1311">
        <v>1296</v>
      </c>
      <c r="C1311" s="48">
        <f t="shared" ca="1" si="84"/>
        <v>-2.1770754551984517</v>
      </c>
      <c r="D1311" s="48">
        <f t="shared" ca="1" si="81"/>
        <v>0.53614845258017452</v>
      </c>
      <c r="E1311" s="48">
        <f t="shared" ca="1" si="82"/>
        <v>0</v>
      </c>
      <c r="F1311" s="17">
        <f t="shared" ca="1" si="83"/>
        <v>0</v>
      </c>
      <c r="H1311" s="17">
        <v>1296</v>
      </c>
      <c r="I1311" s="43">
        <v>0.66817096919818408</v>
      </c>
      <c r="J1311" s="43">
        <v>1.8658433563695898E-2</v>
      </c>
      <c r="K1311" s="43"/>
      <c r="L1311" s="43">
        <v>0.24279999999999999</v>
      </c>
      <c r="O1311" s="50"/>
    </row>
    <row r="1312" spans="2:15" x14ac:dyDescent="0.2">
      <c r="B1312">
        <v>1297</v>
      </c>
      <c r="C1312" s="48">
        <f t="shared" ca="1" si="84"/>
        <v>-1.383600226043834</v>
      </c>
      <c r="D1312" s="48">
        <f t="shared" ca="1" si="81"/>
        <v>0.57977366906839778</v>
      </c>
      <c r="E1312" s="48">
        <f t="shared" ca="1" si="82"/>
        <v>0</v>
      </c>
      <c r="F1312" s="17">
        <f t="shared" ca="1" si="83"/>
        <v>0</v>
      </c>
      <c r="H1312" s="17">
        <v>1297</v>
      </c>
      <c r="I1312" s="43">
        <v>0.66839003488182802</v>
      </c>
      <c r="J1312" s="43">
        <v>1.9067234395352701E-2</v>
      </c>
      <c r="K1312" s="43"/>
      <c r="L1312" s="43">
        <v>0.24679999999999999</v>
      </c>
      <c r="O1312" s="50"/>
    </row>
    <row r="1313" spans="2:15" x14ac:dyDescent="0.2">
      <c r="B1313">
        <v>1298</v>
      </c>
      <c r="C1313" s="48">
        <f t="shared" ca="1" si="84"/>
        <v>-8.5636455762271843E-2</v>
      </c>
      <c r="D1313" s="48">
        <f t="shared" ca="1" si="81"/>
        <v>0.65891910023857669</v>
      </c>
      <c r="E1313" s="48">
        <f t="shared" ca="1" si="82"/>
        <v>0</v>
      </c>
      <c r="F1313" s="17">
        <f t="shared" ca="1" si="83"/>
        <v>0</v>
      </c>
      <c r="H1313" s="17">
        <v>1298</v>
      </c>
      <c r="I1313" s="43">
        <v>0.6697666792804976</v>
      </c>
      <c r="J1313" s="43">
        <v>1.9893097349735659E-2</v>
      </c>
      <c r="K1313" s="43"/>
      <c r="L1313" s="43">
        <v>0.25540000000000002</v>
      </c>
      <c r="O1313" s="50"/>
    </row>
    <row r="1314" spans="2:15" x14ac:dyDescent="0.2">
      <c r="B1314">
        <v>1299</v>
      </c>
      <c r="C1314" s="48">
        <f t="shared" ca="1" si="84"/>
        <v>7.530343927676246E-2</v>
      </c>
      <c r="D1314" s="48">
        <f t="shared" ca="1" si="81"/>
        <v>0.66945732573616801</v>
      </c>
      <c r="E1314" s="48">
        <f t="shared" ca="1" si="82"/>
        <v>0</v>
      </c>
      <c r="F1314" s="17">
        <f t="shared" ca="1" si="83"/>
        <v>0</v>
      </c>
      <c r="H1314" s="17">
        <v>1299</v>
      </c>
      <c r="I1314" s="43">
        <v>0.66897744054158326</v>
      </c>
      <c r="J1314" s="43">
        <v>1.9520300739655903E-2</v>
      </c>
      <c r="K1314" s="43"/>
      <c r="L1314" s="43">
        <v>0.25340000000000001</v>
      </c>
      <c r="O1314" s="50"/>
    </row>
    <row r="1315" spans="2:15" x14ac:dyDescent="0.2">
      <c r="B1315">
        <v>1300</v>
      </c>
      <c r="C1315" s="48">
        <f t="shared" ca="1" si="84"/>
        <v>1.3289939567398938</v>
      </c>
      <c r="D1315" s="48">
        <f t="shared" ca="1" si="81"/>
        <v>0.75753186201010081</v>
      </c>
      <c r="E1315" s="48">
        <f t="shared" ca="1" si="82"/>
        <v>0</v>
      </c>
      <c r="F1315" s="17">
        <f t="shared" ca="1" si="83"/>
        <v>0</v>
      </c>
      <c r="H1315" s="17">
        <v>1300</v>
      </c>
      <c r="I1315" s="43">
        <v>0.66695405309907851</v>
      </c>
      <c r="J1315" s="43">
        <v>1.7778371687582586E-2</v>
      </c>
      <c r="K1315" s="43"/>
      <c r="L1315" s="43">
        <v>0.246</v>
      </c>
      <c r="O1315" s="50"/>
    </row>
    <row r="1316" spans="2:15" x14ac:dyDescent="0.2">
      <c r="B1316">
        <v>1301</v>
      </c>
      <c r="C1316" s="48">
        <f t="shared" ca="1" si="84"/>
        <v>0.30594405938005154</v>
      </c>
      <c r="D1316" s="48">
        <f t="shared" ca="1" si="81"/>
        <v>0.68485401431221182</v>
      </c>
      <c r="E1316" s="48">
        <f t="shared" ca="1" si="82"/>
        <v>0</v>
      </c>
      <c r="F1316" s="17">
        <f t="shared" ca="1" si="83"/>
        <v>0</v>
      </c>
      <c r="H1316" s="17">
        <v>1301</v>
      </c>
      <c r="I1316" s="43">
        <v>0.66804654369028504</v>
      </c>
      <c r="J1316" s="43">
        <v>1.8503687785277726E-2</v>
      </c>
      <c r="K1316" s="43"/>
      <c r="L1316" s="43">
        <v>0.24679999999999999</v>
      </c>
      <c r="O1316" s="50"/>
    </row>
    <row r="1317" spans="2:15" x14ac:dyDescent="0.2">
      <c r="B1317">
        <v>1302</v>
      </c>
      <c r="C1317" s="48">
        <f t="shared" ca="1" si="84"/>
        <v>0.44769222134656766</v>
      </c>
      <c r="D1317" s="48">
        <f t="shared" ca="1" si="81"/>
        <v>0.69449175507800809</v>
      </c>
      <c r="E1317" s="48">
        <f t="shared" ca="1" si="82"/>
        <v>0</v>
      </c>
      <c r="F1317" s="17">
        <f t="shared" ca="1" si="83"/>
        <v>0</v>
      </c>
      <c r="H1317" s="17">
        <v>1302</v>
      </c>
      <c r="I1317" s="43">
        <v>0.6690442074690125</v>
      </c>
      <c r="J1317" s="43">
        <v>1.9094036912743795E-2</v>
      </c>
      <c r="K1317" s="43"/>
      <c r="L1317" s="43">
        <v>0.24340000000000001</v>
      </c>
      <c r="O1317" s="50"/>
    </row>
    <row r="1318" spans="2:15" x14ac:dyDescent="0.2">
      <c r="B1318">
        <v>1303</v>
      </c>
      <c r="C1318" s="48">
        <f t="shared" ca="1" si="84"/>
        <v>-1.2931821943264181</v>
      </c>
      <c r="D1318" s="48">
        <f t="shared" ca="1" si="81"/>
        <v>0.5849649240846525</v>
      </c>
      <c r="E1318" s="48">
        <f t="shared" ca="1" si="82"/>
        <v>0</v>
      </c>
      <c r="F1318" s="17">
        <f t="shared" ca="1" si="83"/>
        <v>0</v>
      </c>
      <c r="H1318" s="17">
        <v>1303</v>
      </c>
      <c r="I1318" s="43">
        <v>0.66862006665366547</v>
      </c>
      <c r="J1318" s="43">
        <v>1.8907406035189832E-2</v>
      </c>
      <c r="K1318" s="43"/>
      <c r="L1318" s="43">
        <v>0.24199999999999999</v>
      </c>
      <c r="O1318" s="50"/>
    </row>
    <row r="1319" spans="2:15" x14ac:dyDescent="0.2">
      <c r="B1319">
        <v>1304</v>
      </c>
      <c r="C1319" s="48">
        <f t="shared" ca="1" si="84"/>
        <v>0.35078194714470518</v>
      </c>
      <c r="D1319" s="48">
        <f t="shared" ca="1" si="81"/>
        <v>0.68788808094827014</v>
      </c>
      <c r="E1319" s="48">
        <f t="shared" ca="1" si="82"/>
        <v>0</v>
      </c>
      <c r="F1319" s="17">
        <f t="shared" ca="1" si="83"/>
        <v>0</v>
      </c>
      <c r="H1319" s="17">
        <v>1304</v>
      </c>
      <c r="I1319" s="43">
        <v>0.66814712594389436</v>
      </c>
      <c r="J1319" s="43">
        <v>1.8718425747341495E-2</v>
      </c>
      <c r="K1319" s="43"/>
      <c r="L1319" s="43">
        <v>0.24660000000000001</v>
      </c>
      <c r="O1319" s="50"/>
    </row>
    <row r="1320" spans="2:15" x14ac:dyDescent="0.2">
      <c r="B1320">
        <v>1305</v>
      </c>
      <c r="C1320" s="48">
        <f t="shared" ca="1" si="84"/>
        <v>-0.15057570303185044</v>
      </c>
      <c r="D1320" s="48">
        <f t="shared" ca="1" si="81"/>
        <v>0.65471404611467499</v>
      </c>
      <c r="E1320" s="48">
        <f t="shared" ca="1" si="82"/>
        <v>0</v>
      </c>
      <c r="F1320" s="17">
        <f t="shared" ca="1" si="83"/>
        <v>0</v>
      </c>
      <c r="H1320" s="17">
        <v>1305</v>
      </c>
      <c r="I1320" s="43">
        <v>0.66916497641775419</v>
      </c>
      <c r="J1320" s="43">
        <v>1.9352422190750566E-2</v>
      </c>
      <c r="K1320" s="43"/>
      <c r="L1320" s="43">
        <v>0.24959999999999999</v>
      </c>
      <c r="O1320" s="50"/>
    </row>
    <row r="1321" spans="2:15" x14ac:dyDescent="0.2">
      <c r="B1321">
        <v>1306</v>
      </c>
      <c r="C1321" s="48">
        <f t="shared" ca="1" si="84"/>
        <v>0.43386172182481858</v>
      </c>
      <c r="D1321" s="48">
        <f t="shared" ca="1" si="81"/>
        <v>0.69354545117552457</v>
      </c>
      <c r="E1321" s="48">
        <f t="shared" ca="1" si="82"/>
        <v>0</v>
      </c>
      <c r="F1321" s="17">
        <f t="shared" ca="1" si="83"/>
        <v>0</v>
      </c>
      <c r="H1321" s="17">
        <v>1306</v>
      </c>
      <c r="I1321" s="43">
        <v>0.66882113562211021</v>
      </c>
      <c r="J1321" s="43">
        <v>1.930565662256602E-2</v>
      </c>
      <c r="K1321" s="43"/>
      <c r="L1321" s="43">
        <v>0.25480000000000003</v>
      </c>
      <c r="O1321" s="50"/>
    </row>
    <row r="1322" spans="2:15" x14ac:dyDescent="0.2">
      <c r="B1322">
        <v>1307</v>
      </c>
      <c r="C1322" s="48">
        <f t="shared" ca="1" si="84"/>
        <v>-1.1673379426315433</v>
      </c>
      <c r="D1322" s="48">
        <f t="shared" ca="1" si="81"/>
        <v>0.59226759596268785</v>
      </c>
      <c r="E1322" s="48">
        <f t="shared" ca="1" si="82"/>
        <v>0</v>
      </c>
      <c r="F1322" s="17">
        <f t="shared" ca="1" si="83"/>
        <v>0</v>
      </c>
      <c r="H1322" s="17">
        <v>1307</v>
      </c>
      <c r="I1322" s="43">
        <v>0.66831723787979636</v>
      </c>
      <c r="J1322" s="43">
        <v>1.9117178859873168E-2</v>
      </c>
      <c r="K1322" s="43"/>
      <c r="L1322" s="43">
        <v>0.2482</v>
      </c>
      <c r="O1322" s="50"/>
    </row>
    <row r="1323" spans="2:15" x14ac:dyDescent="0.2">
      <c r="B1323">
        <v>1308</v>
      </c>
      <c r="C1323" s="48">
        <f t="shared" ca="1" si="84"/>
        <v>1.3228584678276987</v>
      </c>
      <c r="D1323" s="48">
        <f t="shared" ca="1" si="81"/>
        <v>0.757073782930198</v>
      </c>
      <c r="E1323" s="48">
        <f t="shared" ca="1" si="82"/>
        <v>0</v>
      </c>
      <c r="F1323" s="17">
        <f t="shared" ca="1" si="83"/>
        <v>0</v>
      </c>
      <c r="H1323" s="17">
        <v>1308</v>
      </c>
      <c r="I1323" s="43">
        <v>0.6690120114719702</v>
      </c>
      <c r="J1323" s="43">
        <v>1.9317873181496897E-2</v>
      </c>
      <c r="K1323" s="43"/>
      <c r="L1323" s="43">
        <v>0.2492</v>
      </c>
      <c r="O1323" s="50"/>
    </row>
    <row r="1324" spans="2:15" x14ac:dyDescent="0.2">
      <c r="B1324">
        <v>1309</v>
      </c>
      <c r="C1324" s="48">
        <f t="shared" ca="1" si="84"/>
        <v>0.52883218775556384</v>
      </c>
      <c r="D1324" s="48">
        <f t="shared" ca="1" si="81"/>
        <v>0.7000695409821388</v>
      </c>
      <c r="E1324" s="48">
        <f t="shared" ca="1" si="82"/>
        <v>0</v>
      </c>
      <c r="F1324" s="17">
        <f t="shared" ca="1" si="83"/>
        <v>0</v>
      </c>
      <c r="H1324" s="17">
        <v>1309</v>
      </c>
      <c r="I1324" s="43">
        <v>0.66893346130221698</v>
      </c>
      <c r="J1324" s="43">
        <v>1.9402889361098036E-2</v>
      </c>
      <c r="K1324" s="43"/>
      <c r="L1324" s="43">
        <v>0.24840000000000001</v>
      </c>
      <c r="O1324" s="50"/>
    </row>
    <row r="1325" spans="2:15" x14ac:dyDescent="0.2">
      <c r="B1325">
        <v>1310</v>
      </c>
      <c r="C1325" s="48">
        <f t="shared" ca="1" si="84"/>
        <v>-1.0666860810984302</v>
      </c>
      <c r="D1325" s="48">
        <f t="shared" ca="1" si="81"/>
        <v>0.59817393048476175</v>
      </c>
      <c r="E1325" s="48">
        <f t="shared" ca="1" si="82"/>
        <v>0</v>
      </c>
      <c r="F1325" s="17">
        <f t="shared" ca="1" si="83"/>
        <v>0</v>
      </c>
      <c r="H1325" s="17">
        <v>1310</v>
      </c>
      <c r="I1325" s="43">
        <v>0.66972039256181704</v>
      </c>
      <c r="J1325" s="43">
        <v>1.9954313261912222E-2</v>
      </c>
      <c r="K1325" s="43"/>
      <c r="L1325" s="43">
        <v>0.25019999999999998</v>
      </c>
      <c r="O1325" s="50"/>
    </row>
    <row r="1326" spans="2:15" x14ac:dyDescent="0.2">
      <c r="B1326">
        <v>1311</v>
      </c>
      <c r="C1326" s="48">
        <f t="shared" ca="1" si="84"/>
        <v>-0.93948467592776885</v>
      </c>
      <c r="D1326" s="48">
        <f t="shared" ca="1" si="81"/>
        <v>0.60572254215730925</v>
      </c>
      <c r="E1326" s="48">
        <f t="shared" ca="1" si="82"/>
        <v>0</v>
      </c>
      <c r="F1326" s="17">
        <f t="shared" ca="1" si="83"/>
        <v>0</v>
      </c>
      <c r="H1326" s="17">
        <v>1311</v>
      </c>
      <c r="I1326" s="43">
        <v>0.66828263950425448</v>
      </c>
      <c r="J1326" s="43">
        <v>1.9098681820165275E-2</v>
      </c>
      <c r="K1326" s="43"/>
      <c r="L1326" s="43">
        <v>0.24859999999999999</v>
      </c>
      <c r="O1326" s="50"/>
    </row>
    <row r="1327" spans="2:15" x14ac:dyDescent="0.2">
      <c r="B1327">
        <v>1312</v>
      </c>
      <c r="C1327" s="48">
        <f t="shared" ca="1" si="84"/>
        <v>9.9349408972870229E-2</v>
      </c>
      <c r="D1327" s="48">
        <f t="shared" ca="1" si="81"/>
        <v>0.67104624485975162</v>
      </c>
      <c r="E1327" s="48">
        <f t="shared" ca="1" si="82"/>
        <v>0</v>
      </c>
      <c r="F1327" s="17">
        <f t="shared" ca="1" si="83"/>
        <v>0</v>
      </c>
      <c r="H1327" s="17">
        <v>1312</v>
      </c>
      <c r="I1327" s="43">
        <v>0.66841682760376886</v>
      </c>
      <c r="J1327" s="43">
        <v>1.8929570128109859E-2</v>
      </c>
      <c r="K1327" s="43"/>
      <c r="L1327" s="43">
        <v>0.2472</v>
      </c>
      <c r="O1327" s="50"/>
    </row>
    <row r="1328" spans="2:15" x14ac:dyDescent="0.2">
      <c r="B1328">
        <v>1313</v>
      </c>
      <c r="C1328" s="48">
        <f t="shared" ca="1" si="84"/>
        <v>1.2568767387195596</v>
      </c>
      <c r="D1328" s="48">
        <f t="shared" ca="1" si="81"/>
        <v>0.75216502236444271</v>
      </c>
      <c r="E1328" s="48">
        <f t="shared" ca="1" si="82"/>
        <v>0</v>
      </c>
      <c r="F1328" s="17">
        <f t="shared" ca="1" si="83"/>
        <v>0</v>
      </c>
      <c r="H1328" s="17">
        <v>1313</v>
      </c>
      <c r="I1328" s="43">
        <v>0.66932515745502774</v>
      </c>
      <c r="J1328" s="43">
        <v>1.9826596327315728E-2</v>
      </c>
      <c r="K1328" s="43"/>
      <c r="L1328" s="43">
        <v>0.25879999999999997</v>
      </c>
      <c r="O1328" s="50"/>
    </row>
    <row r="1329" spans="2:15" x14ac:dyDescent="0.2">
      <c r="B1329">
        <v>1314</v>
      </c>
      <c r="C1329" s="48">
        <f t="shared" ca="1" si="84"/>
        <v>-1.5173176852351817</v>
      </c>
      <c r="D1329" s="48">
        <f t="shared" ca="1" si="81"/>
        <v>0.57218074868936364</v>
      </c>
      <c r="E1329" s="48">
        <f t="shared" ca="1" si="82"/>
        <v>0</v>
      </c>
      <c r="F1329" s="17">
        <f t="shared" ca="1" si="83"/>
        <v>0</v>
      </c>
      <c r="H1329" s="17">
        <v>1314</v>
      </c>
      <c r="I1329" s="43">
        <v>0.66890478581422241</v>
      </c>
      <c r="J1329" s="43">
        <v>1.9417631184142168E-2</v>
      </c>
      <c r="K1329" s="43"/>
      <c r="L1329" s="43">
        <v>0.25180000000000002</v>
      </c>
      <c r="O1329" s="50"/>
    </row>
    <row r="1330" spans="2:15" x14ac:dyDescent="0.2">
      <c r="B1330">
        <v>1315</v>
      </c>
      <c r="C1330" s="48">
        <f t="shared" ca="1" si="84"/>
        <v>1.4912687873124264</v>
      </c>
      <c r="D1330" s="48">
        <f t="shared" ca="1" si="81"/>
        <v>0.76974851954354129</v>
      </c>
      <c r="E1330" s="48">
        <f t="shared" ca="1" si="82"/>
        <v>0</v>
      </c>
      <c r="F1330" s="17">
        <f t="shared" ca="1" si="83"/>
        <v>0</v>
      </c>
      <c r="H1330" s="17">
        <v>1315</v>
      </c>
      <c r="I1330" s="43">
        <v>0.66992782241891591</v>
      </c>
      <c r="J1330" s="43">
        <v>1.9869736070432326E-2</v>
      </c>
      <c r="K1330" s="43"/>
      <c r="L1330" s="43">
        <v>0.25180000000000002</v>
      </c>
      <c r="O1330" s="50"/>
    </row>
    <row r="1331" spans="2:15" x14ac:dyDescent="0.2">
      <c r="B1331">
        <v>1316</v>
      </c>
      <c r="C1331" s="48">
        <f t="shared" ca="1" si="84"/>
        <v>0.16832091315683492</v>
      </c>
      <c r="D1331" s="48">
        <f t="shared" ca="1" si="81"/>
        <v>0.67562472407435314</v>
      </c>
      <c r="E1331" s="48">
        <f t="shared" ca="1" si="82"/>
        <v>0</v>
      </c>
      <c r="F1331" s="17">
        <f t="shared" ca="1" si="83"/>
        <v>0</v>
      </c>
      <c r="H1331" s="17">
        <v>1316</v>
      </c>
      <c r="I1331" s="43">
        <v>0.6689201340668316</v>
      </c>
      <c r="J1331" s="43">
        <v>1.9068314601035183E-2</v>
      </c>
      <c r="K1331" s="43"/>
      <c r="L1331" s="43">
        <v>0.25019999999999998</v>
      </c>
      <c r="O1331" s="50"/>
    </row>
    <row r="1332" spans="2:15" x14ac:dyDescent="0.2">
      <c r="B1332">
        <v>1317</v>
      </c>
      <c r="C1332" s="48">
        <f t="shared" ca="1" si="84"/>
        <v>-1.6812469064752555</v>
      </c>
      <c r="D1332" s="48">
        <f t="shared" ca="1" si="81"/>
        <v>0.56300784849857566</v>
      </c>
      <c r="E1332" s="48">
        <f t="shared" ca="1" si="82"/>
        <v>0</v>
      </c>
      <c r="F1332" s="17">
        <f t="shared" ca="1" si="83"/>
        <v>0</v>
      </c>
      <c r="H1332" s="17">
        <v>1317</v>
      </c>
      <c r="I1332" s="43">
        <v>0.66754854733745939</v>
      </c>
      <c r="J1332" s="43">
        <v>1.8231118588202283E-2</v>
      </c>
      <c r="K1332" s="43"/>
      <c r="L1332" s="43">
        <v>0.2402</v>
      </c>
      <c r="O1332" s="50"/>
    </row>
    <row r="1333" spans="2:15" x14ac:dyDescent="0.2">
      <c r="B1333">
        <v>1318</v>
      </c>
      <c r="C1333" s="48">
        <f t="shared" ca="1" si="84"/>
        <v>9.0219136269032149E-2</v>
      </c>
      <c r="D1333" s="48">
        <f t="shared" ca="1" si="81"/>
        <v>0.6704424874496141</v>
      </c>
      <c r="E1333" s="48">
        <f t="shared" ca="1" si="82"/>
        <v>0</v>
      </c>
      <c r="F1333" s="17">
        <f t="shared" ca="1" si="83"/>
        <v>0</v>
      </c>
      <c r="H1333" s="17">
        <v>1318</v>
      </c>
      <c r="I1333" s="43">
        <v>0.66957108337926463</v>
      </c>
      <c r="J1333" s="43">
        <v>1.9539420619824121E-2</v>
      </c>
      <c r="K1333" s="43"/>
      <c r="L1333" s="43">
        <v>0.24740000000000001</v>
      </c>
      <c r="O1333" s="50"/>
    </row>
    <row r="1334" spans="2:15" x14ac:dyDescent="0.2">
      <c r="B1334">
        <v>1319</v>
      </c>
      <c r="C1334" s="48">
        <f t="shared" ca="1" si="84"/>
        <v>-1.113722461685998</v>
      </c>
      <c r="D1334" s="48">
        <f t="shared" ca="1" si="81"/>
        <v>0.59540650119897509</v>
      </c>
      <c r="E1334" s="48">
        <f t="shared" ca="1" si="82"/>
        <v>0</v>
      </c>
      <c r="F1334" s="17">
        <f t="shared" ca="1" si="83"/>
        <v>0</v>
      </c>
      <c r="H1334" s="17">
        <v>1319</v>
      </c>
      <c r="I1334" s="43">
        <v>0.66974300013867183</v>
      </c>
      <c r="J1334" s="43">
        <v>2.0009957440801047E-2</v>
      </c>
      <c r="K1334" s="43"/>
      <c r="L1334" s="43">
        <v>0.25559999999999999</v>
      </c>
      <c r="O1334" s="50"/>
    </row>
    <row r="1335" spans="2:15" x14ac:dyDescent="0.2">
      <c r="B1335">
        <v>1320</v>
      </c>
      <c r="C1335" s="48">
        <f t="shared" ca="1" si="84"/>
        <v>1.1451506386160883</v>
      </c>
      <c r="D1335" s="48">
        <f t="shared" ca="1" si="81"/>
        <v>0.74392554135095446</v>
      </c>
      <c r="E1335" s="48">
        <f t="shared" ca="1" si="82"/>
        <v>0</v>
      </c>
      <c r="F1335" s="17">
        <f t="shared" ca="1" si="83"/>
        <v>0</v>
      </c>
      <c r="H1335" s="17">
        <v>1320</v>
      </c>
      <c r="I1335" s="43">
        <v>0.66890814491822426</v>
      </c>
      <c r="J1335" s="43">
        <v>1.9469201067318673E-2</v>
      </c>
      <c r="K1335" s="43"/>
      <c r="L1335" s="43">
        <v>0.25219999999999998</v>
      </c>
      <c r="O1335" s="50"/>
    </row>
    <row r="1336" spans="2:15" x14ac:dyDescent="0.2">
      <c r="B1336">
        <v>1321</v>
      </c>
      <c r="C1336" s="48">
        <f t="shared" ca="1" si="84"/>
        <v>-1.114076703537582</v>
      </c>
      <c r="D1336" s="48">
        <f t="shared" ca="1" si="81"/>
        <v>0.59538570769984578</v>
      </c>
      <c r="E1336" s="48">
        <f t="shared" ca="1" si="82"/>
        <v>0</v>
      </c>
      <c r="F1336" s="17">
        <f t="shared" ca="1" si="83"/>
        <v>0</v>
      </c>
      <c r="H1336" s="17">
        <v>1321</v>
      </c>
      <c r="I1336" s="43">
        <v>0.66845505375295167</v>
      </c>
      <c r="J1336" s="43">
        <v>1.9073899726384697E-2</v>
      </c>
      <c r="K1336" s="43"/>
      <c r="L1336" s="43">
        <v>0.25119999999999998</v>
      </c>
      <c r="O1336" s="50"/>
    </row>
    <row r="1337" spans="2:15" x14ac:dyDescent="0.2">
      <c r="B1337">
        <v>1322</v>
      </c>
      <c r="C1337" s="48">
        <f t="shared" ca="1" si="84"/>
        <v>0.12345238865677444</v>
      </c>
      <c r="D1337" s="48">
        <f t="shared" ca="1" si="81"/>
        <v>0.67264271575094725</v>
      </c>
      <c r="E1337" s="48">
        <f t="shared" ca="1" si="82"/>
        <v>0</v>
      </c>
      <c r="F1337" s="17">
        <f t="shared" ca="1" si="83"/>
        <v>0</v>
      </c>
      <c r="H1337" s="17">
        <v>1322</v>
      </c>
      <c r="I1337" s="43">
        <v>0.66863915696574927</v>
      </c>
      <c r="J1337" s="43">
        <v>1.9408066847380504E-2</v>
      </c>
      <c r="K1337" s="43"/>
      <c r="L1337" s="43">
        <v>0.25019999999999998</v>
      </c>
      <c r="O1337" s="50"/>
    </row>
    <row r="1338" spans="2:15" x14ac:dyDescent="0.2">
      <c r="B1338">
        <v>1323</v>
      </c>
      <c r="C1338" s="48">
        <f t="shared" ca="1" si="84"/>
        <v>-0.98482801125750796</v>
      </c>
      <c r="D1338" s="48">
        <f t="shared" ca="1" si="81"/>
        <v>0.60302083314808408</v>
      </c>
      <c r="E1338" s="48">
        <f t="shared" ca="1" si="82"/>
        <v>0</v>
      </c>
      <c r="F1338" s="17">
        <f t="shared" ca="1" si="83"/>
        <v>0</v>
      </c>
      <c r="H1338" s="17">
        <v>1323</v>
      </c>
      <c r="I1338" s="43">
        <v>0.66840501320986467</v>
      </c>
      <c r="J1338" s="43">
        <v>1.9039154329078833E-2</v>
      </c>
      <c r="K1338" s="43"/>
      <c r="L1338" s="43">
        <v>0.24879999999999999</v>
      </c>
      <c r="O1338" s="50"/>
    </row>
    <row r="1339" spans="2:15" x14ac:dyDescent="0.2">
      <c r="B1339">
        <v>1324</v>
      </c>
      <c r="C1339" s="48">
        <f t="shared" ca="1" si="84"/>
        <v>0.2021837340404683</v>
      </c>
      <c r="D1339" s="48">
        <f t="shared" ca="1" si="81"/>
        <v>0.6778840325146529</v>
      </c>
      <c r="E1339" s="48">
        <f t="shared" ca="1" si="82"/>
        <v>0</v>
      </c>
      <c r="F1339" s="17">
        <f t="shared" ca="1" si="83"/>
        <v>0</v>
      </c>
      <c r="H1339" s="17">
        <v>1324</v>
      </c>
      <c r="I1339" s="43">
        <v>0.66913173028835182</v>
      </c>
      <c r="J1339" s="43">
        <v>1.9461654689664196E-2</v>
      </c>
      <c r="K1339" s="43"/>
      <c r="L1339" s="43">
        <v>0.24640000000000001</v>
      </c>
      <c r="O1339" s="50"/>
    </row>
    <row r="1340" spans="2:15" x14ac:dyDescent="0.2">
      <c r="B1340">
        <v>1325</v>
      </c>
      <c r="C1340" s="48">
        <f t="shared" ca="1" si="84"/>
        <v>-8.0925746085442146E-2</v>
      </c>
      <c r="D1340" s="48">
        <f t="shared" ca="1" si="81"/>
        <v>0.65922518450577106</v>
      </c>
      <c r="E1340" s="48">
        <f t="shared" ca="1" si="82"/>
        <v>0</v>
      </c>
      <c r="F1340" s="17">
        <f t="shared" ca="1" si="83"/>
        <v>0</v>
      </c>
      <c r="H1340" s="17">
        <v>1325</v>
      </c>
      <c r="I1340" s="43">
        <v>0.66875937470620783</v>
      </c>
      <c r="J1340" s="43">
        <v>1.9279533969910532E-2</v>
      </c>
      <c r="K1340" s="43"/>
      <c r="L1340" s="43">
        <v>0.25359999999999999</v>
      </c>
      <c r="O1340" s="50"/>
    </row>
    <row r="1341" spans="2:15" x14ac:dyDescent="0.2">
      <c r="B1341">
        <v>1326</v>
      </c>
      <c r="C1341" s="48">
        <f t="shared" ca="1" si="84"/>
        <v>-1.2433874543889296</v>
      </c>
      <c r="D1341" s="48">
        <f t="shared" ca="1" si="81"/>
        <v>0.5878436575487922</v>
      </c>
      <c r="E1341" s="48">
        <f t="shared" ca="1" si="82"/>
        <v>0</v>
      </c>
      <c r="F1341" s="17">
        <f t="shared" ca="1" si="83"/>
        <v>0</v>
      </c>
      <c r="H1341" s="17">
        <v>1326</v>
      </c>
      <c r="I1341" s="43">
        <v>0.6671170876555812</v>
      </c>
      <c r="J1341" s="43">
        <v>1.7763940135941226E-2</v>
      </c>
      <c r="K1341" s="43"/>
      <c r="L1341" s="43">
        <v>0.24199999999999999</v>
      </c>
      <c r="O1341" s="50"/>
    </row>
    <row r="1342" spans="2:15" x14ac:dyDescent="0.2">
      <c r="B1342">
        <v>1327</v>
      </c>
      <c r="C1342" s="48">
        <f t="shared" ca="1" si="84"/>
        <v>9.432065798267468E-2</v>
      </c>
      <c r="D1342" s="48">
        <f t="shared" ca="1" si="81"/>
        <v>0.67071364148534118</v>
      </c>
      <c r="E1342" s="48">
        <f t="shared" ca="1" si="82"/>
        <v>0</v>
      </c>
      <c r="F1342" s="17">
        <f t="shared" ca="1" si="83"/>
        <v>0</v>
      </c>
      <c r="H1342" s="17">
        <v>1327</v>
      </c>
      <c r="I1342" s="43">
        <v>0.66878980337302196</v>
      </c>
      <c r="J1342" s="43">
        <v>1.901084345780615E-2</v>
      </c>
      <c r="K1342" s="43"/>
      <c r="L1342" s="43">
        <v>0.24260000000000001</v>
      </c>
      <c r="O1342" s="50"/>
    </row>
    <row r="1343" spans="2:15" x14ac:dyDescent="0.2">
      <c r="B1343">
        <v>1328</v>
      </c>
      <c r="C1343" s="48">
        <f t="shared" ca="1" si="84"/>
        <v>0.7432632337993087</v>
      </c>
      <c r="D1343" s="48">
        <f t="shared" ca="1" si="81"/>
        <v>0.71502670284504843</v>
      </c>
      <c r="E1343" s="48">
        <f t="shared" ca="1" si="82"/>
        <v>0</v>
      </c>
      <c r="F1343" s="17">
        <f t="shared" ca="1" si="83"/>
        <v>0</v>
      </c>
      <c r="H1343" s="17">
        <v>1328</v>
      </c>
      <c r="I1343" s="43">
        <v>0.66873577068341605</v>
      </c>
      <c r="J1343" s="43">
        <v>1.9021294415158315E-2</v>
      </c>
      <c r="K1343" s="43"/>
      <c r="L1343" s="43">
        <v>0.24340000000000001</v>
      </c>
      <c r="O1343" s="50"/>
    </row>
    <row r="1344" spans="2:15" x14ac:dyDescent="0.2">
      <c r="B1344">
        <v>1329</v>
      </c>
      <c r="C1344" s="48">
        <f t="shared" ca="1" si="84"/>
        <v>1.9963929686453994</v>
      </c>
      <c r="D1344" s="48">
        <f t="shared" ca="1" si="81"/>
        <v>0.80905166551637853</v>
      </c>
      <c r="E1344" s="48">
        <f t="shared" ca="1" si="82"/>
        <v>2.0851665516378515E-2</v>
      </c>
      <c r="F1344" s="17">
        <f t="shared" ca="1" si="83"/>
        <v>1</v>
      </c>
      <c r="H1344" s="17">
        <v>1329</v>
      </c>
      <c r="I1344" s="43">
        <v>0.6689123541901727</v>
      </c>
      <c r="J1344" s="43">
        <v>1.9394390517325177E-2</v>
      </c>
      <c r="K1344" s="43"/>
      <c r="L1344" s="43">
        <v>0.253</v>
      </c>
      <c r="O1344" s="50"/>
    </row>
    <row r="1345" spans="2:15" x14ac:dyDescent="0.2">
      <c r="B1345">
        <v>1330</v>
      </c>
      <c r="C1345" s="48">
        <f t="shared" ca="1" si="84"/>
        <v>-0.6910283582033101</v>
      </c>
      <c r="D1345" s="48">
        <f t="shared" ca="1" si="81"/>
        <v>0.62074272815231435</v>
      </c>
      <c r="E1345" s="48">
        <f t="shared" ca="1" si="82"/>
        <v>0</v>
      </c>
      <c r="F1345" s="17">
        <f t="shared" ca="1" si="83"/>
        <v>0</v>
      </c>
      <c r="H1345" s="17">
        <v>1330</v>
      </c>
      <c r="I1345" s="43">
        <v>0.67016706974235563</v>
      </c>
      <c r="J1345" s="43">
        <v>2.0111690043167242E-2</v>
      </c>
      <c r="K1345" s="43"/>
      <c r="L1345" s="43">
        <v>0.24879999999999999</v>
      </c>
      <c r="O1345" s="50"/>
    </row>
    <row r="1346" spans="2:15" x14ac:dyDescent="0.2">
      <c r="B1346">
        <v>1331</v>
      </c>
      <c r="C1346" s="48">
        <f t="shared" ca="1" si="84"/>
        <v>-0.72991917418643293</v>
      </c>
      <c r="D1346" s="48">
        <f t="shared" ca="1" si="81"/>
        <v>0.61836726603971492</v>
      </c>
      <c r="E1346" s="48">
        <f t="shared" ca="1" si="82"/>
        <v>0</v>
      </c>
      <c r="F1346" s="17">
        <f t="shared" ca="1" si="83"/>
        <v>0</v>
      </c>
      <c r="H1346" s="17">
        <v>1331</v>
      </c>
      <c r="I1346" s="43">
        <v>0.66839504409429829</v>
      </c>
      <c r="J1346" s="43">
        <v>1.8823601194994866E-2</v>
      </c>
      <c r="K1346" s="43"/>
      <c r="L1346" s="43">
        <v>0.24460000000000001</v>
      </c>
      <c r="O1346" s="50"/>
    </row>
    <row r="1347" spans="2:15" x14ac:dyDescent="0.2">
      <c r="B1347">
        <v>1332</v>
      </c>
      <c r="C1347" s="48">
        <f t="shared" ca="1" si="84"/>
        <v>-0.34398682459722368</v>
      </c>
      <c r="D1347" s="48">
        <f t="shared" ca="1" si="81"/>
        <v>0.64234828487658591</v>
      </c>
      <c r="E1347" s="48">
        <f t="shared" ca="1" si="82"/>
        <v>0</v>
      </c>
      <c r="F1347" s="17">
        <f t="shared" ca="1" si="83"/>
        <v>0</v>
      </c>
      <c r="H1347" s="17">
        <v>1332</v>
      </c>
      <c r="I1347" s="43">
        <v>0.6678714085004499</v>
      </c>
      <c r="J1347" s="43">
        <v>1.8423234895278216E-2</v>
      </c>
      <c r="K1347" s="43"/>
      <c r="L1347" s="43">
        <v>0.23860000000000001</v>
      </c>
      <c r="O1347" s="50"/>
    </row>
    <row r="1348" spans="2:15" x14ac:dyDescent="0.2">
      <c r="B1348">
        <v>1333</v>
      </c>
      <c r="C1348" s="48">
        <f t="shared" ca="1" si="84"/>
        <v>-0.31001883338736058</v>
      </c>
      <c r="D1348" s="48">
        <f t="shared" ca="1" si="81"/>
        <v>0.64450299842998204</v>
      </c>
      <c r="E1348" s="48">
        <f t="shared" ca="1" si="82"/>
        <v>0</v>
      </c>
      <c r="F1348" s="17">
        <f t="shared" ca="1" si="83"/>
        <v>0</v>
      </c>
      <c r="H1348" s="17">
        <v>1333</v>
      </c>
      <c r="I1348" s="43">
        <v>0.66907186857079304</v>
      </c>
      <c r="J1348" s="43">
        <v>1.9308160885448622E-2</v>
      </c>
      <c r="K1348" s="43"/>
      <c r="L1348" s="43">
        <v>0.24879999999999999</v>
      </c>
      <c r="O1348" s="50"/>
    </row>
    <row r="1349" spans="2:15" x14ac:dyDescent="0.2">
      <c r="B1349">
        <v>1334</v>
      </c>
      <c r="C1349" s="48">
        <f t="shared" ca="1" si="84"/>
        <v>0.26144025524181175</v>
      </c>
      <c r="D1349" s="48">
        <f t="shared" ca="1" si="81"/>
        <v>0.68185578757366483</v>
      </c>
      <c r="E1349" s="48">
        <f t="shared" ca="1" si="82"/>
        <v>0</v>
      </c>
      <c r="F1349" s="17">
        <f t="shared" ca="1" si="83"/>
        <v>0</v>
      </c>
      <c r="H1349" s="17">
        <v>1334</v>
      </c>
      <c r="I1349" s="43">
        <v>0.66820008186198776</v>
      </c>
      <c r="J1349" s="43">
        <v>1.8864953315725377E-2</v>
      </c>
      <c r="K1349" s="43"/>
      <c r="L1349" s="43">
        <v>0.24840000000000001</v>
      </c>
      <c r="O1349" s="50"/>
    </row>
    <row r="1350" spans="2:15" x14ac:dyDescent="0.2">
      <c r="B1350">
        <v>1335</v>
      </c>
      <c r="C1350" s="48">
        <f t="shared" ca="1" si="84"/>
        <v>-0.74264465465268692</v>
      </c>
      <c r="D1350" s="48">
        <f t="shared" ca="1" si="81"/>
        <v>0.61759196564998819</v>
      </c>
      <c r="E1350" s="48">
        <f t="shared" ca="1" si="82"/>
        <v>0</v>
      </c>
      <c r="F1350" s="17">
        <f t="shared" ca="1" si="83"/>
        <v>0</v>
      </c>
      <c r="H1350" s="17">
        <v>1335</v>
      </c>
      <c r="I1350" s="43">
        <v>0.66876068951798318</v>
      </c>
      <c r="J1350" s="43">
        <v>1.9124818148035353E-2</v>
      </c>
      <c r="K1350" s="43"/>
      <c r="L1350" s="43">
        <v>0.246</v>
      </c>
      <c r="O1350" s="50"/>
    </row>
    <row r="1351" spans="2:15" x14ac:dyDescent="0.2">
      <c r="B1351">
        <v>1336</v>
      </c>
      <c r="C1351" s="48">
        <f t="shared" ca="1" si="84"/>
        <v>-1.3530115366654387</v>
      </c>
      <c r="D1351" s="48">
        <f t="shared" ca="1" si="81"/>
        <v>0.5815247091393192</v>
      </c>
      <c r="E1351" s="48">
        <f t="shared" ca="1" si="82"/>
        <v>0</v>
      </c>
      <c r="F1351" s="17">
        <f t="shared" ca="1" si="83"/>
        <v>0</v>
      </c>
      <c r="H1351" s="17">
        <v>1336</v>
      </c>
      <c r="I1351" s="43">
        <v>0.66879137183434401</v>
      </c>
      <c r="J1351" s="43">
        <v>1.9306477515366103E-2</v>
      </c>
      <c r="K1351" s="43"/>
      <c r="L1351" s="43">
        <v>0.247</v>
      </c>
      <c r="O1351" s="50"/>
    </row>
    <row r="1352" spans="2:15" x14ac:dyDescent="0.2">
      <c r="B1352">
        <v>1337</v>
      </c>
      <c r="C1352" s="48">
        <f t="shared" ca="1" si="84"/>
        <v>0.50878141417837308</v>
      </c>
      <c r="D1352" s="48">
        <f t="shared" ca="1" si="81"/>
        <v>0.69868704187451569</v>
      </c>
      <c r="E1352" s="48">
        <f t="shared" ca="1" si="82"/>
        <v>0</v>
      </c>
      <c r="F1352" s="17">
        <f t="shared" ca="1" si="83"/>
        <v>0</v>
      </c>
      <c r="H1352" s="17">
        <v>1337</v>
      </c>
      <c r="I1352" s="43">
        <v>0.66851957206396828</v>
      </c>
      <c r="J1352" s="43">
        <v>1.9449146184472819E-2</v>
      </c>
      <c r="K1352" s="43"/>
      <c r="L1352" s="43">
        <v>0.252</v>
      </c>
      <c r="O1352" s="50"/>
    </row>
    <row r="1353" spans="2:15" x14ac:dyDescent="0.2">
      <c r="B1353">
        <v>1338</v>
      </c>
      <c r="C1353" s="48">
        <f t="shared" ca="1" si="84"/>
        <v>-0.84626169052569433</v>
      </c>
      <c r="D1353" s="48">
        <f t="shared" ca="1" si="81"/>
        <v>0.61131516728441926</v>
      </c>
      <c r="E1353" s="48">
        <f t="shared" ca="1" si="82"/>
        <v>0</v>
      </c>
      <c r="F1353" s="17">
        <f t="shared" ca="1" si="83"/>
        <v>0</v>
      </c>
      <c r="H1353" s="17">
        <v>1338</v>
      </c>
      <c r="I1353" s="43">
        <v>0.6683208857140166</v>
      </c>
      <c r="J1353" s="43">
        <v>1.8860948107437096E-2</v>
      </c>
      <c r="K1353" s="43"/>
      <c r="L1353" s="43">
        <v>0.24560000000000001</v>
      </c>
      <c r="O1353" s="50"/>
    </row>
    <row r="1354" spans="2:15" x14ac:dyDescent="0.2">
      <c r="B1354">
        <v>1339</v>
      </c>
      <c r="C1354" s="48">
        <f t="shared" ca="1" si="84"/>
        <v>9.0051992414393725E-2</v>
      </c>
      <c r="D1354" s="48">
        <f t="shared" ca="1" si="81"/>
        <v>0.67043143979509423</v>
      </c>
      <c r="E1354" s="48">
        <f t="shared" ca="1" si="82"/>
        <v>0</v>
      </c>
      <c r="F1354" s="17">
        <f t="shared" ca="1" si="83"/>
        <v>0</v>
      </c>
      <c r="H1354" s="17">
        <v>1339</v>
      </c>
      <c r="I1354" s="43">
        <v>0.67065538530004432</v>
      </c>
      <c r="J1354" s="43">
        <v>2.0531038965376343E-2</v>
      </c>
      <c r="K1354" s="43"/>
      <c r="L1354" s="43">
        <v>0.25840000000000002</v>
      </c>
      <c r="O1354" s="50"/>
    </row>
    <row r="1355" spans="2:15" x14ac:dyDescent="0.2">
      <c r="B1355">
        <v>1340</v>
      </c>
      <c r="C1355" s="48">
        <f t="shared" ca="1" si="84"/>
        <v>-0.1502932029526228</v>
      </c>
      <c r="D1355" s="48">
        <f t="shared" ca="1" si="81"/>
        <v>0.65473228078855661</v>
      </c>
      <c r="E1355" s="48">
        <f t="shared" ca="1" si="82"/>
        <v>0</v>
      </c>
      <c r="F1355" s="17">
        <f t="shared" ca="1" si="83"/>
        <v>0</v>
      </c>
      <c r="H1355" s="17">
        <v>1340</v>
      </c>
      <c r="I1355" s="43">
        <v>0.66910252149037186</v>
      </c>
      <c r="J1355" s="43">
        <v>1.9675940182348292E-2</v>
      </c>
      <c r="K1355" s="43"/>
      <c r="L1355" s="43">
        <v>0.253</v>
      </c>
      <c r="O1355" s="50"/>
    </row>
    <row r="1356" spans="2:15" x14ac:dyDescent="0.2">
      <c r="B1356">
        <v>1341</v>
      </c>
      <c r="C1356" s="48">
        <f t="shared" ca="1" si="84"/>
        <v>0.85225453601394163</v>
      </c>
      <c r="D1356" s="48">
        <f t="shared" ca="1" si="81"/>
        <v>0.72275121743433068</v>
      </c>
      <c r="E1356" s="48">
        <f t="shared" ca="1" si="82"/>
        <v>0</v>
      </c>
      <c r="F1356" s="17">
        <f t="shared" ca="1" si="83"/>
        <v>0</v>
      </c>
      <c r="H1356" s="17">
        <v>1341</v>
      </c>
      <c r="I1356" s="43">
        <v>0.66891476793343996</v>
      </c>
      <c r="J1356" s="43">
        <v>1.9490457931105681E-2</v>
      </c>
      <c r="K1356" s="43"/>
      <c r="L1356" s="43">
        <v>0.25440000000000002</v>
      </c>
      <c r="O1356" s="50"/>
    </row>
    <row r="1357" spans="2:15" x14ac:dyDescent="0.2">
      <c r="B1357">
        <v>1342</v>
      </c>
      <c r="C1357" s="48">
        <f t="shared" ca="1" si="84"/>
        <v>0.85516010942515297</v>
      </c>
      <c r="D1357" s="48">
        <f t="shared" ca="1" si="81"/>
        <v>0.72295828143897822</v>
      </c>
      <c r="E1357" s="48">
        <f t="shared" ca="1" si="82"/>
        <v>0</v>
      </c>
      <c r="F1357" s="17">
        <f t="shared" ca="1" si="83"/>
        <v>0</v>
      </c>
      <c r="H1357" s="17">
        <v>1342</v>
      </c>
      <c r="I1357" s="43">
        <v>0.66935541908825757</v>
      </c>
      <c r="J1357" s="43">
        <v>1.9464716191702758E-2</v>
      </c>
      <c r="K1357" s="43"/>
      <c r="L1357" s="43">
        <v>0.25219999999999998</v>
      </c>
      <c r="O1357" s="50"/>
    </row>
    <row r="1358" spans="2:15" x14ac:dyDescent="0.2">
      <c r="B1358">
        <v>1343</v>
      </c>
      <c r="C1358" s="48">
        <f t="shared" ca="1" si="84"/>
        <v>-0.74683562953179283</v>
      </c>
      <c r="D1358" s="48">
        <f t="shared" ca="1" si="81"/>
        <v>0.61733684318730342</v>
      </c>
      <c r="E1358" s="48">
        <f t="shared" ca="1" si="82"/>
        <v>0</v>
      </c>
      <c r="F1358" s="17">
        <f t="shared" ca="1" si="83"/>
        <v>0</v>
      </c>
      <c r="H1358" s="17">
        <v>1343</v>
      </c>
      <c r="I1358" s="43">
        <v>0.66886937946053826</v>
      </c>
      <c r="J1358" s="43">
        <v>1.9207445200642485E-2</v>
      </c>
      <c r="K1358" s="43"/>
      <c r="L1358" s="43">
        <v>0.25580000000000003</v>
      </c>
      <c r="O1358" s="50"/>
    </row>
    <row r="1359" spans="2:15" x14ac:dyDescent="0.2">
      <c r="B1359">
        <v>1344</v>
      </c>
      <c r="C1359" s="48">
        <f t="shared" ca="1" si="84"/>
        <v>-0.23460177125075515</v>
      </c>
      <c r="D1359" s="48">
        <f t="shared" ca="1" si="81"/>
        <v>0.64931285141079809</v>
      </c>
      <c r="E1359" s="48">
        <f t="shared" ca="1" si="82"/>
        <v>0</v>
      </c>
      <c r="F1359" s="17">
        <f t="shared" ca="1" si="83"/>
        <v>0</v>
      </c>
      <c r="H1359" s="17">
        <v>1344</v>
      </c>
      <c r="I1359" s="43">
        <v>0.66984872151386421</v>
      </c>
      <c r="J1359" s="43">
        <v>2.005475284281864E-2</v>
      </c>
      <c r="K1359" s="43"/>
      <c r="L1359" s="43">
        <v>0.24940000000000001</v>
      </c>
      <c r="O1359" s="50"/>
    </row>
    <row r="1360" spans="2:15" x14ac:dyDescent="0.2">
      <c r="B1360">
        <v>1345</v>
      </c>
      <c r="C1360" s="48">
        <f t="shared" ca="1" si="84"/>
        <v>-7.783974214725517E-2</v>
      </c>
      <c r="D1360" s="48">
        <f t="shared" ref="D1360:D1423" ca="1" si="85">S0*EXP((μ-0.5*σ*σ)*T+σ*SQRT(T)*$C1360)</f>
        <v>0.65942577855895734</v>
      </c>
      <c r="E1360" s="48">
        <f t="shared" ref="E1360:E1423" ca="1" si="86">MAX(0,CP*(D1360-K))</f>
        <v>0</v>
      </c>
      <c r="F1360" s="17">
        <f t="shared" ref="F1360:F1423" ca="1" si="87">(CP*(D1360-K)&gt;0)*1</f>
        <v>0</v>
      </c>
      <c r="H1360" s="17">
        <v>1345</v>
      </c>
      <c r="I1360" s="43">
        <v>0.67008133946543225</v>
      </c>
      <c r="J1360" s="43">
        <v>2.0178482278955478E-2</v>
      </c>
      <c r="K1360" s="43"/>
      <c r="L1360" s="43">
        <v>0.25040000000000001</v>
      </c>
      <c r="O1360" s="50"/>
    </row>
    <row r="1361" spans="2:15" x14ac:dyDescent="0.2">
      <c r="B1361">
        <v>1346</v>
      </c>
      <c r="C1361" s="48">
        <f t="shared" ref="C1361:C1424" ca="1" si="88">_xlfn.NORM.S.INV(RAND())</f>
        <v>-1.1966646347552639</v>
      </c>
      <c r="D1361" s="48">
        <f t="shared" ca="1" si="85"/>
        <v>0.59055767869438269</v>
      </c>
      <c r="E1361" s="48">
        <f t="shared" ca="1" si="86"/>
        <v>0</v>
      </c>
      <c r="F1361" s="17">
        <f t="shared" ca="1" si="87"/>
        <v>0</v>
      </c>
      <c r="H1361" s="17">
        <v>1346</v>
      </c>
      <c r="I1361" s="43">
        <v>0.66913305089240183</v>
      </c>
      <c r="J1361" s="43">
        <v>1.9775662931785357E-2</v>
      </c>
      <c r="K1361" s="43"/>
      <c r="L1361" s="43">
        <v>0.25140000000000001</v>
      </c>
      <c r="O1361" s="50"/>
    </row>
    <row r="1362" spans="2:15" x14ac:dyDescent="0.2">
      <c r="B1362">
        <v>1347</v>
      </c>
      <c r="C1362" s="48">
        <f t="shared" ca="1" si="88"/>
        <v>-1.5700707022167197</v>
      </c>
      <c r="D1362" s="48">
        <f t="shared" ca="1" si="85"/>
        <v>0.56921268362212685</v>
      </c>
      <c r="E1362" s="48">
        <f t="shared" ca="1" si="86"/>
        <v>0</v>
      </c>
      <c r="F1362" s="17">
        <f t="shared" ca="1" si="87"/>
        <v>0</v>
      </c>
      <c r="H1362" s="17">
        <v>1347</v>
      </c>
      <c r="I1362" s="43">
        <v>0.66829767913024829</v>
      </c>
      <c r="J1362" s="43">
        <v>1.8781101951238298E-2</v>
      </c>
      <c r="K1362" s="43"/>
      <c r="L1362" s="43">
        <v>0.24679999999999999</v>
      </c>
      <c r="O1362" s="50"/>
    </row>
    <row r="1363" spans="2:15" x14ac:dyDescent="0.2">
      <c r="B1363">
        <v>1348</v>
      </c>
      <c r="C1363" s="48">
        <f t="shared" ca="1" si="88"/>
        <v>1.1585223255949164</v>
      </c>
      <c r="D1363" s="48">
        <f t="shared" ca="1" si="85"/>
        <v>0.74490689080285544</v>
      </c>
      <c r="E1363" s="48">
        <f t="shared" ca="1" si="86"/>
        <v>0</v>
      </c>
      <c r="F1363" s="17">
        <f t="shared" ca="1" si="87"/>
        <v>0</v>
      </c>
      <c r="H1363" s="17">
        <v>1348</v>
      </c>
      <c r="I1363" s="43">
        <v>0.66853497295609321</v>
      </c>
      <c r="J1363" s="43">
        <v>1.9001095522345961E-2</v>
      </c>
      <c r="K1363" s="43"/>
      <c r="L1363" s="43">
        <v>0.2422</v>
      </c>
      <c r="O1363" s="50"/>
    </row>
    <row r="1364" spans="2:15" x14ac:dyDescent="0.2">
      <c r="B1364">
        <v>1349</v>
      </c>
      <c r="C1364" s="48">
        <f t="shared" ca="1" si="88"/>
        <v>-0.43994558342810824</v>
      </c>
      <c r="D1364" s="48">
        <f t="shared" ca="1" si="85"/>
        <v>0.63630011130564623</v>
      </c>
      <c r="E1364" s="48">
        <f t="shared" ca="1" si="86"/>
        <v>0</v>
      </c>
      <c r="F1364" s="17">
        <f t="shared" ca="1" si="87"/>
        <v>0</v>
      </c>
      <c r="H1364" s="17">
        <v>1349</v>
      </c>
      <c r="I1364" s="43">
        <v>0.66925469507268864</v>
      </c>
      <c r="J1364" s="43">
        <v>1.9348528124075604E-2</v>
      </c>
      <c r="K1364" s="43"/>
      <c r="L1364" s="43">
        <v>0.2482</v>
      </c>
      <c r="O1364" s="50"/>
    </row>
    <row r="1365" spans="2:15" x14ac:dyDescent="0.2">
      <c r="B1365">
        <v>1350</v>
      </c>
      <c r="C1365" s="48">
        <f t="shared" ca="1" si="88"/>
        <v>-0.32133449732089481</v>
      </c>
      <c r="D1365" s="48">
        <f t="shared" ca="1" si="85"/>
        <v>0.6437844029513764</v>
      </c>
      <c r="E1365" s="48">
        <f t="shared" ca="1" si="86"/>
        <v>0</v>
      </c>
      <c r="F1365" s="17">
        <f t="shared" ca="1" si="87"/>
        <v>0</v>
      </c>
      <c r="H1365" s="17">
        <v>1350</v>
      </c>
      <c r="I1365" s="43">
        <v>0.67019272468690572</v>
      </c>
      <c r="J1365" s="43">
        <v>2.0458951842726218E-2</v>
      </c>
      <c r="K1365" s="43"/>
      <c r="L1365" s="43">
        <v>0.25480000000000003</v>
      </c>
      <c r="O1365" s="50"/>
    </row>
    <row r="1366" spans="2:15" x14ac:dyDescent="0.2">
      <c r="B1366">
        <v>1351</v>
      </c>
      <c r="C1366" s="48">
        <f t="shared" ca="1" si="88"/>
        <v>-0.65565736702991106</v>
      </c>
      <c r="D1366" s="48">
        <f t="shared" ca="1" si="85"/>
        <v>0.62291112133467663</v>
      </c>
      <c r="E1366" s="48">
        <f t="shared" ca="1" si="86"/>
        <v>0</v>
      </c>
      <c r="F1366" s="17">
        <f t="shared" ca="1" si="87"/>
        <v>0</v>
      </c>
      <c r="H1366" s="17">
        <v>1351</v>
      </c>
      <c r="I1366" s="43">
        <v>0.66929314904711656</v>
      </c>
      <c r="J1366" s="43">
        <v>1.9658974891911974E-2</v>
      </c>
      <c r="K1366" s="43"/>
      <c r="L1366" s="43">
        <v>0.25359999999999999</v>
      </c>
      <c r="O1366" s="50"/>
    </row>
    <row r="1367" spans="2:15" x14ac:dyDescent="0.2">
      <c r="B1367">
        <v>1352</v>
      </c>
      <c r="C1367" s="48">
        <f t="shared" ca="1" si="88"/>
        <v>-1.0293913403313999</v>
      </c>
      <c r="D1367" s="48">
        <f t="shared" ca="1" si="85"/>
        <v>0.60037734114064489</v>
      </c>
      <c r="E1367" s="48">
        <f t="shared" ca="1" si="86"/>
        <v>0</v>
      </c>
      <c r="F1367" s="17">
        <f t="shared" ca="1" si="87"/>
        <v>0</v>
      </c>
      <c r="H1367" s="17">
        <v>1352</v>
      </c>
      <c r="I1367" s="43">
        <v>0.6684524521171078</v>
      </c>
      <c r="J1367" s="43">
        <v>1.9055022175364634E-2</v>
      </c>
      <c r="K1367" s="43"/>
      <c r="L1367" s="43">
        <v>0.2472</v>
      </c>
      <c r="O1367" s="50"/>
    </row>
    <row r="1368" spans="2:15" x14ac:dyDescent="0.2">
      <c r="B1368">
        <v>1353</v>
      </c>
      <c r="C1368" s="48">
        <f t="shared" ca="1" si="88"/>
        <v>-0.82135456857300693</v>
      </c>
      <c r="D1368" s="48">
        <f t="shared" ca="1" si="85"/>
        <v>0.61281811460880642</v>
      </c>
      <c r="E1368" s="48">
        <f t="shared" ca="1" si="86"/>
        <v>0</v>
      </c>
      <c r="F1368" s="17">
        <f t="shared" ca="1" si="87"/>
        <v>0</v>
      </c>
      <c r="H1368" s="17">
        <v>1353</v>
      </c>
      <c r="I1368" s="43">
        <v>0.66896636517380093</v>
      </c>
      <c r="J1368" s="43">
        <v>1.9241121909068615E-2</v>
      </c>
      <c r="K1368" s="43"/>
      <c r="L1368" s="43">
        <v>0.25040000000000001</v>
      </c>
      <c r="O1368" s="50"/>
    </row>
    <row r="1369" spans="2:15" x14ac:dyDescent="0.2">
      <c r="B1369">
        <v>1354</v>
      </c>
      <c r="C1369" s="48">
        <f t="shared" ca="1" si="88"/>
        <v>0.74454457921356276</v>
      </c>
      <c r="D1369" s="48">
        <f t="shared" ca="1" si="85"/>
        <v>0.71511703401429361</v>
      </c>
      <c r="E1369" s="48">
        <f t="shared" ca="1" si="86"/>
        <v>0</v>
      </c>
      <c r="F1369" s="17">
        <f t="shared" ca="1" si="87"/>
        <v>0</v>
      </c>
      <c r="H1369" s="17">
        <v>1354</v>
      </c>
      <c r="I1369" s="43">
        <v>0.66829327353352896</v>
      </c>
      <c r="J1369" s="43">
        <v>1.9112754016293781E-2</v>
      </c>
      <c r="K1369" s="43"/>
      <c r="L1369" s="43">
        <v>0.25340000000000001</v>
      </c>
      <c r="O1369" s="50"/>
    </row>
    <row r="1370" spans="2:15" x14ac:dyDescent="0.2">
      <c r="B1370">
        <v>1355</v>
      </c>
      <c r="C1370" s="48">
        <f t="shared" ca="1" si="88"/>
        <v>6.2196146071097538E-2</v>
      </c>
      <c r="D1370" s="48">
        <f t="shared" ca="1" si="85"/>
        <v>0.66859280171916069</v>
      </c>
      <c r="E1370" s="48">
        <f t="shared" ca="1" si="86"/>
        <v>0</v>
      </c>
      <c r="F1370" s="17">
        <f t="shared" ca="1" si="87"/>
        <v>0</v>
      </c>
      <c r="H1370" s="17">
        <v>1355</v>
      </c>
      <c r="I1370" s="43">
        <v>0.66870084788135387</v>
      </c>
      <c r="J1370" s="43">
        <v>1.9143529695935697E-2</v>
      </c>
      <c r="K1370" s="43"/>
      <c r="L1370" s="43">
        <v>0.25280000000000002</v>
      </c>
      <c r="O1370" s="50"/>
    </row>
    <row r="1371" spans="2:15" x14ac:dyDescent="0.2">
      <c r="B1371">
        <v>1356</v>
      </c>
      <c r="C1371" s="48">
        <f t="shared" ca="1" si="88"/>
        <v>0.40974874220415136</v>
      </c>
      <c r="D1371" s="48">
        <f t="shared" ca="1" si="85"/>
        <v>0.69189868696832102</v>
      </c>
      <c r="E1371" s="48">
        <f t="shared" ca="1" si="86"/>
        <v>0</v>
      </c>
      <c r="F1371" s="17">
        <f t="shared" ca="1" si="87"/>
        <v>0</v>
      </c>
      <c r="H1371" s="17">
        <v>1356</v>
      </c>
      <c r="I1371" s="43">
        <v>0.66851425888663307</v>
      </c>
      <c r="J1371" s="43">
        <v>1.9161517952604384E-2</v>
      </c>
      <c r="K1371" s="43"/>
      <c r="L1371" s="43">
        <v>0.25059999999999999</v>
      </c>
      <c r="O1371" s="50"/>
    </row>
    <row r="1372" spans="2:15" x14ac:dyDescent="0.2">
      <c r="B1372">
        <v>1357</v>
      </c>
      <c r="C1372" s="48">
        <f t="shared" ca="1" si="88"/>
        <v>0.8403923295698893</v>
      </c>
      <c r="D1372" s="48">
        <f t="shared" ca="1" si="85"/>
        <v>0.72190647928255047</v>
      </c>
      <c r="E1372" s="48">
        <f t="shared" ca="1" si="86"/>
        <v>0</v>
      </c>
      <c r="F1372" s="17">
        <f t="shared" ca="1" si="87"/>
        <v>0</v>
      </c>
      <c r="H1372" s="17">
        <v>1357</v>
      </c>
      <c r="I1372" s="43">
        <v>0.6686734219221242</v>
      </c>
      <c r="J1372" s="43">
        <v>1.8907626642984225E-2</v>
      </c>
      <c r="K1372" s="43"/>
      <c r="L1372" s="43">
        <v>0.24440000000000001</v>
      </c>
      <c r="O1372" s="50"/>
    </row>
    <row r="1373" spans="2:15" x14ac:dyDescent="0.2">
      <c r="B1373">
        <v>1358</v>
      </c>
      <c r="C1373" s="48">
        <f t="shared" ca="1" si="88"/>
        <v>-0.61448504761962319</v>
      </c>
      <c r="D1373" s="48">
        <f t="shared" ca="1" si="85"/>
        <v>0.62544470268573127</v>
      </c>
      <c r="E1373" s="48">
        <f t="shared" ca="1" si="86"/>
        <v>0</v>
      </c>
      <c r="F1373" s="17">
        <f t="shared" ca="1" si="87"/>
        <v>0</v>
      </c>
      <c r="H1373" s="17">
        <v>1358</v>
      </c>
      <c r="I1373" s="43">
        <v>0.6682030639255625</v>
      </c>
      <c r="J1373" s="43">
        <v>1.8439515584242921E-2</v>
      </c>
      <c r="K1373" s="43"/>
      <c r="L1373" s="43">
        <v>0.24560000000000001</v>
      </c>
      <c r="O1373" s="50"/>
    </row>
    <row r="1374" spans="2:15" x14ac:dyDescent="0.2">
      <c r="B1374">
        <v>1359</v>
      </c>
      <c r="C1374" s="48">
        <f t="shared" ca="1" si="88"/>
        <v>0.66029842833309726</v>
      </c>
      <c r="D1374" s="48">
        <f t="shared" ca="1" si="85"/>
        <v>0.70920214475481247</v>
      </c>
      <c r="E1374" s="48">
        <f t="shared" ca="1" si="86"/>
        <v>0</v>
      </c>
      <c r="F1374" s="17">
        <f t="shared" ca="1" si="87"/>
        <v>0</v>
      </c>
      <c r="H1374" s="17">
        <v>1359</v>
      </c>
      <c r="I1374" s="43">
        <v>0.66880423032334368</v>
      </c>
      <c r="J1374" s="43">
        <v>1.9517160694423559E-2</v>
      </c>
      <c r="K1374" s="43"/>
      <c r="L1374" s="43">
        <v>0.252</v>
      </c>
      <c r="O1374" s="50"/>
    </row>
    <row r="1375" spans="2:15" x14ac:dyDescent="0.2">
      <c r="B1375">
        <v>1360</v>
      </c>
      <c r="C1375" s="48">
        <f t="shared" ca="1" si="88"/>
        <v>-0.62281433996995428</v>
      </c>
      <c r="D1375" s="48">
        <f t="shared" ca="1" si="85"/>
        <v>0.62493132091510406</v>
      </c>
      <c r="E1375" s="48">
        <f t="shared" ca="1" si="86"/>
        <v>0</v>
      </c>
      <c r="F1375" s="17">
        <f t="shared" ca="1" si="87"/>
        <v>0</v>
      </c>
      <c r="H1375" s="17">
        <v>1360</v>
      </c>
      <c r="I1375" s="43">
        <v>0.66894370115905344</v>
      </c>
      <c r="J1375" s="43">
        <v>1.9344130767202858E-2</v>
      </c>
      <c r="K1375" s="43"/>
      <c r="L1375" s="43">
        <v>0.24879999999999999</v>
      </c>
      <c r="O1375" s="50"/>
    </row>
    <row r="1376" spans="2:15" x14ac:dyDescent="0.2">
      <c r="B1376">
        <v>1361</v>
      </c>
      <c r="C1376" s="48">
        <f t="shared" ca="1" si="88"/>
        <v>0.52963852214632057</v>
      </c>
      <c r="D1376" s="48">
        <f t="shared" ca="1" si="85"/>
        <v>0.700125194849466</v>
      </c>
      <c r="E1376" s="48">
        <f t="shared" ca="1" si="86"/>
        <v>0</v>
      </c>
      <c r="F1376" s="17">
        <f t="shared" ca="1" si="87"/>
        <v>0</v>
      </c>
      <c r="H1376" s="17">
        <v>1361</v>
      </c>
      <c r="I1376" s="43">
        <v>0.66715413871062679</v>
      </c>
      <c r="J1376" s="43">
        <v>1.7980143126631942E-2</v>
      </c>
      <c r="K1376" s="43"/>
      <c r="L1376" s="43">
        <v>0.24</v>
      </c>
      <c r="O1376" s="50"/>
    </row>
    <row r="1377" spans="2:15" x14ac:dyDescent="0.2">
      <c r="B1377">
        <v>1362</v>
      </c>
      <c r="C1377" s="48">
        <f t="shared" ca="1" si="88"/>
        <v>-0.59282868959098589</v>
      </c>
      <c r="D1377" s="48">
        <f t="shared" ca="1" si="85"/>
        <v>0.62678148214461138</v>
      </c>
      <c r="E1377" s="48">
        <f t="shared" ca="1" si="86"/>
        <v>0</v>
      </c>
      <c r="F1377" s="17">
        <f t="shared" ca="1" si="87"/>
        <v>0</v>
      </c>
      <c r="H1377" s="17">
        <v>1362</v>
      </c>
      <c r="I1377" s="43">
        <v>0.66902313052187823</v>
      </c>
      <c r="J1377" s="43">
        <v>1.9294410494499578E-2</v>
      </c>
      <c r="K1377" s="43"/>
      <c r="L1377" s="43">
        <v>0.26</v>
      </c>
      <c r="O1377" s="50"/>
    </row>
    <row r="1378" spans="2:15" x14ac:dyDescent="0.2">
      <c r="B1378">
        <v>1363</v>
      </c>
      <c r="C1378" s="48">
        <f t="shared" ca="1" si="88"/>
        <v>3.0430777559720497</v>
      </c>
      <c r="D1378" s="48">
        <f t="shared" ca="1" si="85"/>
        <v>0.89699723831466649</v>
      </c>
      <c r="E1378" s="48">
        <f t="shared" ca="1" si="86"/>
        <v>0.10879723831466648</v>
      </c>
      <c r="F1378" s="17">
        <f t="shared" ca="1" si="87"/>
        <v>1</v>
      </c>
      <c r="H1378" s="17">
        <v>1363</v>
      </c>
      <c r="I1378" s="43">
        <v>0.66748888187464195</v>
      </c>
      <c r="J1378" s="43">
        <v>1.8231228769269456E-2</v>
      </c>
      <c r="K1378" s="43"/>
      <c r="L1378" s="43">
        <v>0.2432</v>
      </c>
      <c r="O1378" s="50"/>
    </row>
    <row r="1379" spans="2:15" x14ac:dyDescent="0.2">
      <c r="B1379">
        <v>1364</v>
      </c>
      <c r="C1379" s="48">
        <f t="shared" ca="1" si="88"/>
        <v>2.2899220148855641</v>
      </c>
      <c r="D1379" s="48">
        <f t="shared" ca="1" si="85"/>
        <v>0.8328062852613296</v>
      </c>
      <c r="E1379" s="48">
        <f t="shared" ca="1" si="86"/>
        <v>4.4606285261329592E-2</v>
      </c>
      <c r="F1379" s="17">
        <f t="shared" ca="1" si="87"/>
        <v>1</v>
      </c>
      <c r="H1379" s="17">
        <v>1364</v>
      </c>
      <c r="I1379" s="43">
        <v>0.67042020651432788</v>
      </c>
      <c r="J1379" s="43">
        <v>2.0446312242256737E-2</v>
      </c>
      <c r="K1379" s="43"/>
      <c r="L1379" s="43">
        <v>0.26119999999999999</v>
      </c>
      <c r="O1379" s="50"/>
    </row>
    <row r="1380" spans="2:15" x14ac:dyDescent="0.2">
      <c r="B1380">
        <v>1365</v>
      </c>
      <c r="C1380" s="48">
        <f t="shared" ca="1" si="88"/>
        <v>0.22793122228150728</v>
      </c>
      <c r="D1380" s="48">
        <f t="shared" ca="1" si="85"/>
        <v>0.67960694537230271</v>
      </c>
      <c r="E1380" s="48">
        <f t="shared" ca="1" si="86"/>
        <v>0</v>
      </c>
      <c r="F1380" s="17">
        <f t="shared" ca="1" si="87"/>
        <v>0</v>
      </c>
      <c r="H1380" s="17">
        <v>1365</v>
      </c>
      <c r="I1380" s="43">
        <v>0.66882078034821779</v>
      </c>
      <c r="J1380" s="43">
        <v>1.9334606798334684E-2</v>
      </c>
      <c r="K1380" s="43"/>
      <c r="L1380" s="43">
        <v>0.25340000000000001</v>
      </c>
      <c r="O1380" s="50"/>
    </row>
    <row r="1381" spans="2:15" x14ac:dyDescent="0.2">
      <c r="B1381">
        <v>1366</v>
      </c>
      <c r="C1381" s="48">
        <f t="shared" ca="1" si="88"/>
        <v>0.43367770696526636</v>
      </c>
      <c r="D1381" s="48">
        <f t="shared" ca="1" si="85"/>
        <v>0.69353286929365443</v>
      </c>
      <c r="E1381" s="48">
        <f t="shared" ca="1" si="86"/>
        <v>0</v>
      </c>
      <c r="F1381" s="17">
        <f t="shared" ca="1" si="87"/>
        <v>0</v>
      </c>
      <c r="H1381" s="17">
        <v>1366</v>
      </c>
      <c r="I1381" s="43">
        <v>0.66937449956337802</v>
      </c>
      <c r="J1381" s="43">
        <v>1.9647342372711641E-2</v>
      </c>
      <c r="K1381" s="43"/>
      <c r="L1381" s="43">
        <v>0.25259999999999999</v>
      </c>
      <c r="O1381" s="50"/>
    </row>
    <row r="1382" spans="2:15" x14ac:dyDescent="0.2">
      <c r="B1382">
        <v>1367</v>
      </c>
      <c r="C1382" s="48">
        <f t="shared" ca="1" si="88"/>
        <v>-0.94175093385639774</v>
      </c>
      <c r="D1382" s="48">
        <f t="shared" ca="1" si="85"/>
        <v>0.60558722393671061</v>
      </c>
      <c r="E1382" s="48">
        <f t="shared" ca="1" si="86"/>
        <v>0</v>
      </c>
      <c r="F1382" s="17">
        <f t="shared" ca="1" si="87"/>
        <v>0</v>
      </c>
      <c r="H1382" s="17">
        <v>1367</v>
      </c>
      <c r="I1382" s="43">
        <v>0.66889491660375233</v>
      </c>
      <c r="J1382" s="43">
        <v>1.944094571702161E-2</v>
      </c>
      <c r="K1382" s="43"/>
      <c r="L1382" s="43">
        <v>0.25540000000000002</v>
      </c>
      <c r="O1382" s="50"/>
    </row>
    <row r="1383" spans="2:15" x14ac:dyDescent="0.2">
      <c r="B1383">
        <v>1368</v>
      </c>
      <c r="C1383" s="48">
        <f t="shared" ca="1" si="88"/>
        <v>3.5373411416124191E-2</v>
      </c>
      <c r="D1383" s="48">
        <f t="shared" ca="1" si="85"/>
        <v>0.66682712018161283</v>
      </c>
      <c r="E1383" s="48">
        <f t="shared" ca="1" si="86"/>
        <v>0</v>
      </c>
      <c r="F1383" s="17">
        <f t="shared" ca="1" si="87"/>
        <v>0</v>
      </c>
      <c r="H1383" s="17">
        <v>1368</v>
      </c>
      <c r="I1383" s="43">
        <v>0.66986699354474344</v>
      </c>
      <c r="J1383" s="43">
        <v>2.0172238893676524E-2</v>
      </c>
      <c r="K1383" s="43"/>
      <c r="L1383" s="43">
        <v>0.25140000000000001</v>
      </c>
      <c r="O1383" s="50"/>
    </row>
    <row r="1384" spans="2:15" x14ac:dyDescent="0.2">
      <c r="B1384">
        <v>1369</v>
      </c>
      <c r="C1384" s="48">
        <f t="shared" ca="1" si="88"/>
        <v>0.9269425117340685</v>
      </c>
      <c r="D1384" s="48">
        <f t="shared" ca="1" si="85"/>
        <v>0.72809269172433821</v>
      </c>
      <c r="E1384" s="48">
        <f t="shared" ca="1" si="86"/>
        <v>0</v>
      </c>
      <c r="F1384" s="17">
        <f t="shared" ca="1" si="87"/>
        <v>0</v>
      </c>
      <c r="H1384" s="17">
        <v>1369</v>
      </c>
      <c r="I1384" s="43">
        <v>0.66745179283626777</v>
      </c>
      <c r="J1384" s="43">
        <v>1.8413446737462733E-2</v>
      </c>
      <c r="K1384" s="43"/>
      <c r="L1384" s="43">
        <v>0.24199999999999999</v>
      </c>
      <c r="O1384" s="50"/>
    </row>
    <row r="1385" spans="2:15" x14ac:dyDescent="0.2">
      <c r="B1385">
        <v>1370</v>
      </c>
      <c r="C1385" s="48">
        <f t="shared" ca="1" si="88"/>
        <v>-0.54914203822244223</v>
      </c>
      <c r="D1385" s="48">
        <f t="shared" ca="1" si="85"/>
        <v>0.62948682438664028</v>
      </c>
      <c r="E1385" s="48">
        <f t="shared" ca="1" si="86"/>
        <v>0</v>
      </c>
      <c r="F1385" s="17">
        <f t="shared" ca="1" si="87"/>
        <v>0</v>
      </c>
      <c r="H1385" s="17">
        <v>1370</v>
      </c>
      <c r="I1385" s="43">
        <v>0.66885882696897603</v>
      </c>
      <c r="J1385" s="43">
        <v>1.9564965976001093E-2</v>
      </c>
      <c r="K1385" s="43"/>
      <c r="L1385" s="43">
        <v>0.255</v>
      </c>
      <c r="O1385" s="50"/>
    </row>
    <row r="1386" spans="2:15" x14ac:dyDescent="0.2">
      <c r="B1386">
        <v>1371</v>
      </c>
      <c r="C1386" s="48">
        <f t="shared" ca="1" si="88"/>
        <v>1.1384788675565631</v>
      </c>
      <c r="D1386" s="48">
        <f t="shared" ca="1" si="85"/>
        <v>0.74343638296426462</v>
      </c>
      <c r="E1386" s="48">
        <f t="shared" ca="1" si="86"/>
        <v>0</v>
      </c>
      <c r="F1386" s="17">
        <f t="shared" ca="1" si="87"/>
        <v>0</v>
      </c>
      <c r="H1386" s="17">
        <v>1371</v>
      </c>
      <c r="I1386" s="43">
        <v>0.66823353630629756</v>
      </c>
      <c r="J1386" s="43">
        <v>1.8957094695070315E-2</v>
      </c>
      <c r="K1386" s="43"/>
      <c r="L1386" s="43">
        <v>0.24660000000000001</v>
      </c>
      <c r="O1386" s="50"/>
    </row>
    <row r="1387" spans="2:15" x14ac:dyDescent="0.2">
      <c r="B1387">
        <v>1372</v>
      </c>
      <c r="C1387" s="48">
        <f t="shared" ca="1" si="88"/>
        <v>1.795524919339047</v>
      </c>
      <c r="D1387" s="48">
        <f t="shared" ca="1" si="85"/>
        <v>0.7931875540537312</v>
      </c>
      <c r="E1387" s="48">
        <f t="shared" ca="1" si="86"/>
        <v>4.9875540537311913E-3</v>
      </c>
      <c r="F1387" s="17">
        <f t="shared" ca="1" si="87"/>
        <v>1</v>
      </c>
      <c r="H1387" s="17">
        <v>1372</v>
      </c>
      <c r="I1387" s="43">
        <v>0.66910920009576635</v>
      </c>
      <c r="J1387" s="43">
        <v>1.9273597875060756E-2</v>
      </c>
      <c r="K1387" s="43"/>
      <c r="L1387" s="43">
        <v>0.247</v>
      </c>
      <c r="O1387" s="50"/>
    </row>
    <row r="1388" spans="2:15" x14ac:dyDescent="0.2">
      <c r="B1388">
        <v>1373</v>
      </c>
      <c r="C1388" s="48">
        <f t="shared" ca="1" si="88"/>
        <v>2.1317276567012651</v>
      </c>
      <c r="D1388" s="48">
        <f t="shared" ca="1" si="85"/>
        <v>0.81991861301773117</v>
      </c>
      <c r="E1388" s="48">
        <f t="shared" ca="1" si="86"/>
        <v>3.1718613017731156E-2</v>
      </c>
      <c r="F1388" s="17">
        <f t="shared" ca="1" si="87"/>
        <v>1</v>
      </c>
      <c r="H1388" s="17">
        <v>1373</v>
      </c>
      <c r="I1388" s="43">
        <v>0.66821033830765186</v>
      </c>
      <c r="J1388" s="43">
        <v>1.8734616281816038E-2</v>
      </c>
      <c r="K1388" s="43"/>
      <c r="L1388" s="43">
        <v>0.24679999999999999</v>
      </c>
      <c r="O1388" s="50"/>
    </row>
    <row r="1389" spans="2:15" x14ac:dyDescent="0.2">
      <c r="B1389">
        <v>1374</v>
      </c>
      <c r="C1389" s="48">
        <f t="shared" ca="1" si="88"/>
        <v>-1.0999463409420562</v>
      </c>
      <c r="D1389" s="48">
        <f t="shared" ca="1" si="85"/>
        <v>0.59621570364345955</v>
      </c>
      <c r="E1389" s="48">
        <f t="shared" ca="1" si="86"/>
        <v>0</v>
      </c>
      <c r="F1389" s="17">
        <f t="shared" ca="1" si="87"/>
        <v>0</v>
      </c>
      <c r="H1389" s="17">
        <v>1374</v>
      </c>
      <c r="I1389" s="43">
        <v>0.66852907428045605</v>
      </c>
      <c r="J1389" s="43">
        <v>1.9035090749748629E-2</v>
      </c>
      <c r="K1389" s="43"/>
      <c r="L1389" s="43">
        <v>0.24959999999999999</v>
      </c>
      <c r="O1389" s="50"/>
    </row>
    <row r="1390" spans="2:15" x14ac:dyDescent="0.2">
      <c r="B1390">
        <v>1375</v>
      </c>
      <c r="C1390" s="48">
        <f t="shared" ca="1" si="88"/>
        <v>0.16093817089232512</v>
      </c>
      <c r="D1390" s="48">
        <f t="shared" ca="1" si="85"/>
        <v>0.67513315231870441</v>
      </c>
      <c r="E1390" s="48">
        <f t="shared" ca="1" si="86"/>
        <v>0</v>
      </c>
      <c r="F1390" s="17">
        <f t="shared" ca="1" si="87"/>
        <v>0</v>
      </c>
      <c r="H1390" s="17">
        <v>1375</v>
      </c>
      <c r="I1390" s="43">
        <v>0.66871047710771658</v>
      </c>
      <c r="J1390" s="43">
        <v>1.9140476847286581E-2</v>
      </c>
      <c r="K1390" s="43"/>
      <c r="L1390" s="43">
        <v>0.24959999999999999</v>
      </c>
      <c r="O1390" s="50"/>
    </row>
    <row r="1391" spans="2:15" x14ac:dyDescent="0.2">
      <c r="B1391">
        <v>1376</v>
      </c>
      <c r="C1391" s="48">
        <f t="shared" ca="1" si="88"/>
        <v>0.1848107245631008</v>
      </c>
      <c r="D1391" s="48">
        <f t="shared" ca="1" si="85"/>
        <v>0.67672397288598785</v>
      </c>
      <c r="E1391" s="48">
        <f t="shared" ca="1" si="86"/>
        <v>0</v>
      </c>
      <c r="F1391" s="17">
        <f t="shared" ca="1" si="87"/>
        <v>0</v>
      </c>
      <c r="H1391" s="17">
        <v>1376</v>
      </c>
      <c r="I1391" s="43">
        <v>0.66877379911587942</v>
      </c>
      <c r="J1391" s="43">
        <v>1.9129833637421351E-2</v>
      </c>
      <c r="K1391" s="43"/>
      <c r="L1391" s="43">
        <v>0.24540000000000001</v>
      </c>
      <c r="O1391" s="50"/>
    </row>
    <row r="1392" spans="2:15" x14ac:dyDescent="0.2">
      <c r="B1392">
        <v>1377</v>
      </c>
      <c r="C1392" s="48">
        <f t="shared" ca="1" si="88"/>
        <v>0.24401325492821349</v>
      </c>
      <c r="D1392" s="48">
        <f t="shared" ca="1" si="85"/>
        <v>0.6806853079250289</v>
      </c>
      <c r="E1392" s="48">
        <f t="shared" ca="1" si="86"/>
        <v>0</v>
      </c>
      <c r="F1392" s="17">
        <f t="shared" ca="1" si="87"/>
        <v>0</v>
      </c>
      <c r="H1392" s="17">
        <v>1377</v>
      </c>
      <c r="I1392" s="43">
        <v>0.66787281462111114</v>
      </c>
      <c r="J1392" s="43">
        <v>1.871190511566331E-2</v>
      </c>
      <c r="K1392" s="43"/>
      <c r="L1392" s="43">
        <v>0.25180000000000002</v>
      </c>
      <c r="O1392" s="50"/>
    </row>
    <row r="1393" spans="2:15" x14ac:dyDescent="0.2">
      <c r="B1393">
        <v>1378</v>
      </c>
      <c r="C1393" s="48">
        <f t="shared" ca="1" si="88"/>
        <v>-0.35678493357960533</v>
      </c>
      <c r="D1393" s="48">
        <f t="shared" ca="1" si="85"/>
        <v>0.64153832381593912</v>
      </c>
      <c r="E1393" s="48">
        <f t="shared" ca="1" si="86"/>
        <v>0</v>
      </c>
      <c r="F1393" s="17">
        <f t="shared" ca="1" si="87"/>
        <v>0</v>
      </c>
      <c r="H1393" s="17">
        <v>1378</v>
      </c>
      <c r="I1393" s="43">
        <v>0.66887750145275149</v>
      </c>
      <c r="J1393" s="43">
        <v>1.94638032624769E-2</v>
      </c>
      <c r="K1393" s="43"/>
      <c r="L1393" s="43">
        <v>0.25359999999999999</v>
      </c>
      <c r="O1393" s="50"/>
    </row>
    <row r="1394" spans="2:15" x14ac:dyDescent="0.2">
      <c r="B1394">
        <v>1379</v>
      </c>
      <c r="C1394" s="48">
        <f t="shared" ca="1" si="88"/>
        <v>-0.17512650661593937</v>
      </c>
      <c r="D1394" s="48">
        <f t="shared" ca="1" si="85"/>
        <v>0.65313129141001591</v>
      </c>
      <c r="E1394" s="48">
        <f t="shared" ca="1" si="86"/>
        <v>0</v>
      </c>
      <c r="F1394" s="17">
        <f t="shared" ca="1" si="87"/>
        <v>0</v>
      </c>
      <c r="H1394" s="17">
        <v>1379</v>
      </c>
      <c r="I1394" s="43">
        <v>0.66929200971756642</v>
      </c>
      <c r="J1394" s="43">
        <v>1.9881885900327644E-2</v>
      </c>
      <c r="K1394" s="43"/>
      <c r="L1394" s="43">
        <v>0.25</v>
      </c>
      <c r="O1394" s="50"/>
    </row>
    <row r="1395" spans="2:15" x14ac:dyDescent="0.2">
      <c r="B1395">
        <v>1380</v>
      </c>
      <c r="C1395" s="48">
        <f t="shared" ca="1" si="88"/>
        <v>0.67916652122725429</v>
      </c>
      <c r="D1395" s="48">
        <f t="shared" ca="1" si="85"/>
        <v>0.71052260021669245</v>
      </c>
      <c r="E1395" s="48">
        <f t="shared" ca="1" si="86"/>
        <v>0</v>
      </c>
      <c r="F1395" s="17">
        <f t="shared" ca="1" si="87"/>
        <v>0</v>
      </c>
      <c r="H1395" s="17">
        <v>1380</v>
      </c>
      <c r="I1395" s="43">
        <v>0.66869208923662071</v>
      </c>
      <c r="J1395" s="43">
        <v>1.8965639378962972E-2</v>
      </c>
      <c r="K1395" s="43"/>
      <c r="L1395" s="43">
        <v>0.24660000000000001</v>
      </c>
      <c r="O1395" s="50"/>
    </row>
    <row r="1396" spans="2:15" x14ac:dyDescent="0.2">
      <c r="B1396">
        <v>1381</v>
      </c>
      <c r="C1396" s="48">
        <f t="shared" ca="1" si="88"/>
        <v>-0.46431476184080522</v>
      </c>
      <c r="D1396" s="48">
        <f t="shared" ca="1" si="85"/>
        <v>0.63477323795058371</v>
      </c>
      <c r="E1396" s="48">
        <f t="shared" ca="1" si="86"/>
        <v>0</v>
      </c>
      <c r="F1396" s="17">
        <f t="shared" ca="1" si="87"/>
        <v>0</v>
      </c>
      <c r="H1396" s="17">
        <v>1381</v>
      </c>
      <c r="I1396" s="43">
        <v>0.66796947207286317</v>
      </c>
      <c r="J1396" s="43">
        <v>1.8179416063680252E-2</v>
      </c>
      <c r="K1396" s="43"/>
      <c r="L1396" s="43">
        <v>0.24079999999999999</v>
      </c>
      <c r="O1396" s="50"/>
    </row>
    <row r="1397" spans="2:15" x14ac:dyDescent="0.2">
      <c r="B1397">
        <v>1382</v>
      </c>
      <c r="C1397" s="48">
        <f t="shared" ca="1" si="88"/>
        <v>1.5412450106669737</v>
      </c>
      <c r="D1397" s="48">
        <f t="shared" ca="1" si="85"/>
        <v>0.77355045156020941</v>
      </c>
      <c r="E1397" s="48">
        <f t="shared" ca="1" si="86"/>
        <v>0</v>
      </c>
      <c r="F1397" s="17">
        <f t="shared" ca="1" si="87"/>
        <v>0</v>
      </c>
      <c r="H1397" s="17">
        <v>1382</v>
      </c>
      <c r="I1397" s="43">
        <v>0.66785643184703092</v>
      </c>
      <c r="J1397" s="43">
        <v>1.8613821114059664E-2</v>
      </c>
      <c r="K1397" s="43"/>
      <c r="L1397" s="43">
        <v>0.24079999999999999</v>
      </c>
      <c r="O1397" s="50"/>
    </row>
    <row r="1398" spans="2:15" x14ac:dyDescent="0.2">
      <c r="B1398">
        <v>1383</v>
      </c>
      <c r="C1398" s="48">
        <f t="shared" ca="1" si="88"/>
        <v>0.45833923813601185</v>
      </c>
      <c r="D1398" s="48">
        <f t="shared" ca="1" si="85"/>
        <v>0.69522111971844847</v>
      </c>
      <c r="E1398" s="48">
        <f t="shared" ca="1" si="86"/>
        <v>0</v>
      </c>
      <c r="F1398" s="17">
        <f t="shared" ca="1" si="87"/>
        <v>0</v>
      </c>
      <c r="H1398" s="17">
        <v>1383</v>
      </c>
      <c r="I1398" s="43">
        <v>0.66893351689478564</v>
      </c>
      <c r="J1398" s="43">
        <v>1.9436721985818133E-2</v>
      </c>
      <c r="K1398" s="43"/>
      <c r="L1398" s="43">
        <v>0.25</v>
      </c>
      <c r="O1398" s="50"/>
    </row>
    <row r="1399" spans="2:15" x14ac:dyDescent="0.2">
      <c r="B1399">
        <v>1384</v>
      </c>
      <c r="C1399" s="48">
        <f t="shared" ca="1" si="88"/>
        <v>-0.7905200104317428</v>
      </c>
      <c r="D1399" s="48">
        <f t="shared" ca="1" si="85"/>
        <v>0.61468385544677318</v>
      </c>
      <c r="E1399" s="48">
        <f t="shared" ca="1" si="86"/>
        <v>0</v>
      </c>
      <c r="F1399" s="17">
        <f t="shared" ca="1" si="87"/>
        <v>0</v>
      </c>
      <c r="H1399" s="17">
        <v>1384</v>
      </c>
      <c r="I1399" s="43">
        <v>0.66840782631960893</v>
      </c>
      <c r="J1399" s="43">
        <v>1.9025836512635605E-2</v>
      </c>
      <c r="K1399" s="43"/>
      <c r="L1399" s="43">
        <v>0.2422</v>
      </c>
      <c r="O1399" s="50"/>
    </row>
    <row r="1400" spans="2:15" x14ac:dyDescent="0.2">
      <c r="B1400">
        <v>1385</v>
      </c>
      <c r="C1400" s="48">
        <f t="shared" ca="1" si="88"/>
        <v>0.10505793298209366</v>
      </c>
      <c r="D1400" s="48">
        <f t="shared" ca="1" si="85"/>
        <v>0.67142400855391271</v>
      </c>
      <c r="E1400" s="48">
        <f t="shared" ca="1" si="86"/>
        <v>0</v>
      </c>
      <c r="F1400" s="17">
        <f t="shared" ca="1" si="87"/>
        <v>0</v>
      </c>
      <c r="H1400" s="17">
        <v>1385</v>
      </c>
      <c r="I1400" s="43">
        <v>0.66886471872446795</v>
      </c>
      <c r="J1400" s="43">
        <v>1.9469471718962135E-2</v>
      </c>
      <c r="K1400" s="43"/>
      <c r="L1400" s="43">
        <v>0.25180000000000002</v>
      </c>
      <c r="O1400" s="50"/>
    </row>
    <row r="1401" spans="2:15" x14ac:dyDescent="0.2">
      <c r="B1401">
        <v>1386</v>
      </c>
      <c r="C1401" s="48">
        <f t="shared" ca="1" si="88"/>
        <v>-0.38424687638001437</v>
      </c>
      <c r="D1401" s="48">
        <f t="shared" ca="1" si="85"/>
        <v>0.63980376986977938</v>
      </c>
      <c r="E1401" s="48">
        <f t="shared" ca="1" si="86"/>
        <v>0</v>
      </c>
      <c r="F1401" s="17">
        <f t="shared" ca="1" si="87"/>
        <v>0</v>
      </c>
      <c r="H1401" s="17">
        <v>1386</v>
      </c>
      <c r="I1401" s="43">
        <v>0.67023335583809696</v>
      </c>
      <c r="J1401" s="43">
        <v>2.0394829264117651E-2</v>
      </c>
      <c r="K1401" s="43"/>
      <c r="L1401" s="43">
        <v>0.26040000000000002</v>
      </c>
      <c r="O1401" s="50"/>
    </row>
    <row r="1402" spans="2:15" x14ac:dyDescent="0.2">
      <c r="B1402">
        <v>1387</v>
      </c>
      <c r="C1402" s="48">
        <f t="shared" ca="1" si="88"/>
        <v>-1.118125532198786</v>
      </c>
      <c r="D1402" s="48">
        <f t="shared" ca="1" si="85"/>
        <v>0.5951480987198956</v>
      </c>
      <c r="E1402" s="48">
        <f t="shared" ca="1" si="86"/>
        <v>0</v>
      </c>
      <c r="F1402" s="17">
        <f t="shared" ca="1" si="87"/>
        <v>0</v>
      </c>
      <c r="H1402" s="17">
        <v>1387</v>
      </c>
      <c r="I1402" s="43">
        <v>0.66969766295372668</v>
      </c>
      <c r="J1402" s="43">
        <v>2.0030980542895628E-2</v>
      </c>
      <c r="K1402" s="43"/>
      <c r="L1402" s="43">
        <v>0.2596</v>
      </c>
      <c r="O1402" s="50"/>
    </row>
    <row r="1403" spans="2:15" x14ac:dyDescent="0.2">
      <c r="B1403">
        <v>1388</v>
      </c>
      <c r="C1403" s="48">
        <f t="shared" ca="1" si="88"/>
        <v>2.0185142441413184</v>
      </c>
      <c r="D1403" s="48">
        <f t="shared" ca="1" si="85"/>
        <v>0.81081803600224733</v>
      </c>
      <c r="E1403" s="48">
        <f t="shared" ca="1" si="86"/>
        <v>2.2618036002247321E-2</v>
      </c>
      <c r="F1403" s="17">
        <f t="shared" ca="1" si="87"/>
        <v>1</v>
      </c>
      <c r="H1403" s="17">
        <v>1388</v>
      </c>
      <c r="I1403" s="43">
        <v>0.66915140109027715</v>
      </c>
      <c r="J1403" s="43">
        <v>1.9668740777283748E-2</v>
      </c>
      <c r="K1403" s="43"/>
      <c r="L1403" s="43">
        <v>0.25259999999999999</v>
      </c>
      <c r="O1403" s="50"/>
    </row>
    <row r="1404" spans="2:15" x14ac:dyDescent="0.2">
      <c r="B1404">
        <v>1389</v>
      </c>
      <c r="C1404" s="48">
        <f t="shared" ca="1" si="88"/>
        <v>0.50265927699538682</v>
      </c>
      <c r="D1404" s="48">
        <f t="shared" ca="1" si="85"/>
        <v>0.69826546535884237</v>
      </c>
      <c r="E1404" s="48">
        <f t="shared" ca="1" si="86"/>
        <v>0</v>
      </c>
      <c r="F1404" s="17">
        <f t="shared" ca="1" si="87"/>
        <v>0</v>
      </c>
      <c r="H1404" s="17">
        <v>1389</v>
      </c>
      <c r="I1404" s="43">
        <v>0.66843321307515302</v>
      </c>
      <c r="J1404" s="43">
        <v>1.9190953322371258E-2</v>
      </c>
      <c r="K1404" s="43"/>
      <c r="L1404" s="43">
        <v>0.253</v>
      </c>
      <c r="O1404" s="50"/>
    </row>
    <row r="1405" spans="2:15" x14ac:dyDescent="0.2">
      <c r="B1405">
        <v>1390</v>
      </c>
      <c r="C1405" s="48">
        <f t="shared" ca="1" si="88"/>
        <v>-0.56593013705453332</v>
      </c>
      <c r="D1405" s="48">
        <f t="shared" ca="1" si="85"/>
        <v>0.6284458248594923</v>
      </c>
      <c r="E1405" s="48">
        <f t="shared" ca="1" si="86"/>
        <v>0</v>
      </c>
      <c r="F1405" s="17">
        <f t="shared" ca="1" si="87"/>
        <v>0</v>
      </c>
      <c r="H1405" s="17">
        <v>1390</v>
      </c>
      <c r="I1405" s="43">
        <v>0.66778270044080978</v>
      </c>
      <c r="J1405" s="43">
        <v>1.8221777504664808E-2</v>
      </c>
      <c r="K1405" s="43"/>
      <c r="L1405" s="43">
        <v>0.24179999999999999</v>
      </c>
      <c r="O1405" s="50"/>
    </row>
    <row r="1406" spans="2:15" x14ac:dyDescent="0.2">
      <c r="B1406">
        <v>1391</v>
      </c>
      <c r="C1406" s="48">
        <f t="shared" ca="1" si="88"/>
        <v>0.73537302191175791</v>
      </c>
      <c r="D1406" s="48">
        <f t="shared" ca="1" si="85"/>
        <v>0.71447071698721909</v>
      </c>
      <c r="E1406" s="48">
        <f t="shared" ca="1" si="86"/>
        <v>0</v>
      </c>
      <c r="F1406" s="17">
        <f t="shared" ca="1" si="87"/>
        <v>0</v>
      </c>
      <c r="H1406" s="17">
        <v>1391</v>
      </c>
      <c r="I1406" s="43">
        <v>0.6688045990009448</v>
      </c>
      <c r="J1406" s="43">
        <v>1.9167586902902548E-2</v>
      </c>
      <c r="K1406" s="43"/>
      <c r="L1406" s="43">
        <v>0.25340000000000001</v>
      </c>
      <c r="O1406" s="50"/>
    </row>
    <row r="1407" spans="2:15" x14ac:dyDescent="0.2">
      <c r="B1407">
        <v>1392</v>
      </c>
      <c r="C1407" s="48">
        <f t="shared" ca="1" si="88"/>
        <v>-0.36094043354928734</v>
      </c>
      <c r="D1407" s="48">
        <f t="shared" ca="1" si="85"/>
        <v>0.64127555207933806</v>
      </c>
      <c r="E1407" s="48">
        <f t="shared" ca="1" si="86"/>
        <v>0</v>
      </c>
      <c r="F1407" s="17">
        <f t="shared" ca="1" si="87"/>
        <v>0</v>
      </c>
      <c r="H1407" s="17">
        <v>1392</v>
      </c>
      <c r="I1407" s="43">
        <v>0.66936742142402084</v>
      </c>
      <c r="J1407" s="43">
        <v>1.9781323446978406E-2</v>
      </c>
      <c r="K1407" s="43"/>
      <c r="L1407" s="43">
        <v>0.24959999999999999</v>
      </c>
      <c r="O1407" s="50"/>
    </row>
    <row r="1408" spans="2:15" x14ac:dyDescent="0.2">
      <c r="B1408">
        <v>1393</v>
      </c>
      <c r="C1408" s="48">
        <f t="shared" ca="1" si="88"/>
        <v>-0.59751858580176065</v>
      </c>
      <c r="D1408" s="48">
        <f t="shared" ca="1" si="85"/>
        <v>0.62649174731091739</v>
      </c>
      <c r="E1408" s="48">
        <f t="shared" ca="1" si="86"/>
        <v>0</v>
      </c>
      <c r="F1408" s="17">
        <f t="shared" ca="1" si="87"/>
        <v>0</v>
      </c>
      <c r="H1408" s="17">
        <v>1393</v>
      </c>
      <c r="I1408" s="43">
        <v>0.66823132728573753</v>
      </c>
      <c r="J1408" s="43">
        <v>1.8983399643723572E-2</v>
      </c>
      <c r="K1408" s="43"/>
      <c r="L1408" s="43">
        <v>0.25040000000000001</v>
      </c>
      <c r="O1408" s="50"/>
    </row>
    <row r="1409" spans="2:15" x14ac:dyDescent="0.2">
      <c r="B1409">
        <v>1394</v>
      </c>
      <c r="C1409" s="48">
        <f t="shared" ca="1" si="88"/>
        <v>0.94335421934670927</v>
      </c>
      <c r="D1409" s="48">
        <f t="shared" ca="1" si="85"/>
        <v>0.72927169103885559</v>
      </c>
      <c r="E1409" s="48">
        <f t="shared" ca="1" si="86"/>
        <v>0</v>
      </c>
      <c r="F1409" s="17">
        <f t="shared" ca="1" si="87"/>
        <v>0</v>
      </c>
      <c r="H1409" s="17">
        <v>1394</v>
      </c>
      <c r="I1409" s="43">
        <v>0.66903840709454521</v>
      </c>
      <c r="J1409" s="43">
        <v>1.9535813859532989E-2</v>
      </c>
      <c r="K1409" s="43"/>
      <c r="L1409" s="43">
        <v>0.24979999999999999</v>
      </c>
      <c r="O1409" s="50"/>
    </row>
    <row r="1410" spans="2:15" x14ac:dyDescent="0.2">
      <c r="B1410">
        <v>1395</v>
      </c>
      <c r="C1410" s="48">
        <f t="shared" ca="1" si="88"/>
        <v>0.57694579958911174</v>
      </c>
      <c r="D1410" s="48">
        <f t="shared" ca="1" si="85"/>
        <v>0.70339813851082478</v>
      </c>
      <c r="E1410" s="48">
        <f t="shared" ca="1" si="86"/>
        <v>0</v>
      </c>
      <c r="F1410" s="17">
        <f t="shared" ca="1" si="87"/>
        <v>0</v>
      </c>
      <c r="H1410" s="17">
        <v>1395</v>
      </c>
      <c r="I1410" s="43">
        <v>0.66869439183182944</v>
      </c>
      <c r="J1410" s="43">
        <v>1.89854812466831E-2</v>
      </c>
      <c r="K1410" s="43"/>
      <c r="L1410" s="43">
        <v>0.24199999999999999</v>
      </c>
      <c r="O1410" s="50"/>
    </row>
    <row r="1411" spans="2:15" x14ac:dyDescent="0.2">
      <c r="B1411">
        <v>1396</v>
      </c>
      <c r="C1411" s="48">
        <f t="shared" ca="1" si="88"/>
        <v>-0.39992627272254999</v>
      </c>
      <c r="D1411" s="48">
        <f t="shared" ca="1" si="85"/>
        <v>0.63881553031592797</v>
      </c>
      <c r="E1411" s="48">
        <f t="shared" ca="1" si="86"/>
        <v>0</v>
      </c>
      <c r="F1411" s="17">
        <f t="shared" ca="1" si="87"/>
        <v>0</v>
      </c>
      <c r="H1411" s="17">
        <v>1396</v>
      </c>
      <c r="I1411" s="43">
        <v>0.66916165774642633</v>
      </c>
      <c r="J1411" s="43">
        <v>1.9221627305398552E-2</v>
      </c>
      <c r="K1411" s="43"/>
      <c r="L1411" s="43">
        <v>0.25159999999999999</v>
      </c>
      <c r="O1411" s="50"/>
    </row>
    <row r="1412" spans="2:15" x14ac:dyDescent="0.2">
      <c r="B1412">
        <v>1397</v>
      </c>
      <c r="C1412" s="48">
        <f t="shared" ca="1" si="88"/>
        <v>-0.66030879519818275</v>
      </c>
      <c r="D1412" s="48">
        <f t="shared" ca="1" si="85"/>
        <v>0.62262553688902944</v>
      </c>
      <c r="E1412" s="48">
        <f t="shared" ca="1" si="86"/>
        <v>0</v>
      </c>
      <c r="F1412" s="17">
        <f t="shared" ca="1" si="87"/>
        <v>0</v>
      </c>
      <c r="H1412" s="17">
        <v>1397</v>
      </c>
      <c r="I1412" s="43">
        <v>0.66880394721573688</v>
      </c>
      <c r="J1412" s="43">
        <v>1.9302409462877652E-2</v>
      </c>
      <c r="K1412" s="43"/>
      <c r="L1412" s="43">
        <v>0.24840000000000001</v>
      </c>
      <c r="O1412" s="50"/>
    </row>
    <row r="1413" spans="2:15" x14ac:dyDescent="0.2">
      <c r="B1413">
        <v>1398</v>
      </c>
      <c r="C1413" s="48">
        <f t="shared" ca="1" si="88"/>
        <v>-0.94716328252716941</v>
      </c>
      <c r="D1413" s="48">
        <f t="shared" ca="1" si="85"/>
        <v>0.60526417499020579</v>
      </c>
      <c r="E1413" s="48">
        <f t="shared" ca="1" si="86"/>
        <v>0</v>
      </c>
      <c r="F1413" s="17">
        <f t="shared" ca="1" si="87"/>
        <v>0</v>
      </c>
      <c r="H1413" s="17">
        <v>1398</v>
      </c>
      <c r="I1413" s="43">
        <v>0.66953173343517147</v>
      </c>
      <c r="J1413" s="43">
        <v>1.9812103878392075E-2</v>
      </c>
      <c r="K1413" s="43"/>
      <c r="L1413" s="43">
        <v>0.25180000000000002</v>
      </c>
      <c r="O1413" s="50"/>
    </row>
    <row r="1414" spans="2:15" x14ac:dyDescent="0.2">
      <c r="B1414">
        <v>1399</v>
      </c>
      <c r="C1414" s="48">
        <f t="shared" ca="1" si="88"/>
        <v>-1.218986644848689</v>
      </c>
      <c r="D1414" s="48">
        <f t="shared" ca="1" si="85"/>
        <v>0.58925948480788437</v>
      </c>
      <c r="E1414" s="48">
        <f t="shared" ca="1" si="86"/>
        <v>0</v>
      </c>
      <c r="F1414" s="17">
        <f t="shared" ca="1" si="87"/>
        <v>0</v>
      </c>
      <c r="H1414" s="17">
        <v>1399</v>
      </c>
      <c r="I1414" s="43">
        <v>0.66819726100558519</v>
      </c>
      <c r="J1414" s="43">
        <v>1.8841967151381867E-2</v>
      </c>
      <c r="K1414" s="43"/>
      <c r="L1414" s="43">
        <v>0.252</v>
      </c>
      <c r="O1414" s="50"/>
    </row>
    <row r="1415" spans="2:15" x14ac:dyDescent="0.2">
      <c r="B1415">
        <v>1400</v>
      </c>
      <c r="C1415" s="48">
        <f t="shared" ca="1" si="88"/>
        <v>-4.4974221997209483E-2</v>
      </c>
      <c r="D1415" s="48">
        <f t="shared" ca="1" si="85"/>
        <v>0.66156586801023076</v>
      </c>
      <c r="E1415" s="48">
        <f t="shared" ca="1" si="86"/>
        <v>0</v>
      </c>
      <c r="F1415" s="17">
        <f t="shared" ca="1" si="87"/>
        <v>0</v>
      </c>
      <c r="H1415" s="17">
        <v>1400</v>
      </c>
      <c r="I1415" s="43">
        <v>0.66989391652004493</v>
      </c>
      <c r="J1415" s="43">
        <v>2.0074996519880692E-2</v>
      </c>
      <c r="K1415" s="43"/>
      <c r="L1415" s="43">
        <v>0.25119999999999998</v>
      </c>
      <c r="O1415" s="50"/>
    </row>
    <row r="1416" spans="2:15" x14ac:dyDescent="0.2">
      <c r="B1416">
        <v>1401</v>
      </c>
      <c r="C1416" s="48">
        <f t="shared" ca="1" si="88"/>
        <v>2.2380112728847892</v>
      </c>
      <c r="D1416" s="48">
        <f t="shared" ca="1" si="85"/>
        <v>0.82855507955229646</v>
      </c>
      <c r="E1416" s="48">
        <f t="shared" ca="1" si="86"/>
        <v>4.0355079552296447E-2</v>
      </c>
      <c r="F1416" s="17">
        <f t="shared" ca="1" si="87"/>
        <v>1</v>
      </c>
      <c r="H1416" s="17">
        <v>1401</v>
      </c>
      <c r="I1416" s="43">
        <v>0.66995298242940315</v>
      </c>
      <c r="J1416" s="43">
        <v>1.9817801482771118E-2</v>
      </c>
      <c r="K1416" s="43"/>
      <c r="L1416" s="43">
        <v>0.25</v>
      </c>
      <c r="O1416" s="50"/>
    </row>
    <row r="1417" spans="2:15" x14ac:dyDescent="0.2">
      <c r="B1417">
        <v>1402</v>
      </c>
      <c r="C1417" s="48">
        <f t="shared" ca="1" si="88"/>
        <v>-0.15956405964572926</v>
      </c>
      <c r="D1417" s="48">
        <f t="shared" ca="1" si="85"/>
        <v>0.65413413522364472</v>
      </c>
      <c r="E1417" s="48">
        <f t="shared" ca="1" si="86"/>
        <v>0</v>
      </c>
      <c r="F1417" s="17">
        <f t="shared" ca="1" si="87"/>
        <v>0</v>
      </c>
      <c r="H1417" s="17">
        <v>1402</v>
      </c>
      <c r="I1417" s="43">
        <v>0.67012252712269105</v>
      </c>
      <c r="J1417" s="43">
        <v>2.0219676634328415E-2</v>
      </c>
      <c r="K1417" s="43"/>
      <c r="L1417" s="43">
        <v>0.25879999999999997</v>
      </c>
      <c r="O1417" s="50"/>
    </row>
    <row r="1418" spans="2:15" x14ac:dyDescent="0.2">
      <c r="B1418">
        <v>1403</v>
      </c>
      <c r="C1418" s="48">
        <f t="shared" ca="1" si="88"/>
        <v>1.414539681918852</v>
      </c>
      <c r="D1418" s="48">
        <f t="shared" ca="1" si="85"/>
        <v>0.76394770292228575</v>
      </c>
      <c r="E1418" s="48">
        <f t="shared" ca="1" si="86"/>
        <v>0</v>
      </c>
      <c r="F1418" s="17">
        <f t="shared" ca="1" si="87"/>
        <v>0</v>
      </c>
      <c r="H1418" s="17">
        <v>1403</v>
      </c>
      <c r="I1418" s="43">
        <v>0.66815927097694516</v>
      </c>
      <c r="J1418" s="43">
        <v>1.8800336896149135E-2</v>
      </c>
      <c r="K1418" s="43"/>
      <c r="L1418" s="43">
        <v>0.24779999999999999</v>
      </c>
      <c r="O1418" s="50"/>
    </row>
    <row r="1419" spans="2:15" x14ac:dyDescent="0.2">
      <c r="B1419">
        <v>1404</v>
      </c>
      <c r="C1419" s="48">
        <f t="shared" ca="1" si="88"/>
        <v>-1.0503842390158793</v>
      </c>
      <c r="D1419" s="48">
        <f t="shared" ca="1" si="85"/>
        <v>0.59913606306366918</v>
      </c>
      <c r="E1419" s="48">
        <f t="shared" ca="1" si="86"/>
        <v>0</v>
      </c>
      <c r="F1419" s="17">
        <f t="shared" ca="1" si="87"/>
        <v>0</v>
      </c>
      <c r="H1419" s="17">
        <v>1404</v>
      </c>
      <c r="I1419" s="43">
        <v>0.66897697217020669</v>
      </c>
      <c r="J1419" s="43">
        <v>1.9269743567476627E-2</v>
      </c>
      <c r="K1419" s="43"/>
      <c r="L1419" s="43">
        <v>0.25119999999999998</v>
      </c>
      <c r="O1419" s="50"/>
    </row>
    <row r="1420" spans="2:15" x14ac:dyDescent="0.2">
      <c r="B1420">
        <v>1405</v>
      </c>
      <c r="C1420" s="48">
        <f t="shared" ca="1" si="88"/>
        <v>-0.51889713213521738</v>
      </c>
      <c r="D1420" s="48">
        <f t="shared" ca="1" si="85"/>
        <v>0.63136660968657943</v>
      </c>
      <c r="E1420" s="48">
        <f t="shared" ca="1" si="86"/>
        <v>0</v>
      </c>
      <c r="F1420" s="17">
        <f t="shared" ca="1" si="87"/>
        <v>0</v>
      </c>
      <c r="H1420" s="17">
        <v>1405</v>
      </c>
      <c r="I1420" s="43">
        <v>0.66896897208127015</v>
      </c>
      <c r="J1420" s="43">
        <v>1.9454661070164241E-2</v>
      </c>
      <c r="K1420" s="43"/>
      <c r="L1420" s="43">
        <v>0.25140000000000001</v>
      </c>
      <c r="O1420" s="50"/>
    </row>
    <row r="1421" spans="2:15" x14ac:dyDescent="0.2">
      <c r="B1421">
        <v>1406</v>
      </c>
      <c r="C1421" s="48">
        <f t="shared" ca="1" si="88"/>
        <v>-6.9287048067811149E-2</v>
      </c>
      <c r="D1421" s="48">
        <f t="shared" ca="1" si="85"/>
        <v>0.65998203325226801</v>
      </c>
      <c r="E1421" s="48">
        <f t="shared" ca="1" si="86"/>
        <v>0</v>
      </c>
      <c r="F1421" s="17">
        <f t="shared" ca="1" si="87"/>
        <v>0</v>
      </c>
      <c r="H1421" s="17">
        <v>1406</v>
      </c>
      <c r="I1421" s="43">
        <v>0.66857398221639064</v>
      </c>
      <c r="J1421" s="43">
        <v>1.9239927294980787E-2</v>
      </c>
      <c r="K1421" s="43"/>
      <c r="L1421" s="43">
        <v>0.2492</v>
      </c>
      <c r="O1421" s="50"/>
    </row>
    <row r="1422" spans="2:15" x14ac:dyDescent="0.2">
      <c r="B1422">
        <v>1407</v>
      </c>
      <c r="C1422" s="48">
        <f t="shared" ca="1" si="88"/>
        <v>-0.94219831547791211</v>
      </c>
      <c r="D1422" s="48">
        <f t="shared" ca="1" si="85"/>
        <v>0.60556051436115965</v>
      </c>
      <c r="E1422" s="48">
        <f t="shared" ca="1" si="86"/>
        <v>0</v>
      </c>
      <c r="F1422" s="17">
        <f t="shared" ca="1" si="87"/>
        <v>0</v>
      </c>
      <c r="H1422" s="17">
        <v>1407</v>
      </c>
      <c r="I1422" s="43">
        <v>0.66939215029761312</v>
      </c>
      <c r="J1422" s="43">
        <v>1.9497149846414832E-2</v>
      </c>
      <c r="K1422" s="43"/>
      <c r="L1422" s="43">
        <v>0.24640000000000001</v>
      </c>
      <c r="O1422" s="50"/>
    </row>
    <row r="1423" spans="2:15" x14ac:dyDescent="0.2">
      <c r="B1423">
        <v>1408</v>
      </c>
      <c r="C1423" s="48">
        <f t="shared" ca="1" si="88"/>
        <v>0.31800193386596398</v>
      </c>
      <c r="D1423" s="48">
        <f t="shared" ca="1" si="85"/>
        <v>0.68566862226498226</v>
      </c>
      <c r="E1423" s="48">
        <f t="shared" ca="1" si="86"/>
        <v>0</v>
      </c>
      <c r="F1423" s="17">
        <f t="shared" ca="1" si="87"/>
        <v>0</v>
      </c>
      <c r="H1423" s="17">
        <v>1408</v>
      </c>
      <c r="I1423" s="43">
        <v>0.66883046385812339</v>
      </c>
      <c r="J1423" s="43">
        <v>1.917343600170468E-2</v>
      </c>
      <c r="K1423" s="43"/>
      <c r="L1423" s="43">
        <v>0.25040000000000001</v>
      </c>
      <c r="O1423" s="50"/>
    </row>
    <row r="1424" spans="2:15" x14ac:dyDescent="0.2">
      <c r="B1424">
        <v>1409</v>
      </c>
      <c r="C1424" s="48">
        <f t="shared" ca="1" si="88"/>
        <v>-1.2249070346452637</v>
      </c>
      <c r="D1424" s="48">
        <f t="shared" ref="D1424:D1487" ca="1" si="89">S0*EXP((μ-0.5*σ*σ)*T+σ*SQRT(T)*$C1424)</f>
        <v>0.58891564839588761</v>
      </c>
      <c r="E1424" s="48">
        <f t="shared" ref="E1424:E1487" ca="1" si="90">MAX(0,CP*(D1424-K))</f>
        <v>0</v>
      </c>
      <c r="F1424" s="17">
        <f t="shared" ref="F1424:F1487" ca="1" si="91">(CP*(D1424-K)&gt;0)*1</f>
        <v>0</v>
      </c>
      <c r="H1424" s="17">
        <v>1409</v>
      </c>
      <c r="I1424" s="43">
        <v>0.66856509578891332</v>
      </c>
      <c r="J1424" s="43">
        <v>1.9376920432955375E-2</v>
      </c>
      <c r="K1424" s="43"/>
      <c r="L1424" s="43">
        <v>0.25440000000000002</v>
      </c>
      <c r="O1424" s="50"/>
    </row>
    <row r="1425" spans="2:15" x14ac:dyDescent="0.2">
      <c r="B1425">
        <v>1410</v>
      </c>
      <c r="C1425" s="48">
        <f t="shared" ref="C1425:C1488" ca="1" si="92">_xlfn.NORM.S.INV(RAND())</f>
        <v>-0.83282031384837951</v>
      </c>
      <c r="D1425" s="48">
        <f t="shared" ca="1" si="89"/>
        <v>0.61212578936296369</v>
      </c>
      <c r="E1425" s="48">
        <f t="shared" ca="1" si="90"/>
        <v>0</v>
      </c>
      <c r="F1425" s="17">
        <f t="shared" ca="1" si="91"/>
        <v>0</v>
      </c>
      <c r="H1425" s="17">
        <v>1410</v>
      </c>
      <c r="I1425" s="43">
        <v>0.66860032436748817</v>
      </c>
      <c r="J1425" s="43">
        <v>1.9018076146338287E-2</v>
      </c>
      <c r="K1425" s="43"/>
      <c r="L1425" s="43">
        <v>0.24840000000000001</v>
      </c>
      <c r="O1425" s="50"/>
    </row>
    <row r="1426" spans="2:15" x14ac:dyDescent="0.2">
      <c r="B1426">
        <v>1411</v>
      </c>
      <c r="C1426" s="48">
        <f t="shared" ca="1" si="92"/>
        <v>0.65099204491904927</v>
      </c>
      <c r="D1426" s="48">
        <f t="shared" ca="1" si="89"/>
        <v>0.70855175530748338</v>
      </c>
      <c r="E1426" s="48">
        <f t="shared" ca="1" si="90"/>
        <v>0</v>
      </c>
      <c r="F1426" s="17">
        <f t="shared" ca="1" si="91"/>
        <v>0</v>
      </c>
      <c r="H1426" s="17">
        <v>1411</v>
      </c>
      <c r="I1426" s="43">
        <v>0.66807139228642565</v>
      </c>
      <c r="J1426" s="43">
        <v>1.87085689363021E-2</v>
      </c>
      <c r="K1426" s="43"/>
      <c r="L1426" s="43">
        <v>0.24959999999999999</v>
      </c>
      <c r="O1426" s="50"/>
    </row>
    <row r="1427" spans="2:15" x14ac:dyDescent="0.2">
      <c r="B1427">
        <v>1412</v>
      </c>
      <c r="C1427" s="48">
        <f t="shared" ca="1" si="92"/>
        <v>-1.1737267470909012</v>
      </c>
      <c r="D1427" s="48">
        <f t="shared" ca="1" si="89"/>
        <v>0.59189467008162289</v>
      </c>
      <c r="E1427" s="48">
        <f t="shared" ca="1" si="90"/>
        <v>0</v>
      </c>
      <c r="F1427" s="17">
        <f t="shared" ca="1" si="91"/>
        <v>0</v>
      </c>
      <c r="H1427" s="17">
        <v>1412</v>
      </c>
      <c r="I1427" s="43">
        <v>0.66894775369390247</v>
      </c>
      <c r="J1427" s="43">
        <v>1.9681505236939317E-2</v>
      </c>
      <c r="K1427" s="43"/>
      <c r="L1427" s="43">
        <v>0.24560000000000001</v>
      </c>
      <c r="O1427" s="50"/>
    </row>
    <row r="1428" spans="2:15" x14ac:dyDescent="0.2">
      <c r="B1428">
        <v>1413</v>
      </c>
      <c r="C1428" s="48">
        <f t="shared" ca="1" si="92"/>
        <v>-0.67618806591844138</v>
      </c>
      <c r="D1428" s="48">
        <f t="shared" ca="1" si="89"/>
        <v>0.62165158096466022</v>
      </c>
      <c r="E1428" s="48">
        <f t="shared" ca="1" si="90"/>
        <v>0</v>
      </c>
      <c r="F1428" s="17">
        <f t="shared" ca="1" si="91"/>
        <v>0</v>
      </c>
      <c r="H1428" s="17">
        <v>1413</v>
      </c>
      <c r="I1428" s="43">
        <v>0.66913361426394879</v>
      </c>
      <c r="J1428" s="43">
        <v>1.9482213498789612E-2</v>
      </c>
      <c r="K1428" s="43"/>
      <c r="L1428" s="43">
        <v>0.25740000000000002</v>
      </c>
      <c r="O1428" s="50"/>
    </row>
    <row r="1429" spans="2:15" x14ac:dyDescent="0.2">
      <c r="B1429">
        <v>1414</v>
      </c>
      <c r="C1429" s="48">
        <f t="shared" ca="1" si="92"/>
        <v>1.7271760623581265</v>
      </c>
      <c r="D1429" s="48">
        <f t="shared" ca="1" si="89"/>
        <v>0.78786075299702241</v>
      </c>
      <c r="E1429" s="48">
        <f t="shared" ca="1" si="90"/>
        <v>0</v>
      </c>
      <c r="F1429" s="17">
        <f t="shared" ca="1" si="91"/>
        <v>0</v>
      </c>
      <c r="H1429" s="17">
        <v>1414</v>
      </c>
      <c r="I1429" s="43">
        <v>0.6683785354013605</v>
      </c>
      <c r="J1429" s="43">
        <v>1.8602128762984105E-2</v>
      </c>
      <c r="K1429" s="43"/>
      <c r="L1429" s="43">
        <v>0.2452</v>
      </c>
      <c r="O1429" s="50"/>
    </row>
    <row r="1430" spans="2:15" x14ac:dyDescent="0.2">
      <c r="B1430">
        <v>1415</v>
      </c>
      <c r="C1430" s="48">
        <f t="shared" ca="1" si="92"/>
        <v>0.84574197022959896</v>
      </c>
      <c r="D1430" s="48">
        <f t="shared" ca="1" si="89"/>
        <v>0.72228731862043916</v>
      </c>
      <c r="E1430" s="48">
        <f t="shared" ca="1" si="90"/>
        <v>0</v>
      </c>
      <c r="F1430" s="17">
        <f t="shared" ca="1" si="91"/>
        <v>0</v>
      </c>
      <c r="H1430" s="17">
        <v>1415</v>
      </c>
      <c r="I1430" s="43">
        <v>0.66930530222584028</v>
      </c>
      <c r="J1430" s="43">
        <v>1.9705375016237214E-2</v>
      </c>
      <c r="K1430" s="43"/>
      <c r="L1430" s="43">
        <v>0.25040000000000001</v>
      </c>
      <c r="O1430" s="50"/>
    </row>
    <row r="1431" spans="2:15" x14ac:dyDescent="0.2">
      <c r="B1431">
        <v>1416</v>
      </c>
      <c r="C1431" s="48">
        <f t="shared" ca="1" si="92"/>
        <v>-0.53229152516049638</v>
      </c>
      <c r="D1431" s="48">
        <f t="shared" ca="1" si="89"/>
        <v>0.63053342811956359</v>
      </c>
      <c r="E1431" s="48">
        <f t="shared" ca="1" si="90"/>
        <v>0</v>
      </c>
      <c r="F1431" s="17">
        <f t="shared" ca="1" si="91"/>
        <v>0</v>
      </c>
      <c r="H1431" s="17">
        <v>1416</v>
      </c>
      <c r="I1431" s="43">
        <v>0.66788121659026589</v>
      </c>
      <c r="J1431" s="43">
        <v>1.8519828811684184E-2</v>
      </c>
      <c r="K1431" s="43"/>
      <c r="L1431" s="43">
        <v>0.24440000000000001</v>
      </c>
      <c r="O1431" s="50"/>
    </row>
    <row r="1432" spans="2:15" x14ac:dyDescent="0.2">
      <c r="B1432">
        <v>1417</v>
      </c>
      <c r="C1432" s="48">
        <f t="shared" ca="1" si="92"/>
        <v>1.0274890607056217</v>
      </c>
      <c r="D1432" s="48">
        <f t="shared" ca="1" si="89"/>
        <v>0.73534589484436708</v>
      </c>
      <c r="E1432" s="48">
        <f t="shared" ca="1" si="90"/>
        <v>0</v>
      </c>
      <c r="F1432" s="17">
        <f t="shared" ca="1" si="91"/>
        <v>0</v>
      </c>
      <c r="H1432" s="17">
        <v>1417</v>
      </c>
      <c r="I1432" s="43">
        <v>0.66826793912255633</v>
      </c>
      <c r="J1432" s="43">
        <v>1.8780179172171462E-2</v>
      </c>
      <c r="K1432" s="43"/>
      <c r="L1432" s="43">
        <v>0.24279999999999999</v>
      </c>
      <c r="O1432" s="50"/>
    </row>
    <row r="1433" spans="2:15" x14ac:dyDescent="0.2">
      <c r="B1433">
        <v>1418</v>
      </c>
      <c r="C1433" s="48">
        <f t="shared" ca="1" si="92"/>
        <v>0.2824959085981838</v>
      </c>
      <c r="D1433" s="48">
        <f t="shared" ca="1" si="89"/>
        <v>0.68327266999144165</v>
      </c>
      <c r="E1433" s="48">
        <f t="shared" ca="1" si="90"/>
        <v>0</v>
      </c>
      <c r="F1433" s="17">
        <f t="shared" ca="1" si="91"/>
        <v>0</v>
      </c>
      <c r="H1433" s="17">
        <v>1418</v>
      </c>
      <c r="I1433" s="43">
        <v>0.66847750557368057</v>
      </c>
      <c r="J1433" s="43">
        <v>1.9050627298181966E-2</v>
      </c>
      <c r="K1433" s="43"/>
      <c r="L1433" s="43">
        <v>0.252</v>
      </c>
      <c r="O1433" s="50"/>
    </row>
    <row r="1434" spans="2:15" x14ac:dyDescent="0.2">
      <c r="B1434">
        <v>1419</v>
      </c>
      <c r="C1434" s="48">
        <f t="shared" ca="1" si="92"/>
        <v>-0.83328698383726618</v>
      </c>
      <c r="D1434" s="48">
        <f t="shared" ca="1" si="89"/>
        <v>0.61209762744170282</v>
      </c>
      <c r="E1434" s="48">
        <f t="shared" ca="1" si="90"/>
        <v>0</v>
      </c>
      <c r="F1434" s="17">
        <f t="shared" ca="1" si="91"/>
        <v>0</v>
      </c>
      <c r="H1434" s="17">
        <v>1419</v>
      </c>
      <c r="I1434" s="43">
        <v>0.66819434511697684</v>
      </c>
      <c r="J1434" s="43">
        <v>1.8936967714384259E-2</v>
      </c>
      <c r="K1434" s="43"/>
      <c r="L1434" s="43">
        <v>0.2472</v>
      </c>
      <c r="O1434" s="50"/>
    </row>
    <row r="1435" spans="2:15" x14ac:dyDescent="0.2">
      <c r="B1435">
        <v>1420</v>
      </c>
      <c r="C1435" s="48">
        <f t="shared" ca="1" si="92"/>
        <v>-1.8215993996244171</v>
      </c>
      <c r="D1435" s="48">
        <f t="shared" ca="1" si="89"/>
        <v>0.55527116019840062</v>
      </c>
      <c r="E1435" s="48">
        <f t="shared" ca="1" si="90"/>
        <v>0</v>
      </c>
      <c r="F1435" s="17">
        <f t="shared" ca="1" si="91"/>
        <v>0</v>
      </c>
      <c r="H1435" s="17">
        <v>1420</v>
      </c>
      <c r="I1435" s="43">
        <v>0.66832372956066743</v>
      </c>
      <c r="J1435" s="43">
        <v>1.8910204961630882E-2</v>
      </c>
      <c r="K1435" s="43"/>
      <c r="L1435" s="43">
        <v>0.25159999999999999</v>
      </c>
      <c r="O1435" s="50"/>
    </row>
    <row r="1436" spans="2:15" x14ac:dyDescent="0.2">
      <c r="B1436">
        <v>1421</v>
      </c>
      <c r="C1436" s="48">
        <f t="shared" ca="1" si="92"/>
        <v>1.0224747936365053</v>
      </c>
      <c r="D1436" s="48">
        <f t="shared" ca="1" si="89"/>
        <v>0.73498247092028612</v>
      </c>
      <c r="E1436" s="48">
        <f t="shared" ca="1" si="90"/>
        <v>0</v>
      </c>
      <c r="F1436" s="17">
        <f t="shared" ca="1" si="91"/>
        <v>0</v>
      </c>
      <c r="H1436" s="17">
        <v>1421</v>
      </c>
      <c r="I1436" s="43">
        <v>0.66945315144954842</v>
      </c>
      <c r="J1436" s="43">
        <v>1.9781115175552023E-2</v>
      </c>
      <c r="K1436" s="43"/>
      <c r="L1436" s="43">
        <v>0.24759999999999999</v>
      </c>
      <c r="O1436" s="50"/>
    </row>
    <row r="1437" spans="2:15" x14ac:dyDescent="0.2">
      <c r="B1437">
        <v>1422</v>
      </c>
      <c r="C1437" s="48">
        <f t="shared" ca="1" si="92"/>
        <v>-1.899761760856358</v>
      </c>
      <c r="D1437" s="48">
        <f t="shared" ca="1" si="89"/>
        <v>0.5510087790370819</v>
      </c>
      <c r="E1437" s="48">
        <f t="shared" ca="1" si="90"/>
        <v>0</v>
      </c>
      <c r="F1437" s="17">
        <f t="shared" ca="1" si="91"/>
        <v>0</v>
      </c>
      <c r="H1437" s="17">
        <v>1422</v>
      </c>
      <c r="I1437" s="43">
        <v>0.66895949051591774</v>
      </c>
      <c r="J1437" s="43">
        <v>1.9531883960512329E-2</v>
      </c>
      <c r="K1437" s="43"/>
      <c r="L1437" s="43">
        <v>0.2492</v>
      </c>
      <c r="O1437" s="50"/>
    </row>
    <row r="1438" spans="2:15" x14ac:dyDescent="0.2">
      <c r="B1438">
        <v>1423</v>
      </c>
      <c r="C1438" s="48">
        <f t="shared" ca="1" si="92"/>
        <v>0.49588085781541985</v>
      </c>
      <c r="D1438" s="48">
        <f t="shared" ca="1" si="89"/>
        <v>0.69779899333571138</v>
      </c>
      <c r="E1438" s="48">
        <f t="shared" ca="1" si="90"/>
        <v>0</v>
      </c>
      <c r="F1438" s="17">
        <f t="shared" ca="1" si="91"/>
        <v>0</v>
      </c>
      <c r="H1438" s="17">
        <v>1423</v>
      </c>
      <c r="I1438" s="43">
        <v>0.66935763922917424</v>
      </c>
      <c r="J1438" s="43">
        <v>1.9456154117921891E-2</v>
      </c>
      <c r="K1438" s="43"/>
      <c r="L1438" s="43">
        <v>0.252</v>
      </c>
      <c r="O1438" s="50"/>
    </row>
    <row r="1439" spans="2:15" x14ac:dyDescent="0.2">
      <c r="B1439">
        <v>1424</v>
      </c>
      <c r="C1439" s="48">
        <f t="shared" ca="1" si="92"/>
        <v>0.37824051075694104</v>
      </c>
      <c r="D1439" s="48">
        <f t="shared" ca="1" si="89"/>
        <v>0.68975276512518002</v>
      </c>
      <c r="E1439" s="48">
        <f t="shared" ca="1" si="90"/>
        <v>0</v>
      </c>
      <c r="F1439" s="17">
        <f t="shared" ca="1" si="91"/>
        <v>0</v>
      </c>
      <c r="H1439" s="17">
        <v>1424</v>
      </c>
      <c r="I1439" s="43">
        <v>0.6681128996612532</v>
      </c>
      <c r="J1439" s="43">
        <v>1.8835071731663631E-2</v>
      </c>
      <c r="K1439" s="43"/>
      <c r="L1439" s="43">
        <v>0.24340000000000001</v>
      </c>
      <c r="O1439" s="50"/>
    </row>
    <row r="1440" spans="2:15" x14ac:dyDescent="0.2">
      <c r="B1440">
        <v>1425</v>
      </c>
      <c r="C1440" s="48">
        <f t="shared" ca="1" si="92"/>
        <v>-1.8772192973715887</v>
      </c>
      <c r="D1440" s="48">
        <f t="shared" ca="1" si="89"/>
        <v>0.55223470513951989</v>
      </c>
      <c r="E1440" s="48">
        <f t="shared" ca="1" si="90"/>
        <v>0</v>
      </c>
      <c r="F1440" s="17">
        <f t="shared" ca="1" si="91"/>
        <v>0</v>
      </c>
      <c r="H1440" s="17">
        <v>1425</v>
      </c>
      <c r="I1440" s="43">
        <v>0.66863157062261125</v>
      </c>
      <c r="J1440" s="43">
        <v>1.91375096393985E-2</v>
      </c>
      <c r="K1440" s="43"/>
      <c r="L1440" s="43">
        <v>0.2482</v>
      </c>
      <c r="O1440" s="50"/>
    </row>
    <row r="1441" spans="2:15" x14ac:dyDescent="0.2">
      <c r="B1441">
        <v>1426</v>
      </c>
      <c r="C1441" s="48">
        <f t="shared" ca="1" si="92"/>
        <v>-1.2340391977224279</v>
      </c>
      <c r="D1441" s="48">
        <f t="shared" ca="1" si="89"/>
        <v>0.58838567632097849</v>
      </c>
      <c r="E1441" s="48">
        <f t="shared" ca="1" si="90"/>
        <v>0</v>
      </c>
      <c r="F1441" s="17">
        <f t="shared" ca="1" si="91"/>
        <v>0</v>
      </c>
      <c r="H1441" s="17">
        <v>1426</v>
      </c>
      <c r="I1441" s="43">
        <v>0.66913971932401206</v>
      </c>
      <c r="J1441" s="43">
        <v>1.9446228605048951E-2</v>
      </c>
      <c r="K1441" s="43"/>
      <c r="L1441" s="43">
        <v>0.25119999999999998</v>
      </c>
      <c r="O1441" s="50"/>
    </row>
    <row r="1442" spans="2:15" x14ac:dyDescent="0.2">
      <c r="B1442">
        <v>1427</v>
      </c>
      <c r="C1442" s="48">
        <f t="shared" ca="1" si="92"/>
        <v>-0.54962180219270151</v>
      </c>
      <c r="D1442" s="48">
        <f t="shared" ca="1" si="89"/>
        <v>0.62945705117229278</v>
      </c>
      <c r="E1442" s="48">
        <f t="shared" ca="1" si="90"/>
        <v>0</v>
      </c>
      <c r="F1442" s="17">
        <f t="shared" ca="1" si="91"/>
        <v>0</v>
      </c>
      <c r="H1442" s="17">
        <v>1427</v>
      </c>
      <c r="I1442" s="43">
        <v>0.66790811820864837</v>
      </c>
      <c r="J1442" s="43">
        <v>1.8602561388416001E-2</v>
      </c>
      <c r="K1442" s="43"/>
      <c r="L1442" s="43">
        <v>0.248</v>
      </c>
      <c r="O1442" s="50"/>
    </row>
    <row r="1443" spans="2:15" x14ac:dyDescent="0.2">
      <c r="B1443">
        <v>1428</v>
      </c>
      <c r="C1443" s="48">
        <f t="shared" ca="1" si="92"/>
        <v>1.7640233448568328</v>
      </c>
      <c r="D1443" s="48">
        <f t="shared" ca="1" si="89"/>
        <v>0.79072800402186871</v>
      </c>
      <c r="E1443" s="48">
        <f t="shared" ca="1" si="90"/>
        <v>2.5280040218687017E-3</v>
      </c>
      <c r="F1443" s="17">
        <f t="shared" ca="1" si="91"/>
        <v>1</v>
      </c>
      <c r="H1443" s="17">
        <v>1428</v>
      </c>
      <c r="I1443" s="43">
        <v>0.6686237745084197</v>
      </c>
      <c r="J1443" s="43">
        <v>1.9381272548312539E-2</v>
      </c>
      <c r="K1443" s="43"/>
      <c r="L1443" s="43">
        <v>0.24940000000000001</v>
      </c>
      <c r="O1443" s="50"/>
    </row>
    <row r="1444" spans="2:15" x14ac:dyDescent="0.2">
      <c r="B1444">
        <v>1429</v>
      </c>
      <c r="C1444" s="48">
        <f t="shared" ca="1" si="92"/>
        <v>-0.99106248750781589</v>
      </c>
      <c r="D1444" s="48">
        <f t="shared" ca="1" si="89"/>
        <v>0.60265030555867516</v>
      </c>
      <c r="E1444" s="48">
        <f t="shared" ca="1" si="90"/>
        <v>0</v>
      </c>
      <c r="F1444" s="17">
        <f t="shared" ca="1" si="91"/>
        <v>0</v>
      </c>
      <c r="H1444" s="17">
        <v>1429</v>
      </c>
      <c r="I1444" s="43">
        <v>0.66891487831058982</v>
      </c>
      <c r="J1444" s="43">
        <v>1.9287541085649427E-2</v>
      </c>
      <c r="K1444" s="43"/>
      <c r="L1444" s="43">
        <v>0.251</v>
      </c>
      <c r="O1444" s="50"/>
    </row>
    <row r="1445" spans="2:15" x14ac:dyDescent="0.2">
      <c r="B1445">
        <v>1430</v>
      </c>
      <c r="C1445" s="48">
        <f t="shared" ca="1" si="92"/>
        <v>0.89933029420365584</v>
      </c>
      <c r="D1445" s="48">
        <f t="shared" ca="1" si="89"/>
        <v>0.7261133595223308</v>
      </c>
      <c r="E1445" s="48">
        <f t="shared" ca="1" si="90"/>
        <v>0</v>
      </c>
      <c r="F1445" s="17">
        <f t="shared" ca="1" si="91"/>
        <v>0</v>
      </c>
      <c r="H1445" s="17">
        <v>1430</v>
      </c>
      <c r="I1445" s="43">
        <v>0.66953521564765839</v>
      </c>
      <c r="J1445" s="43">
        <v>1.9537180896233859E-2</v>
      </c>
      <c r="K1445" s="43"/>
      <c r="L1445" s="43">
        <v>0.25040000000000001</v>
      </c>
      <c r="O1445" s="50"/>
    </row>
    <row r="1446" spans="2:15" x14ac:dyDescent="0.2">
      <c r="B1446">
        <v>1431</v>
      </c>
      <c r="C1446" s="48">
        <f t="shared" ca="1" si="92"/>
        <v>0.84658422887236651</v>
      </c>
      <c r="D1446" s="48">
        <f t="shared" ca="1" si="89"/>
        <v>0.72234729706761369</v>
      </c>
      <c r="E1446" s="48">
        <f t="shared" ca="1" si="90"/>
        <v>0</v>
      </c>
      <c r="F1446" s="17">
        <f t="shared" ca="1" si="91"/>
        <v>0</v>
      </c>
      <c r="H1446" s="17">
        <v>1431</v>
      </c>
      <c r="I1446" s="43">
        <v>0.67046382391370074</v>
      </c>
      <c r="J1446" s="43">
        <v>2.0686229553008965E-2</v>
      </c>
      <c r="K1446" s="43"/>
      <c r="L1446" s="43">
        <v>0.2656</v>
      </c>
      <c r="O1446" s="50"/>
    </row>
    <row r="1447" spans="2:15" x14ac:dyDescent="0.2">
      <c r="B1447">
        <v>1432</v>
      </c>
      <c r="C1447" s="48">
        <f t="shared" ca="1" si="92"/>
        <v>1.0965765246690591</v>
      </c>
      <c r="D1447" s="48">
        <f t="shared" ca="1" si="89"/>
        <v>0.74037154794248616</v>
      </c>
      <c r="E1447" s="48">
        <f t="shared" ca="1" si="90"/>
        <v>0</v>
      </c>
      <c r="F1447" s="17">
        <f t="shared" ca="1" si="91"/>
        <v>0</v>
      </c>
      <c r="H1447" s="17">
        <v>1432</v>
      </c>
      <c r="I1447" s="43">
        <v>0.66819892809547443</v>
      </c>
      <c r="J1447" s="43">
        <v>1.8899088176390598E-2</v>
      </c>
      <c r="K1447" s="43"/>
      <c r="L1447" s="43">
        <v>0.24399999999999999</v>
      </c>
      <c r="O1447" s="50"/>
    </row>
    <row r="1448" spans="2:15" x14ac:dyDescent="0.2">
      <c r="B1448">
        <v>1433</v>
      </c>
      <c r="C1448" s="48">
        <f t="shared" ca="1" si="92"/>
        <v>1.0222207180602214</v>
      </c>
      <c r="D1448" s="48">
        <f t="shared" ca="1" si="89"/>
        <v>0.73496406081882226</v>
      </c>
      <c r="E1448" s="48">
        <f t="shared" ca="1" si="90"/>
        <v>0</v>
      </c>
      <c r="F1448" s="17">
        <f t="shared" ca="1" si="91"/>
        <v>0</v>
      </c>
      <c r="H1448" s="17">
        <v>1433</v>
      </c>
      <c r="I1448" s="43">
        <v>0.66872908314350299</v>
      </c>
      <c r="J1448" s="43">
        <v>1.9155006229527517E-2</v>
      </c>
      <c r="K1448" s="43"/>
      <c r="L1448" s="43">
        <v>0.24959999999999999</v>
      </c>
      <c r="O1448" s="50"/>
    </row>
    <row r="1449" spans="2:15" x14ac:dyDescent="0.2">
      <c r="B1449">
        <v>1434</v>
      </c>
      <c r="C1449" s="48">
        <f t="shared" ca="1" si="92"/>
        <v>-0.65359226799286252</v>
      </c>
      <c r="D1449" s="48">
        <f t="shared" ca="1" si="89"/>
        <v>0.62303795452008337</v>
      </c>
      <c r="E1449" s="48">
        <f t="shared" ca="1" si="90"/>
        <v>0</v>
      </c>
      <c r="F1449" s="17">
        <f t="shared" ca="1" si="91"/>
        <v>0</v>
      </c>
      <c r="H1449" s="17">
        <v>1434</v>
      </c>
      <c r="I1449" s="43">
        <v>0.66725900691426587</v>
      </c>
      <c r="J1449" s="43">
        <v>1.8024053288328783E-2</v>
      </c>
      <c r="K1449" s="43"/>
      <c r="L1449" s="43">
        <v>0.24399999999999999</v>
      </c>
      <c r="O1449" s="50"/>
    </row>
    <row r="1450" spans="2:15" x14ac:dyDescent="0.2">
      <c r="B1450">
        <v>1435</v>
      </c>
      <c r="C1450" s="48">
        <f t="shared" ca="1" si="92"/>
        <v>-0.8284233242403406</v>
      </c>
      <c r="D1450" s="48">
        <f t="shared" ca="1" si="89"/>
        <v>0.61239119611725401</v>
      </c>
      <c r="E1450" s="48">
        <f t="shared" ca="1" si="90"/>
        <v>0</v>
      </c>
      <c r="F1450" s="17">
        <f t="shared" ca="1" si="91"/>
        <v>0</v>
      </c>
      <c r="H1450" s="17">
        <v>1435</v>
      </c>
      <c r="I1450" s="43">
        <v>0.66869620488062098</v>
      </c>
      <c r="J1450" s="43">
        <v>1.9118903420386447E-2</v>
      </c>
      <c r="K1450" s="43"/>
      <c r="L1450" s="43">
        <v>0.246</v>
      </c>
      <c r="O1450" s="50"/>
    </row>
    <row r="1451" spans="2:15" x14ac:dyDescent="0.2">
      <c r="B1451">
        <v>1436</v>
      </c>
      <c r="C1451" s="48">
        <f t="shared" ca="1" si="92"/>
        <v>-1.2720569715691219</v>
      </c>
      <c r="D1451" s="48">
        <f t="shared" ca="1" si="89"/>
        <v>0.58618448969741777</v>
      </c>
      <c r="E1451" s="48">
        <f t="shared" ca="1" si="90"/>
        <v>0</v>
      </c>
      <c r="F1451" s="17">
        <f t="shared" ca="1" si="91"/>
        <v>0</v>
      </c>
      <c r="H1451" s="17">
        <v>1436</v>
      </c>
      <c r="I1451" s="43">
        <v>0.66875223574478682</v>
      </c>
      <c r="J1451" s="43">
        <v>1.9103814823125263E-2</v>
      </c>
      <c r="K1451" s="43"/>
      <c r="L1451" s="43">
        <v>0.248</v>
      </c>
      <c r="O1451" s="50"/>
    </row>
    <row r="1452" spans="2:15" x14ac:dyDescent="0.2">
      <c r="B1452">
        <v>1437</v>
      </c>
      <c r="C1452" s="48">
        <f t="shared" ca="1" si="92"/>
        <v>0.89715580076564039</v>
      </c>
      <c r="D1452" s="48">
        <f t="shared" ca="1" si="89"/>
        <v>0.72595771361749961</v>
      </c>
      <c r="E1452" s="48">
        <f t="shared" ca="1" si="90"/>
        <v>0</v>
      </c>
      <c r="F1452" s="17">
        <f t="shared" ca="1" si="91"/>
        <v>0</v>
      </c>
      <c r="H1452" s="17">
        <v>1437</v>
      </c>
      <c r="I1452" s="43">
        <v>0.66879517066840266</v>
      </c>
      <c r="J1452" s="43">
        <v>1.8994410923584022E-2</v>
      </c>
      <c r="K1452" s="43"/>
      <c r="L1452" s="43">
        <v>0.2482</v>
      </c>
      <c r="O1452" s="50"/>
    </row>
    <row r="1453" spans="2:15" x14ac:dyDescent="0.2">
      <c r="B1453">
        <v>1438</v>
      </c>
      <c r="C1453" s="48">
        <f t="shared" ca="1" si="92"/>
        <v>-1.8544089022509882</v>
      </c>
      <c r="D1453" s="48">
        <f t="shared" ca="1" si="89"/>
        <v>0.55347797853808534</v>
      </c>
      <c r="E1453" s="48">
        <f t="shared" ca="1" si="90"/>
        <v>0</v>
      </c>
      <c r="F1453" s="17">
        <f t="shared" ca="1" si="91"/>
        <v>0</v>
      </c>
      <c r="H1453" s="17">
        <v>1438</v>
      </c>
      <c r="I1453" s="43">
        <v>0.66808509389345605</v>
      </c>
      <c r="J1453" s="43">
        <v>1.8596979349429523E-2</v>
      </c>
      <c r="K1453" s="43"/>
      <c r="L1453" s="43">
        <v>0.24579999999999999</v>
      </c>
      <c r="O1453" s="50"/>
    </row>
    <row r="1454" spans="2:15" x14ac:dyDescent="0.2">
      <c r="B1454">
        <v>1439</v>
      </c>
      <c r="C1454" s="48">
        <f t="shared" ca="1" si="92"/>
        <v>1.6341109729133387</v>
      </c>
      <c r="D1454" s="48">
        <f t="shared" ca="1" si="89"/>
        <v>0.78066515035505535</v>
      </c>
      <c r="E1454" s="48">
        <f t="shared" ca="1" si="90"/>
        <v>0</v>
      </c>
      <c r="F1454" s="17">
        <f t="shared" ca="1" si="91"/>
        <v>0</v>
      </c>
      <c r="H1454" s="17">
        <v>1439</v>
      </c>
      <c r="I1454" s="43">
        <v>0.66858254745642987</v>
      </c>
      <c r="J1454" s="43">
        <v>1.9292237430942393E-2</v>
      </c>
      <c r="K1454" s="43"/>
      <c r="L1454" s="43">
        <v>0.255</v>
      </c>
      <c r="O1454" s="50"/>
    </row>
    <row r="1455" spans="2:15" x14ac:dyDescent="0.2">
      <c r="B1455">
        <v>1440</v>
      </c>
      <c r="C1455" s="48">
        <f t="shared" ca="1" si="92"/>
        <v>-1.3328959942366996</v>
      </c>
      <c r="D1455" s="48">
        <f t="shared" ca="1" si="89"/>
        <v>0.58267909858123179</v>
      </c>
      <c r="E1455" s="48">
        <f t="shared" ca="1" si="90"/>
        <v>0</v>
      </c>
      <c r="F1455" s="17">
        <f t="shared" ca="1" si="91"/>
        <v>0</v>
      </c>
      <c r="H1455" s="17">
        <v>1440</v>
      </c>
      <c r="I1455" s="43">
        <v>0.66924089999903991</v>
      </c>
      <c r="J1455" s="43">
        <v>1.9493602043517307E-2</v>
      </c>
      <c r="K1455" s="43"/>
      <c r="L1455" s="43">
        <v>0.253</v>
      </c>
      <c r="O1455" s="50"/>
    </row>
    <row r="1456" spans="2:15" x14ac:dyDescent="0.2">
      <c r="B1456">
        <v>1441</v>
      </c>
      <c r="C1456" s="48">
        <f t="shared" ca="1" si="92"/>
        <v>1.1242387468172859</v>
      </c>
      <c r="D1456" s="48">
        <f t="shared" ca="1" si="89"/>
        <v>0.74239340679235077</v>
      </c>
      <c r="E1456" s="48">
        <f t="shared" ca="1" si="90"/>
        <v>0</v>
      </c>
      <c r="F1456" s="17">
        <f t="shared" ca="1" si="91"/>
        <v>0</v>
      </c>
      <c r="H1456" s="17">
        <v>1441</v>
      </c>
      <c r="I1456" s="43">
        <v>0.66841142288920818</v>
      </c>
      <c r="J1456" s="43">
        <v>1.8959185841672579E-2</v>
      </c>
      <c r="K1456" s="43"/>
      <c r="L1456" s="43">
        <v>0.25</v>
      </c>
      <c r="O1456" s="50"/>
    </row>
    <row r="1457" spans="2:15" x14ac:dyDescent="0.2">
      <c r="B1457">
        <v>1442</v>
      </c>
      <c r="C1457" s="48">
        <f t="shared" ca="1" si="92"/>
        <v>0.47263066056665054</v>
      </c>
      <c r="D1457" s="48">
        <f t="shared" ca="1" si="89"/>
        <v>0.6962013454987982</v>
      </c>
      <c r="E1457" s="48">
        <f t="shared" ca="1" si="90"/>
        <v>0</v>
      </c>
      <c r="F1457" s="17">
        <f t="shared" ca="1" si="91"/>
        <v>0</v>
      </c>
      <c r="H1457" s="17">
        <v>1442</v>
      </c>
      <c r="I1457" s="43">
        <v>0.66854755528490994</v>
      </c>
      <c r="J1457" s="43">
        <v>1.9052834798770794E-2</v>
      </c>
      <c r="K1457" s="43"/>
      <c r="L1457" s="43">
        <v>0.25219999999999998</v>
      </c>
      <c r="O1457" s="50"/>
    </row>
    <row r="1458" spans="2:15" x14ac:dyDescent="0.2">
      <c r="B1458">
        <v>1443</v>
      </c>
      <c r="C1458" s="48">
        <f t="shared" ca="1" si="92"/>
        <v>0.32163588013585898</v>
      </c>
      <c r="D1458" s="48">
        <f t="shared" ca="1" si="89"/>
        <v>0.68591431498917821</v>
      </c>
      <c r="E1458" s="48">
        <f t="shared" ca="1" si="90"/>
        <v>0</v>
      </c>
      <c r="F1458" s="17">
        <f t="shared" ca="1" si="91"/>
        <v>0</v>
      </c>
      <c r="H1458" s="17">
        <v>1443</v>
      </c>
      <c r="I1458" s="43">
        <v>0.66856678143615278</v>
      </c>
      <c r="J1458" s="43">
        <v>1.8950840232510455E-2</v>
      </c>
      <c r="K1458" s="43"/>
      <c r="L1458" s="43">
        <v>0.24260000000000001</v>
      </c>
      <c r="O1458" s="50"/>
    </row>
    <row r="1459" spans="2:15" x14ac:dyDescent="0.2">
      <c r="B1459">
        <v>1444</v>
      </c>
      <c r="C1459" s="48">
        <f t="shared" ca="1" si="92"/>
        <v>0.536612966146783</v>
      </c>
      <c r="D1459" s="48">
        <f t="shared" ca="1" si="89"/>
        <v>0.70060676142522882</v>
      </c>
      <c r="E1459" s="48">
        <f t="shared" ca="1" si="90"/>
        <v>0</v>
      </c>
      <c r="F1459" s="17">
        <f t="shared" ca="1" si="91"/>
        <v>0</v>
      </c>
      <c r="H1459" s="17">
        <v>1444</v>
      </c>
      <c r="I1459" s="43">
        <v>0.66889717180436359</v>
      </c>
      <c r="J1459" s="43">
        <v>1.9073897098524036E-2</v>
      </c>
      <c r="K1459" s="43"/>
      <c r="L1459" s="43">
        <v>0.24979999999999999</v>
      </c>
      <c r="O1459" s="50"/>
    </row>
    <row r="1460" spans="2:15" x14ac:dyDescent="0.2">
      <c r="B1460">
        <v>1445</v>
      </c>
      <c r="C1460" s="48">
        <f t="shared" ca="1" si="92"/>
        <v>1.3015039916338063</v>
      </c>
      <c r="D1460" s="48">
        <f t="shared" ca="1" si="89"/>
        <v>0.75548160435996115</v>
      </c>
      <c r="E1460" s="48">
        <f t="shared" ca="1" si="90"/>
        <v>0</v>
      </c>
      <c r="F1460" s="17">
        <f t="shared" ca="1" si="91"/>
        <v>0</v>
      </c>
      <c r="H1460" s="17">
        <v>1445</v>
      </c>
      <c r="I1460" s="43">
        <v>0.66915669520640142</v>
      </c>
      <c r="J1460" s="43">
        <v>1.9643567362180481E-2</v>
      </c>
      <c r="K1460" s="43"/>
      <c r="L1460" s="43">
        <v>0.25240000000000001</v>
      </c>
      <c r="O1460" s="50"/>
    </row>
    <row r="1461" spans="2:15" x14ac:dyDescent="0.2">
      <c r="B1461">
        <v>1446</v>
      </c>
      <c r="C1461" s="48">
        <f t="shared" ca="1" si="92"/>
        <v>2.0031034743178595</v>
      </c>
      <c r="D1461" s="48">
        <f t="shared" ca="1" si="89"/>
        <v>0.80958708835354498</v>
      </c>
      <c r="E1461" s="48">
        <f t="shared" ca="1" si="90"/>
        <v>2.138708835354497E-2</v>
      </c>
      <c r="F1461" s="17">
        <f t="shared" ca="1" si="91"/>
        <v>1</v>
      </c>
      <c r="H1461" s="17">
        <v>1446</v>
      </c>
      <c r="I1461" s="43">
        <v>0.66934652018226404</v>
      </c>
      <c r="J1461" s="43">
        <v>1.9897137541131937E-2</v>
      </c>
      <c r="K1461" s="43"/>
      <c r="L1461" s="43">
        <v>0.25559999999999999</v>
      </c>
      <c r="O1461" s="50"/>
    </row>
    <row r="1462" spans="2:15" x14ac:dyDescent="0.2">
      <c r="B1462">
        <v>1447</v>
      </c>
      <c r="C1462" s="48">
        <f t="shared" ca="1" si="92"/>
        <v>0.5115287137272343</v>
      </c>
      <c r="D1462" s="48">
        <f t="shared" ca="1" si="89"/>
        <v>0.698876306408443</v>
      </c>
      <c r="E1462" s="48">
        <f t="shared" ca="1" si="90"/>
        <v>0</v>
      </c>
      <c r="F1462" s="17">
        <f t="shared" ca="1" si="91"/>
        <v>0</v>
      </c>
      <c r="H1462" s="17">
        <v>1447</v>
      </c>
      <c r="I1462" s="43">
        <v>0.67002747663438578</v>
      </c>
      <c r="J1462" s="43">
        <v>1.997303785091949E-2</v>
      </c>
      <c r="K1462" s="43"/>
      <c r="L1462" s="43">
        <v>0.25</v>
      </c>
      <c r="O1462" s="50"/>
    </row>
    <row r="1463" spans="2:15" x14ac:dyDescent="0.2">
      <c r="B1463">
        <v>1448</v>
      </c>
      <c r="C1463" s="48">
        <f t="shared" ca="1" si="92"/>
        <v>-0.16481202067956638</v>
      </c>
      <c r="D1463" s="48">
        <f t="shared" ca="1" si="89"/>
        <v>0.65379578474774536</v>
      </c>
      <c r="E1463" s="48">
        <f t="shared" ca="1" si="90"/>
        <v>0</v>
      </c>
      <c r="F1463" s="17">
        <f t="shared" ca="1" si="91"/>
        <v>0</v>
      </c>
      <c r="H1463" s="17">
        <v>1448</v>
      </c>
      <c r="I1463" s="43">
        <v>0.66776860836981522</v>
      </c>
      <c r="J1463" s="43">
        <v>1.8432333475225739E-2</v>
      </c>
      <c r="K1463" s="43"/>
      <c r="L1463" s="43">
        <v>0.24399999999999999</v>
      </c>
      <c r="O1463" s="50"/>
    </row>
    <row r="1464" spans="2:15" x14ac:dyDescent="0.2">
      <c r="B1464">
        <v>1449</v>
      </c>
      <c r="C1464" s="48">
        <f t="shared" ca="1" si="92"/>
        <v>1.2659704911310574</v>
      </c>
      <c r="D1464" s="48">
        <f t="shared" ca="1" si="89"/>
        <v>0.75283966327530394</v>
      </c>
      <c r="E1464" s="48">
        <f t="shared" ca="1" si="90"/>
        <v>0</v>
      </c>
      <c r="F1464" s="17">
        <f t="shared" ca="1" si="91"/>
        <v>0</v>
      </c>
      <c r="H1464" s="17">
        <v>1449</v>
      </c>
      <c r="I1464" s="43">
        <v>0.66889647935624486</v>
      </c>
      <c r="J1464" s="43">
        <v>1.9278412011744388E-2</v>
      </c>
      <c r="K1464" s="43"/>
      <c r="L1464" s="43">
        <v>0.25280000000000002</v>
      </c>
      <c r="O1464" s="50"/>
    </row>
    <row r="1465" spans="2:15" x14ac:dyDescent="0.2">
      <c r="B1465">
        <v>1450</v>
      </c>
      <c r="C1465" s="48">
        <f t="shared" ca="1" si="92"/>
        <v>1.207633525986221</v>
      </c>
      <c r="D1465" s="48">
        <f t="shared" ca="1" si="89"/>
        <v>0.74852228834439161</v>
      </c>
      <c r="E1465" s="48">
        <f t="shared" ca="1" si="90"/>
        <v>0</v>
      </c>
      <c r="F1465" s="17">
        <f t="shared" ca="1" si="91"/>
        <v>0</v>
      </c>
      <c r="H1465" s="17">
        <v>1450</v>
      </c>
      <c r="I1465" s="43">
        <v>0.6689416741388563</v>
      </c>
      <c r="J1465" s="43">
        <v>1.9542289993366487E-2</v>
      </c>
      <c r="K1465" s="43"/>
      <c r="L1465" s="43">
        <v>0.24959999999999999</v>
      </c>
      <c r="O1465" s="50"/>
    </row>
    <row r="1466" spans="2:15" x14ac:dyDescent="0.2">
      <c r="B1466">
        <v>1451</v>
      </c>
      <c r="C1466" s="48">
        <f t="shared" ca="1" si="92"/>
        <v>-0.6692378455430682</v>
      </c>
      <c r="D1466" s="48">
        <f t="shared" ca="1" si="89"/>
        <v>0.62207768548072417</v>
      </c>
      <c r="E1466" s="48">
        <f t="shared" ca="1" si="90"/>
        <v>0</v>
      </c>
      <c r="F1466" s="17">
        <f t="shared" ca="1" si="91"/>
        <v>0</v>
      </c>
      <c r="H1466" s="17">
        <v>1451</v>
      </c>
      <c r="I1466" s="43">
        <v>0.66795260515225985</v>
      </c>
      <c r="J1466" s="43">
        <v>1.8621381773905103E-2</v>
      </c>
      <c r="K1466" s="43"/>
      <c r="L1466" s="43">
        <v>0.24560000000000001</v>
      </c>
      <c r="O1466" s="50"/>
    </row>
    <row r="1467" spans="2:15" x14ac:dyDescent="0.2">
      <c r="B1467">
        <v>1452</v>
      </c>
      <c r="C1467" s="48">
        <f t="shared" ca="1" si="92"/>
        <v>-0.96031717224703905</v>
      </c>
      <c r="D1467" s="48">
        <f t="shared" ca="1" si="89"/>
        <v>0.60447977185973156</v>
      </c>
      <c r="E1467" s="48">
        <f t="shared" ca="1" si="90"/>
        <v>0</v>
      </c>
      <c r="F1467" s="17">
        <f t="shared" ca="1" si="91"/>
        <v>0</v>
      </c>
      <c r="H1467" s="17">
        <v>1452</v>
      </c>
      <c r="I1467" s="43">
        <v>0.6683161080520108</v>
      </c>
      <c r="J1467" s="43">
        <v>1.8896382613122334E-2</v>
      </c>
      <c r="K1467" s="43"/>
      <c r="L1467" s="43">
        <v>0.24340000000000001</v>
      </c>
      <c r="O1467" s="50"/>
    </row>
    <row r="1468" spans="2:15" x14ac:dyDescent="0.2">
      <c r="B1468">
        <v>1453</v>
      </c>
      <c r="C1468" s="48">
        <f t="shared" ca="1" si="92"/>
        <v>-1.3914276927810223</v>
      </c>
      <c r="D1468" s="48">
        <f t="shared" ca="1" si="89"/>
        <v>0.57932643602933609</v>
      </c>
      <c r="E1468" s="48">
        <f t="shared" ca="1" si="90"/>
        <v>0</v>
      </c>
      <c r="F1468" s="17">
        <f t="shared" ca="1" si="91"/>
        <v>0</v>
      </c>
      <c r="H1468" s="17">
        <v>1453</v>
      </c>
      <c r="I1468" s="43">
        <v>0.669784663171899</v>
      </c>
      <c r="J1468" s="43">
        <v>1.9968229476672743E-2</v>
      </c>
      <c r="K1468" s="43"/>
      <c r="L1468" s="43">
        <v>0.25219999999999998</v>
      </c>
      <c r="O1468" s="50"/>
    </row>
    <row r="1469" spans="2:15" x14ac:dyDescent="0.2">
      <c r="B1469">
        <v>1454</v>
      </c>
      <c r="C1469" s="48">
        <f t="shared" ca="1" si="92"/>
        <v>0.90942448719527158</v>
      </c>
      <c r="D1469" s="48">
        <f t="shared" ca="1" si="89"/>
        <v>0.72683631885097777</v>
      </c>
      <c r="E1469" s="48">
        <f t="shared" ca="1" si="90"/>
        <v>0</v>
      </c>
      <c r="F1469" s="17">
        <f t="shared" ca="1" si="91"/>
        <v>0</v>
      </c>
      <c r="H1469" s="17">
        <v>1454</v>
      </c>
      <c r="I1469" s="43">
        <v>0.67002235922964271</v>
      </c>
      <c r="J1469" s="43">
        <v>2.011098641073835E-2</v>
      </c>
      <c r="K1469" s="43"/>
      <c r="L1469" s="43">
        <v>0.25240000000000001</v>
      </c>
      <c r="O1469" s="50"/>
    </row>
    <row r="1470" spans="2:15" x14ac:dyDescent="0.2">
      <c r="B1470">
        <v>1455</v>
      </c>
      <c r="C1470" s="48">
        <f t="shared" ca="1" si="92"/>
        <v>-0.75624843294472166</v>
      </c>
      <c r="D1470" s="48">
        <f t="shared" ca="1" si="89"/>
        <v>0.61676422991224311</v>
      </c>
      <c r="E1470" s="48">
        <f t="shared" ca="1" si="90"/>
        <v>0</v>
      </c>
      <c r="F1470" s="17">
        <f t="shared" ca="1" si="91"/>
        <v>0</v>
      </c>
      <c r="H1470" s="17">
        <v>1455</v>
      </c>
      <c r="I1470" s="43">
        <v>0.66763909801112242</v>
      </c>
      <c r="J1470" s="43">
        <v>1.8367570794831558E-2</v>
      </c>
      <c r="K1470" s="43"/>
      <c r="L1470" s="43">
        <v>0.24740000000000001</v>
      </c>
      <c r="O1470" s="50"/>
    </row>
    <row r="1471" spans="2:15" x14ac:dyDescent="0.2">
      <c r="B1471">
        <v>1456</v>
      </c>
      <c r="C1471" s="48">
        <f t="shared" ca="1" si="92"/>
        <v>0.86618158190972139</v>
      </c>
      <c r="D1471" s="48">
        <f t="shared" ca="1" si="89"/>
        <v>0.72374425972343792</v>
      </c>
      <c r="E1471" s="48">
        <f t="shared" ca="1" si="90"/>
        <v>0</v>
      </c>
      <c r="F1471" s="17">
        <f t="shared" ca="1" si="91"/>
        <v>0</v>
      </c>
      <c r="H1471" s="17">
        <v>1456</v>
      </c>
      <c r="I1471" s="43">
        <v>0.6692042839964697</v>
      </c>
      <c r="J1471" s="43">
        <v>1.9736699114872185E-2</v>
      </c>
      <c r="K1471" s="43"/>
      <c r="L1471" s="43">
        <v>0.25519999999999998</v>
      </c>
      <c r="O1471" s="50"/>
    </row>
    <row r="1472" spans="2:15" x14ac:dyDescent="0.2">
      <c r="B1472">
        <v>1457</v>
      </c>
      <c r="C1472" s="48">
        <f t="shared" ca="1" si="92"/>
        <v>0.16685104832763975</v>
      </c>
      <c r="D1472" s="48">
        <f t="shared" ca="1" si="89"/>
        <v>0.6755268262170987</v>
      </c>
      <c r="E1472" s="48">
        <f t="shared" ca="1" si="90"/>
        <v>0</v>
      </c>
      <c r="F1472" s="17">
        <f t="shared" ca="1" si="91"/>
        <v>0</v>
      </c>
      <c r="H1472" s="17">
        <v>1457</v>
      </c>
      <c r="I1472" s="43">
        <v>0.66823186960935244</v>
      </c>
      <c r="J1472" s="43">
        <v>1.8999732280575832E-2</v>
      </c>
      <c r="K1472" s="43"/>
      <c r="L1472" s="43">
        <v>0.25180000000000002</v>
      </c>
      <c r="O1472" s="50"/>
    </row>
    <row r="1473" spans="2:15" x14ac:dyDescent="0.2">
      <c r="B1473">
        <v>1458</v>
      </c>
      <c r="C1473" s="48">
        <f t="shared" ca="1" si="92"/>
        <v>1.5925830942701802</v>
      </c>
      <c r="D1473" s="48">
        <f t="shared" ca="1" si="89"/>
        <v>0.77747554072139335</v>
      </c>
      <c r="E1473" s="48">
        <f t="shared" ca="1" si="90"/>
        <v>0</v>
      </c>
      <c r="F1473" s="17">
        <f t="shared" ca="1" si="91"/>
        <v>0</v>
      </c>
      <c r="H1473" s="17">
        <v>1458</v>
      </c>
      <c r="I1473" s="43">
        <v>0.66922774076545855</v>
      </c>
      <c r="J1473" s="43">
        <v>1.9536339543425717E-2</v>
      </c>
      <c r="K1473" s="43"/>
      <c r="L1473" s="43">
        <v>0.24679999999999999</v>
      </c>
      <c r="O1473" s="50"/>
    </row>
    <row r="1474" spans="2:15" x14ac:dyDescent="0.2">
      <c r="B1474">
        <v>1459</v>
      </c>
      <c r="C1474" s="48">
        <f t="shared" ca="1" si="92"/>
        <v>-1.5551353127750864</v>
      </c>
      <c r="D1474" s="48">
        <f t="shared" ca="1" si="89"/>
        <v>0.57005143378343859</v>
      </c>
      <c r="E1474" s="48">
        <f t="shared" ca="1" si="90"/>
        <v>0</v>
      </c>
      <c r="F1474" s="17">
        <f t="shared" ca="1" si="91"/>
        <v>0</v>
      </c>
      <c r="H1474" s="17">
        <v>1459</v>
      </c>
      <c r="I1474" s="43">
        <v>0.67036263027105936</v>
      </c>
      <c r="J1474" s="43">
        <v>2.0347612003372931E-2</v>
      </c>
      <c r="K1474" s="43"/>
      <c r="L1474" s="43">
        <v>0.26100000000000001</v>
      </c>
      <c r="O1474" s="50"/>
    </row>
    <row r="1475" spans="2:15" x14ac:dyDescent="0.2">
      <c r="B1475">
        <v>1460</v>
      </c>
      <c r="C1475" s="48">
        <f t="shared" ca="1" si="92"/>
        <v>-1.9240926187541971</v>
      </c>
      <c r="D1475" s="48">
        <f t="shared" ca="1" si="89"/>
        <v>0.54968864845996845</v>
      </c>
      <c r="E1475" s="48">
        <f t="shared" ca="1" si="90"/>
        <v>0</v>
      </c>
      <c r="F1475" s="17">
        <f t="shared" ca="1" si="91"/>
        <v>0</v>
      </c>
      <c r="H1475" s="17">
        <v>1460</v>
      </c>
      <c r="I1475" s="43">
        <v>0.66838952179087574</v>
      </c>
      <c r="J1475" s="43">
        <v>1.8796823004176368E-2</v>
      </c>
      <c r="K1475" s="43"/>
      <c r="L1475" s="43">
        <v>0.24260000000000001</v>
      </c>
      <c r="O1475" s="50"/>
    </row>
    <row r="1476" spans="2:15" x14ac:dyDescent="0.2">
      <c r="B1476">
        <v>1461</v>
      </c>
      <c r="C1476" s="48">
        <f t="shared" ca="1" si="92"/>
        <v>0.94182292844638582</v>
      </c>
      <c r="D1476" s="48">
        <f t="shared" ca="1" si="89"/>
        <v>0.72916160404915475</v>
      </c>
      <c r="E1476" s="48">
        <f t="shared" ca="1" si="90"/>
        <v>0</v>
      </c>
      <c r="F1476" s="17">
        <f t="shared" ca="1" si="91"/>
        <v>0</v>
      </c>
      <c r="H1476" s="17">
        <v>1461</v>
      </c>
      <c r="I1476" s="43">
        <v>0.66956199902552349</v>
      </c>
      <c r="J1476" s="43">
        <v>2.003125276623538E-2</v>
      </c>
      <c r="K1476" s="43"/>
      <c r="L1476" s="43">
        <v>0.25440000000000002</v>
      </c>
      <c r="O1476" s="50"/>
    </row>
    <row r="1477" spans="2:15" x14ac:dyDescent="0.2">
      <c r="B1477">
        <v>1462</v>
      </c>
      <c r="C1477" s="48">
        <f t="shared" ca="1" si="92"/>
        <v>0.4621210373356559</v>
      </c>
      <c r="D1477" s="48">
        <f t="shared" ca="1" si="89"/>
        <v>0.69548037290685116</v>
      </c>
      <c r="E1477" s="48">
        <f t="shared" ca="1" si="90"/>
        <v>0</v>
      </c>
      <c r="F1477" s="17">
        <f t="shared" ca="1" si="91"/>
        <v>0</v>
      </c>
      <c r="H1477" s="17">
        <v>1462</v>
      </c>
      <c r="I1477" s="43">
        <v>0.66920199132506664</v>
      </c>
      <c r="J1477" s="43">
        <v>1.9586784292819594E-2</v>
      </c>
      <c r="K1477" s="43"/>
      <c r="L1477" s="43">
        <v>0.24679999999999999</v>
      </c>
      <c r="O1477" s="50"/>
    </row>
    <row r="1478" spans="2:15" x14ac:dyDescent="0.2">
      <c r="B1478">
        <v>1463</v>
      </c>
      <c r="C1478" s="48">
        <f t="shared" ca="1" si="92"/>
        <v>0.6538631423781136</v>
      </c>
      <c r="D1478" s="48">
        <f t="shared" ca="1" si="89"/>
        <v>0.70875234226889738</v>
      </c>
      <c r="E1478" s="48">
        <f t="shared" ca="1" si="90"/>
        <v>0</v>
      </c>
      <c r="F1478" s="17">
        <f t="shared" ca="1" si="91"/>
        <v>0</v>
      </c>
      <c r="H1478" s="17">
        <v>1463</v>
      </c>
      <c r="I1478" s="43">
        <v>0.66938254936280295</v>
      </c>
      <c r="J1478" s="43">
        <v>1.9678816152086873E-2</v>
      </c>
      <c r="K1478" s="43"/>
      <c r="L1478" s="43">
        <v>0.25280000000000002</v>
      </c>
      <c r="O1478" s="50"/>
    </row>
    <row r="1479" spans="2:15" x14ac:dyDescent="0.2">
      <c r="B1479">
        <v>1464</v>
      </c>
      <c r="C1479" s="48">
        <f t="shared" ca="1" si="92"/>
        <v>-7.5005335323803005E-2</v>
      </c>
      <c r="D1479" s="48">
        <f t="shared" ca="1" si="89"/>
        <v>0.65961007226626767</v>
      </c>
      <c r="E1479" s="48">
        <f t="shared" ca="1" si="90"/>
        <v>0</v>
      </c>
      <c r="F1479" s="17">
        <f t="shared" ca="1" si="91"/>
        <v>0</v>
      </c>
      <c r="H1479" s="17">
        <v>1464</v>
      </c>
      <c r="I1479" s="43">
        <v>0.66962511106479183</v>
      </c>
      <c r="J1479" s="43">
        <v>1.9982952613820815E-2</v>
      </c>
      <c r="K1479" s="43"/>
      <c r="L1479" s="43">
        <v>0.25319999999999998</v>
      </c>
      <c r="O1479" s="50"/>
    </row>
    <row r="1480" spans="2:15" x14ac:dyDescent="0.2">
      <c r="B1480">
        <v>1465</v>
      </c>
      <c r="C1480" s="48">
        <f t="shared" ca="1" si="92"/>
        <v>0.80367675331246768</v>
      </c>
      <c r="D1480" s="48">
        <f t="shared" ca="1" si="89"/>
        <v>0.71929812103751933</v>
      </c>
      <c r="E1480" s="48">
        <f t="shared" ca="1" si="90"/>
        <v>0</v>
      </c>
      <c r="F1480" s="17">
        <f t="shared" ca="1" si="91"/>
        <v>0</v>
      </c>
      <c r="H1480" s="17">
        <v>1465</v>
      </c>
      <c r="I1480" s="43">
        <v>0.66798563034575731</v>
      </c>
      <c r="J1480" s="43">
        <v>1.8320876001843286E-2</v>
      </c>
      <c r="K1480" s="43"/>
      <c r="L1480" s="43">
        <v>0.24199999999999999</v>
      </c>
      <c r="O1480" s="50"/>
    </row>
    <row r="1481" spans="2:15" x14ac:dyDescent="0.2">
      <c r="B1481">
        <v>1466</v>
      </c>
      <c r="C1481" s="48">
        <f t="shared" ca="1" si="92"/>
        <v>1.7481635418927832</v>
      </c>
      <c r="D1481" s="48">
        <f t="shared" ca="1" si="89"/>
        <v>0.78949260530620002</v>
      </c>
      <c r="E1481" s="48">
        <f t="shared" ca="1" si="90"/>
        <v>1.292605306200012E-3</v>
      </c>
      <c r="F1481" s="17">
        <f t="shared" ca="1" si="91"/>
        <v>1</v>
      </c>
      <c r="H1481" s="17">
        <v>1466</v>
      </c>
      <c r="I1481" s="43">
        <v>0.66793956310387737</v>
      </c>
      <c r="J1481" s="43">
        <v>1.852866724143749E-2</v>
      </c>
      <c r="K1481" s="43"/>
      <c r="L1481" s="43">
        <v>0.25019999999999998</v>
      </c>
      <c r="O1481" s="50"/>
    </row>
    <row r="1482" spans="2:15" x14ac:dyDescent="0.2">
      <c r="B1482">
        <v>1467</v>
      </c>
      <c r="C1482" s="48">
        <f t="shared" ca="1" si="92"/>
        <v>0.5018672959605105</v>
      </c>
      <c r="D1482" s="48">
        <f t="shared" ca="1" si="89"/>
        <v>0.6982109473342536</v>
      </c>
      <c r="E1482" s="48">
        <f t="shared" ca="1" si="90"/>
        <v>0</v>
      </c>
      <c r="F1482" s="17">
        <f t="shared" ca="1" si="91"/>
        <v>0</v>
      </c>
      <c r="H1482" s="17">
        <v>1467</v>
      </c>
      <c r="I1482" s="43">
        <v>0.66876047306220676</v>
      </c>
      <c r="J1482" s="43">
        <v>1.9379837566176589E-2</v>
      </c>
      <c r="K1482" s="43"/>
      <c r="L1482" s="43">
        <v>0.245</v>
      </c>
      <c r="O1482" s="50"/>
    </row>
    <row r="1483" spans="2:15" x14ac:dyDescent="0.2">
      <c r="B1483">
        <v>1468</v>
      </c>
      <c r="C1483" s="48">
        <f t="shared" ca="1" si="92"/>
        <v>-0.7746383223593043</v>
      </c>
      <c r="D1483" s="48">
        <f t="shared" ca="1" si="89"/>
        <v>0.6156470415956331</v>
      </c>
      <c r="E1483" s="48">
        <f t="shared" ca="1" si="90"/>
        <v>0</v>
      </c>
      <c r="F1483" s="17">
        <f t="shared" ca="1" si="91"/>
        <v>0</v>
      </c>
      <c r="H1483" s="17">
        <v>1468</v>
      </c>
      <c r="I1483" s="43">
        <v>0.66901091216531994</v>
      </c>
      <c r="J1483" s="43">
        <v>1.9572850264911734E-2</v>
      </c>
      <c r="K1483" s="43"/>
      <c r="L1483" s="43">
        <v>0.255</v>
      </c>
      <c r="O1483" s="50"/>
    </row>
    <row r="1484" spans="2:15" x14ac:dyDescent="0.2">
      <c r="B1484">
        <v>1469</v>
      </c>
      <c r="C1484" s="48">
        <f t="shared" ca="1" si="92"/>
        <v>0.66077112950434957</v>
      </c>
      <c r="D1484" s="48">
        <f t="shared" ca="1" si="89"/>
        <v>0.70923519605577945</v>
      </c>
      <c r="E1484" s="48">
        <f t="shared" ca="1" si="90"/>
        <v>0</v>
      </c>
      <c r="F1484" s="17">
        <f t="shared" ca="1" si="91"/>
        <v>0</v>
      </c>
      <c r="H1484" s="17">
        <v>1469</v>
      </c>
      <c r="I1484" s="43">
        <v>0.67116890224135228</v>
      </c>
      <c r="J1484" s="43">
        <v>2.059431341909302E-2</v>
      </c>
      <c r="K1484" s="43"/>
      <c r="L1484" s="43">
        <v>0.25340000000000001</v>
      </c>
      <c r="O1484" s="50"/>
    </row>
    <row r="1485" spans="2:15" x14ac:dyDescent="0.2">
      <c r="B1485">
        <v>1470</v>
      </c>
      <c r="C1485" s="48">
        <f t="shared" ca="1" si="92"/>
        <v>-0.17832169885458035</v>
      </c>
      <c r="D1485" s="48">
        <f t="shared" ca="1" si="89"/>
        <v>0.6529255835891844</v>
      </c>
      <c r="E1485" s="48">
        <f t="shared" ca="1" si="90"/>
        <v>0</v>
      </c>
      <c r="F1485" s="17">
        <f t="shared" ca="1" si="91"/>
        <v>0</v>
      </c>
      <c r="H1485" s="17">
        <v>1470</v>
      </c>
      <c r="I1485" s="43">
        <v>0.66852843446220722</v>
      </c>
      <c r="J1485" s="43">
        <v>1.9147755636103637E-2</v>
      </c>
      <c r="K1485" s="43"/>
      <c r="L1485" s="43">
        <v>0.25159999999999999</v>
      </c>
      <c r="O1485" s="50"/>
    </row>
    <row r="1486" spans="2:15" x14ac:dyDescent="0.2">
      <c r="B1486">
        <v>1471</v>
      </c>
      <c r="C1486" s="48">
        <f t="shared" ca="1" si="92"/>
        <v>1.2022292285946554</v>
      </c>
      <c r="D1486" s="48">
        <f t="shared" ca="1" si="89"/>
        <v>0.74812358488231712</v>
      </c>
      <c r="E1486" s="48">
        <f t="shared" ca="1" si="90"/>
        <v>0</v>
      </c>
      <c r="F1486" s="17">
        <f t="shared" ca="1" si="91"/>
        <v>0</v>
      </c>
      <c r="H1486" s="17">
        <v>1471</v>
      </c>
      <c r="I1486" s="43">
        <v>0.66882267688671082</v>
      </c>
      <c r="J1486" s="43">
        <v>1.9369538605712246E-2</v>
      </c>
      <c r="K1486" s="43"/>
      <c r="L1486" s="43">
        <v>0.24579999999999999</v>
      </c>
      <c r="O1486" s="50"/>
    </row>
    <row r="1487" spans="2:15" x14ac:dyDescent="0.2">
      <c r="B1487">
        <v>1472</v>
      </c>
      <c r="C1487" s="48">
        <f t="shared" ca="1" si="92"/>
        <v>-5.9772331456238635E-2</v>
      </c>
      <c r="D1487" s="48">
        <f t="shared" ca="1" si="89"/>
        <v>0.66060140786181887</v>
      </c>
      <c r="E1487" s="48">
        <f t="shared" ca="1" si="90"/>
        <v>0</v>
      </c>
      <c r="F1487" s="17">
        <f t="shared" ca="1" si="91"/>
        <v>0</v>
      </c>
      <c r="H1487" s="17">
        <v>1472</v>
      </c>
      <c r="I1487" s="43">
        <v>0.66892838405645638</v>
      </c>
      <c r="J1487" s="43">
        <v>1.9175608920606654E-2</v>
      </c>
      <c r="K1487" s="43"/>
      <c r="L1487" s="43">
        <v>0.24759999999999999</v>
      </c>
      <c r="O1487" s="50"/>
    </row>
    <row r="1488" spans="2:15" x14ac:dyDescent="0.2">
      <c r="B1488">
        <v>1473</v>
      </c>
      <c r="C1488" s="48">
        <f t="shared" ca="1" si="92"/>
        <v>-0.19054823783530325</v>
      </c>
      <c r="D1488" s="48">
        <f t="shared" ref="D1488:D1551" ca="1" si="93">S0*EXP((μ-0.5*σ*σ)*T+σ*SQRT(T)*$C1488)</f>
        <v>0.65213903198010814</v>
      </c>
      <c r="E1488" s="48">
        <f t="shared" ref="E1488:E1551" ca="1" si="94">MAX(0,CP*(D1488-K))</f>
        <v>0</v>
      </c>
      <c r="F1488" s="17">
        <f t="shared" ref="F1488:F1551" ca="1" si="95">(CP*(D1488-K)&gt;0)*1</f>
        <v>0</v>
      </c>
      <c r="H1488" s="17">
        <v>1473</v>
      </c>
      <c r="I1488" s="43">
        <v>0.66883002484128307</v>
      </c>
      <c r="J1488" s="43">
        <v>1.9238157324623459E-2</v>
      </c>
      <c r="K1488" s="43"/>
      <c r="L1488" s="43">
        <v>0.25419999999999998</v>
      </c>
      <c r="O1488" s="50"/>
    </row>
    <row r="1489" spans="2:15" x14ac:dyDescent="0.2">
      <c r="B1489">
        <v>1474</v>
      </c>
      <c r="C1489" s="48">
        <f t="shared" ref="C1489:C1552" ca="1" si="96">_xlfn.NORM.S.INV(RAND())</f>
        <v>-1.2956956538801845</v>
      </c>
      <c r="D1489" s="48">
        <f t="shared" ca="1" si="93"/>
        <v>0.58481999029767229</v>
      </c>
      <c r="E1489" s="48">
        <f t="shared" ca="1" si="94"/>
        <v>0</v>
      </c>
      <c r="F1489" s="17">
        <f t="shared" ca="1" si="95"/>
        <v>0</v>
      </c>
      <c r="H1489" s="17">
        <v>1474</v>
      </c>
      <c r="I1489" s="43">
        <v>0.67071359779262607</v>
      </c>
      <c r="J1489" s="43">
        <v>2.0679031795602303E-2</v>
      </c>
      <c r="K1489" s="43"/>
      <c r="L1489" s="43">
        <v>0.253</v>
      </c>
      <c r="O1489" s="50"/>
    </row>
    <row r="1490" spans="2:15" x14ac:dyDescent="0.2">
      <c r="B1490">
        <v>1475</v>
      </c>
      <c r="C1490" s="48">
        <f t="shared" ca="1" si="96"/>
        <v>1.3269652227665232</v>
      </c>
      <c r="D1490" s="48">
        <f t="shared" ca="1" si="93"/>
        <v>0.75738036491822192</v>
      </c>
      <c r="E1490" s="48">
        <f t="shared" ca="1" si="94"/>
        <v>0</v>
      </c>
      <c r="F1490" s="17">
        <f t="shared" ca="1" si="95"/>
        <v>0</v>
      </c>
      <c r="H1490" s="17">
        <v>1475</v>
      </c>
      <c r="I1490" s="43">
        <v>0.6686030803036489</v>
      </c>
      <c r="J1490" s="43">
        <v>1.9059908411782428E-2</v>
      </c>
      <c r="K1490" s="43"/>
      <c r="L1490" s="43">
        <v>0.246</v>
      </c>
      <c r="O1490" s="50"/>
    </row>
    <row r="1491" spans="2:15" x14ac:dyDescent="0.2">
      <c r="B1491">
        <v>1476</v>
      </c>
      <c r="C1491" s="48">
        <f t="shared" ca="1" si="96"/>
        <v>0.5468024092119006</v>
      </c>
      <c r="D1491" s="48">
        <f t="shared" ca="1" si="93"/>
        <v>0.70131091055297479</v>
      </c>
      <c r="E1491" s="48">
        <f t="shared" ca="1" si="94"/>
        <v>0</v>
      </c>
      <c r="F1491" s="17">
        <f t="shared" ca="1" si="95"/>
        <v>0</v>
      </c>
      <c r="H1491" s="17">
        <v>1476</v>
      </c>
      <c r="I1491" s="43">
        <v>0.66776786560773926</v>
      </c>
      <c r="J1491" s="43">
        <v>1.8295870283135618E-2</v>
      </c>
      <c r="K1491" s="43"/>
      <c r="L1491" s="43">
        <v>0.24160000000000001</v>
      </c>
      <c r="O1491" s="50"/>
    </row>
    <row r="1492" spans="2:15" x14ac:dyDescent="0.2">
      <c r="B1492">
        <v>1477</v>
      </c>
      <c r="C1492" s="48">
        <f t="shared" ca="1" si="96"/>
        <v>-1.3526779522670527</v>
      </c>
      <c r="D1492" s="48">
        <f t="shared" ca="1" si="93"/>
        <v>0.58154383419751465</v>
      </c>
      <c r="E1492" s="48">
        <f t="shared" ca="1" si="94"/>
        <v>0</v>
      </c>
      <c r="F1492" s="17">
        <f t="shared" ca="1" si="95"/>
        <v>0</v>
      </c>
      <c r="H1492" s="17">
        <v>1477</v>
      </c>
      <c r="I1492" s="43">
        <v>0.66918777644814742</v>
      </c>
      <c r="J1492" s="43">
        <v>1.9359742030277394E-2</v>
      </c>
      <c r="K1492" s="43"/>
      <c r="L1492" s="43">
        <v>0.2472</v>
      </c>
      <c r="O1492" s="50"/>
    </row>
    <row r="1493" spans="2:15" x14ac:dyDescent="0.2">
      <c r="B1493">
        <v>1478</v>
      </c>
      <c r="C1493" s="48">
        <f t="shared" ca="1" si="96"/>
        <v>-1.1211647203846435</v>
      </c>
      <c r="D1493" s="48">
        <f t="shared" ca="1" si="93"/>
        <v>0.59496980366330399</v>
      </c>
      <c r="E1493" s="48">
        <f t="shared" ca="1" si="94"/>
        <v>0</v>
      </c>
      <c r="F1493" s="17">
        <f t="shared" ca="1" si="95"/>
        <v>0</v>
      </c>
      <c r="H1493" s="17">
        <v>1478</v>
      </c>
      <c r="I1493" s="43">
        <v>0.66957376006550473</v>
      </c>
      <c r="J1493" s="43">
        <v>1.9840339459533066E-2</v>
      </c>
      <c r="K1493" s="43"/>
      <c r="L1493" s="43">
        <v>0.25380000000000003</v>
      </c>
      <c r="O1493" s="50"/>
    </row>
    <row r="1494" spans="2:15" x14ac:dyDescent="0.2">
      <c r="B1494">
        <v>1479</v>
      </c>
      <c r="C1494" s="48">
        <f t="shared" ca="1" si="96"/>
        <v>0.10026237956999989</v>
      </c>
      <c r="D1494" s="48">
        <f t="shared" ca="1" si="93"/>
        <v>0.67110664674681553</v>
      </c>
      <c r="E1494" s="48">
        <f t="shared" ca="1" si="94"/>
        <v>0</v>
      </c>
      <c r="F1494" s="17">
        <f t="shared" ca="1" si="95"/>
        <v>0</v>
      </c>
      <c r="H1494" s="17">
        <v>1479</v>
      </c>
      <c r="I1494" s="43">
        <v>0.66777300950246632</v>
      </c>
      <c r="J1494" s="43">
        <v>1.8520510298479023E-2</v>
      </c>
      <c r="K1494" s="43"/>
      <c r="L1494" s="43">
        <v>0.24260000000000001</v>
      </c>
      <c r="O1494" s="50"/>
    </row>
    <row r="1495" spans="2:15" x14ac:dyDescent="0.2">
      <c r="B1495">
        <v>1480</v>
      </c>
      <c r="C1495" s="48">
        <f t="shared" ca="1" si="96"/>
        <v>0.69870775213299097</v>
      </c>
      <c r="D1495" s="48">
        <f t="shared" ca="1" si="93"/>
        <v>0.71189275597210377</v>
      </c>
      <c r="E1495" s="48">
        <f t="shared" ca="1" si="94"/>
        <v>0</v>
      </c>
      <c r="F1495" s="17">
        <f t="shared" ca="1" si="95"/>
        <v>0</v>
      </c>
      <c r="H1495" s="17">
        <v>1480</v>
      </c>
      <c r="I1495" s="43">
        <v>0.66865959107376971</v>
      </c>
      <c r="J1495" s="43">
        <v>1.9250957140178982E-2</v>
      </c>
      <c r="K1495" s="43"/>
      <c r="L1495" s="43">
        <v>0.24979999999999999</v>
      </c>
      <c r="O1495" s="50"/>
    </row>
    <row r="1496" spans="2:15" x14ac:dyDescent="0.2">
      <c r="B1496">
        <v>1481</v>
      </c>
      <c r="C1496" s="48">
        <f t="shared" ca="1" si="96"/>
        <v>-0.47330800893880687</v>
      </c>
      <c r="D1496" s="48">
        <f t="shared" ca="1" si="93"/>
        <v>0.63421068378847467</v>
      </c>
      <c r="E1496" s="48">
        <f t="shared" ca="1" si="94"/>
        <v>0</v>
      </c>
      <c r="F1496" s="17">
        <f t="shared" ca="1" si="95"/>
        <v>0</v>
      </c>
      <c r="H1496" s="17">
        <v>1481</v>
      </c>
      <c r="I1496" s="43">
        <v>0.66911224193134866</v>
      </c>
      <c r="J1496" s="43">
        <v>1.8989490580465413E-2</v>
      </c>
      <c r="K1496" s="43"/>
      <c r="L1496" s="43">
        <v>0.24060000000000001</v>
      </c>
      <c r="O1496" s="50"/>
    </row>
    <row r="1497" spans="2:15" x14ac:dyDescent="0.2">
      <c r="B1497">
        <v>1482</v>
      </c>
      <c r="C1497" s="48">
        <f t="shared" ca="1" si="96"/>
        <v>0.7785540414204104</v>
      </c>
      <c r="D1497" s="48">
        <f t="shared" ca="1" si="93"/>
        <v>0.7175187789627222</v>
      </c>
      <c r="E1497" s="48">
        <f t="shared" ca="1" si="94"/>
        <v>0</v>
      </c>
      <c r="F1497" s="17">
        <f t="shared" ca="1" si="95"/>
        <v>0</v>
      </c>
      <c r="H1497" s="17">
        <v>1482</v>
      </c>
      <c r="I1497" s="43">
        <v>0.66740897928741427</v>
      </c>
      <c r="J1497" s="43">
        <v>1.820628612865002E-2</v>
      </c>
      <c r="K1497" s="43"/>
      <c r="L1497" s="43">
        <v>0.24440000000000001</v>
      </c>
      <c r="O1497" s="50"/>
    </row>
    <row r="1498" spans="2:15" x14ac:dyDescent="0.2">
      <c r="B1498">
        <v>1483</v>
      </c>
      <c r="C1498" s="48">
        <f t="shared" ca="1" si="96"/>
        <v>0.22456497391342006</v>
      </c>
      <c r="D1498" s="48">
        <f t="shared" ca="1" si="93"/>
        <v>0.67938144169810544</v>
      </c>
      <c r="E1498" s="48">
        <f t="shared" ca="1" si="94"/>
        <v>0</v>
      </c>
      <c r="F1498" s="17">
        <f t="shared" ca="1" si="95"/>
        <v>0</v>
      </c>
      <c r="H1498" s="17">
        <v>1483</v>
      </c>
      <c r="I1498" s="43">
        <v>0.66946900784473973</v>
      </c>
      <c r="J1498" s="43">
        <v>1.9873560753716078E-2</v>
      </c>
      <c r="K1498" s="43"/>
      <c r="L1498" s="43">
        <v>0.25659999999999999</v>
      </c>
      <c r="O1498" s="50"/>
    </row>
    <row r="1499" spans="2:15" x14ac:dyDescent="0.2">
      <c r="B1499">
        <v>1484</v>
      </c>
      <c r="C1499" s="48">
        <f t="shared" ca="1" si="96"/>
        <v>-0.891862895474407</v>
      </c>
      <c r="D1499" s="48">
        <f t="shared" ca="1" si="93"/>
        <v>0.60857304167084048</v>
      </c>
      <c r="E1499" s="48">
        <f t="shared" ca="1" si="94"/>
        <v>0</v>
      </c>
      <c r="F1499" s="17">
        <f t="shared" ca="1" si="95"/>
        <v>0</v>
      </c>
      <c r="H1499" s="17">
        <v>1484</v>
      </c>
      <c r="I1499" s="43">
        <v>0.66867472285578522</v>
      </c>
      <c r="J1499" s="43">
        <v>1.9043591503043564E-2</v>
      </c>
      <c r="K1499" s="43"/>
      <c r="L1499" s="43">
        <v>0.253</v>
      </c>
      <c r="O1499" s="50"/>
    </row>
    <row r="1500" spans="2:15" x14ac:dyDescent="0.2">
      <c r="B1500">
        <v>1485</v>
      </c>
      <c r="C1500" s="48">
        <f t="shared" ca="1" si="96"/>
        <v>-0.59411026914243603</v>
      </c>
      <c r="D1500" s="48">
        <f t="shared" ca="1" si="93"/>
        <v>0.62670229475786055</v>
      </c>
      <c r="E1500" s="48">
        <f t="shared" ca="1" si="94"/>
        <v>0</v>
      </c>
      <c r="F1500" s="17">
        <f t="shared" ca="1" si="95"/>
        <v>0</v>
      </c>
      <c r="H1500" s="17">
        <v>1485</v>
      </c>
      <c r="I1500" s="43">
        <v>0.66918879857018021</v>
      </c>
      <c r="J1500" s="43">
        <v>1.9571912126914549E-2</v>
      </c>
      <c r="K1500" s="43"/>
      <c r="L1500" s="43">
        <v>0.25019999999999998</v>
      </c>
      <c r="O1500" s="50"/>
    </row>
    <row r="1501" spans="2:15" x14ac:dyDescent="0.2">
      <c r="B1501">
        <v>1486</v>
      </c>
      <c r="C1501" s="48">
        <f t="shared" ca="1" si="96"/>
        <v>-0.6129426943631765</v>
      </c>
      <c r="D1501" s="48">
        <f t="shared" ca="1" si="93"/>
        <v>0.62553981297727868</v>
      </c>
      <c r="E1501" s="48">
        <f t="shared" ca="1" si="94"/>
        <v>0</v>
      </c>
      <c r="F1501" s="17">
        <f t="shared" ca="1" si="95"/>
        <v>0</v>
      </c>
      <c r="H1501" s="17">
        <v>1486</v>
      </c>
      <c r="I1501" s="43">
        <v>0.6696064990481494</v>
      </c>
      <c r="J1501" s="43">
        <v>1.9916858550004239E-2</v>
      </c>
      <c r="K1501" s="43"/>
      <c r="L1501" s="43">
        <v>0.25419999999999998</v>
      </c>
      <c r="O1501" s="50"/>
    </row>
    <row r="1502" spans="2:15" x14ac:dyDescent="0.2">
      <c r="B1502">
        <v>1487</v>
      </c>
      <c r="C1502" s="48">
        <f t="shared" ca="1" si="96"/>
        <v>-1.6269446669883314</v>
      </c>
      <c r="D1502" s="48">
        <f t="shared" ca="1" si="93"/>
        <v>0.56603000486650223</v>
      </c>
      <c r="E1502" s="48">
        <f t="shared" ca="1" si="94"/>
        <v>0</v>
      </c>
      <c r="F1502" s="17">
        <f t="shared" ca="1" si="95"/>
        <v>0</v>
      </c>
      <c r="H1502" s="17">
        <v>1487</v>
      </c>
      <c r="I1502" s="43">
        <v>0.66754200228433525</v>
      </c>
      <c r="J1502" s="43">
        <v>1.8305900042966859E-2</v>
      </c>
      <c r="K1502" s="43"/>
      <c r="L1502" s="43">
        <v>0.2472</v>
      </c>
      <c r="O1502" s="50"/>
    </row>
    <row r="1503" spans="2:15" x14ac:dyDescent="0.2">
      <c r="B1503">
        <v>1488</v>
      </c>
      <c r="C1503" s="48">
        <f t="shared" ca="1" si="96"/>
        <v>-0.77568399895200568</v>
      </c>
      <c r="D1503" s="48">
        <f t="shared" ca="1" si="93"/>
        <v>0.61558357743824821</v>
      </c>
      <c r="E1503" s="48">
        <f t="shared" ca="1" si="94"/>
        <v>0</v>
      </c>
      <c r="F1503" s="17">
        <f t="shared" ca="1" si="95"/>
        <v>0</v>
      </c>
      <c r="H1503" s="17">
        <v>1488</v>
      </c>
      <c r="I1503" s="43">
        <v>0.66818695198580458</v>
      </c>
      <c r="J1503" s="43">
        <v>1.8959825504895413E-2</v>
      </c>
      <c r="K1503" s="43"/>
      <c r="L1503" s="43">
        <v>0.25219999999999998</v>
      </c>
      <c r="O1503" s="50"/>
    </row>
    <row r="1504" spans="2:15" x14ac:dyDescent="0.2">
      <c r="B1504">
        <v>1489</v>
      </c>
      <c r="C1504" s="48">
        <f t="shared" ca="1" si="96"/>
        <v>0.62683113842296856</v>
      </c>
      <c r="D1504" s="48">
        <f t="shared" ca="1" si="93"/>
        <v>0.70686601997547482</v>
      </c>
      <c r="E1504" s="48">
        <f t="shared" ca="1" si="94"/>
        <v>0</v>
      </c>
      <c r="F1504" s="17">
        <f t="shared" ca="1" si="95"/>
        <v>0</v>
      </c>
      <c r="H1504" s="17">
        <v>1489</v>
      </c>
      <c r="I1504" s="43">
        <v>0.66821681133188404</v>
      </c>
      <c r="J1504" s="43">
        <v>1.8998506554739739E-2</v>
      </c>
      <c r="K1504" s="43"/>
      <c r="L1504" s="43">
        <v>0.246</v>
      </c>
      <c r="O1504" s="50"/>
    </row>
    <row r="1505" spans="2:15" x14ac:dyDescent="0.2">
      <c r="B1505">
        <v>1490</v>
      </c>
      <c r="C1505" s="48">
        <f t="shared" ca="1" si="96"/>
        <v>0.65329318281812276</v>
      </c>
      <c r="D1505" s="48">
        <f t="shared" ca="1" si="93"/>
        <v>0.70871251797644164</v>
      </c>
      <c r="E1505" s="48">
        <f t="shared" ca="1" si="94"/>
        <v>0</v>
      </c>
      <c r="F1505" s="17">
        <f t="shared" ca="1" si="95"/>
        <v>0</v>
      </c>
      <c r="H1505" s="17">
        <v>1490</v>
      </c>
      <c r="I1505" s="43">
        <v>0.67050619625310803</v>
      </c>
      <c r="J1505" s="43">
        <v>2.0355172909560446E-2</v>
      </c>
      <c r="K1505" s="43"/>
      <c r="L1505" s="43">
        <v>0.2586</v>
      </c>
      <c r="O1505" s="50"/>
    </row>
    <row r="1506" spans="2:15" x14ac:dyDescent="0.2">
      <c r="B1506">
        <v>1491</v>
      </c>
      <c r="C1506" s="48">
        <f t="shared" ca="1" si="96"/>
        <v>1.8417641874568242</v>
      </c>
      <c r="D1506" s="48">
        <f t="shared" ca="1" si="93"/>
        <v>0.79681164284217798</v>
      </c>
      <c r="E1506" s="48">
        <f t="shared" ca="1" si="94"/>
        <v>8.6116428421779689E-3</v>
      </c>
      <c r="F1506" s="17">
        <f t="shared" ca="1" si="95"/>
        <v>1</v>
      </c>
      <c r="H1506" s="17">
        <v>1491</v>
      </c>
      <c r="I1506" s="43">
        <v>0.66887255008945656</v>
      </c>
      <c r="J1506" s="43">
        <v>1.9444189912166451E-2</v>
      </c>
      <c r="K1506" s="43"/>
      <c r="L1506" s="43">
        <v>0.25319999999999998</v>
      </c>
      <c r="O1506" s="50"/>
    </row>
    <row r="1507" spans="2:15" x14ac:dyDescent="0.2">
      <c r="B1507">
        <v>1492</v>
      </c>
      <c r="C1507" s="48">
        <f t="shared" ca="1" si="96"/>
        <v>-0.58145459936503718</v>
      </c>
      <c r="D1507" s="48">
        <f t="shared" ca="1" si="93"/>
        <v>0.62748471323961408</v>
      </c>
      <c r="E1507" s="48">
        <f t="shared" ca="1" si="94"/>
        <v>0</v>
      </c>
      <c r="F1507" s="17">
        <f t="shared" ca="1" si="95"/>
        <v>0</v>
      </c>
      <c r="H1507" s="17">
        <v>1492</v>
      </c>
      <c r="I1507" s="43">
        <v>0.66864810583954215</v>
      </c>
      <c r="J1507" s="43">
        <v>1.9347391868358949E-2</v>
      </c>
      <c r="K1507" s="43"/>
      <c r="L1507" s="43">
        <v>0.25219999999999998</v>
      </c>
      <c r="O1507" s="50"/>
    </row>
    <row r="1508" spans="2:15" x14ac:dyDescent="0.2">
      <c r="B1508">
        <v>1493</v>
      </c>
      <c r="C1508" s="48">
        <f t="shared" ca="1" si="96"/>
        <v>0.23539874223086035</v>
      </c>
      <c r="D1508" s="48">
        <f t="shared" ca="1" si="93"/>
        <v>0.68010745887134383</v>
      </c>
      <c r="E1508" s="48">
        <f t="shared" ca="1" si="94"/>
        <v>0</v>
      </c>
      <c r="F1508" s="17">
        <f t="shared" ca="1" si="95"/>
        <v>0</v>
      </c>
      <c r="H1508" s="17">
        <v>1493</v>
      </c>
      <c r="I1508" s="43">
        <v>0.66684322088443349</v>
      </c>
      <c r="J1508" s="43">
        <v>1.7939616488683946E-2</v>
      </c>
      <c r="K1508" s="43"/>
      <c r="L1508" s="43">
        <v>0.2452</v>
      </c>
      <c r="O1508" s="50"/>
    </row>
    <row r="1509" spans="2:15" x14ac:dyDescent="0.2">
      <c r="B1509">
        <v>1494</v>
      </c>
      <c r="C1509" s="48">
        <f t="shared" ca="1" si="96"/>
        <v>1.8414924191346107</v>
      </c>
      <c r="D1509" s="48">
        <f t="shared" ca="1" si="93"/>
        <v>0.7967902941926791</v>
      </c>
      <c r="E1509" s="48">
        <f t="shared" ca="1" si="94"/>
        <v>8.5902941926790932E-3</v>
      </c>
      <c r="F1509" s="17">
        <f t="shared" ca="1" si="95"/>
        <v>1</v>
      </c>
      <c r="H1509" s="17">
        <v>1494</v>
      </c>
      <c r="I1509" s="43">
        <v>0.66884619429333647</v>
      </c>
      <c r="J1509" s="43">
        <v>1.9280788916761004E-2</v>
      </c>
      <c r="K1509" s="43"/>
      <c r="L1509" s="43">
        <v>0.24579999999999999</v>
      </c>
      <c r="O1509" s="50"/>
    </row>
    <row r="1510" spans="2:15" x14ac:dyDescent="0.2">
      <c r="B1510">
        <v>1495</v>
      </c>
      <c r="C1510" s="48">
        <f t="shared" ca="1" si="96"/>
        <v>-1.488054910608309</v>
      </c>
      <c r="D1510" s="48">
        <f t="shared" ca="1" si="93"/>
        <v>0.5738338408742033</v>
      </c>
      <c r="E1510" s="48">
        <f t="shared" ca="1" si="94"/>
        <v>0</v>
      </c>
      <c r="F1510" s="17">
        <f t="shared" ca="1" si="95"/>
        <v>0</v>
      </c>
      <c r="H1510" s="17">
        <v>1495</v>
      </c>
      <c r="I1510" s="43">
        <v>0.66926672698502077</v>
      </c>
      <c r="J1510" s="43">
        <v>1.9480008344161352E-2</v>
      </c>
      <c r="K1510" s="43"/>
      <c r="L1510" s="43">
        <v>0.25440000000000002</v>
      </c>
      <c r="O1510" s="50"/>
    </row>
    <row r="1511" spans="2:15" x14ac:dyDescent="0.2">
      <c r="B1511">
        <v>1496</v>
      </c>
      <c r="C1511" s="48">
        <f t="shared" ca="1" si="96"/>
        <v>-0.1616145915751418</v>
      </c>
      <c r="D1511" s="48">
        <f t="shared" ca="1" si="93"/>
        <v>0.6540019109552937</v>
      </c>
      <c r="E1511" s="48">
        <f t="shared" ca="1" si="94"/>
        <v>0</v>
      </c>
      <c r="F1511" s="17">
        <f t="shared" ca="1" si="95"/>
        <v>0</v>
      </c>
      <c r="H1511" s="17">
        <v>1496</v>
      </c>
      <c r="I1511" s="43">
        <v>0.66877511212526386</v>
      </c>
      <c r="J1511" s="43">
        <v>1.9346513607419288E-2</v>
      </c>
      <c r="K1511" s="43"/>
      <c r="L1511" s="43">
        <v>0.24640000000000001</v>
      </c>
      <c r="O1511" s="50"/>
    </row>
    <row r="1512" spans="2:15" x14ac:dyDescent="0.2">
      <c r="B1512">
        <v>1497</v>
      </c>
      <c r="C1512" s="48">
        <f t="shared" ca="1" si="96"/>
        <v>1.4212723339283275</v>
      </c>
      <c r="D1512" s="48">
        <f t="shared" ca="1" si="93"/>
        <v>0.76445494545009673</v>
      </c>
      <c r="E1512" s="48">
        <f t="shared" ca="1" si="94"/>
        <v>0</v>
      </c>
      <c r="F1512" s="17">
        <f t="shared" ca="1" si="95"/>
        <v>0</v>
      </c>
      <c r="H1512" s="17">
        <v>1497</v>
      </c>
      <c r="I1512" s="43">
        <v>0.66887827543693168</v>
      </c>
      <c r="J1512" s="43">
        <v>1.9249214824047775E-2</v>
      </c>
      <c r="K1512" s="43"/>
      <c r="L1512" s="43">
        <v>0.2482</v>
      </c>
      <c r="O1512" s="50"/>
    </row>
    <row r="1513" spans="2:15" x14ac:dyDescent="0.2">
      <c r="B1513">
        <v>1498</v>
      </c>
      <c r="C1513" s="48">
        <f t="shared" ca="1" si="96"/>
        <v>1.7066678538051334</v>
      </c>
      <c r="D1513" s="48">
        <f t="shared" ca="1" si="93"/>
        <v>0.78626942410858669</v>
      </c>
      <c r="E1513" s="48">
        <f t="shared" ca="1" si="94"/>
        <v>0</v>
      </c>
      <c r="F1513" s="17">
        <f t="shared" ca="1" si="95"/>
        <v>0</v>
      </c>
      <c r="H1513" s="17">
        <v>1498</v>
      </c>
      <c r="I1513" s="43">
        <v>0.66871238883852924</v>
      </c>
      <c r="J1513" s="43">
        <v>1.9177409586726573E-2</v>
      </c>
      <c r="K1513" s="43"/>
      <c r="L1513" s="43">
        <v>0.25719999999999998</v>
      </c>
      <c r="O1513" s="50"/>
    </row>
    <row r="1514" spans="2:15" x14ac:dyDescent="0.2">
      <c r="B1514">
        <v>1499</v>
      </c>
      <c r="C1514" s="48">
        <f t="shared" ca="1" si="96"/>
        <v>-2.0680209787995603</v>
      </c>
      <c r="D1514" s="48">
        <f t="shared" ca="1" si="93"/>
        <v>0.54194390045370644</v>
      </c>
      <c r="E1514" s="48">
        <f t="shared" ca="1" si="94"/>
        <v>0</v>
      </c>
      <c r="F1514" s="17">
        <f t="shared" ca="1" si="95"/>
        <v>0</v>
      </c>
      <c r="H1514" s="17">
        <v>1499</v>
      </c>
      <c r="I1514" s="43">
        <v>0.66888639907441871</v>
      </c>
      <c r="J1514" s="43">
        <v>1.9031736087670528E-2</v>
      </c>
      <c r="K1514" s="43"/>
      <c r="L1514" s="43">
        <v>0.24779999999999999</v>
      </c>
      <c r="O1514" s="50"/>
    </row>
    <row r="1515" spans="2:15" x14ac:dyDescent="0.2">
      <c r="B1515">
        <v>1500</v>
      </c>
      <c r="C1515" s="48">
        <f t="shared" ca="1" si="96"/>
        <v>-0.29384558195032739</v>
      </c>
      <c r="D1515" s="48">
        <f t="shared" ca="1" si="93"/>
        <v>0.64553146524707516</v>
      </c>
      <c r="E1515" s="48">
        <f t="shared" ca="1" si="94"/>
        <v>0</v>
      </c>
      <c r="F1515" s="17">
        <f t="shared" ca="1" si="95"/>
        <v>0</v>
      </c>
      <c r="H1515" s="17">
        <v>1500</v>
      </c>
      <c r="I1515" s="43">
        <v>0.66784988729964212</v>
      </c>
      <c r="J1515" s="43">
        <v>1.8475284190163747E-2</v>
      </c>
      <c r="K1515" s="43"/>
      <c r="L1515" s="43">
        <v>0.24660000000000001</v>
      </c>
      <c r="O1515" s="50"/>
    </row>
    <row r="1516" spans="2:15" x14ac:dyDescent="0.2">
      <c r="B1516">
        <v>1501</v>
      </c>
      <c r="C1516" s="48">
        <f t="shared" ca="1" si="96"/>
        <v>-1.3011852496823078</v>
      </c>
      <c r="D1516" s="48">
        <f t="shared" ca="1" si="93"/>
        <v>0.58450356821664973</v>
      </c>
      <c r="E1516" s="48">
        <f t="shared" ca="1" si="94"/>
        <v>0</v>
      </c>
      <c r="F1516" s="17">
        <f t="shared" ca="1" si="95"/>
        <v>0</v>
      </c>
      <c r="H1516" s="17">
        <v>1501</v>
      </c>
      <c r="I1516" s="43">
        <v>0.66902069607059067</v>
      </c>
      <c r="J1516" s="43">
        <v>1.9455213125801608E-2</v>
      </c>
      <c r="K1516" s="43"/>
      <c r="L1516" s="43">
        <v>0.24779999999999999</v>
      </c>
      <c r="O1516" s="50"/>
    </row>
    <row r="1517" spans="2:15" x14ac:dyDescent="0.2">
      <c r="B1517">
        <v>1502</v>
      </c>
      <c r="C1517" s="48">
        <f t="shared" ca="1" si="96"/>
        <v>-7.3169921008376868E-2</v>
      </c>
      <c r="D1517" s="48">
        <f t="shared" ca="1" si="93"/>
        <v>0.65972943875174994</v>
      </c>
      <c r="E1517" s="48">
        <f t="shared" ca="1" si="94"/>
        <v>0</v>
      </c>
      <c r="F1517" s="17">
        <f t="shared" ca="1" si="95"/>
        <v>0</v>
      </c>
      <c r="H1517" s="17">
        <v>1502</v>
      </c>
      <c r="I1517" s="43">
        <v>0.6679966349385994</v>
      </c>
      <c r="J1517" s="43">
        <v>1.8886725570894356E-2</v>
      </c>
      <c r="K1517" s="43"/>
      <c r="L1517" s="43">
        <v>0.25040000000000001</v>
      </c>
      <c r="O1517" s="50"/>
    </row>
    <row r="1518" spans="2:15" x14ac:dyDescent="0.2">
      <c r="B1518">
        <v>1503</v>
      </c>
      <c r="C1518" s="48">
        <f t="shared" ca="1" si="96"/>
        <v>-1.2522272098632137</v>
      </c>
      <c r="D1518" s="48">
        <f t="shared" ca="1" si="93"/>
        <v>0.58733158136065355</v>
      </c>
      <c r="E1518" s="48">
        <f t="shared" ca="1" si="94"/>
        <v>0</v>
      </c>
      <c r="F1518" s="17">
        <f t="shared" ca="1" si="95"/>
        <v>0</v>
      </c>
      <c r="H1518" s="17">
        <v>1503</v>
      </c>
      <c r="I1518" s="43">
        <v>0.6704058661351463</v>
      </c>
      <c r="J1518" s="43">
        <v>2.0624499782596773E-2</v>
      </c>
      <c r="K1518" s="43"/>
      <c r="L1518" s="43">
        <v>0.25840000000000002</v>
      </c>
      <c r="O1518" s="50"/>
    </row>
    <row r="1519" spans="2:15" x14ac:dyDescent="0.2">
      <c r="B1519">
        <v>1504</v>
      </c>
      <c r="C1519" s="48">
        <f t="shared" ca="1" si="96"/>
        <v>-0.90749849287887052</v>
      </c>
      <c r="D1519" s="48">
        <f t="shared" ca="1" si="93"/>
        <v>0.60763566481513942</v>
      </c>
      <c r="E1519" s="48">
        <f t="shared" ca="1" si="94"/>
        <v>0</v>
      </c>
      <c r="F1519" s="17">
        <f t="shared" ca="1" si="95"/>
        <v>0</v>
      </c>
      <c r="H1519" s="17">
        <v>1504</v>
      </c>
      <c r="I1519" s="43">
        <v>0.6673619408798015</v>
      </c>
      <c r="J1519" s="43">
        <v>1.8180248793587921E-2</v>
      </c>
      <c r="K1519" s="43"/>
      <c r="L1519" s="43">
        <v>0.24740000000000001</v>
      </c>
      <c r="O1519" s="50"/>
    </row>
    <row r="1520" spans="2:15" x14ac:dyDescent="0.2">
      <c r="B1520">
        <v>1505</v>
      </c>
      <c r="C1520" s="48">
        <f t="shared" ca="1" si="96"/>
        <v>0.50243718230426915</v>
      </c>
      <c r="D1520" s="48">
        <f t="shared" ca="1" si="93"/>
        <v>0.69825017647761856</v>
      </c>
      <c r="E1520" s="48">
        <f t="shared" ca="1" si="94"/>
        <v>0</v>
      </c>
      <c r="F1520" s="17">
        <f t="shared" ca="1" si="95"/>
        <v>0</v>
      </c>
      <c r="H1520" s="17">
        <v>1505</v>
      </c>
      <c r="I1520" s="43">
        <v>0.66977853108633001</v>
      </c>
      <c r="J1520" s="43">
        <v>2.0103370950101816E-2</v>
      </c>
      <c r="K1520" s="43"/>
      <c r="L1520" s="43">
        <v>0.25040000000000001</v>
      </c>
      <c r="O1520" s="50"/>
    </row>
    <row r="1521" spans="2:15" x14ac:dyDescent="0.2">
      <c r="B1521">
        <v>1506</v>
      </c>
      <c r="C1521" s="48">
        <f t="shared" ca="1" si="96"/>
        <v>-7.1519463430317048E-3</v>
      </c>
      <c r="D1521" s="48">
        <f t="shared" ca="1" si="93"/>
        <v>0.66403732136119309</v>
      </c>
      <c r="E1521" s="48">
        <f t="shared" ca="1" si="94"/>
        <v>0</v>
      </c>
      <c r="F1521" s="17">
        <f t="shared" ca="1" si="95"/>
        <v>0</v>
      </c>
      <c r="H1521" s="17">
        <v>1506</v>
      </c>
      <c r="I1521" s="43">
        <v>0.66838069089328023</v>
      </c>
      <c r="J1521" s="43">
        <v>1.8898357573801729E-2</v>
      </c>
      <c r="K1521" s="43"/>
      <c r="L1521" s="43">
        <v>0.247</v>
      </c>
      <c r="O1521" s="50"/>
    </row>
    <row r="1522" spans="2:15" x14ac:dyDescent="0.2">
      <c r="B1522">
        <v>1507</v>
      </c>
      <c r="C1522" s="48">
        <f t="shared" ca="1" si="96"/>
        <v>0.11691272945526085</v>
      </c>
      <c r="D1522" s="48">
        <f t="shared" ca="1" si="93"/>
        <v>0.67220918362322324</v>
      </c>
      <c r="E1522" s="48">
        <f t="shared" ca="1" si="94"/>
        <v>0</v>
      </c>
      <c r="F1522" s="17">
        <f t="shared" ca="1" si="95"/>
        <v>0</v>
      </c>
      <c r="H1522" s="17">
        <v>1507</v>
      </c>
      <c r="I1522" s="43">
        <v>0.66961118578153778</v>
      </c>
      <c r="J1522" s="43">
        <v>1.9995467260474072E-2</v>
      </c>
      <c r="K1522" s="43"/>
      <c r="L1522" s="43">
        <v>0.24879999999999999</v>
      </c>
      <c r="O1522" s="50"/>
    </row>
    <row r="1523" spans="2:15" x14ac:dyDescent="0.2">
      <c r="B1523">
        <v>1508</v>
      </c>
      <c r="C1523" s="48">
        <f t="shared" ca="1" si="96"/>
        <v>0.70310706636969567</v>
      </c>
      <c r="D1523" s="48">
        <f t="shared" ca="1" si="93"/>
        <v>0.71220158311405857</v>
      </c>
      <c r="E1523" s="48">
        <f t="shared" ca="1" si="94"/>
        <v>0</v>
      </c>
      <c r="F1523" s="17">
        <f t="shared" ca="1" si="95"/>
        <v>0</v>
      </c>
      <c r="H1523" s="17">
        <v>1508</v>
      </c>
      <c r="I1523" s="43">
        <v>0.66777705577167978</v>
      </c>
      <c r="J1523" s="43">
        <v>1.8768850492706771E-2</v>
      </c>
      <c r="K1523" s="43"/>
      <c r="L1523" s="43">
        <v>0.249</v>
      </c>
      <c r="O1523" s="50"/>
    </row>
    <row r="1524" spans="2:15" x14ac:dyDescent="0.2">
      <c r="B1524">
        <v>1509</v>
      </c>
      <c r="C1524" s="48">
        <f t="shared" ca="1" si="96"/>
        <v>-1.0261157091030404</v>
      </c>
      <c r="D1524" s="48">
        <f t="shared" ca="1" si="93"/>
        <v>0.60057125602390793</v>
      </c>
      <c r="E1524" s="48">
        <f t="shared" ca="1" si="94"/>
        <v>0</v>
      </c>
      <c r="F1524" s="17">
        <f t="shared" ca="1" si="95"/>
        <v>0</v>
      </c>
      <c r="H1524" s="17">
        <v>1509</v>
      </c>
      <c r="I1524" s="43">
        <v>0.66962313216100444</v>
      </c>
      <c r="J1524" s="43">
        <v>1.9701566492435613E-2</v>
      </c>
      <c r="K1524" s="43"/>
      <c r="L1524" s="43">
        <v>0.24759999999999999</v>
      </c>
      <c r="O1524" s="50"/>
    </row>
    <row r="1525" spans="2:15" x14ac:dyDescent="0.2">
      <c r="B1525">
        <v>1510</v>
      </c>
      <c r="C1525" s="48">
        <f t="shared" ca="1" si="96"/>
        <v>-1.7980959470069537</v>
      </c>
      <c r="D1525" s="48">
        <f t="shared" ca="1" si="93"/>
        <v>0.55655929632718493</v>
      </c>
      <c r="E1525" s="48">
        <f t="shared" ca="1" si="94"/>
        <v>0</v>
      </c>
      <c r="F1525" s="17">
        <f t="shared" ca="1" si="95"/>
        <v>0</v>
      </c>
      <c r="H1525" s="17">
        <v>1510</v>
      </c>
      <c r="I1525" s="43">
        <v>0.6691668875776372</v>
      </c>
      <c r="J1525" s="43">
        <v>1.9760353167503235E-2</v>
      </c>
      <c r="K1525" s="43"/>
      <c r="L1525" s="43">
        <v>0.25040000000000001</v>
      </c>
      <c r="O1525" s="50"/>
    </row>
    <row r="1526" spans="2:15" x14ac:dyDescent="0.2">
      <c r="B1526">
        <v>1511</v>
      </c>
      <c r="C1526" s="48">
        <f t="shared" ca="1" si="96"/>
        <v>0.58935202082117411</v>
      </c>
      <c r="D1526" s="48">
        <f t="shared" ca="1" si="93"/>
        <v>0.70425898968468448</v>
      </c>
      <c r="E1526" s="48">
        <f t="shared" ca="1" si="94"/>
        <v>0</v>
      </c>
      <c r="F1526" s="17">
        <f t="shared" ca="1" si="95"/>
        <v>0</v>
      </c>
      <c r="H1526" s="17">
        <v>1511</v>
      </c>
      <c r="I1526" s="43">
        <v>0.66760517622944249</v>
      </c>
      <c r="J1526" s="43">
        <v>1.8418817481425435E-2</v>
      </c>
      <c r="K1526" s="43"/>
      <c r="L1526" s="43">
        <v>0.24859999999999999</v>
      </c>
      <c r="O1526" s="50"/>
    </row>
    <row r="1527" spans="2:15" x14ac:dyDescent="0.2">
      <c r="B1527">
        <v>1512</v>
      </c>
      <c r="C1527" s="48">
        <f t="shared" ca="1" si="96"/>
        <v>-0.36706512817960762</v>
      </c>
      <c r="D1527" s="48">
        <f t="shared" ca="1" si="93"/>
        <v>0.64088845514389114</v>
      </c>
      <c r="E1527" s="48">
        <f t="shared" ca="1" si="94"/>
        <v>0</v>
      </c>
      <c r="F1527" s="17">
        <f t="shared" ca="1" si="95"/>
        <v>0</v>
      </c>
      <c r="H1527" s="17">
        <v>1512</v>
      </c>
      <c r="I1527" s="43">
        <v>0.66971744994006965</v>
      </c>
      <c r="J1527" s="43">
        <v>2.0006888428186691E-2</v>
      </c>
      <c r="K1527" s="43"/>
      <c r="L1527" s="43">
        <v>0.25879999999999997</v>
      </c>
      <c r="O1527" s="50"/>
    </row>
    <row r="1528" spans="2:15" x14ac:dyDescent="0.2">
      <c r="B1528">
        <v>1513</v>
      </c>
      <c r="C1528" s="48">
        <f t="shared" ca="1" si="96"/>
        <v>-1.3309287652326027</v>
      </c>
      <c r="D1528" s="48">
        <f t="shared" ca="1" si="93"/>
        <v>0.58279211673127707</v>
      </c>
      <c r="E1528" s="48">
        <f t="shared" ca="1" si="94"/>
        <v>0</v>
      </c>
      <c r="F1528" s="17">
        <f t="shared" ca="1" si="95"/>
        <v>0</v>
      </c>
      <c r="H1528" s="17">
        <v>1513</v>
      </c>
      <c r="I1528" s="43">
        <v>0.66986707086803476</v>
      </c>
      <c r="J1528" s="43">
        <v>1.9683293434791669E-2</v>
      </c>
      <c r="K1528" s="43"/>
      <c r="L1528" s="43">
        <v>0.24979999999999999</v>
      </c>
      <c r="O1528" s="50"/>
    </row>
    <row r="1529" spans="2:15" x14ac:dyDescent="0.2">
      <c r="B1529">
        <v>1514</v>
      </c>
      <c r="C1529" s="48">
        <f t="shared" ca="1" si="96"/>
        <v>-0.58373705961151079</v>
      </c>
      <c r="D1529" s="48">
        <f t="shared" ca="1" si="93"/>
        <v>0.62734353127183318</v>
      </c>
      <c r="E1529" s="48">
        <f t="shared" ca="1" si="94"/>
        <v>0</v>
      </c>
      <c r="F1529" s="17">
        <f t="shared" ca="1" si="95"/>
        <v>0</v>
      </c>
      <c r="H1529" s="17">
        <v>1514</v>
      </c>
      <c r="I1529" s="43">
        <v>0.66994678082554626</v>
      </c>
      <c r="J1529" s="43">
        <v>1.9827890658710604E-2</v>
      </c>
      <c r="K1529" s="43"/>
      <c r="L1529" s="43">
        <v>0.25159999999999999</v>
      </c>
      <c r="O1529" s="50"/>
    </row>
    <row r="1530" spans="2:15" x14ac:dyDescent="0.2">
      <c r="B1530">
        <v>1515</v>
      </c>
      <c r="C1530" s="48">
        <f t="shared" ca="1" si="96"/>
        <v>0.15097215844194606</v>
      </c>
      <c r="D1530" s="48">
        <f t="shared" ca="1" si="93"/>
        <v>0.67447014359081225</v>
      </c>
      <c r="E1530" s="48">
        <f t="shared" ca="1" si="94"/>
        <v>0</v>
      </c>
      <c r="F1530" s="17">
        <f t="shared" ca="1" si="95"/>
        <v>0</v>
      </c>
      <c r="H1530" s="17">
        <v>1515</v>
      </c>
      <c r="I1530" s="43">
        <v>0.67032678865092898</v>
      </c>
      <c r="J1530" s="43">
        <v>2.0203671062958291E-2</v>
      </c>
      <c r="K1530" s="43"/>
      <c r="L1530" s="43">
        <v>0.25340000000000001</v>
      </c>
      <c r="O1530" s="50"/>
    </row>
    <row r="1531" spans="2:15" x14ac:dyDescent="0.2">
      <c r="B1531">
        <v>1516</v>
      </c>
      <c r="C1531" s="48">
        <f t="shared" ca="1" si="96"/>
        <v>-0.82626521572510325</v>
      </c>
      <c r="D1531" s="48">
        <f t="shared" ca="1" si="93"/>
        <v>0.61252150383516923</v>
      </c>
      <c r="E1531" s="48">
        <f t="shared" ca="1" si="94"/>
        <v>0</v>
      </c>
      <c r="F1531" s="17">
        <f t="shared" ca="1" si="95"/>
        <v>0</v>
      </c>
      <c r="H1531" s="17">
        <v>1516</v>
      </c>
      <c r="I1531" s="43">
        <v>0.66876006272928923</v>
      </c>
      <c r="J1531" s="43">
        <v>1.9011281349363193E-2</v>
      </c>
      <c r="K1531" s="43"/>
      <c r="L1531" s="43">
        <v>0.23760000000000001</v>
      </c>
      <c r="O1531" s="50"/>
    </row>
    <row r="1532" spans="2:15" x14ac:dyDescent="0.2">
      <c r="B1532">
        <v>1517</v>
      </c>
      <c r="C1532" s="48">
        <f t="shared" ca="1" si="96"/>
        <v>-0.73423507324971371</v>
      </c>
      <c r="D1532" s="48">
        <f t="shared" ca="1" si="93"/>
        <v>0.61810421071330213</v>
      </c>
      <c r="E1532" s="48">
        <f t="shared" ca="1" si="94"/>
        <v>0</v>
      </c>
      <c r="F1532" s="17">
        <f t="shared" ca="1" si="95"/>
        <v>0</v>
      </c>
      <c r="H1532" s="17">
        <v>1517</v>
      </c>
      <c r="I1532" s="43">
        <v>0.66927964097589732</v>
      </c>
      <c r="J1532" s="43">
        <v>1.9402370677715157E-2</v>
      </c>
      <c r="K1532" s="43"/>
      <c r="L1532" s="43">
        <v>0.24579999999999999</v>
      </c>
      <c r="O1532" s="50"/>
    </row>
    <row r="1533" spans="2:15" x14ac:dyDescent="0.2">
      <c r="B1533">
        <v>1518</v>
      </c>
      <c r="C1533" s="48">
        <f t="shared" ca="1" si="96"/>
        <v>0.70192844898048823</v>
      </c>
      <c r="D1533" s="48">
        <f t="shared" ca="1" si="93"/>
        <v>0.71211883230129946</v>
      </c>
      <c r="E1533" s="48">
        <f t="shared" ca="1" si="94"/>
        <v>0</v>
      </c>
      <c r="F1533" s="17">
        <f t="shared" ca="1" si="95"/>
        <v>0</v>
      </c>
      <c r="H1533" s="17">
        <v>1518</v>
      </c>
      <c r="I1533" s="43">
        <v>0.66870780808397801</v>
      </c>
      <c r="J1533" s="43">
        <v>1.9083472036248609E-2</v>
      </c>
      <c r="K1533" s="43"/>
      <c r="L1533" s="43">
        <v>0.24399999999999999</v>
      </c>
      <c r="O1533" s="50"/>
    </row>
    <row r="1534" spans="2:15" x14ac:dyDescent="0.2">
      <c r="B1534">
        <v>1519</v>
      </c>
      <c r="C1534" s="48">
        <f t="shared" ca="1" si="96"/>
        <v>-0.35291134308483874</v>
      </c>
      <c r="D1534" s="48">
        <f t="shared" ca="1" si="93"/>
        <v>0.6417833660597061</v>
      </c>
      <c r="E1534" s="48">
        <f t="shared" ca="1" si="94"/>
        <v>0</v>
      </c>
      <c r="F1534" s="17">
        <f t="shared" ca="1" si="95"/>
        <v>0</v>
      </c>
      <c r="H1534" s="17">
        <v>1519</v>
      </c>
      <c r="I1534" s="43">
        <v>0.66899820212326921</v>
      </c>
      <c r="J1534" s="43">
        <v>1.9265390465155463E-2</v>
      </c>
      <c r="K1534" s="43"/>
      <c r="L1534" s="43">
        <v>0.2452</v>
      </c>
      <c r="O1534" s="50"/>
    </row>
    <row r="1535" spans="2:15" x14ac:dyDescent="0.2">
      <c r="B1535">
        <v>1520</v>
      </c>
      <c r="C1535" s="48">
        <f t="shared" ca="1" si="96"/>
        <v>-0.14702677927282481</v>
      </c>
      <c r="D1535" s="48">
        <f t="shared" ca="1" si="93"/>
        <v>0.65494315715956097</v>
      </c>
      <c r="E1535" s="48">
        <f t="shared" ca="1" si="94"/>
        <v>0</v>
      </c>
      <c r="F1535" s="17">
        <f t="shared" ca="1" si="95"/>
        <v>0</v>
      </c>
      <c r="H1535" s="17">
        <v>1520</v>
      </c>
      <c r="I1535" s="43">
        <v>0.66870805918952936</v>
      </c>
      <c r="J1535" s="43">
        <v>1.9409410744848414E-2</v>
      </c>
      <c r="K1535" s="43"/>
      <c r="L1535" s="43">
        <v>0.252</v>
      </c>
      <c r="O1535" s="50"/>
    </row>
    <row r="1536" spans="2:15" x14ac:dyDescent="0.2">
      <c r="B1536">
        <v>1521</v>
      </c>
      <c r="C1536" s="48">
        <f t="shared" ca="1" si="96"/>
        <v>-6.0924806883837965E-5</v>
      </c>
      <c r="D1536" s="48">
        <f t="shared" ca="1" si="93"/>
        <v>0.6645017027727963</v>
      </c>
      <c r="E1536" s="48">
        <f t="shared" ca="1" si="94"/>
        <v>0</v>
      </c>
      <c r="F1536" s="17">
        <f t="shared" ca="1" si="95"/>
        <v>0</v>
      </c>
      <c r="H1536" s="17">
        <v>1521</v>
      </c>
      <c r="I1536" s="43">
        <v>0.66836205809075777</v>
      </c>
      <c r="J1536" s="43">
        <v>1.885170673795012E-2</v>
      </c>
      <c r="K1536" s="43"/>
      <c r="L1536" s="43">
        <v>0.24540000000000001</v>
      </c>
      <c r="O1536" s="50"/>
    </row>
    <row r="1537" spans="2:15" x14ac:dyDescent="0.2">
      <c r="B1537">
        <v>1522</v>
      </c>
      <c r="C1537" s="48">
        <f t="shared" ca="1" si="96"/>
        <v>-1.9410013273535189</v>
      </c>
      <c r="D1537" s="48">
        <f t="shared" ca="1" si="93"/>
        <v>0.54877308806585112</v>
      </c>
      <c r="E1537" s="48">
        <f t="shared" ca="1" si="94"/>
        <v>0</v>
      </c>
      <c r="F1537" s="17">
        <f t="shared" ca="1" si="95"/>
        <v>0</v>
      </c>
      <c r="H1537" s="17">
        <v>1522</v>
      </c>
      <c r="I1537" s="43">
        <v>0.66832893588961728</v>
      </c>
      <c r="J1537" s="43">
        <v>1.9091509871980859E-2</v>
      </c>
      <c r="K1537" s="43"/>
      <c r="L1537" s="43">
        <v>0.24940000000000001</v>
      </c>
      <c r="O1537" s="50"/>
    </row>
    <row r="1538" spans="2:15" x14ac:dyDescent="0.2">
      <c r="B1538">
        <v>1523</v>
      </c>
      <c r="C1538" s="48">
        <f t="shared" ca="1" si="96"/>
        <v>-0.5719298942347173</v>
      </c>
      <c r="D1538" s="48">
        <f t="shared" ca="1" si="93"/>
        <v>0.62807420851792228</v>
      </c>
      <c r="E1538" s="48">
        <f t="shared" ca="1" si="94"/>
        <v>0</v>
      </c>
      <c r="F1538" s="17">
        <f t="shared" ca="1" si="95"/>
        <v>0</v>
      </c>
      <c r="H1538" s="17">
        <v>1523</v>
      </c>
      <c r="I1538" s="43">
        <v>0.66923914877674728</v>
      </c>
      <c r="J1538" s="43">
        <v>1.9572647074766612E-2</v>
      </c>
      <c r="K1538" s="43"/>
      <c r="L1538" s="43">
        <v>0.25619999999999998</v>
      </c>
      <c r="O1538" s="50"/>
    </row>
    <row r="1539" spans="2:15" x14ac:dyDescent="0.2">
      <c r="B1539">
        <v>1524</v>
      </c>
      <c r="C1539" s="48">
        <f t="shared" ca="1" si="96"/>
        <v>0.42391939200958006</v>
      </c>
      <c r="D1539" s="48">
        <f t="shared" ca="1" si="93"/>
        <v>0.69286597851656306</v>
      </c>
      <c r="E1539" s="48">
        <f t="shared" ca="1" si="94"/>
        <v>0</v>
      </c>
      <c r="F1539" s="17">
        <f t="shared" ca="1" si="95"/>
        <v>0</v>
      </c>
      <c r="H1539" s="17">
        <v>1524</v>
      </c>
      <c r="I1539" s="43">
        <v>0.66950690662214829</v>
      </c>
      <c r="J1539" s="43">
        <v>1.9924668667485133E-2</v>
      </c>
      <c r="K1539" s="43"/>
      <c r="L1539" s="43">
        <v>0.25319999999999998</v>
      </c>
      <c r="O1539" s="50"/>
    </row>
    <row r="1540" spans="2:15" x14ac:dyDescent="0.2">
      <c r="B1540">
        <v>1525</v>
      </c>
      <c r="C1540" s="48">
        <f t="shared" ca="1" si="96"/>
        <v>-1.1075321102684001E-3</v>
      </c>
      <c r="D1540" s="48">
        <f t="shared" ca="1" si="93"/>
        <v>0.66443314145220989</v>
      </c>
      <c r="E1540" s="48">
        <f t="shared" ca="1" si="94"/>
        <v>0</v>
      </c>
      <c r="F1540" s="17">
        <f t="shared" ca="1" si="95"/>
        <v>0</v>
      </c>
      <c r="H1540" s="17">
        <v>1525</v>
      </c>
      <c r="I1540" s="43">
        <v>0.66936339833864678</v>
      </c>
      <c r="J1540" s="43">
        <v>1.9592553823215852E-2</v>
      </c>
      <c r="K1540" s="43"/>
      <c r="L1540" s="43">
        <v>0.252</v>
      </c>
      <c r="O1540" s="50"/>
    </row>
    <row r="1541" spans="2:15" x14ac:dyDescent="0.2">
      <c r="B1541">
        <v>1526</v>
      </c>
      <c r="C1541" s="48">
        <f t="shared" ca="1" si="96"/>
        <v>0.44844176063249086</v>
      </c>
      <c r="D1541" s="48">
        <f t="shared" ca="1" si="93"/>
        <v>0.69454307656860148</v>
      </c>
      <c r="E1541" s="48">
        <f t="shared" ca="1" si="94"/>
        <v>0</v>
      </c>
      <c r="F1541" s="17">
        <f t="shared" ca="1" si="95"/>
        <v>0</v>
      </c>
      <c r="H1541" s="17">
        <v>1526</v>
      </c>
      <c r="I1541" s="43">
        <v>0.67025432101822835</v>
      </c>
      <c r="J1541" s="43">
        <v>2.0319936376922577E-2</v>
      </c>
      <c r="K1541" s="43"/>
      <c r="L1541" s="43">
        <v>0.25879999999999997</v>
      </c>
      <c r="O1541" s="50"/>
    </row>
    <row r="1542" spans="2:15" x14ac:dyDescent="0.2">
      <c r="B1542">
        <v>1527</v>
      </c>
      <c r="C1542" s="48">
        <f t="shared" ca="1" si="96"/>
        <v>0.65641995978242584</v>
      </c>
      <c r="D1542" s="48">
        <f t="shared" ca="1" si="93"/>
        <v>0.70893102010286912</v>
      </c>
      <c r="E1542" s="48">
        <f t="shared" ca="1" si="94"/>
        <v>0</v>
      </c>
      <c r="F1542" s="17">
        <f t="shared" ca="1" si="95"/>
        <v>0</v>
      </c>
      <c r="H1542" s="17">
        <v>1527</v>
      </c>
      <c r="I1542" s="43">
        <v>0.66929335191783157</v>
      </c>
      <c r="J1542" s="43">
        <v>1.9826506768615641E-2</v>
      </c>
      <c r="K1542" s="43"/>
      <c r="L1542" s="43">
        <v>0.25040000000000001</v>
      </c>
      <c r="O1542" s="50"/>
    </row>
    <row r="1543" spans="2:15" x14ac:dyDescent="0.2">
      <c r="B1543">
        <v>1528</v>
      </c>
      <c r="C1543" s="48">
        <f t="shared" ca="1" si="96"/>
        <v>1.4145823142854099</v>
      </c>
      <c r="D1543" s="48">
        <f t="shared" ca="1" si="93"/>
        <v>0.76395091381432922</v>
      </c>
      <c r="E1543" s="48">
        <f t="shared" ca="1" si="94"/>
        <v>0</v>
      </c>
      <c r="F1543" s="17">
        <f t="shared" ca="1" si="95"/>
        <v>0</v>
      </c>
      <c r="H1543" s="17">
        <v>1528</v>
      </c>
      <c r="I1543" s="43">
        <v>0.66727727550253702</v>
      </c>
      <c r="J1543" s="43">
        <v>1.8214666375856454E-2</v>
      </c>
      <c r="K1543" s="43"/>
      <c r="L1543" s="43">
        <v>0.2462</v>
      </c>
      <c r="O1543" s="50"/>
    </row>
    <row r="1544" spans="2:15" x14ac:dyDescent="0.2">
      <c r="B1544">
        <v>1529</v>
      </c>
      <c r="C1544" s="48">
        <f t="shared" ca="1" si="96"/>
        <v>-0.60830242005720214</v>
      </c>
      <c r="D1544" s="48">
        <f t="shared" ca="1" si="93"/>
        <v>0.62582604595822466</v>
      </c>
      <c r="E1544" s="48">
        <f t="shared" ca="1" si="94"/>
        <v>0</v>
      </c>
      <c r="F1544" s="17">
        <f t="shared" ca="1" si="95"/>
        <v>0</v>
      </c>
      <c r="H1544" s="17">
        <v>1529</v>
      </c>
      <c r="I1544" s="43">
        <v>0.66802515984915023</v>
      </c>
      <c r="J1544" s="43">
        <v>1.870610348207169E-2</v>
      </c>
      <c r="K1544" s="43"/>
      <c r="L1544" s="43">
        <v>0.254</v>
      </c>
      <c r="O1544" s="50"/>
    </row>
    <row r="1545" spans="2:15" x14ac:dyDescent="0.2">
      <c r="B1545">
        <v>1530</v>
      </c>
      <c r="C1545" s="48">
        <f t="shared" ca="1" si="96"/>
        <v>0.72672320041380589</v>
      </c>
      <c r="D1545" s="48">
        <f t="shared" ca="1" si="93"/>
        <v>0.71386170177988373</v>
      </c>
      <c r="E1545" s="48">
        <f t="shared" ca="1" si="94"/>
        <v>0</v>
      </c>
      <c r="F1545" s="17">
        <f t="shared" ca="1" si="95"/>
        <v>0</v>
      </c>
      <c r="H1545" s="17">
        <v>1530</v>
      </c>
      <c r="I1545" s="43">
        <v>0.67010813645517608</v>
      </c>
      <c r="J1545" s="43">
        <v>2.0403963463862775E-2</v>
      </c>
      <c r="K1545" s="43"/>
      <c r="L1545" s="43">
        <v>0.254</v>
      </c>
      <c r="O1545" s="50"/>
    </row>
    <row r="1546" spans="2:15" x14ac:dyDescent="0.2">
      <c r="B1546">
        <v>1531</v>
      </c>
      <c r="C1546" s="48">
        <f t="shared" ca="1" si="96"/>
        <v>-0.78066385840251884</v>
      </c>
      <c r="D1546" s="48">
        <f t="shared" ca="1" si="93"/>
        <v>0.61528142978403111</v>
      </c>
      <c r="E1546" s="48">
        <f t="shared" ca="1" si="94"/>
        <v>0</v>
      </c>
      <c r="F1546" s="17">
        <f t="shared" ca="1" si="95"/>
        <v>0</v>
      </c>
      <c r="H1546" s="17">
        <v>1531</v>
      </c>
      <c r="I1546" s="43">
        <v>0.66799187861692622</v>
      </c>
      <c r="J1546" s="43">
        <v>1.8652484014444262E-2</v>
      </c>
      <c r="K1546" s="43"/>
      <c r="L1546" s="43">
        <v>0.2462</v>
      </c>
      <c r="O1546" s="50"/>
    </row>
    <row r="1547" spans="2:15" x14ac:dyDescent="0.2">
      <c r="B1547">
        <v>1532</v>
      </c>
      <c r="C1547" s="48">
        <f t="shared" ca="1" si="96"/>
        <v>-0.63269650679303968</v>
      </c>
      <c r="D1547" s="48">
        <f t="shared" ca="1" si="93"/>
        <v>0.62432277317640628</v>
      </c>
      <c r="E1547" s="48">
        <f t="shared" ca="1" si="94"/>
        <v>0</v>
      </c>
      <c r="F1547" s="17">
        <f t="shared" ca="1" si="95"/>
        <v>0</v>
      </c>
      <c r="H1547" s="17">
        <v>1532</v>
      </c>
      <c r="I1547" s="43">
        <v>0.67087407294924328</v>
      </c>
      <c r="J1547" s="43">
        <v>2.0401797546981775E-2</v>
      </c>
      <c r="K1547" s="43"/>
      <c r="L1547" s="43">
        <v>0.25480000000000003</v>
      </c>
      <c r="O1547" s="50"/>
    </row>
    <row r="1548" spans="2:15" x14ac:dyDescent="0.2">
      <c r="B1548">
        <v>1533</v>
      </c>
      <c r="C1548" s="48">
        <f t="shared" ca="1" si="96"/>
        <v>-0.13917561101192699</v>
      </c>
      <c r="D1548" s="48">
        <f t="shared" ca="1" si="93"/>
        <v>0.65545029696901991</v>
      </c>
      <c r="E1548" s="48">
        <f t="shared" ca="1" si="94"/>
        <v>0</v>
      </c>
      <c r="F1548" s="17">
        <f t="shared" ca="1" si="95"/>
        <v>0</v>
      </c>
      <c r="H1548" s="17">
        <v>1533</v>
      </c>
      <c r="I1548" s="43">
        <v>0.66803439500398565</v>
      </c>
      <c r="J1548" s="43">
        <v>1.8861447739453759E-2</v>
      </c>
      <c r="K1548" s="43"/>
      <c r="L1548" s="43">
        <v>0.2492</v>
      </c>
      <c r="O1548" s="50"/>
    </row>
    <row r="1549" spans="2:15" x14ac:dyDescent="0.2">
      <c r="B1549">
        <v>1534</v>
      </c>
      <c r="C1549" s="48">
        <f t="shared" ca="1" si="96"/>
        <v>-0.12105395834073404</v>
      </c>
      <c r="D1549" s="48">
        <f t="shared" ca="1" si="93"/>
        <v>0.65662235008389169</v>
      </c>
      <c r="E1549" s="48">
        <f t="shared" ca="1" si="94"/>
        <v>0</v>
      </c>
      <c r="F1549" s="17">
        <f t="shared" ca="1" si="95"/>
        <v>0</v>
      </c>
      <c r="H1549" s="17">
        <v>1534</v>
      </c>
      <c r="I1549" s="43">
        <v>0.66923350751489674</v>
      </c>
      <c r="J1549" s="43">
        <v>1.9727037511116013E-2</v>
      </c>
      <c r="K1549" s="43"/>
      <c r="L1549" s="43">
        <v>0.25140000000000001</v>
      </c>
      <c r="O1549" s="50"/>
    </row>
    <row r="1550" spans="2:15" x14ac:dyDescent="0.2">
      <c r="B1550">
        <v>1535</v>
      </c>
      <c r="C1550" s="48">
        <f t="shared" ca="1" si="96"/>
        <v>0.34648468987010977</v>
      </c>
      <c r="D1550" s="48">
        <f t="shared" ca="1" si="93"/>
        <v>0.68759671495079333</v>
      </c>
      <c r="E1550" s="48">
        <f t="shared" ca="1" si="94"/>
        <v>0</v>
      </c>
      <c r="F1550" s="17">
        <f t="shared" ca="1" si="95"/>
        <v>0</v>
      </c>
      <c r="H1550" s="17">
        <v>1535</v>
      </c>
      <c r="I1550" s="43">
        <v>0.66971396346733547</v>
      </c>
      <c r="J1550" s="43">
        <v>1.999719069685341E-2</v>
      </c>
      <c r="K1550" s="43"/>
      <c r="L1550" s="43">
        <v>0.253</v>
      </c>
      <c r="O1550" s="50"/>
    </row>
    <row r="1551" spans="2:15" x14ac:dyDescent="0.2">
      <c r="B1551">
        <v>1536</v>
      </c>
      <c r="C1551" s="48">
        <f t="shared" ca="1" si="96"/>
        <v>0.42386230504970701</v>
      </c>
      <c r="D1551" s="48">
        <f t="shared" ca="1" si="93"/>
        <v>0.69286207903697916</v>
      </c>
      <c r="E1551" s="48">
        <f t="shared" ca="1" si="94"/>
        <v>0</v>
      </c>
      <c r="F1551" s="17">
        <f t="shared" ca="1" si="95"/>
        <v>0</v>
      </c>
      <c r="H1551" s="17">
        <v>1536</v>
      </c>
      <c r="I1551" s="43">
        <v>0.66840026001339958</v>
      </c>
      <c r="J1551" s="43">
        <v>1.8925297876738606E-2</v>
      </c>
      <c r="K1551" s="43"/>
      <c r="L1551" s="43">
        <v>0.24460000000000001</v>
      </c>
      <c r="O1551" s="50"/>
    </row>
    <row r="1552" spans="2:15" x14ac:dyDescent="0.2">
      <c r="B1552">
        <v>1537</v>
      </c>
      <c r="C1552" s="48">
        <f t="shared" ca="1" si="96"/>
        <v>-6.1624719940300089E-2</v>
      </c>
      <c r="D1552" s="48">
        <f t="shared" ref="D1552:D1615" ca="1" si="97">S0*EXP((μ-0.5*σ*σ)*T+σ*SQRT(T)*$C1552)</f>
        <v>0.66048077833269936</v>
      </c>
      <c r="E1552" s="48">
        <f t="shared" ref="E1552:E1615" ca="1" si="98">MAX(0,CP*(D1552-K))</f>
        <v>0</v>
      </c>
      <c r="F1552" s="17">
        <f t="shared" ref="F1552:F1615" ca="1" si="99">(CP*(D1552-K)&gt;0)*1</f>
        <v>0</v>
      </c>
      <c r="H1552" s="17">
        <v>1537</v>
      </c>
      <c r="I1552" s="43">
        <v>0.6696714047758493</v>
      </c>
      <c r="J1552" s="43">
        <v>1.9836968261601962E-2</v>
      </c>
      <c r="K1552" s="43"/>
      <c r="L1552" s="43">
        <v>0.25059999999999999</v>
      </c>
      <c r="O1552" s="50"/>
    </row>
    <row r="1553" spans="2:15" x14ac:dyDescent="0.2">
      <c r="B1553">
        <v>1538</v>
      </c>
      <c r="C1553" s="48">
        <f t="shared" ref="C1553:C1616" ca="1" si="100">_xlfn.NORM.S.INV(RAND())</f>
        <v>-0.55150863895332647</v>
      </c>
      <c r="D1553" s="48">
        <f t="shared" ca="1" si="97"/>
        <v>0.6293399714295429</v>
      </c>
      <c r="E1553" s="48">
        <f t="shared" ca="1" si="98"/>
        <v>0</v>
      </c>
      <c r="F1553" s="17">
        <f t="shared" ca="1" si="99"/>
        <v>0</v>
      </c>
      <c r="H1553" s="17">
        <v>1538</v>
      </c>
      <c r="I1553" s="43">
        <v>0.6693772800543939</v>
      </c>
      <c r="J1553" s="43">
        <v>1.9522067384662462E-2</v>
      </c>
      <c r="K1553" s="43"/>
      <c r="L1553" s="43">
        <v>0.25080000000000002</v>
      </c>
      <c r="O1553" s="50"/>
    </row>
    <row r="1554" spans="2:15" x14ac:dyDescent="0.2">
      <c r="B1554">
        <v>1539</v>
      </c>
      <c r="C1554" s="48">
        <f t="shared" ca="1" si="100"/>
        <v>0.88455100525601638</v>
      </c>
      <c r="D1554" s="48">
        <f t="shared" ca="1" si="97"/>
        <v>0.72505614448597044</v>
      </c>
      <c r="E1554" s="48">
        <f t="shared" ca="1" si="98"/>
        <v>0</v>
      </c>
      <c r="F1554" s="17">
        <f t="shared" ca="1" si="99"/>
        <v>0</v>
      </c>
      <c r="H1554" s="17">
        <v>1539</v>
      </c>
      <c r="I1554" s="43">
        <v>0.66940925255467487</v>
      </c>
      <c r="J1554" s="43">
        <v>1.9893148313779693E-2</v>
      </c>
      <c r="K1554" s="43"/>
      <c r="L1554" s="43">
        <v>0.24740000000000001</v>
      </c>
      <c r="O1554" s="50"/>
    </row>
    <row r="1555" spans="2:15" x14ac:dyDescent="0.2">
      <c r="B1555">
        <v>1540</v>
      </c>
      <c r="C1555" s="48">
        <f t="shared" ca="1" si="100"/>
        <v>-0.66112069207319402</v>
      </c>
      <c r="D1555" s="48">
        <f t="shared" ca="1" si="97"/>
        <v>0.62257570215570368</v>
      </c>
      <c r="E1555" s="48">
        <f t="shared" ca="1" si="98"/>
        <v>0</v>
      </c>
      <c r="F1555" s="17">
        <f t="shared" ca="1" si="99"/>
        <v>0</v>
      </c>
      <c r="H1555" s="17">
        <v>1540</v>
      </c>
      <c r="I1555" s="43">
        <v>0.66879734537559066</v>
      </c>
      <c r="J1555" s="43">
        <v>1.9230533459088348E-2</v>
      </c>
      <c r="K1555" s="43"/>
      <c r="L1555" s="43">
        <v>0.24940000000000001</v>
      </c>
      <c r="O1555" s="50"/>
    </row>
    <row r="1556" spans="2:15" x14ac:dyDescent="0.2">
      <c r="B1556">
        <v>1541</v>
      </c>
      <c r="C1556" s="48">
        <f t="shared" ca="1" si="100"/>
        <v>0.19558107158206087</v>
      </c>
      <c r="D1556" s="48">
        <f t="shared" ca="1" si="97"/>
        <v>0.6774429144142784</v>
      </c>
      <c r="E1556" s="48">
        <f t="shared" ca="1" si="98"/>
        <v>0</v>
      </c>
      <c r="F1556" s="17">
        <f t="shared" ca="1" si="99"/>
        <v>0</v>
      </c>
      <c r="H1556" s="17">
        <v>1541</v>
      </c>
      <c r="I1556" s="43">
        <v>0.66773595555069531</v>
      </c>
      <c r="J1556" s="43">
        <v>1.8713746645043852E-2</v>
      </c>
      <c r="K1556" s="43"/>
      <c r="L1556" s="43">
        <v>0.25080000000000002</v>
      </c>
      <c r="O1556" s="50"/>
    </row>
    <row r="1557" spans="2:15" x14ac:dyDescent="0.2">
      <c r="B1557">
        <v>1542</v>
      </c>
      <c r="C1557" s="48">
        <f t="shared" ca="1" si="100"/>
        <v>-9.4200909541046998E-2</v>
      </c>
      <c r="D1557" s="48">
        <f t="shared" ca="1" si="97"/>
        <v>0.65836297814088962</v>
      </c>
      <c r="E1557" s="48">
        <f t="shared" ca="1" si="98"/>
        <v>0</v>
      </c>
      <c r="F1557" s="17">
        <f t="shared" ca="1" si="99"/>
        <v>0</v>
      </c>
      <c r="H1557" s="17">
        <v>1542</v>
      </c>
      <c r="I1557" s="43">
        <v>0.66913603183047654</v>
      </c>
      <c r="J1557" s="43">
        <v>1.9680869609761908E-2</v>
      </c>
      <c r="K1557" s="43"/>
      <c r="L1557" s="43">
        <v>0.25459999999999999</v>
      </c>
      <c r="O1557" s="50"/>
    </row>
    <row r="1558" spans="2:15" x14ac:dyDescent="0.2">
      <c r="B1558">
        <v>1543</v>
      </c>
      <c r="C1558" s="48">
        <f t="shared" ca="1" si="100"/>
        <v>8.4744375326540763E-2</v>
      </c>
      <c r="D1558" s="48">
        <f t="shared" ca="1" si="97"/>
        <v>0.67008071856477525</v>
      </c>
      <c r="E1558" s="48">
        <f t="shared" ca="1" si="98"/>
        <v>0</v>
      </c>
      <c r="F1558" s="17">
        <f t="shared" ca="1" si="99"/>
        <v>0</v>
      </c>
      <c r="H1558" s="17">
        <v>1543</v>
      </c>
      <c r="I1558" s="43">
        <v>0.66872777513592441</v>
      </c>
      <c r="J1558" s="43">
        <v>1.8899759616076362E-2</v>
      </c>
      <c r="K1558" s="43"/>
      <c r="L1558" s="43">
        <v>0.24660000000000001</v>
      </c>
      <c r="O1558" s="50"/>
    </row>
    <row r="1559" spans="2:15" x14ac:dyDescent="0.2">
      <c r="B1559">
        <v>1544</v>
      </c>
      <c r="C1559" s="48">
        <f t="shared" ca="1" si="100"/>
        <v>0.293211577360808</v>
      </c>
      <c r="D1559" s="48">
        <f t="shared" ca="1" si="97"/>
        <v>0.68399488161201694</v>
      </c>
      <c r="E1559" s="48">
        <f t="shared" ca="1" si="98"/>
        <v>0</v>
      </c>
      <c r="F1559" s="17">
        <f t="shared" ca="1" si="99"/>
        <v>0</v>
      </c>
      <c r="H1559" s="17">
        <v>1544</v>
      </c>
      <c r="I1559" s="43">
        <v>0.66793680849433723</v>
      </c>
      <c r="J1559" s="43">
        <v>1.8786646737010769E-2</v>
      </c>
      <c r="K1559" s="43"/>
      <c r="L1559" s="43">
        <v>0.24640000000000001</v>
      </c>
      <c r="O1559" s="50"/>
    </row>
    <row r="1560" spans="2:15" x14ac:dyDescent="0.2">
      <c r="B1560">
        <v>1545</v>
      </c>
      <c r="C1560" s="48">
        <f t="shared" ca="1" si="100"/>
        <v>-0.58316194345623051</v>
      </c>
      <c r="D1560" s="48">
        <f t="shared" ca="1" si="97"/>
        <v>0.6273791021858014</v>
      </c>
      <c r="E1560" s="48">
        <f t="shared" ca="1" si="98"/>
        <v>0</v>
      </c>
      <c r="F1560" s="17">
        <f t="shared" ca="1" si="99"/>
        <v>0</v>
      </c>
      <c r="H1560" s="17">
        <v>1545</v>
      </c>
      <c r="I1560" s="43">
        <v>0.66906790043671449</v>
      </c>
      <c r="J1560" s="43">
        <v>1.9516366034000653E-2</v>
      </c>
      <c r="K1560" s="43"/>
      <c r="L1560" s="43">
        <v>0.25259999999999999</v>
      </c>
      <c r="O1560" s="50"/>
    </row>
    <row r="1561" spans="2:15" x14ac:dyDescent="0.2">
      <c r="B1561">
        <v>1546</v>
      </c>
      <c r="C1561" s="48">
        <f t="shared" ca="1" si="100"/>
        <v>-0.35456291248942684</v>
      </c>
      <c r="D1561" s="48">
        <f t="shared" ca="1" si="97"/>
        <v>0.64167887680056679</v>
      </c>
      <c r="E1561" s="48">
        <f t="shared" ca="1" si="98"/>
        <v>0</v>
      </c>
      <c r="F1561" s="17">
        <f t="shared" ca="1" si="99"/>
        <v>0</v>
      </c>
      <c r="H1561" s="17">
        <v>1546</v>
      </c>
      <c r="I1561" s="43">
        <v>0.66821813757487269</v>
      </c>
      <c r="J1561" s="43">
        <v>1.8667346385464505E-2</v>
      </c>
      <c r="K1561" s="43"/>
      <c r="L1561" s="43">
        <v>0.25280000000000002</v>
      </c>
      <c r="O1561" s="50"/>
    </row>
    <row r="1562" spans="2:15" x14ac:dyDescent="0.2">
      <c r="B1562">
        <v>1547</v>
      </c>
      <c r="C1562" s="48">
        <f t="shared" ca="1" si="100"/>
        <v>0.18678814119762266</v>
      </c>
      <c r="D1562" s="48">
        <f t="shared" ca="1" si="97"/>
        <v>0.67685591207144802</v>
      </c>
      <c r="E1562" s="48">
        <f t="shared" ca="1" si="98"/>
        <v>0</v>
      </c>
      <c r="F1562" s="17">
        <f t="shared" ca="1" si="99"/>
        <v>0</v>
      </c>
      <c r="H1562" s="17">
        <v>1547</v>
      </c>
      <c r="I1562" s="43">
        <v>0.66884368445124198</v>
      </c>
      <c r="J1562" s="43">
        <v>1.9120185969112823E-2</v>
      </c>
      <c r="K1562" s="43"/>
      <c r="L1562" s="43">
        <v>0.25700000000000001</v>
      </c>
      <c r="O1562" s="50"/>
    </row>
    <row r="1563" spans="2:15" x14ac:dyDescent="0.2">
      <c r="B1563">
        <v>1548</v>
      </c>
      <c r="C1563" s="48">
        <f t="shared" ca="1" si="100"/>
        <v>-0.82614248305057103</v>
      </c>
      <c r="D1563" s="48">
        <f t="shared" ca="1" si="97"/>
        <v>0.61252891533130283</v>
      </c>
      <c r="E1563" s="48">
        <f t="shared" ca="1" si="98"/>
        <v>0</v>
      </c>
      <c r="F1563" s="17">
        <f t="shared" ca="1" si="99"/>
        <v>0</v>
      </c>
      <c r="H1563" s="17">
        <v>1548</v>
      </c>
      <c r="I1563" s="43">
        <v>0.66860182920903211</v>
      </c>
      <c r="J1563" s="43">
        <v>1.946917631963822E-2</v>
      </c>
      <c r="K1563" s="43"/>
      <c r="L1563" s="43">
        <v>0.25580000000000003</v>
      </c>
      <c r="O1563" s="50"/>
    </row>
    <row r="1564" spans="2:15" x14ac:dyDescent="0.2">
      <c r="B1564">
        <v>1549</v>
      </c>
      <c r="C1564" s="48">
        <f t="shared" ca="1" si="100"/>
        <v>-0.31980232982377677</v>
      </c>
      <c r="D1564" s="48">
        <f t="shared" ca="1" si="97"/>
        <v>0.64388165555063515</v>
      </c>
      <c r="E1564" s="48">
        <f t="shared" ca="1" si="98"/>
        <v>0</v>
      </c>
      <c r="F1564" s="17">
        <f t="shared" ca="1" si="99"/>
        <v>0</v>
      </c>
      <c r="H1564" s="17">
        <v>1549</v>
      </c>
      <c r="I1564" s="43">
        <v>0.66962856569897411</v>
      </c>
      <c r="J1564" s="43">
        <v>1.9845718735336203E-2</v>
      </c>
      <c r="K1564" s="43"/>
      <c r="L1564" s="43">
        <v>0.253</v>
      </c>
      <c r="O1564" s="50"/>
    </row>
    <row r="1565" spans="2:15" x14ac:dyDescent="0.2">
      <c r="B1565">
        <v>1550</v>
      </c>
      <c r="C1565" s="48">
        <f t="shared" ca="1" si="100"/>
        <v>-0.87330223402347029</v>
      </c>
      <c r="D1565" s="48">
        <f t="shared" ca="1" si="97"/>
        <v>0.60968765770739763</v>
      </c>
      <c r="E1565" s="48">
        <f t="shared" ca="1" si="98"/>
        <v>0</v>
      </c>
      <c r="F1565" s="17">
        <f t="shared" ca="1" si="99"/>
        <v>0</v>
      </c>
      <c r="H1565" s="17">
        <v>1550</v>
      </c>
      <c r="I1565" s="43">
        <v>0.66764140841630737</v>
      </c>
      <c r="J1565" s="43">
        <v>1.8358710543836098E-2</v>
      </c>
      <c r="K1565" s="43"/>
      <c r="L1565" s="43">
        <v>0.2404</v>
      </c>
      <c r="O1565" s="50"/>
    </row>
    <row r="1566" spans="2:15" x14ac:dyDescent="0.2">
      <c r="B1566">
        <v>1551</v>
      </c>
      <c r="C1566" s="48">
        <f t="shared" ca="1" si="100"/>
        <v>0.62683596889939386</v>
      </c>
      <c r="D1566" s="48">
        <f t="shared" ca="1" si="97"/>
        <v>0.70686635660243557</v>
      </c>
      <c r="E1566" s="48">
        <f t="shared" ca="1" si="98"/>
        <v>0</v>
      </c>
      <c r="F1566" s="17">
        <f t="shared" ca="1" si="99"/>
        <v>0</v>
      </c>
      <c r="H1566" s="17">
        <v>1551</v>
      </c>
      <c r="I1566" s="43">
        <v>0.66771335337128634</v>
      </c>
      <c r="J1566" s="43">
        <v>1.8237527687545652E-2</v>
      </c>
      <c r="K1566" s="43"/>
      <c r="L1566" s="43">
        <v>0.24379999999999999</v>
      </c>
      <c r="O1566" s="50"/>
    </row>
    <row r="1567" spans="2:15" x14ac:dyDescent="0.2">
      <c r="B1567">
        <v>1552</v>
      </c>
      <c r="C1567" s="48">
        <f t="shared" ca="1" si="100"/>
        <v>0.48446793340575545</v>
      </c>
      <c r="D1567" s="48">
        <f t="shared" ca="1" si="97"/>
        <v>0.69701429145220939</v>
      </c>
      <c r="E1567" s="48">
        <f t="shared" ca="1" si="98"/>
        <v>0</v>
      </c>
      <c r="F1567" s="17">
        <f t="shared" ca="1" si="99"/>
        <v>0</v>
      </c>
      <c r="H1567" s="17">
        <v>1552</v>
      </c>
      <c r="I1567" s="43">
        <v>0.66869008523992701</v>
      </c>
      <c r="J1567" s="43">
        <v>1.9103863204005818E-2</v>
      </c>
      <c r="K1567" s="43"/>
      <c r="L1567" s="43">
        <v>0.24660000000000001</v>
      </c>
      <c r="O1567" s="50"/>
    </row>
    <row r="1568" spans="2:15" x14ac:dyDescent="0.2">
      <c r="B1568">
        <v>1553</v>
      </c>
      <c r="C1568" s="48">
        <f t="shared" ca="1" si="100"/>
        <v>-0.40976082596006064</v>
      </c>
      <c r="D1568" s="48">
        <f t="shared" ca="1" si="97"/>
        <v>0.63819645811759684</v>
      </c>
      <c r="E1568" s="48">
        <f t="shared" ca="1" si="98"/>
        <v>0</v>
      </c>
      <c r="F1568" s="17">
        <f t="shared" ca="1" si="99"/>
        <v>0</v>
      </c>
      <c r="H1568" s="17">
        <v>1553</v>
      </c>
      <c r="I1568" s="43">
        <v>0.66964075033987169</v>
      </c>
      <c r="J1568" s="43">
        <v>1.9581210965612557E-2</v>
      </c>
      <c r="K1568" s="43"/>
      <c r="L1568" s="43">
        <v>0.24640000000000001</v>
      </c>
      <c r="O1568" s="50"/>
    </row>
    <row r="1569" spans="2:15" x14ac:dyDescent="0.2">
      <c r="B1569">
        <v>1554</v>
      </c>
      <c r="C1569" s="48">
        <f t="shared" ca="1" si="100"/>
        <v>2.5842174309006122E-2</v>
      </c>
      <c r="D1569" s="48">
        <f t="shared" ca="1" si="97"/>
        <v>0.66620082334246677</v>
      </c>
      <c r="E1569" s="48">
        <f t="shared" ca="1" si="98"/>
        <v>0</v>
      </c>
      <c r="F1569" s="17">
        <f t="shared" ca="1" si="99"/>
        <v>0</v>
      </c>
      <c r="H1569" s="17">
        <v>1554</v>
      </c>
      <c r="I1569" s="43">
        <v>0.66882109803080669</v>
      </c>
      <c r="J1569" s="43">
        <v>1.9177251865979468E-2</v>
      </c>
      <c r="K1569" s="43"/>
      <c r="L1569" s="43">
        <v>0.25140000000000001</v>
      </c>
      <c r="O1569" s="50"/>
    </row>
    <row r="1570" spans="2:15" x14ac:dyDescent="0.2">
      <c r="B1570">
        <v>1555</v>
      </c>
      <c r="C1570" s="48">
        <f t="shared" ca="1" si="100"/>
        <v>-0.90247129829433526</v>
      </c>
      <c r="D1570" s="48">
        <f t="shared" ca="1" si="97"/>
        <v>0.60793689486888058</v>
      </c>
      <c r="E1570" s="48">
        <f t="shared" ca="1" si="98"/>
        <v>0</v>
      </c>
      <c r="F1570" s="17">
        <f t="shared" ca="1" si="99"/>
        <v>0</v>
      </c>
      <c r="H1570" s="17">
        <v>1555</v>
      </c>
      <c r="I1570" s="43">
        <v>0.67021551028495763</v>
      </c>
      <c r="J1570" s="43">
        <v>2.0292889953874526E-2</v>
      </c>
      <c r="K1570" s="43"/>
      <c r="L1570" s="43">
        <v>0.25659999999999999</v>
      </c>
      <c r="O1570" s="50"/>
    </row>
    <row r="1571" spans="2:15" x14ac:dyDescent="0.2">
      <c r="B1571">
        <v>1556</v>
      </c>
      <c r="C1571" s="48">
        <f t="shared" ca="1" si="100"/>
        <v>-1.5196681071389107</v>
      </c>
      <c r="D1571" s="48">
        <f t="shared" ca="1" si="97"/>
        <v>0.57204817709753197</v>
      </c>
      <c r="E1571" s="48">
        <f t="shared" ca="1" si="98"/>
        <v>0</v>
      </c>
      <c r="F1571" s="17">
        <f t="shared" ca="1" si="99"/>
        <v>0</v>
      </c>
      <c r="H1571" s="17">
        <v>1556</v>
      </c>
      <c r="I1571" s="43">
        <v>0.66834747840248976</v>
      </c>
      <c r="J1571" s="43">
        <v>1.9107674528161062E-2</v>
      </c>
      <c r="K1571" s="43"/>
      <c r="L1571" s="43">
        <v>0.2472</v>
      </c>
      <c r="O1571" s="50"/>
    </row>
    <row r="1572" spans="2:15" x14ac:dyDescent="0.2">
      <c r="B1572">
        <v>1557</v>
      </c>
      <c r="C1572" s="48">
        <f t="shared" ca="1" si="100"/>
        <v>-1.1681163317353092</v>
      </c>
      <c r="D1572" s="48">
        <f t="shared" ca="1" si="97"/>
        <v>0.59222214743936807</v>
      </c>
      <c r="E1572" s="48">
        <f t="shared" ca="1" si="98"/>
        <v>0</v>
      </c>
      <c r="F1572" s="17">
        <f t="shared" ca="1" si="99"/>
        <v>0</v>
      </c>
      <c r="H1572" s="17">
        <v>1557</v>
      </c>
      <c r="I1572" s="43">
        <v>0.66858079156083317</v>
      </c>
      <c r="J1572" s="43">
        <v>1.9191846170933658E-2</v>
      </c>
      <c r="K1572" s="43"/>
      <c r="L1572" s="43">
        <v>0.25140000000000001</v>
      </c>
      <c r="O1572" s="50"/>
    </row>
    <row r="1573" spans="2:15" x14ac:dyDescent="0.2">
      <c r="B1573">
        <v>1558</v>
      </c>
      <c r="C1573" s="48">
        <f t="shared" ca="1" si="100"/>
        <v>-0.23048210553089621</v>
      </c>
      <c r="D1573" s="48">
        <f t="shared" ca="1" si="97"/>
        <v>0.64957662171103925</v>
      </c>
      <c r="E1573" s="48">
        <f t="shared" ca="1" si="98"/>
        <v>0</v>
      </c>
      <c r="F1573" s="17">
        <f t="shared" ca="1" si="99"/>
        <v>0</v>
      </c>
      <c r="H1573" s="17">
        <v>1558</v>
      </c>
      <c r="I1573" s="43">
        <v>0.66892061914370493</v>
      </c>
      <c r="J1573" s="43">
        <v>1.9483667088045969E-2</v>
      </c>
      <c r="K1573" s="43"/>
      <c r="L1573" s="43">
        <v>0.25380000000000003</v>
      </c>
      <c r="O1573" s="50"/>
    </row>
    <row r="1574" spans="2:15" x14ac:dyDescent="0.2">
      <c r="B1574">
        <v>1559</v>
      </c>
      <c r="C1574" s="48">
        <f t="shared" ca="1" si="100"/>
        <v>0.5533315010804325</v>
      </c>
      <c r="D1574" s="48">
        <f t="shared" ca="1" si="97"/>
        <v>0.70176248034064925</v>
      </c>
      <c r="E1574" s="48">
        <f t="shared" ca="1" si="98"/>
        <v>0</v>
      </c>
      <c r="F1574" s="17">
        <f t="shared" ca="1" si="99"/>
        <v>0</v>
      </c>
      <c r="H1574" s="17">
        <v>1559</v>
      </c>
      <c r="I1574" s="43">
        <v>0.66925991295035847</v>
      </c>
      <c r="J1574" s="43">
        <v>1.962250710216034E-2</v>
      </c>
      <c r="K1574" s="43"/>
      <c r="L1574" s="43">
        <v>0.2492</v>
      </c>
      <c r="O1574" s="50"/>
    </row>
    <row r="1575" spans="2:15" x14ac:dyDescent="0.2">
      <c r="B1575">
        <v>1560</v>
      </c>
      <c r="C1575" s="48">
        <f t="shared" ca="1" si="100"/>
        <v>-0.6887830992165479</v>
      </c>
      <c r="D1575" s="48">
        <f t="shared" ca="1" si="97"/>
        <v>0.62088014749658993</v>
      </c>
      <c r="E1575" s="48">
        <f t="shared" ca="1" si="98"/>
        <v>0</v>
      </c>
      <c r="F1575" s="17">
        <f t="shared" ca="1" si="99"/>
        <v>0</v>
      </c>
      <c r="H1575" s="17">
        <v>1560</v>
      </c>
      <c r="I1575" s="43">
        <v>0.66839848242838662</v>
      </c>
      <c r="J1575" s="43">
        <v>1.8841714717213645E-2</v>
      </c>
      <c r="K1575" s="43"/>
      <c r="L1575" s="43">
        <v>0.24660000000000001</v>
      </c>
      <c r="O1575" s="50"/>
    </row>
    <row r="1576" spans="2:15" x14ac:dyDescent="0.2">
      <c r="B1576">
        <v>1561</v>
      </c>
      <c r="C1576" s="48">
        <f t="shared" ca="1" si="100"/>
        <v>-0.92878667554699779</v>
      </c>
      <c r="D1576" s="48">
        <f t="shared" ca="1" si="97"/>
        <v>0.60636172794346632</v>
      </c>
      <c r="E1576" s="48">
        <f t="shared" ca="1" si="98"/>
        <v>0</v>
      </c>
      <c r="F1576" s="17">
        <f t="shared" ca="1" si="99"/>
        <v>0</v>
      </c>
      <c r="H1576" s="17">
        <v>1561</v>
      </c>
      <c r="I1576" s="43">
        <v>0.66809756143751109</v>
      </c>
      <c r="J1576" s="43">
        <v>1.8693598247351551E-2</v>
      </c>
      <c r="K1576" s="43"/>
      <c r="L1576" s="43">
        <v>0.24279999999999999</v>
      </c>
      <c r="O1576" s="50"/>
    </row>
    <row r="1577" spans="2:15" x14ac:dyDescent="0.2">
      <c r="B1577">
        <v>1562</v>
      </c>
      <c r="C1577" s="48">
        <f t="shared" ca="1" si="100"/>
        <v>-2.2724505918629516</v>
      </c>
      <c r="D1577" s="48">
        <f t="shared" ca="1" si="97"/>
        <v>0.53113078645637135</v>
      </c>
      <c r="E1577" s="48">
        <f t="shared" ca="1" si="98"/>
        <v>0</v>
      </c>
      <c r="F1577" s="17">
        <f t="shared" ca="1" si="99"/>
        <v>0</v>
      </c>
      <c r="H1577" s="17">
        <v>1562</v>
      </c>
      <c r="I1577" s="43">
        <v>0.66913247415775223</v>
      </c>
      <c r="J1577" s="43">
        <v>1.9393208953154415E-2</v>
      </c>
      <c r="K1577" s="43"/>
      <c r="L1577" s="43">
        <v>0.25419999999999998</v>
      </c>
      <c r="O1577" s="50"/>
    </row>
    <row r="1578" spans="2:15" x14ac:dyDescent="0.2">
      <c r="B1578">
        <v>1563</v>
      </c>
      <c r="C1578" s="48">
        <f t="shared" ca="1" si="100"/>
        <v>-0.25031195111734672</v>
      </c>
      <c r="D1578" s="48">
        <f t="shared" ca="1" si="97"/>
        <v>0.6483079566164599</v>
      </c>
      <c r="E1578" s="48">
        <f t="shared" ca="1" si="98"/>
        <v>0</v>
      </c>
      <c r="F1578" s="17">
        <f t="shared" ca="1" si="99"/>
        <v>0</v>
      </c>
      <c r="H1578" s="17">
        <v>1563</v>
      </c>
      <c r="I1578" s="43">
        <v>0.66838563693662878</v>
      </c>
      <c r="J1578" s="43">
        <v>1.9116212916688323E-2</v>
      </c>
      <c r="K1578" s="43"/>
      <c r="L1578" s="43">
        <v>0.2482</v>
      </c>
      <c r="O1578" s="50"/>
    </row>
    <row r="1579" spans="2:15" x14ac:dyDescent="0.2">
      <c r="B1579">
        <v>1564</v>
      </c>
      <c r="C1579" s="48">
        <f t="shared" ca="1" si="100"/>
        <v>0.20642589135111145</v>
      </c>
      <c r="D1579" s="48">
        <f t="shared" ca="1" si="97"/>
        <v>0.67816759887788625</v>
      </c>
      <c r="E1579" s="48">
        <f t="shared" ca="1" si="98"/>
        <v>0</v>
      </c>
      <c r="F1579" s="17">
        <f t="shared" ca="1" si="99"/>
        <v>0</v>
      </c>
      <c r="H1579" s="17">
        <v>1564</v>
      </c>
      <c r="I1579" s="43">
        <v>0.66844202119644114</v>
      </c>
      <c r="J1579" s="43">
        <v>1.8971036219959297E-2</v>
      </c>
      <c r="K1579" s="43"/>
      <c r="L1579" s="43">
        <v>0.25159999999999999</v>
      </c>
      <c r="O1579" s="50"/>
    </row>
    <row r="1580" spans="2:15" x14ac:dyDescent="0.2">
      <c r="B1580">
        <v>1565</v>
      </c>
      <c r="C1580" s="48">
        <f t="shared" ca="1" si="100"/>
        <v>-2.0507912856174073</v>
      </c>
      <c r="D1580" s="48">
        <f t="shared" ca="1" si="97"/>
        <v>0.54286524591863394</v>
      </c>
      <c r="E1580" s="48">
        <f t="shared" ca="1" si="98"/>
        <v>0</v>
      </c>
      <c r="F1580" s="17">
        <f t="shared" ca="1" si="99"/>
        <v>0</v>
      </c>
      <c r="H1580" s="17">
        <v>1565</v>
      </c>
      <c r="I1580" s="43">
        <v>0.66858419606288855</v>
      </c>
      <c r="J1580" s="43">
        <v>1.8889067284931452E-2</v>
      </c>
      <c r="K1580" s="43"/>
      <c r="L1580" s="43">
        <v>0.2422</v>
      </c>
      <c r="O1580" s="50"/>
    </row>
    <row r="1581" spans="2:15" x14ac:dyDescent="0.2">
      <c r="B1581">
        <v>1566</v>
      </c>
      <c r="C1581" s="48">
        <f t="shared" ca="1" si="100"/>
        <v>1.2938472473587708</v>
      </c>
      <c r="D1581" s="48">
        <f t="shared" ca="1" si="97"/>
        <v>0.75491153742508321</v>
      </c>
      <c r="E1581" s="48">
        <f t="shared" ca="1" si="98"/>
        <v>0</v>
      </c>
      <c r="F1581" s="17">
        <f t="shared" ca="1" si="99"/>
        <v>0</v>
      </c>
      <c r="H1581" s="17">
        <v>1566</v>
      </c>
      <c r="I1581" s="43">
        <v>0.67148542922239374</v>
      </c>
      <c r="J1581" s="43">
        <v>2.1144923657030575E-2</v>
      </c>
      <c r="K1581" s="43"/>
      <c r="L1581" s="43">
        <v>0.25679999999999997</v>
      </c>
      <c r="O1581" s="50"/>
    </row>
    <row r="1582" spans="2:15" x14ac:dyDescent="0.2">
      <c r="B1582">
        <v>1567</v>
      </c>
      <c r="C1582" s="48">
        <f t="shared" ca="1" si="100"/>
        <v>0.31976230592659816</v>
      </c>
      <c r="D1582" s="48">
        <f t="shared" ca="1" si="97"/>
        <v>0.68578763081117677</v>
      </c>
      <c r="E1582" s="48">
        <f t="shared" ca="1" si="98"/>
        <v>0</v>
      </c>
      <c r="F1582" s="17">
        <f t="shared" ca="1" si="99"/>
        <v>0</v>
      </c>
      <c r="H1582" s="17">
        <v>1567</v>
      </c>
      <c r="I1582" s="43">
        <v>0.66970574407575201</v>
      </c>
      <c r="J1582" s="43">
        <v>1.9906564655877593E-2</v>
      </c>
      <c r="K1582" s="43"/>
      <c r="L1582" s="43">
        <v>0.25640000000000002</v>
      </c>
      <c r="O1582" s="50"/>
    </row>
    <row r="1583" spans="2:15" x14ac:dyDescent="0.2">
      <c r="B1583">
        <v>1568</v>
      </c>
      <c r="C1583" s="48">
        <f t="shared" ca="1" si="100"/>
        <v>0.25067994060723964</v>
      </c>
      <c r="D1583" s="48">
        <f t="shared" ca="1" si="97"/>
        <v>0.68113283653557577</v>
      </c>
      <c r="E1583" s="48">
        <f t="shared" ca="1" si="98"/>
        <v>0</v>
      </c>
      <c r="F1583" s="17">
        <f t="shared" ca="1" si="99"/>
        <v>0</v>
      </c>
      <c r="H1583" s="17">
        <v>1568</v>
      </c>
      <c r="I1583" s="43">
        <v>0.66893520379787508</v>
      </c>
      <c r="J1583" s="43">
        <v>1.9285871136851606E-2</v>
      </c>
      <c r="K1583" s="43"/>
      <c r="L1583" s="43">
        <v>0.246</v>
      </c>
      <c r="O1583" s="50"/>
    </row>
    <row r="1584" spans="2:15" x14ac:dyDescent="0.2">
      <c r="B1584">
        <v>1569</v>
      </c>
      <c r="C1584" s="48">
        <f t="shared" ca="1" si="100"/>
        <v>0.85050823724141245</v>
      </c>
      <c r="D1584" s="48">
        <f t="shared" ca="1" si="97"/>
        <v>0.72262679699888432</v>
      </c>
      <c r="E1584" s="48">
        <f t="shared" ca="1" si="98"/>
        <v>0</v>
      </c>
      <c r="F1584" s="17">
        <f t="shared" ca="1" si="99"/>
        <v>0</v>
      </c>
      <c r="H1584" s="17">
        <v>1569</v>
      </c>
      <c r="I1584" s="43">
        <v>0.66913668460635856</v>
      </c>
      <c r="J1584" s="43">
        <v>1.9101485170221522E-2</v>
      </c>
      <c r="K1584" s="43"/>
      <c r="L1584" s="43">
        <v>0.24179999999999999</v>
      </c>
      <c r="O1584" s="50"/>
    </row>
    <row r="1585" spans="2:15" x14ac:dyDescent="0.2">
      <c r="B1585">
        <v>1570</v>
      </c>
      <c r="C1585" s="48">
        <f t="shared" ca="1" si="100"/>
        <v>4.899529416121319E-2</v>
      </c>
      <c r="D1585" s="48">
        <f t="shared" ca="1" si="97"/>
        <v>0.66772323521361743</v>
      </c>
      <c r="E1585" s="48">
        <f t="shared" ca="1" si="98"/>
        <v>0</v>
      </c>
      <c r="F1585" s="17">
        <f t="shared" ca="1" si="99"/>
        <v>0</v>
      </c>
      <c r="H1585" s="17">
        <v>1570</v>
      </c>
      <c r="I1585" s="43">
        <v>0.66950124745901529</v>
      </c>
      <c r="J1585" s="43">
        <v>2.0108323756337077E-2</v>
      </c>
      <c r="K1585" s="43"/>
      <c r="L1585" s="43">
        <v>0.26</v>
      </c>
      <c r="O1585" s="50"/>
    </row>
    <row r="1586" spans="2:15" x14ac:dyDescent="0.2">
      <c r="B1586">
        <v>1571</v>
      </c>
      <c r="C1586" s="48">
        <f t="shared" ca="1" si="100"/>
        <v>1.5664644966135439</v>
      </c>
      <c r="D1586" s="48">
        <f t="shared" ca="1" si="97"/>
        <v>0.77547614257983499</v>
      </c>
      <c r="E1586" s="48">
        <f t="shared" ca="1" si="98"/>
        <v>0</v>
      </c>
      <c r="F1586" s="17">
        <f t="shared" ca="1" si="99"/>
        <v>0</v>
      </c>
      <c r="H1586" s="17">
        <v>1571</v>
      </c>
      <c r="I1586" s="43">
        <v>0.66776553314859377</v>
      </c>
      <c r="J1586" s="43">
        <v>1.8729545248170068E-2</v>
      </c>
      <c r="K1586" s="43"/>
      <c r="L1586" s="43">
        <v>0.25319999999999998</v>
      </c>
      <c r="O1586" s="50"/>
    </row>
    <row r="1587" spans="2:15" x14ac:dyDescent="0.2">
      <c r="B1587">
        <v>1572</v>
      </c>
      <c r="C1587" s="48">
        <f t="shared" ca="1" si="100"/>
        <v>-0.87195067473965371</v>
      </c>
      <c r="D1587" s="48">
        <f t="shared" ca="1" si="97"/>
        <v>0.6097689020555378</v>
      </c>
      <c r="E1587" s="48">
        <f t="shared" ca="1" si="98"/>
        <v>0</v>
      </c>
      <c r="F1587" s="17">
        <f t="shared" ca="1" si="99"/>
        <v>0</v>
      </c>
      <c r="H1587" s="17">
        <v>1572</v>
      </c>
      <c r="I1587" s="43">
        <v>0.66945167346605672</v>
      </c>
      <c r="J1587" s="43">
        <v>1.9754306383113745E-2</v>
      </c>
      <c r="K1587" s="43"/>
      <c r="L1587" s="43">
        <v>0.25719999999999998</v>
      </c>
      <c r="O1587" s="50"/>
    </row>
    <row r="1588" spans="2:15" x14ac:dyDescent="0.2">
      <c r="B1588">
        <v>1573</v>
      </c>
      <c r="C1588" s="48">
        <f t="shared" ca="1" si="100"/>
        <v>0.26654208949993136</v>
      </c>
      <c r="D1588" s="48">
        <f t="shared" ca="1" si="97"/>
        <v>0.68219883156915606</v>
      </c>
      <c r="E1588" s="48">
        <f t="shared" ca="1" si="98"/>
        <v>0</v>
      </c>
      <c r="F1588" s="17">
        <f t="shared" ca="1" si="99"/>
        <v>0</v>
      </c>
      <c r="H1588" s="17">
        <v>1573</v>
      </c>
      <c r="I1588" s="43">
        <v>0.66933569244524993</v>
      </c>
      <c r="J1588" s="43">
        <v>1.9590681961953314E-2</v>
      </c>
      <c r="K1588" s="43"/>
      <c r="L1588" s="43">
        <v>0.25</v>
      </c>
      <c r="O1588" s="50"/>
    </row>
    <row r="1589" spans="2:15" x14ac:dyDescent="0.2">
      <c r="B1589">
        <v>1574</v>
      </c>
      <c r="C1589" s="48">
        <f t="shared" ca="1" si="100"/>
        <v>0.5025442731894858</v>
      </c>
      <c r="D1589" s="48">
        <f t="shared" ca="1" si="97"/>
        <v>0.69825754851579824</v>
      </c>
      <c r="E1589" s="48">
        <f t="shared" ca="1" si="98"/>
        <v>0</v>
      </c>
      <c r="F1589" s="17">
        <f t="shared" ca="1" si="99"/>
        <v>0</v>
      </c>
      <c r="H1589" s="17">
        <v>1574</v>
      </c>
      <c r="I1589" s="43">
        <v>0.67007379618364626</v>
      </c>
      <c r="J1589" s="43">
        <v>2.0268404253228435E-2</v>
      </c>
      <c r="K1589" s="43"/>
      <c r="L1589" s="43">
        <v>0.25600000000000001</v>
      </c>
      <c r="O1589" s="50"/>
    </row>
    <row r="1590" spans="2:15" x14ac:dyDescent="0.2">
      <c r="B1590">
        <v>1575</v>
      </c>
      <c r="C1590" s="48">
        <f t="shared" ca="1" si="100"/>
        <v>-1.789608166416867</v>
      </c>
      <c r="D1590" s="48">
        <f t="shared" ca="1" si="97"/>
        <v>0.55702521382971704</v>
      </c>
      <c r="E1590" s="48">
        <f t="shared" ca="1" si="98"/>
        <v>0</v>
      </c>
      <c r="F1590" s="17">
        <f t="shared" ca="1" si="99"/>
        <v>0</v>
      </c>
      <c r="H1590" s="17">
        <v>1575</v>
      </c>
      <c r="I1590" s="43">
        <v>0.6682083919346995</v>
      </c>
      <c r="J1590" s="43">
        <v>1.8756544346321763E-2</v>
      </c>
      <c r="K1590" s="43"/>
      <c r="L1590" s="43">
        <v>0.252</v>
      </c>
      <c r="O1590" s="50"/>
    </row>
    <row r="1591" spans="2:15" x14ac:dyDescent="0.2">
      <c r="B1591">
        <v>1576</v>
      </c>
      <c r="C1591" s="48">
        <f t="shared" ca="1" si="100"/>
        <v>1.2687680540852382</v>
      </c>
      <c r="D1591" s="48">
        <f t="shared" ca="1" si="97"/>
        <v>0.75304732859368695</v>
      </c>
      <c r="E1591" s="48">
        <f t="shared" ca="1" si="98"/>
        <v>0</v>
      </c>
      <c r="F1591" s="17">
        <f t="shared" ca="1" si="99"/>
        <v>0</v>
      </c>
      <c r="H1591" s="17">
        <v>1576</v>
      </c>
      <c r="I1591" s="43">
        <v>0.66979857380376684</v>
      </c>
      <c r="J1591" s="43">
        <v>2.0369092819339706E-2</v>
      </c>
      <c r="K1591" s="43"/>
      <c r="L1591" s="43">
        <v>0.2616</v>
      </c>
      <c r="O1591" s="50"/>
    </row>
    <row r="1592" spans="2:15" x14ac:dyDescent="0.2">
      <c r="B1592">
        <v>1577</v>
      </c>
      <c r="C1592" s="48">
        <f t="shared" ca="1" si="100"/>
        <v>-6.6588667599197454E-3</v>
      </c>
      <c r="D1592" s="48">
        <f t="shared" ca="1" si="97"/>
        <v>0.66406960197510823</v>
      </c>
      <c r="E1592" s="48">
        <f t="shared" ca="1" si="98"/>
        <v>0</v>
      </c>
      <c r="F1592" s="17">
        <f t="shared" ca="1" si="99"/>
        <v>0</v>
      </c>
      <c r="H1592" s="17">
        <v>1577</v>
      </c>
      <c r="I1592" s="43">
        <v>0.66769938941017537</v>
      </c>
      <c r="J1592" s="43">
        <v>1.8683426871941508E-2</v>
      </c>
      <c r="K1592" s="43"/>
      <c r="L1592" s="43">
        <v>0.2472</v>
      </c>
      <c r="O1592" s="50"/>
    </row>
    <row r="1593" spans="2:15" x14ac:dyDescent="0.2">
      <c r="B1593">
        <v>1578</v>
      </c>
      <c r="C1593" s="48">
        <f t="shared" ca="1" si="100"/>
        <v>-1.1167982784185586</v>
      </c>
      <c r="D1593" s="48">
        <f t="shared" ca="1" si="97"/>
        <v>0.59522597929612953</v>
      </c>
      <c r="E1593" s="48">
        <f t="shared" ca="1" si="98"/>
        <v>0</v>
      </c>
      <c r="F1593" s="17">
        <f t="shared" ca="1" si="99"/>
        <v>0</v>
      </c>
      <c r="H1593" s="17">
        <v>1578</v>
      </c>
      <c r="I1593" s="43">
        <v>0.66790956873958207</v>
      </c>
      <c r="J1593" s="43">
        <v>1.8664794959097834E-2</v>
      </c>
      <c r="K1593" s="43"/>
      <c r="L1593" s="43">
        <v>0.246</v>
      </c>
      <c r="O1593" s="50"/>
    </row>
    <row r="1594" spans="2:15" x14ac:dyDescent="0.2">
      <c r="B1594">
        <v>1579</v>
      </c>
      <c r="C1594" s="48">
        <f t="shared" ca="1" si="100"/>
        <v>-1.1415885352238235</v>
      </c>
      <c r="D1594" s="48">
        <f t="shared" ca="1" si="97"/>
        <v>0.59377301807676197</v>
      </c>
      <c r="E1594" s="48">
        <f t="shared" ca="1" si="98"/>
        <v>0</v>
      </c>
      <c r="F1594" s="17">
        <f t="shared" ca="1" si="99"/>
        <v>0</v>
      </c>
      <c r="H1594" s="17">
        <v>1579</v>
      </c>
      <c r="I1594" s="43">
        <v>0.66857312829904103</v>
      </c>
      <c r="J1594" s="43">
        <v>1.9160122731814635E-2</v>
      </c>
      <c r="K1594" s="43"/>
      <c r="L1594" s="43">
        <v>0.25159999999999999</v>
      </c>
      <c r="O1594" s="50"/>
    </row>
    <row r="1595" spans="2:15" x14ac:dyDescent="0.2">
      <c r="B1595">
        <v>1580</v>
      </c>
      <c r="C1595" s="48">
        <f t="shared" ca="1" si="100"/>
        <v>-0.92373243364644009</v>
      </c>
      <c r="D1595" s="48">
        <f t="shared" ca="1" si="97"/>
        <v>0.60666394413746838</v>
      </c>
      <c r="E1595" s="48">
        <f t="shared" ca="1" si="98"/>
        <v>0</v>
      </c>
      <c r="F1595" s="17">
        <f t="shared" ca="1" si="99"/>
        <v>0</v>
      </c>
      <c r="H1595" s="17">
        <v>1580</v>
      </c>
      <c r="I1595" s="43">
        <v>0.66856658915502043</v>
      </c>
      <c r="J1595" s="43">
        <v>1.9166526528795687E-2</v>
      </c>
      <c r="K1595" s="43"/>
      <c r="L1595" s="43">
        <v>0.24640000000000001</v>
      </c>
      <c r="O1595" s="50"/>
    </row>
    <row r="1596" spans="2:15" x14ac:dyDescent="0.2">
      <c r="B1596">
        <v>1581</v>
      </c>
      <c r="C1596" s="48">
        <f t="shared" ca="1" si="100"/>
        <v>1.9989164739841707</v>
      </c>
      <c r="D1596" s="48">
        <f t="shared" ca="1" si="97"/>
        <v>0.80925297128906915</v>
      </c>
      <c r="E1596" s="48">
        <f t="shared" ca="1" si="98"/>
        <v>2.1052971289069133E-2</v>
      </c>
      <c r="F1596" s="17">
        <f t="shared" ca="1" si="99"/>
        <v>1</v>
      </c>
      <c r="H1596" s="17">
        <v>1581</v>
      </c>
      <c r="I1596" s="43">
        <v>0.66921564649230325</v>
      </c>
      <c r="J1596" s="43">
        <v>1.9342441620805499E-2</v>
      </c>
      <c r="K1596" s="43"/>
      <c r="L1596" s="43">
        <v>0.24640000000000001</v>
      </c>
      <c r="O1596" s="50"/>
    </row>
    <row r="1597" spans="2:15" x14ac:dyDescent="0.2">
      <c r="B1597">
        <v>1582</v>
      </c>
      <c r="C1597" s="48">
        <f t="shared" ca="1" si="100"/>
        <v>-1.3158201749873093</v>
      </c>
      <c r="D1597" s="48">
        <f t="shared" ca="1" si="97"/>
        <v>0.58366084272579766</v>
      </c>
      <c r="E1597" s="48">
        <f t="shared" ca="1" si="98"/>
        <v>0</v>
      </c>
      <c r="F1597" s="17">
        <f t="shared" ca="1" si="99"/>
        <v>0</v>
      </c>
      <c r="H1597" s="17">
        <v>1582</v>
      </c>
      <c r="I1597" s="43">
        <v>0.66955491981231074</v>
      </c>
      <c r="J1597" s="43">
        <v>1.993575345389384E-2</v>
      </c>
      <c r="K1597" s="43"/>
      <c r="L1597" s="43">
        <v>0.255</v>
      </c>
      <c r="O1597" s="50"/>
    </row>
    <row r="1598" spans="2:15" x14ac:dyDescent="0.2">
      <c r="B1598">
        <v>1583</v>
      </c>
      <c r="C1598" s="48">
        <f t="shared" ca="1" si="100"/>
        <v>0.88362671518987645</v>
      </c>
      <c r="D1598" s="48">
        <f t="shared" ca="1" si="97"/>
        <v>0.72499007790132142</v>
      </c>
      <c r="E1598" s="48">
        <f t="shared" ca="1" si="98"/>
        <v>0</v>
      </c>
      <c r="F1598" s="17">
        <f t="shared" ca="1" si="99"/>
        <v>0</v>
      </c>
      <c r="H1598" s="17">
        <v>1583</v>
      </c>
      <c r="I1598" s="43">
        <v>0.66766569652191721</v>
      </c>
      <c r="J1598" s="43">
        <v>1.8188455003696136E-2</v>
      </c>
      <c r="K1598" s="43"/>
      <c r="L1598" s="43">
        <v>0.24179999999999999</v>
      </c>
      <c r="O1598" s="50"/>
    </row>
    <row r="1599" spans="2:15" x14ac:dyDescent="0.2">
      <c r="B1599">
        <v>1584</v>
      </c>
      <c r="C1599" s="48">
        <f t="shared" ca="1" si="100"/>
        <v>0.13005583221343822</v>
      </c>
      <c r="D1599" s="48">
        <f t="shared" ca="1" si="97"/>
        <v>0.67308076002542905</v>
      </c>
      <c r="E1599" s="48">
        <f t="shared" ca="1" si="98"/>
        <v>0</v>
      </c>
      <c r="F1599" s="17">
        <f t="shared" ca="1" si="99"/>
        <v>0</v>
      </c>
      <c r="H1599" s="17">
        <v>1584</v>
      </c>
      <c r="I1599" s="43">
        <v>0.67059821892883242</v>
      </c>
      <c r="J1599" s="43">
        <v>2.0558535640438087E-2</v>
      </c>
      <c r="K1599" s="43"/>
      <c r="L1599" s="43">
        <v>0.253</v>
      </c>
      <c r="O1599" s="50"/>
    </row>
    <row r="1600" spans="2:15" x14ac:dyDescent="0.2">
      <c r="B1600">
        <v>1585</v>
      </c>
      <c r="C1600" s="48">
        <f t="shared" ca="1" si="100"/>
        <v>-0.61258664393097517</v>
      </c>
      <c r="D1600" s="48">
        <f t="shared" ca="1" si="97"/>
        <v>0.62556177113074762</v>
      </c>
      <c r="E1600" s="48">
        <f t="shared" ca="1" si="98"/>
        <v>0</v>
      </c>
      <c r="F1600" s="17">
        <f t="shared" ca="1" si="99"/>
        <v>0</v>
      </c>
      <c r="H1600" s="17">
        <v>1585</v>
      </c>
      <c r="I1600" s="43">
        <v>0.66983753661976864</v>
      </c>
      <c r="J1600" s="43">
        <v>1.9896626541033018E-2</v>
      </c>
      <c r="K1600" s="43"/>
      <c r="L1600" s="43">
        <v>0.25040000000000001</v>
      </c>
      <c r="O1600" s="50"/>
    </row>
    <row r="1601" spans="2:15" x14ac:dyDescent="0.2">
      <c r="B1601">
        <v>1586</v>
      </c>
      <c r="C1601" s="48">
        <f t="shared" ca="1" si="100"/>
        <v>-2.2748991239394263</v>
      </c>
      <c r="D1601" s="48">
        <f t="shared" ca="1" si="97"/>
        <v>0.53100258983579263</v>
      </c>
      <c r="E1601" s="48">
        <f t="shared" ca="1" si="98"/>
        <v>0</v>
      </c>
      <c r="F1601" s="17">
        <f t="shared" ca="1" si="99"/>
        <v>0</v>
      </c>
      <c r="H1601" s="17">
        <v>1586</v>
      </c>
      <c r="I1601" s="43">
        <v>0.66769308661551419</v>
      </c>
      <c r="J1601" s="43">
        <v>1.8702000798126873E-2</v>
      </c>
      <c r="K1601" s="43"/>
      <c r="L1601" s="43">
        <v>0.24540000000000001</v>
      </c>
      <c r="O1601" s="50"/>
    </row>
    <row r="1602" spans="2:15" x14ac:dyDescent="0.2">
      <c r="B1602">
        <v>1587</v>
      </c>
      <c r="C1602" s="48">
        <f t="shared" ca="1" si="100"/>
        <v>2.140759248184906</v>
      </c>
      <c r="D1602" s="48">
        <f t="shared" ca="1" si="97"/>
        <v>0.82064899510585188</v>
      </c>
      <c r="E1602" s="48">
        <f t="shared" ca="1" si="98"/>
        <v>3.2448995105851863E-2</v>
      </c>
      <c r="F1602" s="17">
        <f t="shared" ca="1" si="99"/>
        <v>1</v>
      </c>
      <c r="H1602" s="17">
        <v>1587</v>
      </c>
      <c r="I1602" s="43">
        <v>0.6689951886868799</v>
      </c>
      <c r="J1602" s="43">
        <v>1.9422027584790648E-2</v>
      </c>
      <c r="K1602" s="43"/>
      <c r="L1602" s="43">
        <v>0.25180000000000002</v>
      </c>
      <c r="O1602" s="50"/>
    </row>
    <row r="1603" spans="2:15" x14ac:dyDescent="0.2">
      <c r="B1603">
        <v>1588</v>
      </c>
      <c r="C1603" s="48">
        <f t="shared" ca="1" si="100"/>
        <v>0.83109903196904011</v>
      </c>
      <c r="D1603" s="48">
        <f t="shared" ca="1" si="97"/>
        <v>0.72124536952146512</v>
      </c>
      <c r="E1603" s="48">
        <f t="shared" ca="1" si="98"/>
        <v>0</v>
      </c>
      <c r="F1603" s="17">
        <f t="shared" ca="1" si="99"/>
        <v>0</v>
      </c>
      <c r="H1603" s="17">
        <v>1588</v>
      </c>
      <c r="I1603" s="43">
        <v>0.66856642304600378</v>
      </c>
      <c r="J1603" s="43">
        <v>1.902162584491458E-2</v>
      </c>
      <c r="K1603" s="43"/>
      <c r="L1603" s="43">
        <v>0.25119999999999998</v>
      </c>
      <c r="O1603" s="50"/>
    </row>
    <row r="1604" spans="2:15" x14ac:dyDescent="0.2">
      <c r="B1604">
        <v>1589</v>
      </c>
      <c r="C1604" s="48">
        <f t="shared" ca="1" si="100"/>
        <v>0.56775807432889369</v>
      </c>
      <c r="D1604" s="48">
        <f t="shared" ca="1" si="97"/>
        <v>0.70276129275435173</v>
      </c>
      <c r="E1604" s="48">
        <f t="shared" ca="1" si="98"/>
        <v>0</v>
      </c>
      <c r="F1604" s="17">
        <f t="shared" ca="1" si="99"/>
        <v>0</v>
      </c>
      <c r="H1604" s="17">
        <v>1589</v>
      </c>
      <c r="I1604" s="43">
        <v>0.66848164730394921</v>
      </c>
      <c r="J1604" s="43">
        <v>1.9006192840332593E-2</v>
      </c>
      <c r="K1604" s="43"/>
      <c r="L1604" s="43">
        <v>0.24879999999999999</v>
      </c>
      <c r="O1604" s="50"/>
    </row>
    <row r="1605" spans="2:15" x14ac:dyDescent="0.2">
      <c r="B1605">
        <v>1590</v>
      </c>
      <c r="C1605" s="48">
        <f t="shared" ca="1" si="100"/>
        <v>-1.1282222796542338</v>
      </c>
      <c r="D1605" s="48">
        <f t="shared" ca="1" si="97"/>
        <v>0.59455597544632832</v>
      </c>
      <c r="E1605" s="48">
        <f t="shared" ca="1" si="98"/>
        <v>0</v>
      </c>
      <c r="F1605" s="17">
        <f t="shared" ca="1" si="99"/>
        <v>0</v>
      </c>
      <c r="H1605" s="17">
        <v>1590</v>
      </c>
      <c r="I1605" s="43">
        <v>0.66919640388907997</v>
      </c>
      <c r="J1605" s="43">
        <v>1.9418909138120229E-2</v>
      </c>
      <c r="K1605" s="43"/>
      <c r="L1605" s="43">
        <v>0.247</v>
      </c>
      <c r="O1605" s="50"/>
    </row>
    <row r="1606" spans="2:15" x14ac:dyDescent="0.2">
      <c r="B1606">
        <v>1591</v>
      </c>
      <c r="C1606" s="48">
        <f t="shared" ca="1" si="100"/>
        <v>1.0288375964788534</v>
      </c>
      <c r="D1606" s="48">
        <f t="shared" ca="1" si="97"/>
        <v>0.73544366464604827</v>
      </c>
      <c r="E1606" s="48">
        <f t="shared" ca="1" si="98"/>
        <v>0</v>
      </c>
      <c r="F1606" s="17">
        <f t="shared" ca="1" si="99"/>
        <v>0</v>
      </c>
      <c r="H1606" s="17">
        <v>1591</v>
      </c>
      <c r="I1606" s="43">
        <v>0.66869016635766243</v>
      </c>
      <c r="J1606" s="43">
        <v>1.9245583589336993E-2</v>
      </c>
      <c r="K1606" s="43"/>
      <c r="L1606" s="43">
        <v>0.25040000000000001</v>
      </c>
      <c r="O1606" s="50"/>
    </row>
    <row r="1607" spans="2:15" x14ac:dyDescent="0.2">
      <c r="B1607">
        <v>1592</v>
      </c>
      <c r="C1607" s="48">
        <f t="shared" ca="1" si="100"/>
        <v>0.37248788092496765</v>
      </c>
      <c r="D1607" s="48">
        <f t="shared" ca="1" si="97"/>
        <v>0.68936169156649085</v>
      </c>
      <c r="E1607" s="48">
        <f t="shared" ca="1" si="98"/>
        <v>0</v>
      </c>
      <c r="F1607" s="17">
        <f t="shared" ca="1" si="99"/>
        <v>0</v>
      </c>
      <c r="H1607" s="17">
        <v>1592</v>
      </c>
      <c r="I1607" s="43">
        <v>0.66867208336671324</v>
      </c>
      <c r="J1607" s="43">
        <v>1.9144281167712645E-2</v>
      </c>
      <c r="K1607" s="43"/>
      <c r="L1607" s="43">
        <v>0.25180000000000002</v>
      </c>
      <c r="O1607" s="50"/>
    </row>
    <row r="1608" spans="2:15" x14ac:dyDescent="0.2">
      <c r="B1608">
        <v>1593</v>
      </c>
      <c r="C1608" s="48">
        <f t="shared" ca="1" si="100"/>
        <v>0.62947285772480499</v>
      </c>
      <c r="D1608" s="48">
        <f t="shared" ca="1" si="97"/>
        <v>0.7070501404349947</v>
      </c>
      <c r="E1608" s="48">
        <f t="shared" ca="1" si="98"/>
        <v>0</v>
      </c>
      <c r="F1608" s="17">
        <f t="shared" ca="1" si="99"/>
        <v>0</v>
      </c>
      <c r="H1608" s="17">
        <v>1593</v>
      </c>
      <c r="I1608" s="43">
        <v>0.66897118327218463</v>
      </c>
      <c r="J1608" s="43">
        <v>1.9265757402115204E-2</v>
      </c>
      <c r="K1608" s="43"/>
      <c r="L1608" s="43">
        <v>0.24940000000000001</v>
      </c>
      <c r="O1608" s="50"/>
    </row>
    <row r="1609" spans="2:15" x14ac:dyDescent="0.2">
      <c r="B1609">
        <v>1594</v>
      </c>
      <c r="C1609" s="48">
        <f t="shared" ca="1" si="100"/>
        <v>-0.94177370100610536</v>
      </c>
      <c r="D1609" s="48">
        <f t="shared" ca="1" si="97"/>
        <v>0.60558586466399111</v>
      </c>
      <c r="E1609" s="48">
        <f t="shared" ca="1" si="98"/>
        <v>0</v>
      </c>
      <c r="F1609" s="17">
        <f t="shared" ca="1" si="99"/>
        <v>0</v>
      </c>
      <c r="H1609" s="17">
        <v>1594</v>
      </c>
      <c r="I1609" s="43">
        <v>0.66795863248547571</v>
      </c>
      <c r="J1609" s="43">
        <v>1.8745878066253756E-2</v>
      </c>
      <c r="K1609" s="43"/>
      <c r="L1609" s="43">
        <v>0.24679999999999999</v>
      </c>
      <c r="O1609" s="50"/>
    </row>
    <row r="1610" spans="2:15" x14ac:dyDescent="0.2">
      <c r="B1610">
        <v>1595</v>
      </c>
      <c r="C1610" s="48">
        <f t="shared" ca="1" si="100"/>
        <v>0.55252243659162137</v>
      </c>
      <c r="D1610" s="48">
        <f t="shared" ca="1" si="97"/>
        <v>0.70170650745659768</v>
      </c>
      <c r="E1610" s="48">
        <f t="shared" ca="1" si="98"/>
        <v>0</v>
      </c>
      <c r="F1610" s="17">
        <f t="shared" ca="1" si="99"/>
        <v>0</v>
      </c>
      <c r="H1610" s="17">
        <v>1595</v>
      </c>
      <c r="I1610" s="43">
        <v>0.66918603746509708</v>
      </c>
      <c r="J1610" s="43">
        <v>1.9425666134986523E-2</v>
      </c>
      <c r="K1610" s="43"/>
      <c r="L1610" s="43">
        <v>0.2472</v>
      </c>
      <c r="O1610" s="50"/>
    </row>
    <row r="1611" spans="2:15" x14ac:dyDescent="0.2">
      <c r="B1611">
        <v>1596</v>
      </c>
      <c r="C1611" s="48">
        <f t="shared" ca="1" si="100"/>
        <v>1.4577692353998302</v>
      </c>
      <c r="D1611" s="48">
        <f t="shared" ca="1" si="97"/>
        <v>0.76721051368706783</v>
      </c>
      <c r="E1611" s="48">
        <f t="shared" ca="1" si="98"/>
        <v>0</v>
      </c>
      <c r="F1611" s="17">
        <f t="shared" ca="1" si="99"/>
        <v>0</v>
      </c>
      <c r="H1611" s="17">
        <v>1596</v>
      </c>
      <c r="I1611" s="43">
        <v>0.66790611162852487</v>
      </c>
      <c r="J1611" s="43">
        <v>1.8389262187876756E-2</v>
      </c>
      <c r="K1611" s="43"/>
      <c r="L1611" s="43">
        <v>0.24340000000000001</v>
      </c>
      <c r="O1611" s="50"/>
    </row>
    <row r="1612" spans="2:15" x14ac:dyDescent="0.2">
      <c r="B1612">
        <v>1597</v>
      </c>
      <c r="C1612" s="48">
        <f t="shared" ca="1" si="100"/>
        <v>-0.62043279664738282</v>
      </c>
      <c r="D1612" s="48">
        <f t="shared" ca="1" si="97"/>
        <v>0.62507806597281479</v>
      </c>
      <c r="E1612" s="48">
        <f t="shared" ca="1" si="98"/>
        <v>0</v>
      </c>
      <c r="F1612" s="17">
        <f t="shared" ca="1" si="99"/>
        <v>0</v>
      </c>
      <c r="H1612" s="17">
        <v>1597</v>
      </c>
      <c r="I1612" s="43">
        <v>0.66836951864216476</v>
      </c>
      <c r="J1612" s="43">
        <v>1.9088923707935735E-2</v>
      </c>
      <c r="K1612" s="43"/>
      <c r="L1612" s="43">
        <v>0.25059999999999999</v>
      </c>
      <c r="O1612" s="50"/>
    </row>
    <row r="1613" spans="2:15" x14ac:dyDescent="0.2">
      <c r="B1613">
        <v>1598</v>
      </c>
      <c r="C1613" s="48">
        <f t="shared" ca="1" si="100"/>
        <v>0.67898988838075247</v>
      </c>
      <c r="D1613" s="48">
        <f t="shared" ca="1" si="97"/>
        <v>0.71051022743633208</v>
      </c>
      <c r="E1613" s="48">
        <f t="shared" ca="1" si="98"/>
        <v>0</v>
      </c>
      <c r="F1613" s="17">
        <f t="shared" ca="1" si="99"/>
        <v>0</v>
      </c>
      <c r="H1613" s="17">
        <v>1598</v>
      </c>
      <c r="I1613" s="43">
        <v>0.66925880968891105</v>
      </c>
      <c r="J1613" s="43">
        <v>1.9532112430134009E-2</v>
      </c>
      <c r="K1613" s="43"/>
      <c r="L1613" s="43">
        <v>0.246</v>
      </c>
      <c r="O1613" s="50"/>
    </row>
    <row r="1614" spans="2:15" x14ac:dyDescent="0.2">
      <c r="B1614">
        <v>1599</v>
      </c>
      <c r="C1614" s="48">
        <f t="shared" ca="1" si="100"/>
        <v>-1.432128686664969</v>
      </c>
      <c r="D1614" s="48">
        <f t="shared" ca="1" si="97"/>
        <v>0.57700648377803632</v>
      </c>
      <c r="E1614" s="48">
        <f t="shared" ca="1" si="98"/>
        <v>0</v>
      </c>
      <c r="F1614" s="17">
        <f t="shared" ca="1" si="99"/>
        <v>0</v>
      </c>
      <c r="H1614" s="17">
        <v>1599</v>
      </c>
      <c r="I1614" s="43">
        <v>0.66783037390575761</v>
      </c>
      <c r="J1614" s="43">
        <v>1.803342147413288E-2</v>
      </c>
      <c r="K1614" s="43"/>
      <c r="L1614" s="43">
        <v>0.23180000000000001</v>
      </c>
      <c r="O1614" s="50"/>
    </row>
    <row r="1615" spans="2:15" x14ac:dyDescent="0.2">
      <c r="B1615">
        <v>1600</v>
      </c>
      <c r="C1615" s="48">
        <f t="shared" ca="1" si="100"/>
        <v>-0.60909818545004824</v>
      </c>
      <c r="D1615" s="48">
        <f t="shared" ca="1" si="97"/>
        <v>0.62577695026835334</v>
      </c>
      <c r="E1615" s="48">
        <f t="shared" ca="1" si="98"/>
        <v>0</v>
      </c>
      <c r="F1615" s="17">
        <f t="shared" ca="1" si="99"/>
        <v>0</v>
      </c>
      <c r="H1615" s="17">
        <v>1600</v>
      </c>
      <c r="I1615" s="43">
        <v>0.66823147523990378</v>
      </c>
      <c r="J1615" s="43">
        <v>1.8928731943343245E-2</v>
      </c>
      <c r="K1615" s="43"/>
      <c r="L1615" s="43">
        <v>0.25459999999999999</v>
      </c>
      <c r="O1615" s="50"/>
    </row>
    <row r="1616" spans="2:15" x14ac:dyDescent="0.2">
      <c r="B1616">
        <v>1601</v>
      </c>
      <c r="C1616" s="48">
        <f t="shared" ca="1" si="100"/>
        <v>2.0281794923346166E-2</v>
      </c>
      <c r="D1616" s="48">
        <f t="shared" ref="D1616:D1679" ca="1" si="101">S0*EXP((μ-0.5*σ*σ)*T+σ*SQRT(T)*$C1616)</f>
        <v>0.66583572296742433</v>
      </c>
      <c r="E1616" s="48">
        <f t="shared" ref="E1616:E1679" ca="1" si="102">MAX(0,CP*(D1616-K))</f>
        <v>0</v>
      </c>
      <c r="F1616" s="17">
        <f t="shared" ref="F1616:F1679" ca="1" si="103">(CP*(D1616-K)&gt;0)*1</f>
        <v>0</v>
      </c>
      <c r="H1616" s="17">
        <v>1601</v>
      </c>
      <c r="I1616" s="43">
        <v>0.66912646860380764</v>
      </c>
      <c r="J1616" s="43">
        <v>1.9695759404140232E-2</v>
      </c>
      <c r="K1616" s="43"/>
      <c r="L1616" s="43">
        <v>0.25359999999999999</v>
      </c>
      <c r="O1616" s="50"/>
    </row>
    <row r="1617" spans="2:15" x14ac:dyDescent="0.2">
      <c r="B1617">
        <v>1602</v>
      </c>
      <c r="C1617" s="48">
        <f t="shared" ref="C1617:C1680" ca="1" si="104">_xlfn.NORM.S.INV(RAND())</f>
        <v>1.1994892529814611</v>
      </c>
      <c r="D1617" s="48">
        <f t="shared" ca="1" si="101"/>
        <v>0.74792152359840969</v>
      </c>
      <c r="E1617" s="48">
        <f t="shared" ca="1" si="102"/>
        <v>0</v>
      </c>
      <c r="F1617" s="17">
        <f t="shared" ca="1" si="103"/>
        <v>0</v>
      </c>
      <c r="H1617" s="17">
        <v>1602</v>
      </c>
      <c r="I1617" s="43">
        <v>0.66962991371339797</v>
      </c>
      <c r="J1617" s="43">
        <v>1.9703673368500468E-2</v>
      </c>
      <c r="K1617" s="43"/>
      <c r="L1617" s="43">
        <v>0.255</v>
      </c>
      <c r="O1617" s="50"/>
    </row>
    <row r="1618" spans="2:15" x14ac:dyDescent="0.2">
      <c r="B1618">
        <v>1603</v>
      </c>
      <c r="C1618" s="48">
        <f t="shared" ca="1" si="104"/>
        <v>0.66796450548693587</v>
      </c>
      <c r="D1618" s="48">
        <f t="shared" ca="1" si="101"/>
        <v>0.70973834754848653</v>
      </c>
      <c r="E1618" s="48">
        <f t="shared" ca="1" si="102"/>
        <v>0</v>
      </c>
      <c r="F1618" s="17">
        <f t="shared" ca="1" si="103"/>
        <v>0</v>
      </c>
      <c r="H1618" s="17">
        <v>1603</v>
      </c>
      <c r="I1618" s="43">
        <v>0.66876052513931095</v>
      </c>
      <c r="J1618" s="43">
        <v>1.9014771725461656E-2</v>
      </c>
      <c r="K1618" s="43"/>
      <c r="L1618" s="43">
        <v>0.2442</v>
      </c>
      <c r="O1618" s="50"/>
    </row>
    <row r="1619" spans="2:15" x14ac:dyDescent="0.2">
      <c r="B1619">
        <v>1604</v>
      </c>
      <c r="C1619" s="48">
        <f t="shared" ca="1" si="104"/>
        <v>0.71950455851027184</v>
      </c>
      <c r="D1619" s="48">
        <f t="shared" ca="1" si="101"/>
        <v>0.71335385023930153</v>
      </c>
      <c r="E1619" s="48">
        <f t="shared" ca="1" si="102"/>
        <v>0</v>
      </c>
      <c r="F1619" s="17">
        <f t="shared" ca="1" si="103"/>
        <v>0</v>
      </c>
      <c r="H1619" s="17">
        <v>1604</v>
      </c>
      <c r="I1619" s="43">
        <v>0.66792553520216258</v>
      </c>
      <c r="J1619" s="43">
        <v>1.8717664664665731E-2</v>
      </c>
      <c r="K1619" s="43"/>
      <c r="L1619" s="43">
        <v>0.2452</v>
      </c>
      <c r="O1619" s="50"/>
    </row>
    <row r="1620" spans="2:15" x14ac:dyDescent="0.2">
      <c r="B1620">
        <v>1605</v>
      </c>
      <c r="C1620" s="48">
        <f t="shared" ca="1" si="104"/>
        <v>0.7297294742115269</v>
      </c>
      <c r="D1620" s="48">
        <f t="shared" ca="1" si="101"/>
        <v>0.71407330812935232</v>
      </c>
      <c r="E1620" s="48">
        <f t="shared" ca="1" si="102"/>
        <v>0</v>
      </c>
      <c r="F1620" s="17">
        <f t="shared" ca="1" si="103"/>
        <v>0</v>
      </c>
      <c r="H1620" s="17">
        <v>1605</v>
      </c>
      <c r="I1620" s="43">
        <v>0.67037550353932929</v>
      </c>
      <c r="J1620" s="43">
        <v>2.0537581440939656E-2</v>
      </c>
      <c r="K1620" s="43"/>
      <c r="L1620" s="43">
        <v>0.25580000000000003</v>
      </c>
      <c r="O1620" s="50"/>
    </row>
    <row r="1621" spans="2:15" x14ac:dyDescent="0.2">
      <c r="B1621">
        <v>1606</v>
      </c>
      <c r="C1621" s="48">
        <f t="shared" ca="1" si="104"/>
        <v>0.64145557701792388</v>
      </c>
      <c r="D1621" s="48">
        <f t="shared" ca="1" si="101"/>
        <v>0.70788590483930991</v>
      </c>
      <c r="E1621" s="48">
        <f t="shared" ca="1" si="102"/>
        <v>0</v>
      </c>
      <c r="F1621" s="17">
        <f t="shared" ca="1" si="103"/>
        <v>0</v>
      </c>
      <c r="H1621" s="17">
        <v>1606</v>
      </c>
      <c r="I1621" s="43">
        <v>0.66897357476037034</v>
      </c>
      <c r="J1621" s="43">
        <v>1.9367925697001756E-2</v>
      </c>
      <c r="K1621" s="43"/>
      <c r="L1621" s="43">
        <v>0.25059999999999999</v>
      </c>
      <c r="O1621" s="50"/>
    </row>
    <row r="1622" spans="2:15" x14ac:dyDescent="0.2">
      <c r="B1622">
        <v>1607</v>
      </c>
      <c r="C1622" s="48">
        <f t="shared" ca="1" si="104"/>
        <v>-0.92919200935601165</v>
      </c>
      <c r="D1622" s="48">
        <f t="shared" ca="1" si="101"/>
        <v>0.60633749770686229</v>
      </c>
      <c r="E1622" s="48">
        <f t="shared" ca="1" si="102"/>
        <v>0</v>
      </c>
      <c r="F1622" s="17">
        <f t="shared" ca="1" si="103"/>
        <v>0</v>
      </c>
      <c r="H1622" s="17">
        <v>1607</v>
      </c>
      <c r="I1622" s="43">
        <v>0.66738125060163611</v>
      </c>
      <c r="J1622" s="43">
        <v>1.7965702245929086E-2</v>
      </c>
      <c r="K1622" s="43"/>
      <c r="L1622" s="43">
        <v>0.23880000000000001</v>
      </c>
      <c r="O1622" s="50"/>
    </row>
    <row r="1623" spans="2:15" x14ac:dyDescent="0.2">
      <c r="B1623">
        <v>1608</v>
      </c>
      <c r="C1623" s="48">
        <f t="shared" ca="1" si="104"/>
        <v>0.98876328930937019</v>
      </c>
      <c r="D1623" s="48">
        <f t="shared" ca="1" si="101"/>
        <v>0.7325437879878598</v>
      </c>
      <c r="E1623" s="48">
        <f t="shared" ca="1" si="102"/>
        <v>0</v>
      </c>
      <c r="F1623" s="17">
        <f t="shared" ca="1" si="103"/>
        <v>0</v>
      </c>
      <c r="H1623" s="17">
        <v>1608</v>
      </c>
      <c r="I1623" s="43">
        <v>0.66859145337482839</v>
      </c>
      <c r="J1623" s="43">
        <v>1.9108096473881099E-2</v>
      </c>
      <c r="K1623" s="43"/>
      <c r="L1623" s="43">
        <v>0.24679999999999999</v>
      </c>
      <c r="O1623" s="50"/>
    </row>
    <row r="1624" spans="2:15" x14ac:dyDescent="0.2">
      <c r="B1624">
        <v>1609</v>
      </c>
      <c r="C1624" s="48">
        <f t="shared" ca="1" si="104"/>
        <v>-1.213983982311494</v>
      </c>
      <c r="D1624" s="48">
        <f t="shared" ca="1" si="101"/>
        <v>0.58955017917172026</v>
      </c>
      <c r="E1624" s="48">
        <f t="shared" ca="1" si="102"/>
        <v>0</v>
      </c>
      <c r="F1624" s="17">
        <f t="shared" ca="1" si="103"/>
        <v>0</v>
      </c>
      <c r="H1624" s="17">
        <v>1609</v>
      </c>
      <c r="I1624" s="43">
        <v>0.66809849117829234</v>
      </c>
      <c r="J1624" s="43">
        <v>1.8761047444163084E-2</v>
      </c>
      <c r="K1624" s="43"/>
      <c r="L1624" s="43">
        <v>0.247</v>
      </c>
      <c r="O1624" s="50"/>
    </row>
    <row r="1625" spans="2:15" x14ac:dyDescent="0.2">
      <c r="B1625">
        <v>1610</v>
      </c>
      <c r="C1625" s="48">
        <f t="shared" ca="1" si="104"/>
        <v>-1.7686439801445639</v>
      </c>
      <c r="D1625" s="48">
        <f t="shared" ca="1" si="101"/>
        <v>0.55817766746711428</v>
      </c>
      <c r="E1625" s="48">
        <f t="shared" ca="1" si="102"/>
        <v>0</v>
      </c>
      <c r="F1625" s="17">
        <f t="shared" ca="1" si="103"/>
        <v>0</v>
      </c>
      <c r="H1625" s="17">
        <v>1610</v>
      </c>
      <c r="I1625" s="43">
        <v>0.66930770008255003</v>
      </c>
      <c r="J1625" s="43">
        <v>1.9233499082936156E-2</v>
      </c>
      <c r="K1625" s="43"/>
      <c r="L1625" s="43">
        <v>0.25140000000000001</v>
      </c>
      <c r="O1625" s="50"/>
    </row>
    <row r="1626" spans="2:15" x14ac:dyDescent="0.2">
      <c r="B1626">
        <v>1611</v>
      </c>
      <c r="C1626" s="48">
        <f t="shared" ca="1" si="104"/>
        <v>0.69543157907658149</v>
      </c>
      <c r="D1626" s="48">
        <f t="shared" ca="1" si="101"/>
        <v>0.71166285913615956</v>
      </c>
      <c r="E1626" s="48">
        <f t="shared" ca="1" si="102"/>
        <v>0</v>
      </c>
      <c r="F1626" s="17">
        <f t="shared" ca="1" si="103"/>
        <v>0</v>
      </c>
      <c r="H1626" s="17">
        <v>1611</v>
      </c>
      <c r="I1626" s="43">
        <v>0.66920048173941282</v>
      </c>
      <c r="J1626" s="43">
        <v>1.9675609313298887E-2</v>
      </c>
      <c r="K1626" s="43"/>
      <c r="L1626" s="43">
        <v>0.25640000000000002</v>
      </c>
      <c r="O1626" s="50"/>
    </row>
    <row r="1627" spans="2:15" x14ac:dyDescent="0.2">
      <c r="B1627">
        <v>1612</v>
      </c>
      <c r="C1627" s="48">
        <f t="shared" ca="1" si="104"/>
        <v>0.48315346030602435</v>
      </c>
      <c r="D1627" s="48">
        <f t="shared" ca="1" si="101"/>
        <v>0.69692397082051716</v>
      </c>
      <c r="E1627" s="48">
        <f t="shared" ca="1" si="102"/>
        <v>0</v>
      </c>
      <c r="F1627" s="17">
        <f t="shared" ca="1" si="103"/>
        <v>0</v>
      </c>
      <c r="H1627" s="17">
        <v>1612</v>
      </c>
      <c r="I1627" s="43">
        <v>0.66942211794748741</v>
      </c>
      <c r="J1627" s="43">
        <v>1.9562289146342032E-2</v>
      </c>
      <c r="K1627" s="43"/>
      <c r="L1627" s="43">
        <v>0.25159999999999999</v>
      </c>
      <c r="O1627" s="50"/>
    </row>
    <row r="1628" spans="2:15" x14ac:dyDescent="0.2">
      <c r="B1628">
        <v>1613</v>
      </c>
      <c r="C1628" s="48">
        <f t="shared" ca="1" si="104"/>
        <v>0.32884119695521941</v>
      </c>
      <c r="D1628" s="48">
        <f t="shared" ca="1" si="101"/>
        <v>0.68640173003298477</v>
      </c>
      <c r="E1628" s="48">
        <f t="shared" ca="1" si="102"/>
        <v>0</v>
      </c>
      <c r="F1628" s="17">
        <f t="shared" ca="1" si="103"/>
        <v>0</v>
      </c>
      <c r="H1628" s="17">
        <v>1613</v>
      </c>
      <c r="I1628" s="43">
        <v>0.66711307871781889</v>
      </c>
      <c r="J1628" s="43">
        <v>1.7790257557395127E-2</v>
      </c>
      <c r="K1628" s="43"/>
      <c r="L1628" s="43">
        <v>0.2392</v>
      </c>
      <c r="O1628" s="50"/>
    </row>
    <row r="1629" spans="2:15" x14ac:dyDescent="0.2">
      <c r="B1629">
        <v>1614</v>
      </c>
      <c r="C1629" s="48">
        <f t="shared" ca="1" si="104"/>
        <v>1.2750599517718741</v>
      </c>
      <c r="D1629" s="48">
        <f t="shared" ca="1" si="101"/>
        <v>0.75351459046996416</v>
      </c>
      <c r="E1629" s="48">
        <f t="shared" ca="1" si="102"/>
        <v>0</v>
      </c>
      <c r="F1629" s="17">
        <f t="shared" ca="1" si="103"/>
        <v>0</v>
      </c>
      <c r="H1629" s="17">
        <v>1614</v>
      </c>
      <c r="I1629" s="43">
        <v>0.66922714451804377</v>
      </c>
      <c r="J1629" s="43">
        <v>1.9648293579296341E-2</v>
      </c>
      <c r="K1629" s="43"/>
      <c r="L1629" s="43">
        <v>0.25240000000000001</v>
      </c>
      <c r="O1629" s="50"/>
    </row>
    <row r="1630" spans="2:15" x14ac:dyDescent="0.2">
      <c r="B1630">
        <v>1615</v>
      </c>
      <c r="C1630" s="48">
        <f t="shared" ca="1" si="104"/>
        <v>0.46274079802574475</v>
      </c>
      <c r="D1630" s="48">
        <f t="shared" ca="1" si="101"/>
        <v>0.69552286849978917</v>
      </c>
      <c r="E1630" s="48">
        <f t="shared" ca="1" si="102"/>
        <v>0</v>
      </c>
      <c r="F1630" s="17">
        <f t="shared" ca="1" si="103"/>
        <v>0</v>
      </c>
      <c r="H1630" s="17">
        <v>1615</v>
      </c>
      <c r="I1630" s="43">
        <v>0.66835412651160664</v>
      </c>
      <c r="J1630" s="43">
        <v>1.892008807466776E-2</v>
      </c>
      <c r="K1630" s="43"/>
      <c r="L1630" s="43">
        <v>0.248</v>
      </c>
      <c r="O1630" s="50"/>
    </row>
    <row r="1631" spans="2:15" x14ac:dyDescent="0.2">
      <c r="B1631">
        <v>1616</v>
      </c>
      <c r="C1631" s="48">
        <f t="shared" ca="1" si="104"/>
        <v>-0.65713102360030995</v>
      </c>
      <c r="D1631" s="48">
        <f t="shared" ca="1" si="101"/>
        <v>0.62282062884385303</v>
      </c>
      <c r="E1631" s="48">
        <f t="shared" ca="1" si="102"/>
        <v>0</v>
      </c>
      <c r="F1631" s="17">
        <f t="shared" ca="1" si="103"/>
        <v>0</v>
      </c>
      <c r="H1631" s="17">
        <v>1616</v>
      </c>
      <c r="I1631" s="43">
        <v>0.6685144792937292</v>
      </c>
      <c r="J1631" s="43">
        <v>1.9242738228003948E-2</v>
      </c>
      <c r="K1631" s="43"/>
      <c r="L1631" s="43">
        <v>0.25159999999999999</v>
      </c>
      <c r="O1631" s="50"/>
    </row>
    <row r="1632" spans="2:15" x14ac:dyDescent="0.2">
      <c r="B1632">
        <v>1617</v>
      </c>
      <c r="C1632" s="48">
        <f t="shared" ca="1" si="104"/>
        <v>0.82046048059860077</v>
      </c>
      <c r="D1632" s="48">
        <f t="shared" ca="1" si="101"/>
        <v>0.72048930384372956</v>
      </c>
      <c r="E1632" s="48">
        <f t="shared" ca="1" si="102"/>
        <v>0</v>
      </c>
      <c r="F1632" s="17">
        <f t="shared" ca="1" si="103"/>
        <v>0</v>
      </c>
      <c r="H1632" s="17">
        <v>1617</v>
      </c>
      <c r="I1632" s="43">
        <v>0.66899733975022291</v>
      </c>
      <c r="J1632" s="43">
        <v>1.9427907826597819E-2</v>
      </c>
      <c r="K1632" s="43"/>
      <c r="L1632" s="43">
        <v>0.25</v>
      </c>
      <c r="O1632" s="50"/>
    </row>
    <row r="1633" spans="2:15" x14ac:dyDescent="0.2">
      <c r="B1633">
        <v>1618</v>
      </c>
      <c r="C1633" s="48">
        <f t="shared" ca="1" si="104"/>
        <v>-0.70362507883040359</v>
      </c>
      <c r="D1633" s="48">
        <f t="shared" ca="1" si="101"/>
        <v>0.61997231938565078</v>
      </c>
      <c r="E1633" s="48">
        <f t="shared" ca="1" si="102"/>
        <v>0</v>
      </c>
      <c r="F1633" s="17">
        <f t="shared" ca="1" si="103"/>
        <v>0</v>
      </c>
      <c r="H1633" s="17">
        <v>1618</v>
      </c>
      <c r="I1633" s="43">
        <v>0.66883477956091142</v>
      </c>
      <c r="J1633" s="43">
        <v>1.9100393028311527E-2</v>
      </c>
      <c r="K1633" s="43"/>
      <c r="L1633" s="43">
        <v>0.25140000000000001</v>
      </c>
      <c r="O1633" s="50"/>
    </row>
    <row r="1634" spans="2:15" x14ac:dyDescent="0.2">
      <c r="B1634">
        <v>1619</v>
      </c>
      <c r="C1634" s="48">
        <f t="shared" ca="1" si="104"/>
        <v>-2.0627593598299039</v>
      </c>
      <c r="D1634" s="48">
        <f t="shared" ca="1" si="101"/>
        <v>0.54222509577700884</v>
      </c>
      <c r="E1634" s="48">
        <f t="shared" ca="1" si="102"/>
        <v>0</v>
      </c>
      <c r="F1634" s="17">
        <f t="shared" ca="1" si="103"/>
        <v>0</v>
      </c>
      <c r="H1634" s="17">
        <v>1619</v>
      </c>
      <c r="I1634" s="43">
        <v>0.66883775338999529</v>
      </c>
      <c r="J1634" s="43">
        <v>1.9147122570971356E-2</v>
      </c>
      <c r="K1634" s="43"/>
      <c r="L1634" s="43">
        <v>0.247</v>
      </c>
      <c r="O1634" s="50"/>
    </row>
    <row r="1635" spans="2:15" x14ac:dyDescent="0.2">
      <c r="B1635">
        <v>1620</v>
      </c>
      <c r="C1635" s="48">
        <f t="shared" ca="1" si="104"/>
        <v>0.40370727372467963</v>
      </c>
      <c r="D1635" s="48">
        <f t="shared" ca="1" si="101"/>
        <v>0.69148670575565152</v>
      </c>
      <c r="E1635" s="48">
        <f t="shared" ca="1" si="102"/>
        <v>0</v>
      </c>
      <c r="F1635" s="17">
        <f t="shared" ca="1" si="103"/>
        <v>0</v>
      </c>
      <c r="H1635" s="17">
        <v>1620</v>
      </c>
      <c r="I1635" s="43">
        <v>0.6677725235447971</v>
      </c>
      <c r="J1635" s="43">
        <v>1.8761472797931826E-2</v>
      </c>
      <c r="K1635" s="43"/>
      <c r="L1635" s="43">
        <v>0.246</v>
      </c>
      <c r="O1635" s="50"/>
    </row>
    <row r="1636" spans="2:15" x14ac:dyDescent="0.2">
      <c r="B1636">
        <v>1621</v>
      </c>
      <c r="C1636" s="48">
        <f t="shared" ca="1" si="104"/>
        <v>-0.63898102053904671</v>
      </c>
      <c r="D1636" s="48">
        <f t="shared" ca="1" si="101"/>
        <v>0.62393607863113065</v>
      </c>
      <c r="E1636" s="48">
        <f t="shared" ca="1" si="102"/>
        <v>0</v>
      </c>
      <c r="F1636" s="17">
        <f t="shared" ca="1" si="103"/>
        <v>0</v>
      </c>
      <c r="H1636" s="17">
        <v>1621</v>
      </c>
      <c r="I1636" s="43">
        <v>0.66886064721584526</v>
      </c>
      <c r="J1636" s="43">
        <v>1.9068047531460432E-2</v>
      </c>
      <c r="K1636" s="43"/>
      <c r="L1636" s="43">
        <v>0.2472</v>
      </c>
      <c r="O1636" s="50"/>
    </row>
    <row r="1637" spans="2:15" x14ac:dyDescent="0.2">
      <c r="B1637">
        <v>1622</v>
      </c>
      <c r="C1637" s="48">
        <f t="shared" ca="1" si="104"/>
        <v>1.3382153594459456</v>
      </c>
      <c r="D1637" s="48">
        <f t="shared" ca="1" si="101"/>
        <v>0.7582208585482364</v>
      </c>
      <c r="E1637" s="48">
        <f t="shared" ca="1" si="102"/>
        <v>0</v>
      </c>
      <c r="F1637" s="17">
        <f t="shared" ca="1" si="103"/>
        <v>0</v>
      </c>
      <c r="H1637" s="17">
        <v>1622</v>
      </c>
      <c r="I1637" s="43">
        <v>0.6689375477531897</v>
      </c>
      <c r="J1637" s="43">
        <v>1.9222663539875697E-2</v>
      </c>
      <c r="K1637" s="43"/>
      <c r="L1637" s="43">
        <v>0.25280000000000002</v>
      </c>
      <c r="O1637" s="50"/>
    </row>
    <row r="1638" spans="2:15" x14ac:dyDescent="0.2">
      <c r="B1638">
        <v>1623</v>
      </c>
      <c r="C1638" s="48">
        <f t="shared" ca="1" si="104"/>
        <v>8.9032269596590833E-3</v>
      </c>
      <c r="D1638" s="48">
        <f t="shared" ca="1" si="101"/>
        <v>0.66508921774424101</v>
      </c>
      <c r="E1638" s="48">
        <f t="shared" ca="1" si="102"/>
        <v>0</v>
      </c>
      <c r="F1638" s="17">
        <f t="shared" ca="1" si="103"/>
        <v>0</v>
      </c>
      <c r="H1638" s="17">
        <v>1623</v>
      </c>
      <c r="I1638" s="43">
        <v>0.6691441814692799</v>
      </c>
      <c r="J1638" s="43">
        <v>1.9976687009907467E-2</v>
      </c>
      <c r="K1638" s="43"/>
      <c r="L1638" s="43">
        <v>0.25979999999999998</v>
      </c>
      <c r="O1638" s="50"/>
    </row>
    <row r="1639" spans="2:15" x14ac:dyDescent="0.2">
      <c r="B1639">
        <v>1624</v>
      </c>
      <c r="C1639" s="48">
        <f t="shared" ca="1" si="104"/>
        <v>-0.62944990957443836</v>
      </c>
      <c r="D1639" s="48">
        <f t="shared" ca="1" si="101"/>
        <v>0.62452263452548518</v>
      </c>
      <c r="E1639" s="48">
        <f t="shared" ca="1" si="102"/>
        <v>0</v>
      </c>
      <c r="F1639" s="17">
        <f t="shared" ca="1" si="103"/>
        <v>0</v>
      </c>
      <c r="H1639" s="17">
        <v>1624</v>
      </c>
      <c r="I1639" s="43">
        <v>0.669021577037336</v>
      </c>
      <c r="J1639" s="43">
        <v>1.9455638801179429E-2</v>
      </c>
      <c r="K1639" s="43"/>
      <c r="L1639" s="43">
        <v>0.25540000000000002</v>
      </c>
      <c r="O1639" s="50"/>
    </row>
    <row r="1640" spans="2:15" x14ac:dyDescent="0.2">
      <c r="B1640">
        <v>1625</v>
      </c>
      <c r="C1640" s="48">
        <f t="shared" ca="1" si="104"/>
        <v>-1.4528617952911554E-2</v>
      </c>
      <c r="D1640" s="48">
        <f t="shared" ca="1" si="101"/>
        <v>0.66355457751131852</v>
      </c>
      <c r="E1640" s="48">
        <f t="shared" ca="1" si="102"/>
        <v>0</v>
      </c>
      <c r="F1640" s="17">
        <f t="shared" ca="1" si="103"/>
        <v>0</v>
      </c>
      <c r="H1640" s="17">
        <v>1625</v>
      </c>
      <c r="I1640" s="43">
        <v>0.66862212749055439</v>
      </c>
      <c r="J1640" s="43">
        <v>1.9120554925494224E-2</v>
      </c>
      <c r="K1640" s="43"/>
      <c r="L1640" s="43">
        <v>0.24740000000000001</v>
      </c>
      <c r="O1640" s="50"/>
    </row>
    <row r="1641" spans="2:15" x14ac:dyDescent="0.2">
      <c r="B1641">
        <v>1626</v>
      </c>
      <c r="C1641" s="48">
        <f t="shared" ca="1" si="104"/>
        <v>1.7975701608561307</v>
      </c>
      <c r="D1641" s="48">
        <f t="shared" ca="1" si="101"/>
        <v>0.79334750469916759</v>
      </c>
      <c r="E1641" s="48">
        <f t="shared" ca="1" si="102"/>
        <v>5.1475046991675821E-3</v>
      </c>
      <c r="F1641" s="17">
        <f t="shared" ca="1" si="103"/>
        <v>1</v>
      </c>
      <c r="H1641" s="17">
        <v>1626</v>
      </c>
      <c r="I1641" s="43">
        <v>0.66876457345042495</v>
      </c>
      <c r="J1641" s="43">
        <v>1.9177180966116977E-2</v>
      </c>
      <c r="K1641" s="43"/>
      <c r="L1641" s="43">
        <v>0.252</v>
      </c>
      <c r="O1641" s="50"/>
    </row>
    <row r="1642" spans="2:15" x14ac:dyDescent="0.2">
      <c r="B1642">
        <v>1627</v>
      </c>
      <c r="C1642" s="48">
        <f t="shared" ca="1" si="104"/>
        <v>-0.33239137350594306</v>
      </c>
      <c r="D1642" s="48">
        <f t="shared" ca="1" si="101"/>
        <v>0.64308301559360226</v>
      </c>
      <c r="E1642" s="48">
        <f t="shared" ca="1" si="102"/>
        <v>0</v>
      </c>
      <c r="F1642" s="17">
        <f t="shared" ca="1" si="103"/>
        <v>0</v>
      </c>
      <c r="H1642" s="17">
        <v>1627</v>
      </c>
      <c r="I1642" s="43">
        <v>0.66912490462476359</v>
      </c>
      <c r="J1642" s="43">
        <v>1.9818754770185174E-2</v>
      </c>
      <c r="K1642" s="43"/>
      <c r="L1642" s="43">
        <v>0.25319999999999998</v>
      </c>
      <c r="O1642" s="50"/>
    </row>
    <row r="1643" spans="2:15" x14ac:dyDescent="0.2">
      <c r="B1643">
        <v>1628</v>
      </c>
      <c r="C1643" s="48">
        <f t="shared" ca="1" si="104"/>
        <v>-0.62295012200366706</v>
      </c>
      <c r="D1643" s="48">
        <f t="shared" ca="1" si="101"/>
        <v>0.62492295538599985</v>
      </c>
      <c r="E1643" s="48">
        <f t="shared" ca="1" si="102"/>
        <v>0</v>
      </c>
      <c r="F1643" s="17">
        <f t="shared" ca="1" si="103"/>
        <v>0</v>
      </c>
      <c r="H1643" s="17">
        <v>1628</v>
      </c>
      <c r="I1643" s="43">
        <v>0.66674128554745438</v>
      </c>
      <c r="J1643" s="43">
        <v>1.762778908857561E-2</v>
      </c>
      <c r="K1643" s="43"/>
      <c r="L1643" s="43">
        <v>0.23960000000000001</v>
      </c>
      <c r="O1643" s="50"/>
    </row>
    <row r="1644" spans="2:15" x14ac:dyDescent="0.2">
      <c r="B1644">
        <v>1629</v>
      </c>
      <c r="C1644" s="48">
        <f t="shared" ca="1" si="104"/>
        <v>-0.46342981849708748</v>
      </c>
      <c r="D1644" s="48">
        <f t="shared" ca="1" si="101"/>
        <v>0.63482862072921631</v>
      </c>
      <c r="E1644" s="48">
        <f t="shared" ca="1" si="102"/>
        <v>0</v>
      </c>
      <c r="F1644" s="17">
        <f t="shared" ca="1" si="103"/>
        <v>0</v>
      </c>
      <c r="H1644" s="17">
        <v>1629</v>
      </c>
      <c r="I1644" s="43">
        <v>0.66845357927354243</v>
      </c>
      <c r="J1644" s="43">
        <v>1.8951905404209213E-2</v>
      </c>
      <c r="K1644" s="43"/>
      <c r="L1644" s="43">
        <v>0.25</v>
      </c>
      <c r="O1644" s="50"/>
    </row>
    <row r="1645" spans="2:15" x14ac:dyDescent="0.2">
      <c r="B1645">
        <v>1630</v>
      </c>
      <c r="C1645" s="48">
        <f t="shared" ca="1" si="104"/>
        <v>0.21002394974336736</v>
      </c>
      <c r="D1645" s="48">
        <f t="shared" ca="1" si="101"/>
        <v>0.67840820351528808</v>
      </c>
      <c r="E1645" s="48">
        <f t="shared" ca="1" si="102"/>
        <v>0</v>
      </c>
      <c r="F1645" s="17">
        <f t="shared" ca="1" si="103"/>
        <v>0</v>
      </c>
      <c r="H1645" s="17">
        <v>1630</v>
      </c>
      <c r="I1645" s="43">
        <v>0.66975995541724176</v>
      </c>
      <c r="J1645" s="43">
        <v>2.0210043342465029E-2</v>
      </c>
      <c r="K1645" s="43"/>
      <c r="L1645" s="43">
        <v>0.25940000000000002</v>
      </c>
      <c r="O1645" s="50"/>
    </row>
    <row r="1646" spans="2:15" x14ac:dyDescent="0.2">
      <c r="B1646">
        <v>1631</v>
      </c>
      <c r="C1646" s="48">
        <f t="shared" ca="1" si="104"/>
        <v>-4.593489404383453E-2</v>
      </c>
      <c r="D1646" s="48">
        <f t="shared" ca="1" si="101"/>
        <v>0.66150321392417777</v>
      </c>
      <c r="E1646" s="48">
        <f t="shared" ca="1" si="102"/>
        <v>0</v>
      </c>
      <c r="F1646" s="17">
        <f t="shared" ca="1" si="103"/>
        <v>0</v>
      </c>
      <c r="H1646" s="17">
        <v>1631</v>
      </c>
      <c r="I1646" s="43">
        <v>0.6691320385839814</v>
      </c>
      <c r="J1646" s="43">
        <v>1.9683979373178652E-2</v>
      </c>
      <c r="K1646" s="43"/>
      <c r="L1646" s="43">
        <v>0.251</v>
      </c>
      <c r="O1646" s="50"/>
    </row>
    <row r="1647" spans="2:15" x14ac:dyDescent="0.2">
      <c r="B1647">
        <v>1632</v>
      </c>
      <c r="C1647" s="48">
        <f t="shared" ca="1" si="104"/>
        <v>2.2481581808894493</v>
      </c>
      <c r="D1647" s="48">
        <f t="shared" ca="1" si="101"/>
        <v>0.82938434595535881</v>
      </c>
      <c r="E1647" s="48">
        <f t="shared" ca="1" si="102"/>
        <v>4.1184345955358803E-2</v>
      </c>
      <c r="F1647" s="17">
        <f t="shared" ca="1" si="103"/>
        <v>1</v>
      </c>
      <c r="H1647" s="17">
        <v>1632</v>
      </c>
      <c r="I1647" s="43">
        <v>0.66748998667664339</v>
      </c>
      <c r="J1647" s="43">
        <v>1.8342680545185952E-2</v>
      </c>
      <c r="K1647" s="43"/>
      <c r="L1647" s="43">
        <v>0.24260000000000001</v>
      </c>
      <c r="O1647" s="50"/>
    </row>
    <row r="1648" spans="2:15" x14ac:dyDescent="0.2">
      <c r="B1648">
        <v>1633</v>
      </c>
      <c r="C1648" s="48">
        <f t="shared" ca="1" si="104"/>
        <v>0.32029363067713468</v>
      </c>
      <c r="D1648" s="48">
        <f t="shared" ca="1" si="101"/>
        <v>0.68582355465419254</v>
      </c>
      <c r="E1648" s="48">
        <f t="shared" ca="1" si="102"/>
        <v>0</v>
      </c>
      <c r="F1648" s="17">
        <f t="shared" ca="1" si="103"/>
        <v>0</v>
      </c>
      <c r="H1648" s="17">
        <v>1633</v>
      </c>
      <c r="I1648" s="43">
        <v>0.669899994590618</v>
      </c>
      <c r="J1648" s="43">
        <v>1.9855062370967364E-2</v>
      </c>
      <c r="K1648" s="43"/>
      <c r="L1648" s="43">
        <v>0.2492</v>
      </c>
      <c r="O1648" s="50"/>
    </row>
    <row r="1649" spans="2:15" x14ac:dyDescent="0.2">
      <c r="B1649">
        <v>1634</v>
      </c>
      <c r="C1649" s="48">
        <f t="shared" ca="1" si="104"/>
        <v>2.1189601640948954</v>
      </c>
      <c r="D1649" s="48">
        <f t="shared" ca="1" si="101"/>
        <v>0.81888721858398006</v>
      </c>
      <c r="E1649" s="48">
        <f t="shared" ca="1" si="102"/>
        <v>3.0687218583980047E-2</v>
      </c>
      <c r="F1649" s="17">
        <f t="shared" ca="1" si="103"/>
        <v>1</v>
      </c>
      <c r="H1649" s="17">
        <v>1634</v>
      </c>
      <c r="I1649" s="43">
        <v>0.668950844380933</v>
      </c>
      <c r="J1649" s="43">
        <v>1.9220401604043705E-2</v>
      </c>
      <c r="K1649" s="43"/>
      <c r="L1649" s="43">
        <v>0.25180000000000002</v>
      </c>
      <c r="O1649" s="50"/>
    </row>
    <row r="1650" spans="2:15" x14ac:dyDescent="0.2">
      <c r="B1650">
        <v>1635</v>
      </c>
      <c r="C1650" s="48">
        <f t="shared" ca="1" si="104"/>
        <v>0.85101237060795565</v>
      </c>
      <c r="D1650" s="48">
        <f t="shared" ca="1" si="101"/>
        <v>0.72266271333424459</v>
      </c>
      <c r="E1650" s="48">
        <f t="shared" ca="1" si="102"/>
        <v>0</v>
      </c>
      <c r="F1650" s="17">
        <f t="shared" ca="1" si="103"/>
        <v>0</v>
      </c>
      <c r="H1650" s="17">
        <v>1635</v>
      </c>
      <c r="I1650" s="43">
        <v>0.66877623836061817</v>
      </c>
      <c r="J1650" s="43">
        <v>1.8957797493148167E-2</v>
      </c>
      <c r="K1650" s="43"/>
      <c r="L1650" s="43">
        <v>0.2442</v>
      </c>
      <c r="O1650" s="50"/>
    </row>
    <row r="1651" spans="2:15" x14ac:dyDescent="0.2">
      <c r="B1651">
        <v>1636</v>
      </c>
      <c r="C1651" s="48">
        <f t="shared" ca="1" si="104"/>
        <v>1.0705453301852113</v>
      </c>
      <c r="D1651" s="48">
        <f t="shared" ca="1" si="101"/>
        <v>0.73847393173244535</v>
      </c>
      <c r="E1651" s="48">
        <f t="shared" ca="1" si="102"/>
        <v>0</v>
      </c>
      <c r="F1651" s="17">
        <f t="shared" ca="1" si="103"/>
        <v>0</v>
      </c>
      <c r="H1651" s="17">
        <v>1636</v>
      </c>
      <c r="I1651" s="43">
        <v>0.66857212826888501</v>
      </c>
      <c r="J1651" s="43">
        <v>1.9388597575385823E-2</v>
      </c>
      <c r="K1651" s="43"/>
      <c r="L1651" s="43">
        <v>0.25140000000000001</v>
      </c>
      <c r="O1651" s="50"/>
    </row>
    <row r="1652" spans="2:15" x14ac:dyDescent="0.2">
      <c r="B1652">
        <v>1637</v>
      </c>
      <c r="C1652" s="48">
        <f t="shared" ca="1" si="104"/>
        <v>-0.47546403264468917</v>
      </c>
      <c r="D1652" s="48">
        <f t="shared" ca="1" si="101"/>
        <v>0.63407589224365779</v>
      </c>
      <c r="E1652" s="48">
        <f t="shared" ca="1" si="102"/>
        <v>0</v>
      </c>
      <c r="F1652" s="17">
        <f t="shared" ca="1" si="103"/>
        <v>0</v>
      </c>
      <c r="H1652" s="17">
        <v>1637</v>
      </c>
      <c r="I1652" s="43">
        <v>0.66785877148136419</v>
      </c>
      <c r="J1652" s="43">
        <v>1.8509454646716203E-2</v>
      </c>
      <c r="K1652" s="43"/>
      <c r="L1652" s="43">
        <v>0.24779999999999999</v>
      </c>
      <c r="O1652" s="50"/>
    </row>
    <row r="1653" spans="2:15" x14ac:dyDescent="0.2">
      <c r="B1653">
        <v>1638</v>
      </c>
      <c r="C1653" s="48">
        <f t="shared" ca="1" si="104"/>
        <v>1.3852547500847452</v>
      </c>
      <c r="D1653" s="48">
        <f t="shared" ca="1" si="101"/>
        <v>0.76174526951234578</v>
      </c>
      <c r="E1653" s="48">
        <f t="shared" ca="1" si="102"/>
        <v>0</v>
      </c>
      <c r="F1653" s="17">
        <f t="shared" ca="1" si="103"/>
        <v>0</v>
      </c>
      <c r="H1653" s="17">
        <v>1638</v>
      </c>
      <c r="I1653" s="43">
        <v>0.66824412816831102</v>
      </c>
      <c r="J1653" s="43">
        <v>1.8918992528723293E-2</v>
      </c>
      <c r="K1653" s="43"/>
      <c r="L1653" s="43">
        <v>0.249</v>
      </c>
      <c r="O1653" s="50"/>
    </row>
    <row r="1654" spans="2:15" x14ac:dyDescent="0.2">
      <c r="B1654">
        <v>1639</v>
      </c>
      <c r="C1654" s="48">
        <f t="shared" ca="1" si="104"/>
        <v>-0.3897499743835226</v>
      </c>
      <c r="D1654" s="48">
        <f t="shared" ca="1" si="101"/>
        <v>0.63945674711149425</v>
      </c>
      <c r="E1654" s="48">
        <f t="shared" ca="1" si="102"/>
        <v>0</v>
      </c>
      <c r="F1654" s="17">
        <f t="shared" ca="1" si="103"/>
        <v>0</v>
      </c>
      <c r="H1654" s="17">
        <v>1639</v>
      </c>
      <c r="I1654" s="43">
        <v>0.6695229989237198</v>
      </c>
      <c r="J1654" s="43">
        <v>2.0038511695289848E-2</v>
      </c>
      <c r="K1654" s="43"/>
      <c r="L1654" s="43">
        <v>0.25540000000000002</v>
      </c>
      <c r="O1654" s="50"/>
    </row>
    <row r="1655" spans="2:15" x14ac:dyDescent="0.2">
      <c r="B1655">
        <v>1640</v>
      </c>
      <c r="C1655" s="48">
        <f t="shared" ca="1" si="104"/>
        <v>-1.3438048925481736</v>
      </c>
      <c r="D1655" s="48">
        <f t="shared" ca="1" si="101"/>
        <v>0.58205277532643029</v>
      </c>
      <c r="E1655" s="48">
        <f t="shared" ca="1" si="102"/>
        <v>0</v>
      </c>
      <c r="F1655" s="17">
        <f t="shared" ca="1" si="103"/>
        <v>0</v>
      </c>
      <c r="H1655" s="17">
        <v>1640</v>
      </c>
      <c r="I1655" s="43">
        <v>0.66899325437569179</v>
      </c>
      <c r="J1655" s="43">
        <v>1.956762360143386E-2</v>
      </c>
      <c r="K1655" s="43"/>
      <c r="L1655" s="43">
        <v>0.254</v>
      </c>
      <c r="O1655" s="50"/>
    </row>
    <row r="1656" spans="2:15" x14ac:dyDescent="0.2">
      <c r="B1656">
        <v>1641</v>
      </c>
      <c r="C1656" s="48">
        <f t="shared" ca="1" si="104"/>
        <v>-0.26504864628398761</v>
      </c>
      <c r="D1656" s="48">
        <f t="shared" ca="1" si="101"/>
        <v>0.64736674402739414</v>
      </c>
      <c r="E1656" s="48">
        <f t="shared" ca="1" si="102"/>
        <v>0</v>
      </c>
      <c r="F1656" s="17">
        <f t="shared" ca="1" si="103"/>
        <v>0</v>
      </c>
      <c r="H1656" s="17">
        <v>1641</v>
      </c>
      <c r="I1656" s="43">
        <v>0.66925218811177012</v>
      </c>
      <c r="J1656" s="43">
        <v>1.9607860345726327E-2</v>
      </c>
      <c r="K1656" s="43"/>
      <c r="L1656" s="43">
        <v>0.251</v>
      </c>
      <c r="O1656" s="50"/>
    </row>
    <row r="1657" spans="2:15" x14ac:dyDescent="0.2">
      <c r="B1657">
        <v>1642</v>
      </c>
      <c r="C1657" s="48">
        <f t="shared" ca="1" si="104"/>
        <v>1.0391311420997695</v>
      </c>
      <c r="D1657" s="48">
        <f t="shared" ca="1" si="101"/>
        <v>0.73619038245323065</v>
      </c>
      <c r="E1657" s="48">
        <f t="shared" ca="1" si="102"/>
        <v>0</v>
      </c>
      <c r="F1657" s="17">
        <f t="shared" ca="1" si="103"/>
        <v>0</v>
      </c>
      <c r="H1657" s="17">
        <v>1642</v>
      </c>
      <c r="I1657" s="43">
        <v>0.66941568832566278</v>
      </c>
      <c r="J1657" s="43">
        <v>1.9671631981545881E-2</v>
      </c>
      <c r="K1657" s="43"/>
      <c r="L1657" s="43">
        <v>0.25480000000000003</v>
      </c>
      <c r="O1657" s="50"/>
    </row>
    <row r="1658" spans="2:15" x14ac:dyDescent="0.2">
      <c r="B1658">
        <v>1643</v>
      </c>
      <c r="C1658" s="48">
        <f t="shared" ca="1" si="104"/>
        <v>0.38253358334276338</v>
      </c>
      <c r="D1658" s="48">
        <f t="shared" ca="1" si="101"/>
        <v>0.69004476005570436</v>
      </c>
      <c r="E1658" s="48">
        <f t="shared" ca="1" si="102"/>
        <v>0</v>
      </c>
      <c r="F1658" s="17">
        <f t="shared" ca="1" si="103"/>
        <v>0</v>
      </c>
      <c r="H1658" s="17">
        <v>1643</v>
      </c>
      <c r="I1658" s="43">
        <v>0.66831155446135238</v>
      </c>
      <c r="J1658" s="43">
        <v>1.893444582795905E-2</v>
      </c>
      <c r="K1658" s="43"/>
      <c r="L1658" s="43">
        <v>0.25140000000000001</v>
      </c>
      <c r="O1658" s="50"/>
    </row>
    <row r="1659" spans="2:15" x14ac:dyDescent="0.2">
      <c r="B1659">
        <v>1644</v>
      </c>
      <c r="C1659" s="48">
        <f t="shared" ca="1" si="104"/>
        <v>1.8456892840657979</v>
      </c>
      <c r="D1659" s="48">
        <f t="shared" ca="1" si="101"/>
        <v>0.79712004099884737</v>
      </c>
      <c r="E1659" s="48">
        <f t="shared" ca="1" si="102"/>
        <v>8.9200409988473561E-3</v>
      </c>
      <c r="F1659" s="17">
        <f t="shared" ca="1" si="103"/>
        <v>1</v>
      </c>
      <c r="H1659" s="17">
        <v>1644</v>
      </c>
      <c r="I1659" s="43">
        <v>0.66869002800242994</v>
      </c>
      <c r="J1659" s="43">
        <v>1.9231195695256109E-2</v>
      </c>
      <c r="K1659" s="43"/>
      <c r="L1659" s="43">
        <v>0.24640000000000001</v>
      </c>
      <c r="O1659" s="50"/>
    </row>
    <row r="1660" spans="2:15" x14ac:dyDescent="0.2">
      <c r="B1660">
        <v>1645</v>
      </c>
      <c r="C1660" s="48">
        <f t="shared" ca="1" si="104"/>
        <v>0.6908674808292905</v>
      </c>
      <c r="D1660" s="48">
        <f t="shared" ca="1" si="101"/>
        <v>0.71134270928694288</v>
      </c>
      <c r="E1660" s="48">
        <f t="shared" ca="1" si="102"/>
        <v>0</v>
      </c>
      <c r="F1660" s="17">
        <f t="shared" ca="1" si="103"/>
        <v>0</v>
      </c>
      <c r="H1660" s="17">
        <v>1645</v>
      </c>
      <c r="I1660" s="43">
        <v>0.66918170990495207</v>
      </c>
      <c r="J1660" s="43">
        <v>1.947652779758834E-2</v>
      </c>
      <c r="K1660" s="43"/>
      <c r="L1660" s="43">
        <v>0.24879999999999999</v>
      </c>
      <c r="O1660" s="50"/>
    </row>
    <row r="1661" spans="2:15" x14ac:dyDescent="0.2">
      <c r="B1661">
        <v>1646</v>
      </c>
      <c r="C1661" s="48">
        <f t="shared" ca="1" si="104"/>
        <v>0.32578745459090164</v>
      </c>
      <c r="D1661" s="48">
        <f t="shared" ca="1" si="101"/>
        <v>0.6861951125288156</v>
      </c>
      <c r="E1661" s="48">
        <f t="shared" ca="1" si="102"/>
        <v>0</v>
      </c>
      <c r="F1661" s="17">
        <f t="shared" ca="1" si="103"/>
        <v>0</v>
      </c>
      <c r="H1661" s="17">
        <v>1646</v>
      </c>
      <c r="I1661" s="43">
        <v>0.66947906287473979</v>
      </c>
      <c r="J1661" s="43">
        <v>1.945437199374888E-2</v>
      </c>
      <c r="K1661" s="43"/>
      <c r="L1661" s="43">
        <v>0.253</v>
      </c>
      <c r="O1661" s="50"/>
    </row>
    <row r="1662" spans="2:15" x14ac:dyDescent="0.2">
      <c r="B1662">
        <v>1647</v>
      </c>
      <c r="C1662" s="48">
        <f t="shared" ca="1" si="104"/>
        <v>0.41087354590653674</v>
      </c>
      <c r="D1662" s="48">
        <f t="shared" ca="1" si="101"/>
        <v>0.6919754169411112</v>
      </c>
      <c r="E1662" s="48">
        <f t="shared" ca="1" si="102"/>
        <v>0</v>
      </c>
      <c r="F1662" s="17">
        <f t="shared" ca="1" si="103"/>
        <v>0</v>
      </c>
      <c r="H1662" s="17">
        <v>1647</v>
      </c>
      <c r="I1662" s="43">
        <v>0.67046784586917441</v>
      </c>
      <c r="J1662" s="43">
        <v>2.070170291316863E-2</v>
      </c>
      <c r="K1662" s="43"/>
      <c r="L1662" s="43">
        <v>0.26040000000000002</v>
      </c>
      <c r="O1662" s="50"/>
    </row>
    <row r="1663" spans="2:15" x14ac:dyDescent="0.2">
      <c r="B1663">
        <v>1648</v>
      </c>
      <c r="C1663" s="48">
        <f t="shared" ca="1" si="104"/>
        <v>4.1596255057237873E-2</v>
      </c>
      <c r="D1663" s="48">
        <f t="shared" ca="1" si="101"/>
        <v>0.66723634040606095</v>
      </c>
      <c r="E1663" s="48">
        <f t="shared" ca="1" si="102"/>
        <v>0</v>
      </c>
      <c r="F1663" s="17">
        <f t="shared" ca="1" si="103"/>
        <v>0</v>
      </c>
      <c r="H1663" s="17">
        <v>1648</v>
      </c>
      <c r="I1663" s="43">
        <v>0.66843532183593257</v>
      </c>
      <c r="J1663" s="43">
        <v>1.8919870312529959E-2</v>
      </c>
      <c r="K1663" s="43"/>
      <c r="L1663" s="43">
        <v>0.24360000000000001</v>
      </c>
      <c r="O1663" s="50"/>
    </row>
    <row r="1664" spans="2:15" x14ac:dyDescent="0.2">
      <c r="B1664">
        <v>1649</v>
      </c>
      <c r="C1664" s="48">
        <f t="shared" ca="1" si="104"/>
        <v>2.4221706989473391</v>
      </c>
      <c r="D1664" s="48">
        <f t="shared" ca="1" si="101"/>
        <v>0.84373555965264369</v>
      </c>
      <c r="E1664" s="48">
        <f t="shared" ca="1" si="102"/>
        <v>5.5535559652643673E-2</v>
      </c>
      <c r="F1664" s="17">
        <f t="shared" ca="1" si="103"/>
        <v>1</v>
      </c>
      <c r="H1664" s="17">
        <v>1649</v>
      </c>
      <c r="I1664" s="43">
        <v>0.66943687224069981</v>
      </c>
      <c r="J1664" s="43">
        <v>1.9659746415551918E-2</v>
      </c>
      <c r="K1664" s="43"/>
      <c r="L1664" s="43">
        <v>0.25040000000000001</v>
      </c>
      <c r="O1664" s="50"/>
    </row>
    <row r="1665" spans="2:15" x14ac:dyDescent="0.2">
      <c r="B1665">
        <v>1650</v>
      </c>
      <c r="C1665" s="48">
        <f t="shared" ca="1" si="104"/>
        <v>0.1145213854202845</v>
      </c>
      <c r="D1665" s="48">
        <f t="shared" ca="1" si="101"/>
        <v>0.67205072457965565</v>
      </c>
      <c r="E1665" s="48">
        <f t="shared" ca="1" si="102"/>
        <v>0</v>
      </c>
      <c r="F1665" s="17">
        <f t="shared" ca="1" si="103"/>
        <v>0</v>
      </c>
      <c r="H1665" s="17">
        <v>1650</v>
      </c>
      <c r="I1665" s="43">
        <v>0.66919324516370027</v>
      </c>
      <c r="J1665" s="43">
        <v>1.9801226709419573E-2</v>
      </c>
      <c r="K1665" s="43"/>
      <c r="L1665" s="43">
        <v>0.25180000000000002</v>
      </c>
      <c r="O1665" s="50"/>
    </row>
    <row r="1666" spans="2:15" x14ac:dyDescent="0.2">
      <c r="B1666">
        <v>1651</v>
      </c>
      <c r="C1666" s="48">
        <f t="shared" ca="1" si="104"/>
        <v>-1.1872687278596856</v>
      </c>
      <c r="D1666" s="48">
        <f t="shared" ca="1" si="101"/>
        <v>0.5911049767548513</v>
      </c>
      <c r="E1666" s="48">
        <f t="shared" ca="1" si="102"/>
        <v>0</v>
      </c>
      <c r="F1666" s="17">
        <f t="shared" ca="1" si="103"/>
        <v>0</v>
      </c>
      <c r="H1666" s="17">
        <v>1651</v>
      </c>
      <c r="I1666" s="43">
        <v>0.6690199169475336</v>
      </c>
      <c r="J1666" s="43">
        <v>1.9468160143031689E-2</v>
      </c>
      <c r="K1666" s="43"/>
      <c r="L1666" s="43">
        <v>0.24859999999999999</v>
      </c>
      <c r="O1666" s="50"/>
    </row>
    <row r="1667" spans="2:15" x14ac:dyDescent="0.2">
      <c r="B1667">
        <v>1652</v>
      </c>
      <c r="C1667" s="48">
        <f t="shared" ca="1" si="104"/>
        <v>-1.2214663414182507</v>
      </c>
      <c r="D1667" s="48">
        <f t="shared" ca="1" si="101"/>
        <v>0.58911544791006309</v>
      </c>
      <c r="E1667" s="48">
        <f t="shared" ca="1" si="102"/>
        <v>0</v>
      </c>
      <c r="F1667" s="17">
        <f t="shared" ca="1" si="103"/>
        <v>0</v>
      </c>
      <c r="H1667" s="17">
        <v>1652</v>
      </c>
      <c r="I1667" s="43">
        <v>0.66979659498161337</v>
      </c>
      <c r="J1667" s="43">
        <v>1.9942099579841461E-2</v>
      </c>
      <c r="K1667" s="43"/>
      <c r="L1667" s="43">
        <v>0.25480000000000003</v>
      </c>
      <c r="O1667" s="50"/>
    </row>
    <row r="1668" spans="2:15" x14ac:dyDescent="0.2">
      <c r="B1668">
        <v>1653</v>
      </c>
      <c r="C1668" s="48">
        <f t="shared" ca="1" si="104"/>
        <v>-0.47581687494534097</v>
      </c>
      <c r="D1668" s="48">
        <f t="shared" ca="1" si="101"/>
        <v>0.63405383577132024</v>
      </c>
      <c r="E1668" s="48">
        <f t="shared" ca="1" si="102"/>
        <v>0</v>
      </c>
      <c r="F1668" s="17">
        <f t="shared" ca="1" si="103"/>
        <v>0</v>
      </c>
      <c r="H1668" s="17">
        <v>1653</v>
      </c>
      <c r="I1668" s="43">
        <v>0.67023025671453984</v>
      </c>
      <c r="J1668" s="43">
        <v>2.0233586903897559E-2</v>
      </c>
      <c r="K1668" s="43"/>
      <c r="L1668" s="43">
        <v>0.2462</v>
      </c>
      <c r="O1668" s="50"/>
    </row>
    <row r="1669" spans="2:15" x14ac:dyDescent="0.2">
      <c r="B1669">
        <v>1654</v>
      </c>
      <c r="C1669" s="48">
        <f t="shared" ca="1" si="104"/>
        <v>-0.10717988997873823</v>
      </c>
      <c r="D1669" s="48">
        <f t="shared" ca="1" si="101"/>
        <v>0.65752109875581344</v>
      </c>
      <c r="E1669" s="48">
        <f t="shared" ca="1" si="102"/>
        <v>0</v>
      </c>
      <c r="F1669" s="17">
        <f t="shared" ca="1" si="103"/>
        <v>0</v>
      </c>
      <c r="H1669" s="17">
        <v>1654</v>
      </c>
      <c r="I1669" s="43">
        <v>0.66942029134628056</v>
      </c>
      <c r="J1669" s="43">
        <v>1.9644499039109115E-2</v>
      </c>
      <c r="K1669" s="43"/>
      <c r="L1669" s="43">
        <v>0.25159999999999999</v>
      </c>
      <c r="O1669" s="50"/>
    </row>
    <row r="1670" spans="2:15" x14ac:dyDescent="0.2">
      <c r="B1670">
        <v>1655</v>
      </c>
      <c r="C1670" s="48">
        <f t="shared" ca="1" si="104"/>
        <v>1.7284040260731937E-2</v>
      </c>
      <c r="D1670" s="48">
        <f t="shared" ca="1" si="101"/>
        <v>0.665638970256347</v>
      </c>
      <c r="E1670" s="48">
        <f t="shared" ca="1" si="102"/>
        <v>0</v>
      </c>
      <c r="F1670" s="17">
        <f t="shared" ca="1" si="103"/>
        <v>0</v>
      </c>
      <c r="H1670" s="17">
        <v>1655</v>
      </c>
      <c r="I1670" s="43">
        <v>0.6687505537433126</v>
      </c>
      <c r="J1670" s="43">
        <v>1.9421755778387857E-2</v>
      </c>
      <c r="K1670" s="43"/>
      <c r="L1670" s="43">
        <v>0.25640000000000002</v>
      </c>
      <c r="O1670" s="50"/>
    </row>
    <row r="1671" spans="2:15" x14ac:dyDescent="0.2">
      <c r="B1671">
        <v>1656</v>
      </c>
      <c r="C1671" s="48">
        <f t="shared" ca="1" si="104"/>
        <v>-0.61714717062754354</v>
      </c>
      <c r="D1671" s="48">
        <f t="shared" ca="1" si="101"/>
        <v>0.62528057502920575</v>
      </c>
      <c r="E1671" s="48">
        <f t="shared" ca="1" si="102"/>
        <v>0</v>
      </c>
      <c r="F1671" s="17">
        <f t="shared" ca="1" si="103"/>
        <v>0</v>
      </c>
      <c r="H1671" s="17">
        <v>1656</v>
      </c>
      <c r="I1671" s="43">
        <v>0.66795131130138563</v>
      </c>
      <c r="J1671" s="43">
        <v>1.8560263004813529E-2</v>
      </c>
      <c r="K1671" s="43"/>
      <c r="L1671" s="43">
        <v>0.249</v>
      </c>
      <c r="O1671" s="50"/>
    </row>
    <row r="1672" spans="2:15" x14ac:dyDescent="0.2">
      <c r="B1672">
        <v>1657</v>
      </c>
      <c r="C1672" s="48">
        <f t="shared" ca="1" si="104"/>
        <v>-0.17588015910092863</v>
      </c>
      <c r="D1672" s="48">
        <f t="shared" ca="1" si="101"/>
        <v>0.65308276510617558</v>
      </c>
      <c r="E1672" s="48">
        <f t="shared" ca="1" si="102"/>
        <v>0</v>
      </c>
      <c r="F1672" s="17">
        <f t="shared" ca="1" si="103"/>
        <v>0</v>
      </c>
      <c r="H1672" s="17">
        <v>1657</v>
      </c>
      <c r="I1672" s="43">
        <v>0.6678609017365662</v>
      </c>
      <c r="J1672" s="43">
        <v>1.8267628693272944E-2</v>
      </c>
      <c r="K1672" s="43"/>
      <c r="L1672" s="43">
        <v>0.24</v>
      </c>
      <c r="O1672" s="50"/>
    </row>
    <row r="1673" spans="2:15" x14ac:dyDescent="0.2">
      <c r="B1673">
        <v>1658</v>
      </c>
      <c r="C1673" s="48">
        <f t="shared" ca="1" si="104"/>
        <v>-0.99618082152018239</v>
      </c>
      <c r="D1673" s="48">
        <f t="shared" ca="1" si="101"/>
        <v>0.60234628275715418</v>
      </c>
      <c r="E1673" s="48">
        <f t="shared" ca="1" si="102"/>
        <v>0</v>
      </c>
      <c r="F1673" s="17">
        <f t="shared" ca="1" si="103"/>
        <v>0</v>
      </c>
      <c r="H1673" s="17">
        <v>1658</v>
      </c>
      <c r="I1673" s="43">
        <v>0.6679958432791927</v>
      </c>
      <c r="J1673" s="43">
        <v>1.8673412567379449E-2</v>
      </c>
      <c r="K1673" s="43"/>
      <c r="L1673" s="43">
        <v>0.2492</v>
      </c>
      <c r="O1673" s="50"/>
    </row>
    <row r="1674" spans="2:15" x14ac:dyDescent="0.2">
      <c r="B1674">
        <v>1659</v>
      </c>
      <c r="C1674" s="48">
        <f t="shared" ca="1" si="104"/>
        <v>-1.7957729850468267</v>
      </c>
      <c r="D1674" s="48">
        <f t="shared" ca="1" si="101"/>
        <v>0.55668677131841127</v>
      </c>
      <c r="E1674" s="48">
        <f t="shared" ca="1" si="102"/>
        <v>0</v>
      </c>
      <c r="F1674" s="17">
        <f t="shared" ca="1" si="103"/>
        <v>0</v>
      </c>
      <c r="H1674" s="17">
        <v>1659</v>
      </c>
      <c r="I1674" s="43">
        <v>0.66837325707465101</v>
      </c>
      <c r="J1674" s="43">
        <v>1.8775256241268395E-2</v>
      </c>
      <c r="K1674" s="43"/>
      <c r="L1674" s="43">
        <v>0.24660000000000001</v>
      </c>
      <c r="O1674" s="50"/>
    </row>
    <row r="1675" spans="2:15" x14ac:dyDescent="0.2">
      <c r="B1675">
        <v>1660</v>
      </c>
      <c r="C1675" s="48">
        <f t="shared" ca="1" si="104"/>
        <v>-0.29395927351208501</v>
      </c>
      <c r="D1675" s="48">
        <f t="shared" ca="1" si="101"/>
        <v>0.64552422980726665</v>
      </c>
      <c r="E1675" s="48">
        <f t="shared" ca="1" si="102"/>
        <v>0</v>
      </c>
      <c r="F1675" s="17">
        <f t="shared" ca="1" si="103"/>
        <v>0</v>
      </c>
      <c r="H1675" s="17">
        <v>1660</v>
      </c>
      <c r="I1675" s="43">
        <v>0.67127989322461346</v>
      </c>
      <c r="J1675" s="43">
        <v>2.0867449873786852E-2</v>
      </c>
      <c r="K1675" s="43"/>
      <c r="L1675" s="43">
        <v>0.25740000000000002</v>
      </c>
      <c r="O1675" s="50"/>
    </row>
    <row r="1676" spans="2:15" x14ac:dyDescent="0.2">
      <c r="B1676">
        <v>1661</v>
      </c>
      <c r="C1676" s="48">
        <f t="shared" ca="1" si="104"/>
        <v>-1.2200468008491632</v>
      </c>
      <c r="D1676" s="48">
        <f t="shared" ca="1" si="101"/>
        <v>0.58919789974596082</v>
      </c>
      <c r="E1676" s="48">
        <f t="shared" ca="1" si="102"/>
        <v>0</v>
      </c>
      <c r="F1676" s="17">
        <f t="shared" ca="1" si="103"/>
        <v>0</v>
      </c>
      <c r="H1676" s="17">
        <v>1661</v>
      </c>
      <c r="I1676" s="43">
        <v>0.66936528737560197</v>
      </c>
      <c r="J1676" s="43">
        <v>1.9735541590708838E-2</v>
      </c>
      <c r="K1676" s="43"/>
      <c r="L1676" s="43">
        <v>0.24840000000000001</v>
      </c>
      <c r="O1676" s="50"/>
    </row>
    <row r="1677" spans="2:15" x14ac:dyDescent="0.2">
      <c r="B1677">
        <v>1662</v>
      </c>
      <c r="C1677" s="48">
        <f t="shared" ca="1" si="104"/>
        <v>-1.5669889755018007</v>
      </c>
      <c r="D1677" s="48">
        <f t="shared" ca="1" si="101"/>
        <v>0.56938564788796875</v>
      </c>
      <c r="E1677" s="48">
        <f t="shared" ca="1" si="102"/>
        <v>0</v>
      </c>
      <c r="F1677" s="17">
        <f t="shared" ca="1" si="103"/>
        <v>0</v>
      </c>
      <c r="H1677" s="17">
        <v>1662</v>
      </c>
      <c r="I1677" s="43">
        <v>0.6685475372299946</v>
      </c>
      <c r="J1677" s="43">
        <v>1.9050118507480899E-2</v>
      </c>
      <c r="K1677" s="43"/>
      <c r="L1677" s="43">
        <v>0.24640000000000001</v>
      </c>
      <c r="O1677" s="50"/>
    </row>
    <row r="1678" spans="2:15" x14ac:dyDescent="0.2">
      <c r="B1678">
        <v>1663</v>
      </c>
      <c r="C1678" s="48">
        <f t="shared" ca="1" si="104"/>
        <v>-1.2549096382974458</v>
      </c>
      <c r="D1678" s="48">
        <f t="shared" ca="1" si="101"/>
        <v>0.58717627980920117</v>
      </c>
      <c r="E1678" s="48">
        <f t="shared" ca="1" si="102"/>
        <v>0</v>
      </c>
      <c r="F1678" s="17">
        <f t="shared" ca="1" si="103"/>
        <v>0</v>
      </c>
      <c r="H1678" s="17">
        <v>1663</v>
      </c>
      <c r="I1678" s="43">
        <v>0.66787415346526946</v>
      </c>
      <c r="J1678" s="43">
        <v>1.8671687511792871E-2</v>
      </c>
      <c r="K1678" s="43"/>
      <c r="L1678" s="43">
        <v>0.251</v>
      </c>
      <c r="O1678" s="50"/>
    </row>
    <row r="1679" spans="2:15" x14ac:dyDescent="0.2">
      <c r="B1679">
        <v>1664</v>
      </c>
      <c r="C1679" s="48">
        <f t="shared" ca="1" si="104"/>
        <v>-0.76761869634813407</v>
      </c>
      <c r="D1679" s="48">
        <f t="shared" ca="1" si="101"/>
        <v>0.61607324584634271</v>
      </c>
      <c r="E1679" s="48">
        <f t="shared" ca="1" si="102"/>
        <v>0</v>
      </c>
      <c r="F1679" s="17">
        <f t="shared" ca="1" si="103"/>
        <v>0</v>
      </c>
      <c r="H1679" s="17">
        <v>1664</v>
      </c>
      <c r="I1679" s="43">
        <v>0.66981174733360205</v>
      </c>
      <c r="J1679" s="43">
        <v>2.0197231853522075E-2</v>
      </c>
      <c r="K1679" s="43"/>
      <c r="L1679" s="43">
        <v>0.25240000000000001</v>
      </c>
      <c r="O1679" s="50"/>
    </row>
    <row r="1680" spans="2:15" x14ac:dyDescent="0.2">
      <c r="B1680">
        <v>1665</v>
      </c>
      <c r="C1680" s="48">
        <f t="shared" ca="1" si="104"/>
        <v>0.79615022864547491</v>
      </c>
      <c r="D1680" s="48">
        <f t="shared" ref="D1680:D1743" ca="1" si="105">S0*EXP((μ-0.5*σ*σ)*T+σ*SQRT(T)*$C1680)</f>
        <v>0.71876458468207027</v>
      </c>
      <c r="E1680" s="48">
        <f t="shared" ref="E1680:E1743" ca="1" si="106">MAX(0,CP*(D1680-K))</f>
        <v>0</v>
      </c>
      <c r="F1680" s="17">
        <f t="shared" ref="F1680:F1743" ca="1" si="107">(CP*(D1680-K)&gt;0)*1</f>
        <v>0</v>
      </c>
      <c r="H1680" s="17">
        <v>1665</v>
      </c>
      <c r="I1680" s="43">
        <v>0.66925213327096256</v>
      </c>
      <c r="J1680" s="43">
        <v>1.9647782342261614E-2</v>
      </c>
      <c r="K1680" s="43"/>
      <c r="L1680" s="43">
        <v>0.24979999999999999</v>
      </c>
      <c r="O1680" s="50"/>
    </row>
    <row r="1681" spans="2:15" x14ac:dyDescent="0.2">
      <c r="B1681">
        <v>1666</v>
      </c>
      <c r="C1681" s="48">
        <f t="shared" ref="C1681:C1744" ca="1" si="108">_xlfn.NORM.S.INV(RAND())</f>
        <v>-0.91228521744850033</v>
      </c>
      <c r="D1681" s="48">
        <f t="shared" ca="1" si="105"/>
        <v>0.60734898247183411</v>
      </c>
      <c r="E1681" s="48">
        <f t="shared" ca="1" si="106"/>
        <v>0</v>
      </c>
      <c r="F1681" s="17">
        <f t="shared" ca="1" si="107"/>
        <v>0</v>
      </c>
      <c r="H1681" s="17">
        <v>1666</v>
      </c>
      <c r="I1681" s="43">
        <v>0.6685729155899357</v>
      </c>
      <c r="J1681" s="43">
        <v>1.8963659606800749E-2</v>
      </c>
      <c r="K1681" s="43"/>
      <c r="L1681" s="43">
        <v>0.247</v>
      </c>
      <c r="O1681" s="50"/>
    </row>
    <row r="1682" spans="2:15" x14ac:dyDescent="0.2">
      <c r="B1682">
        <v>1667</v>
      </c>
      <c r="C1682" s="48">
        <f t="shared" ca="1" si="108"/>
        <v>0.63393454949834815</v>
      </c>
      <c r="D1682" s="48">
        <f t="shared" ca="1" si="105"/>
        <v>0.70736121680142339</v>
      </c>
      <c r="E1682" s="48">
        <f t="shared" ca="1" si="106"/>
        <v>0</v>
      </c>
      <c r="F1682" s="17">
        <f t="shared" ca="1" si="107"/>
        <v>0</v>
      </c>
      <c r="H1682" s="17">
        <v>1667</v>
      </c>
      <c r="I1682" s="43">
        <v>0.66868624789685671</v>
      </c>
      <c r="J1682" s="43">
        <v>1.8999737048155274E-2</v>
      </c>
      <c r="K1682" s="43"/>
      <c r="L1682" s="43">
        <v>0.24199999999999999</v>
      </c>
      <c r="O1682" s="50"/>
    </row>
    <row r="1683" spans="2:15" x14ac:dyDescent="0.2">
      <c r="B1683">
        <v>1668</v>
      </c>
      <c r="C1683" s="48">
        <f t="shared" ca="1" si="108"/>
        <v>0.70085495288796251</v>
      </c>
      <c r="D1683" s="48">
        <f t="shared" ca="1" si="105"/>
        <v>0.71204347042921468</v>
      </c>
      <c r="E1683" s="48">
        <f t="shared" ca="1" si="106"/>
        <v>0</v>
      </c>
      <c r="F1683" s="17">
        <f t="shared" ca="1" si="107"/>
        <v>0</v>
      </c>
      <c r="H1683" s="17">
        <v>1668</v>
      </c>
      <c r="I1683" s="43">
        <v>0.66985037583376483</v>
      </c>
      <c r="J1683" s="43">
        <v>2.0226285705000471E-2</v>
      </c>
      <c r="K1683" s="43"/>
      <c r="L1683" s="43">
        <v>0.25319999999999998</v>
      </c>
      <c r="O1683" s="50"/>
    </row>
    <row r="1684" spans="2:15" x14ac:dyDescent="0.2">
      <c r="B1684">
        <v>1669</v>
      </c>
      <c r="C1684" s="48">
        <f t="shared" ca="1" si="108"/>
        <v>-0.1223020471196244</v>
      </c>
      <c r="D1684" s="48">
        <f t="shared" ca="1" si="105"/>
        <v>0.6565415603567214</v>
      </c>
      <c r="E1684" s="48">
        <f t="shared" ca="1" si="106"/>
        <v>0</v>
      </c>
      <c r="F1684" s="17">
        <f t="shared" ca="1" si="107"/>
        <v>0</v>
      </c>
      <c r="H1684" s="17">
        <v>1669</v>
      </c>
      <c r="I1684" s="43">
        <v>0.66850230845604819</v>
      </c>
      <c r="J1684" s="43">
        <v>1.9112740858713277E-2</v>
      </c>
      <c r="K1684" s="43"/>
      <c r="L1684" s="43">
        <v>0.251</v>
      </c>
      <c r="O1684" s="50"/>
    </row>
    <row r="1685" spans="2:15" x14ac:dyDescent="0.2">
      <c r="B1685">
        <v>1670</v>
      </c>
      <c r="C1685" s="48">
        <f t="shared" ca="1" si="108"/>
        <v>0.8942443711029695</v>
      </c>
      <c r="D1685" s="48">
        <f t="shared" ca="1" si="105"/>
        <v>0.72574937152545438</v>
      </c>
      <c r="E1685" s="48">
        <f t="shared" ca="1" si="106"/>
        <v>0</v>
      </c>
      <c r="F1685" s="17">
        <f t="shared" ca="1" si="107"/>
        <v>0</v>
      </c>
      <c r="H1685" s="17">
        <v>1670</v>
      </c>
      <c r="I1685" s="43">
        <v>0.6690763999130811</v>
      </c>
      <c r="J1685" s="43">
        <v>1.9450041753776143E-2</v>
      </c>
      <c r="K1685" s="43"/>
      <c r="L1685" s="43">
        <v>0.25280000000000002</v>
      </c>
      <c r="O1685" s="50"/>
    </row>
    <row r="1686" spans="2:15" x14ac:dyDescent="0.2">
      <c r="B1686">
        <v>1671</v>
      </c>
      <c r="C1686" s="48">
        <f t="shared" ca="1" si="108"/>
        <v>-1.1453268567422428</v>
      </c>
      <c r="D1686" s="48">
        <f t="shared" ca="1" si="105"/>
        <v>0.59355422236676969</v>
      </c>
      <c r="E1686" s="48">
        <f t="shared" ca="1" si="106"/>
        <v>0</v>
      </c>
      <c r="F1686" s="17">
        <f t="shared" ca="1" si="107"/>
        <v>0</v>
      </c>
      <c r="H1686" s="17">
        <v>1671</v>
      </c>
      <c r="I1686" s="43">
        <v>0.66807383233510509</v>
      </c>
      <c r="J1686" s="43">
        <v>1.8599890152075103E-2</v>
      </c>
      <c r="K1686" s="43"/>
      <c r="L1686" s="43">
        <v>0.24379999999999999</v>
      </c>
      <c r="O1686" s="50"/>
    </row>
    <row r="1687" spans="2:15" x14ac:dyDescent="0.2">
      <c r="B1687">
        <v>1672</v>
      </c>
      <c r="C1687" s="48">
        <f t="shared" ca="1" si="108"/>
        <v>0.37406554837168926</v>
      </c>
      <c r="D1687" s="48">
        <f t="shared" ca="1" si="105"/>
        <v>0.68946892201087162</v>
      </c>
      <c r="E1687" s="48">
        <f t="shared" ca="1" si="106"/>
        <v>0</v>
      </c>
      <c r="F1687" s="17">
        <f t="shared" ca="1" si="107"/>
        <v>0</v>
      </c>
      <c r="H1687" s="17">
        <v>1672</v>
      </c>
      <c r="I1687" s="43">
        <v>0.66840303744420537</v>
      </c>
      <c r="J1687" s="43">
        <v>1.9064034229575384E-2</v>
      </c>
      <c r="K1687" s="43"/>
      <c r="L1687" s="43">
        <v>0.25119999999999998</v>
      </c>
      <c r="O1687" s="50"/>
    </row>
    <row r="1688" spans="2:15" x14ac:dyDescent="0.2">
      <c r="B1688">
        <v>1673</v>
      </c>
      <c r="C1688" s="48">
        <f t="shared" ca="1" si="108"/>
        <v>0.25661465584583193</v>
      </c>
      <c r="D1688" s="48">
        <f t="shared" ca="1" si="105"/>
        <v>0.68153147617377763</v>
      </c>
      <c r="E1688" s="48">
        <f t="shared" ca="1" si="106"/>
        <v>0</v>
      </c>
      <c r="F1688" s="17">
        <f t="shared" ca="1" si="107"/>
        <v>0</v>
      </c>
      <c r="H1688" s="17">
        <v>1673</v>
      </c>
      <c r="I1688" s="43">
        <v>0.6691118213638656</v>
      </c>
      <c r="J1688" s="43">
        <v>1.934023787272196E-2</v>
      </c>
      <c r="K1688" s="43"/>
      <c r="L1688" s="43">
        <v>0.249</v>
      </c>
      <c r="O1688" s="50"/>
    </row>
    <row r="1689" spans="2:15" x14ac:dyDescent="0.2">
      <c r="B1689">
        <v>1674</v>
      </c>
      <c r="C1689" s="48">
        <f t="shared" ca="1" si="108"/>
        <v>-0.92581574889187379</v>
      </c>
      <c r="D1689" s="48">
        <f t="shared" ca="1" si="105"/>
        <v>0.60653935496593281</v>
      </c>
      <c r="E1689" s="48">
        <f t="shared" ca="1" si="106"/>
        <v>0</v>
      </c>
      <c r="F1689" s="17">
        <f t="shared" ca="1" si="107"/>
        <v>0</v>
      </c>
      <c r="H1689" s="17">
        <v>1674</v>
      </c>
      <c r="I1689" s="43">
        <v>0.66824541325789488</v>
      </c>
      <c r="J1689" s="43">
        <v>1.8853886388885965E-2</v>
      </c>
      <c r="K1689" s="43"/>
      <c r="L1689" s="43">
        <v>0.252</v>
      </c>
      <c r="O1689" s="50"/>
    </row>
    <row r="1690" spans="2:15" x14ac:dyDescent="0.2">
      <c r="B1690">
        <v>1675</v>
      </c>
      <c r="C1690" s="48">
        <f t="shared" ca="1" si="108"/>
        <v>-0.40528172029146275</v>
      </c>
      <c r="D1690" s="48">
        <f t="shared" ca="1" si="105"/>
        <v>0.6384783374995282</v>
      </c>
      <c r="E1690" s="48">
        <f t="shared" ca="1" si="106"/>
        <v>0</v>
      </c>
      <c r="F1690" s="17">
        <f t="shared" ca="1" si="107"/>
        <v>0</v>
      </c>
      <c r="H1690" s="17">
        <v>1675</v>
      </c>
      <c r="I1690" s="43">
        <v>0.66929837846543005</v>
      </c>
      <c r="J1690" s="43">
        <v>1.9574689801265425E-2</v>
      </c>
      <c r="K1690" s="43"/>
      <c r="L1690" s="43">
        <v>0.25040000000000001</v>
      </c>
      <c r="O1690" s="50"/>
    </row>
    <row r="1691" spans="2:15" x14ac:dyDescent="0.2">
      <c r="B1691">
        <v>1676</v>
      </c>
      <c r="C1691" s="48">
        <f t="shared" ca="1" si="108"/>
        <v>1.2778839010760707</v>
      </c>
      <c r="D1691" s="48">
        <f t="shared" ca="1" si="105"/>
        <v>0.75372440267066854</v>
      </c>
      <c r="E1691" s="48">
        <f t="shared" ca="1" si="106"/>
        <v>0</v>
      </c>
      <c r="F1691" s="17">
        <f t="shared" ca="1" si="107"/>
        <v>0</v>
      </c>
      <c r="H1691" s="17">
        <v>1676</v>
      </c>
      <c r="I1691" s="43">
        <v>0.66846789761088965</v>
      </c>
      <c r="J1691" s="43">
        <v>1.8899280238437035E-2</v>
      </c>
      <c r="K1691" s="43"/>
      <c r="L1691" s="43">
        <v>0.23780000000000001</v>
      </c>
      <c r="O1691" s="50"/>
    </row>
    <row r="1692" spans="2:15" x14ac:dyDescent="0.2">
      <c r="B1692">
        <v>1677</v>
      </c>
      <c r="C1692" s="48">
        <f t="shared" ca="1" si="108"/>
        <v>-1.940436980945963</v>
      </c>
      <c r="D1692" s="48">
        <f t="shared" ca="1" si="105"/>
        <v>0.54880362126935367</v>
      </c>
      <c r="E1692" s="48">
        <f t="shared" ca="1" si="106"/>
        <v>0</v>
      </c>
      <c r="F1692" s="17">
        <f t="shared" ca="1" si="107"/>
        <v>0</v>
      </c>
      <c r="H1692" s="17">
        <v>1677</v>
      </c>
      <c r="I1692" s="43">
        <v>0.66825472220445137</v>
      </c>
      <c r="J1692" s="43">
        <v>1.8871457814563633E-2</v>
      </c>
      <c r="K1692" s="43"/>
      <c r="L1692" s="43">
        <v>0.24679999999999999</v>
      </c>
      <c r="O1692" s="50"/>
    </row>
    <row r="1693" spans="2:15" x14ac:dyDescent="0.2">
      <c r="B1693">
        <v>1678</v>
      </c>
      <c r="C1693" s="48">
        <f t="shared" ca="1" si="108"/>
        <v>1.2968354319992625</v>
      </c>
      <c r="D1693" s="48">
        <f t="shared" ca="1" si="105"/>
        <v>0.75513396528590571</v>
      </c>
      <c r="E1693" s="48">
        <f t="shared" ca="1" si="106"/>
        <v>0</v>
      </c>
      <c r="F1693" s="17">
        <f t="shared" ca="1" si="107"/>
        <v>0</v>
      </c>
      <c r="H1693" s="17">
        <v>1678</v>
      </c>
      <c r="I1693" s="43">
        <v>0.66774600365797254</v>
      </c>
      <c r="J1693" s="43">
        <v>1.8626463450812307E-2</v>
      </c>
      <c r="K1693" s="43"/>
      <c r="L1693" s="43">
        <v>0.24440000000000001</v>
      </c>
      <c r="O1693" s="50"/>
    </row>
    <row r="1694" spans="2:15" x14ac:dyDescent="0.2">
      <c r="B1694">
        <v>1679</v>
      </c>
      <c r="C1694" s="48">
        <f t="shared" ca="1" si="108"/>
        <v>-0.54188590186600782</v>
      </c>
      <c r="D1694" s="48">
        <f t="shared" ca="1" si="105"/>
        <v>0.62993729778405949</v>
      </c>
      <c r="E1694" s="48">
        <f t="shared" ca="1" si="106"/>
        <v>0</v>
      </c>
      <c r="F1694" s="17">
        <f t="shared" ca="1" si="107"/>
        <v>0</v>
      </c>
      <c r="H1694" s="17">
        <v>1679</v>
      </c>
      <c r="I1694" s="43">
        <v>0.66807847136702225</v>
      </c>
      <c r="J1694" s="43">
        <v>1.8801661004921498E-2</v>
      </c>
      <c r="K1694" s="43"/>
      <c r="L1694" s="43">
        <v>0.25580000000000003</v>
      </c>
      <c r="O1694" s="50"/>
    </row>
    <row r="1695" spans="2:15" x14ac:dyDescent="0.2">
      <c r="B1695">
        <v>1680</v>
      </c>
      <c r="C1695" s="48">
        <f t="shared" ca="1" si="108"/>
        <v>0.77552864424178969</v>
      </c>
      <c r="D1695" s="48">
        <f t="shared" ca="1" si="105"/>
        <v>0.71730479923825363</v>
      </c>
      <c r="E1695" s="48">
        <f t="shared" ca="1" si="106"/>
        <v>0</v>
      </c>
      <c r="F1695" s="17">
        <f t="shared" ca="1" si="107"/>
        <v>0</v>
      </c>
      <c r="H1695" s="17">
        <v>1680</v>
      </c>
      <c r="I1695" s="43">
        <v>0.66896419603887325</v>
      </c>
      <c r="J1695" s="43">
        <v>1.9408898902310529E-2</v>
      </c>
      <c r="K1695" s="43"/>
      <c r="L1695" s="43">
        <v>0.251</v>
      </c>
      <c r="O1695" s="50"/>
    </row>
    <row r="1696" spans="2:15" x14ac:dyDescent="0.2">
      <c r="B1696">
        <v>1681</v>
      </c>
      <c r="C1696" s="48">
        <f t="shared" ca="1" si="108"/>
        <v>-1.2127268019967863E-2</v>
      </c>
      <c r="D1696" s="48">
        <f t="shared" ca="1" si="105"/>
        <v>0.66371168801853042</v>
      </c>
      <c r="E1696" s="48">
        <f t="shared" ca="1" si="106"/>
        <v>0</v>
      </c>
      <c r="F1696" s="17">
        <f t="shared" ca="1" si="107"/>
        <v>0</v>
      </c>
      <c r="H1696" s="17">
        <v>1681</v>
      </c>
      <c r="I1696" s="43">
        <v>0.66817702728903827</v>
      </c>
      <c r="J1696" s="43">
        <v>1.8975252088063589E-2</v>
      </c>
      <c r="K1696" s="43"/>
      <c r="L1696" s="43">
        <v>0.25059999999999999</v>
      </c>
      <c r="O1696" s="50"/>
    </row>
    <row r="1697" spans="2:15" x14ac:dyDescent="0.2">
      <c r="B1697">
        <v>1682</v>
      </c>
      <c r="C1697" s="48">
        <f t="shared" ca="1" si="108"/>
        <v>0.52808853089743157</v>
      </c>
      <c r="D1697" s="48">
        <f t="shared" ca="1" si="105"/>
        <v>0.70001821709155909</v>
      </c>
      <c r="E1697" s="48">
        <f t="shared" ca="1" si="106"/>
        <v>0</v>
      </c>
      <c r="F1697" s="17">
        <f t="shared" ca="1" si="107"/>
        <v>0</v>
      </c>
      <c r="H1697" s="17">
        <v>1682</v>
      </c>
      <c r="I1697" s="43">
        <v>0.67145594543062648</v>
      </c>
      <c r="J1697" s="43">
        <v>2.1311918469233113E-2</v>
      </c>
      <c r="K1697" s="43"/>
      <c r="L1697" s="43">
        <v>0.26419999999999999</v>
      </c>
      <c r="O1697" s="50"/>
    </row>
    <row r="1698" spans="2:15" x14ac:dyDescent="0.2">
      <c r="B1698">
        <v>1683</v>
      </c>
      <c r="C1698" s="48">
        <f t="shared" ca="1" si="108"/>
        <v>0.12443015591231839</v>
      </c>
      <c r="D1698" s="48">
        <f t="shared" ca="1" si="105"/>
        <v>0.67270755867416643</v>
      </c>
      <c r="E1698" s="48">
        <f t="shared" ca="1" si="106"/>
        <v>0</v>
      </c>
      <c r="F1698" s="17">
        <f t="shared" ca="1" si="107"/>
        <v>0</v>
      </c>
      <c r="H1698" s="17">
        <v>1683</v>
      </c>
      <c r="I1698" s="43">
        <v>0.6683668310015628</v>
      </c>
      <c r="J1698" s="43">
        <v>1.9239895807239317E-2</v>
      </c>
      <c r="K1698" s="43"/>
      <c r="L1698" s="43">
        <v>0.25119999999999998</v>
      </c>
      <c r="O1698" s="50"/>
    </row>
    <row r="1699" spans="2:15" x14ac:dyDescent="0.2">
      <c r="B1699">
        <v>1684</v>
      </c>
      <c r="C1699" s="48">
        <f t="shared" ca="1" si="108"/>
        <v>-1.7269891313383452</v>
      </c>
      <c r="D1699" s="48">
        <f t="shared" ca="1" si="105"/>
        <v>0.56047461878924765</v>
      </c>
      <c r="E1699" s="48">
        <f t="shared" ca="1" si="106"/>
        <v>0</v>
      </c>
      <c r="F1699" s="17">
        <f t="shared" ca="1" si="107"/>
        <v>0</v>
      </c>
      <c r="H1699" s="17">
        <v>1684</v>
      </c>
      <c r="I1699" s="43">
        <v>0.66947028344335957</v>
      </c>
      <c r="J1699" s="43">
        <v>1.9591762116670838E-2</v>
      </c>
      <c r="K1699" s="43"/>
      <c r="L1699" s="43">
        <v>0.25280000000000002</v>
      </c>
      <c r="O1699" s="50"/>
    </row>
    <row r="1700" spans="2:15" x14ac:dyDescent="0.2">
      <c r="B1700">
        <v>1685</v>
      </c>
      <c r="C1700" s="48">
        <f t="shared" ca="1" si="108"/>
        <v>-1.0335279457115931</v>
      </c>
      <c r="D1700" s="48">
        <f t="shared" ca="1" si="105"/>
        <v>0.60013254669880145</v>
      </c>
      <c r="E1700" s="48">
        <f t="shared" ca="1" si="106"/>
        <v>0</v>
      </c>
      <c r="F1700" s="17">
        <f t="shared" ca="1" si="107"/>
        <v>0</v>
      </c>
      <c r="H1700" s="17">
        <v>1685</v>
      </c>
      <c r="I1700" s="43">
        <v>0.66860165233418101</v>
      </c>
      <c r="J1700" s="43">
        <v>1.9206074402636015E-2</v>
      </c>
      <c r="K1700" s="43"/>
      <c r="L1700" s="43">
        <v>0.251</v>
      </c>
      <c r="O1700" s="50"/>
    </row>
    <row r="1701" spans="2:15" x14ac:dyDescent="0.2">
      <c r="B1701">
        <v>1686</v>
      </c>
      <c r="C1701" s="48">
        <f t="shared" ca="1" si="108"/>
        <v>-1.6675043107243466</v>
      </c>
      <c r="D1701" s="48">
        <f t="shared" ca="1" si="105"/>
        <v>0.56377115537682176</v>
      </c>
      <c r="E1701" s="48">
        <f t="shared" ca="1" si="106"/>
        <v>0</v>
      </c>
      <c r="F1701" s="17">
        <f t="shared" ca="1" si="107"/>
        <v>0</v>
      </c>
      <c r="H1701" s="17">
        <v>1686</v>
      </c>
      <c r="I1701" s="43">
        <v>0.66789971808942028</v>
      </c>
      <c r="J1701" s="43">
        <v>1.8327645833133472E-2</v>
      </c>
      <c r="K1701" s="43"/>
      <c r="L1701" s="43">
        <v>0.24299999999999999</v>
      </c>
      <c r="O1701" s="50"/>
    </row>
    <row r="1702" spans="2:15" x14ac:dyDescent="0.2">
      <c r="B1702">
        <v>1687</v>
      </c>
      <c r="C1702" s="48">
        <f t="shared" ca="1" si="108"/>
        <v>-0.33876411808596779</v>
      </c>
      <c r="D1702" s="48">
        <f t="shared" ca="1" si="105"/>
        <v>0.64267911094469043</v>
      </c>
      <c r="E1702" s="48">
        <f t="shared" ca="1" si="106"/>
        <v>0</v>
      </c>
      <c r="F1702" s="17">
        <f t="shared" ca="1" si="107"/>
        <v>0</v>
      </c>
      <c r="H1702" s="17">
        <v>1687</v>
      </c>
      <c r="I1702" s="43">
        <v>0.66860541436420418</v>
      </c>
      <c r="J1702" s="43">
        <v>1.9116906209457555E-2</v>
      </c>
      <c r="K1702" s="43"/>
      <c r="L1702" s="43">
        <v>0.24940000000000001</v>
      </c>
      <c r="O1702" s="50"/>
    </row>
    <row r="1703" spans="2:15" x14ac:dyDescent="0.2">
      <c r="B1703">
        <v>1688</v>
      </c>
      <c r="C1703" s="48">
        <f t="shared" ca="1" si="108"/>
        <v>1.9355831302711912</v>
      </c>
      <c r="D1703" s="48">
        <f t="shared" ca="1" si="105"/>
        <v>0.80421583958848197</v>
      </c>
      <c r="E1703" s="48">
        <f t="shared" ca="1" si="106"/>
        <v>1.6015839588481962E-2</v>
      </c>
      <c r="F1703" s="17">
        <f t="shared" ca="1" si="107"/>
        <v>1</v>
      </c>
      <c r="H1703" s="17">
        <v>1688</v>
      </c>
      <c r="I1703" s="43">
        <v>0.6687324723163165</v>
      </c>
      <c r="J1703" s="43">
        <v>1.9460891743726789E-2</v>
      </c>
      <c r="K1703" s="43"/>
      <c r="L1703" s="43">
        <v>0.25719999999999998</v>
      </c>
      <c r="O1703" s="50"/>
    </row>
    <row r="1704" spans="2:15" x14ac:dyDescent="0.2">
      <c r="B1704">
        <v>1689</v>
      </c>
      <c r="C1704" s="48">
        <f t="shared" ca="1" si="108"/>
        <v>-0.76623402632586235</v>
      </c>
      <c r="D1704" s="48">
        <f t="shared" ca="1" si="105"/>
        <v>0.61615735243200365</v>
      </c>
      <c r="E1704" s="48">
        <f t="shared" ca="1" si="106"/>
        <v>0</v>
      </c>
      <c r="F1704" s="17">
        <f t="shared" ca="1" si="107"/>
        <v>0</v>
      </c>
      <c r="H1704" s="17">
        <v>1689</v>
      </c>
      <c r="I1704" s="43">
        <v>0.6698743536080799</v>
      </c>
      <c r="J1704" s="43">
        <v>2.009349171233692E-2</v>
      </c>
      <c r="K1704" s="43"/>
      <c r="L1704" s="43">
        <v>0.25259999999999999</v>
      </c>
      <c r="O1704" s="50"/>
    </row>
    <row r="1705" spans="2:15" x14ac:dyDescent="0.2">
      <c r="B1705">
        <v>1690</v>
      </c>
      <c r="C1705" s="48">
        <f t="shared" ca="1" si="108"/>
        <v>-1.0211294449444011</v>
      </c>
      <c r="D1705" s="48">
        <f t="shared" ca="1" si="105"/>
        <v>0.60086655932099342</v>
      </c>
      <c r="E1705" s="48">
        <f t="shared" ca="1" si="106"/>
        <v>0</v>
      </c>
      <c r="F1705" s="17">
        <f t="shared" ca="1" si="107"/>
        <v>0</v>
      </c>
      <c r="H1705" s="17">
        <v>1690</v>
      </c>
      <c r="I1705" s="43">
        <v>0.66857744891090765</v>
      </c>
      <c r="J1705" s="43">
        <v>1.9215615235487812E-2</v>
      </c>
      <c r="K1705" s="43"/>
      <c r="L1705" s="43">
        <v>0.25740000000000002</v>
      </c>
      <c r="O1705" s="50"/>
    </row>
    <row r="1706" spans="2:15" x14ac:dyDescent="0.2">
      <c r="B1706">
        <v>1691</v>
      </c>
      <c r="C1706" s="48">
        <f t="shared" ca="1" si="108"/>
        <v>-0.23115445921670333</v>
      </c>
      <c r="D1706" s="48">
        <f t="shared" ca="1" si="105"/>
        <v>0.64953356553033659</v>
      </c>
      <c r="E1706" s="48">
        <f t="shared" ca="1" si="106"/>
        <v>0</v>
      </c>
      <c r="F1706" s="17">
        <f t="shared" ca="1" si="107"/>
        <v>0</v>
      </c>
      <c r="H1706" s="17">
        <v>1691</v>
      </c>
      <c r="I1706" s="43">
        <v>0.66923011856244985</v>
      </c>
      <c r="J1706" s="43">
        <v>1.9821264927328469E-2</v>
      </c>
      <c r="K1706" s="43"/>
      <c r="L1706" s="43">
        <v>0.25480000000000003</v>
      </c>
      <c r="O1706" s="50"/>
    </row>
    <row r="1707" spans="2:15" x14ac:dyDescent="0.2">
      <c r="B1707">
        <v>1692</v>
      </c>
      <c r="C1707" s="48">
        <f t="shared" ca="1" si="108"/>
        <v>-1.5153864705123687</v>
      </c>
      <c r="D1707" s="48">
        <f t="shared" ca="1" si="105"/>
        <v>0.57228969859789047</v>
      </c>
      <c r="E1707" s="48">
        <f t="shared" ca="1" si="106"/>
        <v>0</v>
      </c>
      <c r="F1707" s="17">
        <f t="shared" ca="1" si="107"/>
        <v>0</v>
      </c>
      <c r="H1707" s="17">
        <v>1692</v>
      </c>
      <c r="I1707" s="43">
        <v>0.66985009414102969</v>
      </c>
      <c r="J1707" s="43">
        <v>2.0057192883769729E-2</v>
      </c>
      <c r="K1707" s="43"/>
      <c r="L1707" s="43">
        <v>0.25440000000000002</v>
      </c>
      <c r="O1707" s="50"/>
    </row>
    <row r="1708" spans="2:15" x14ac:dyDescent="0.2">
      <c r="B1708">
        <v>1693</v>
      </c>
      <c r="C1708" s="48">
        <f t="shared" ca="1" si="108"/>
        <v>1.0853324086998271</v>
      </c>
      <c r="D1708" s="48">
        <f t="shared" ca="1" si="105"/>
        <v>0.73955127938280796</v>
      </c>
      <c r="E1708" s="48">
        <f t="shared" ca="1" si="106"/>
        <v>0</v>
      </c>
      <c r="F1708" s="17">
        <f t="shared" ca="1" si="107"/>
        <v>0</v>
      </c>
      <c r="H1708" s="17">
        <v>1693</v>
      </c>
      <c r="I1708" s="43">
        <v>0.66900166378017634</v>
      </c>
      <c r="J1708" s="43">
        <v>1.9376545425833107E-2</v>
      </c>
      <c r="K1708" s="43"/>
      <c r="L1708" s="43">
        <v>0.24759999999999999</v>
      </c>
      <c r="O1708" s="50"/>
    </row>
    <row r="1709" spans="2:15" x14ac:dyDescent="0.2">
      <c r="B1709">
        <v>1694</v>
      </c>
      <c r="C1709" s="48">
        <f t="shared" ca="1" si="108"/>
        <v>1.7760579862034321E-2</v>
      </c>
      <c r="D1709" s="48">
        <f t="shared" ca="1" si="105"/>
        <v>0.66567024326460633</v>
      </c>
      <c r="E1709" s="48">
        <f t="shared" ca="1" si="106"/>
        <v>0</v>
      </c>
      <c r="F1709" s="17">
        <f t="shared" ca="1" si="107"/>
        <v>0</v>
      </c>
      <c r="H1709" s="17">
        <v>1694</v>
      </c>
      <c r="I1709" s="43">
        <v>0.66973566409632623</v>
      </c>
      <c r="J1709" s="43">
        <v>1.9678536387230418E-2</v>
      </c>
      <c r="K1709" s="43"/>
      <c r="L1709" s="43">
        <v>0.245</v>
      </c>
      <c r="O1709" s="50"/>
    </row>
    <row r="1710" spans="2:15" x14ac:dyDescent="0.2">
      <c r="B1710">
        <v>1695</v>
      </c>
      <c r="C1710" s="48">
        <f t="shared" ca="1" si="108"/>
        <v>-8.8311219610512609E-2</v>
      </c>
      <c r="D1710" s="48">
        <f t="shared" ca="1" si="105"/>
        <v>0.65874536736545564</v>
      </c>
      <c r="E1710" s="48">
        <f t="shared" ca="1" si="106"/>
        <v>0</v>
      </c>
      <c r="F1710" s="17">
        <f t="shared" ca="1" si="107"/>
        <v>0</v>
      </c>
      <c r="H1710" s="17">
        <v>1695</v>
      </c>
      <c r="I1710" s="43">
        <v>0.66888053947553849</v>
      </c>
      <c r="J1710" s="43">
        <v>1.9337078388726503E-2</v>
      </c>
      <c r="K1710" s="43"/>
      <c r="L1710" s="43">
        <v>0.24840000000000001</v>
      </c>
      <c r="O1710" s="50"/>
    </row>
    <row r="1711" spans="2:15" x14ac:dyDescent="0.2">
      <c r="B1711">
        <v>1696</v>
      </c>
      <c r="C1711" s="48">
        <f t="shared" ca="1" si="108"/>
        <v>-1.3429036257046967</v>
      </c>
      <c r="D1711" s="48">
        <f t="shared" ca="1" si="105"/>
        <v>0.58210449511889928</v>
      </c>
      <c r="E1711" s="48">
        <f t="shared" ca="1" si="106"/>
        <v>0</v>
      </c>
      <c r="F1711" s="17">
        <f t="shared" ca="1" si="107"/>
        <v>0</v>
      </c>
      <c r="H1711" s="17">
        <v>1696</v>
      </c>
      <c r="I1711" s="43">
        <v>0.66907135570989495</v>
      </c>
      <c r="J1711" s="43">
        <v>1.9485861489421122E-2</v>
      </c>
      <c r="K1711" s="43"/>
      <c r="L1711" s="43">
        <v>0.25019999999999998</v>
      </c>
      <c r="O1711" s="50"/>
    </row>
    <row r="1712" spans="2:15" x14ac:dyDescent="0.2">
      <c r="B1712">
        <v>1697</v>
      </c>
      <c r="C1712" s="48">
        <f t="shared" ca="1" si="108"/>
        <v>1.0629746246709391</v>
      </c>
      <c r="D1712" s="48">
        <f t="shared" ca="1" si="105"/>
        <v>0.73792295763832783</v>
      </c>
      <c r="E1712" s="48">
        <f t="shared" ca="1" si="106"/>
        <v>0</v>
      </c>
      <c r="F1712" s="17">
        <f t="shared" ca="1" si="107"/>
        <v>0</v>
      </c>
      <c r="H1712" s="17">
        <v>1697</v>
      </c>
      <c r="I1712" s="43">
        <v>0.67001129957755678</v>
      </c>
      <c r="J1712" s="43">
        <v>2.0094711121316177E-2</v>
      </c>
      <c r="K1712" s="43"/>
      <c r="L1712" s="43">
        <v>0.25800000000000001</v>
      </c>
      <c r="O1712" s="50"/>
    </row>
    <row r="1713" spans="2:15" x14ac:dyDescent="0.2">
      <c r="B1713">
        <v>1698</v>
      </c>
      <c r="C1713" s="48">
        <f t="shared" ca="1" si="108"/>
        <v>0.85933723538472029</v>
      </c>
      <c r="D1713" s="48">
        <f t="shared" ca="1" si="105"/>
        <v>0.7232560658480186</v>
      </c>
      <c r="E1713" s="48">
        <f t="shared" ca="1" si="106"/>
        <v>0</v>
      </c>
      <c r="F1713" s="17">
        <f t="shared" ca="1" si="107"/>
        <v>0</v>
      </c>
      <c r="H1713" s="17">
        <v>1698</v>
      </c>
      <c r="I1713" s="43">
        <v>0.66919159781116777</v>
      </c>
      <c r="J1713" s="43">
        <v>1.9303347403732369E-2</v>
      </c>
      <c r="K1713" s="43"/>
      <c r="L1713" s="43">
        <v>0.25540000000000002</v>
      </c>
      <c r="O1713" s="50"/>
    </row>
    <row r="1714" spans="2:15" x14ac:dyDescent="0.2">
      <c r="B1714">
        <v>1699</v>
      </c>
      <c r="C1714" s="48">
        <f t="shared" ca="1" si="108"/>
        <v>-0.13019398611898758</v>
      </c>
      <c r="D1714" s="48">
        <f t="shared" ca="1" si="105"/>
        <v>0.65603093929582568</v>
      </c>
      <c r="E1714" s="48">
        <f t="shared" ca="1" si="106"/>
        <v>0</v>
      </c>
      <c r="F1714" s="17">
        <f t="shared" ca="1" si="107"/>
        <v>0</v>
      </c>
      <c r="H1714" s="17">
        <v>1699</v>
      </c>
      <c r="I1714" s="43">
        <v>0.66937880437279818</v>
      </c>
      <c r="J1714" s="43">
        <v>1.9470121782565655E-2</v>
      </c>
      <c r="K1714" s="43"/>
      <c r="L1714" s="43">
        <v>0.25240000000000001</v>
      </c>
      <c r="O1714" s="50"/>
    </row>
    <row r="1715" spans="2:15" x14ac:dyDescent="0.2">
      <c r="B1715">
        <v>1700</v>
      </c>
      <c r="C1715" s="48">
        <f t="shared" ca="1" si="108"/>
        <v>-0.6717104534662397</v>
      </c>
      <c r="D1715" s="48">
        <f t="shared" ca="1" si="105"/>
        <v>0.62192606123002958</v>
      </c>
      <c r="E1715" s="48">
        <f t="shared" ca="1" si="106"/>
        <v>0</v>
      </c>
      <c r="F1715" s="17">
        <f t="shared" ca="1" si="107"/>
        <v>0</v>
      </c>
      <c r="H1715" s="17">
        <v>1700</v>
      </c>
      <c r="I1715" s="43">
        <v>0.66920594101002029</v>
      </c>
      <c r="J1715" s="43">
        <v>1.9461097663087793E-2</v>
      </c>
      <c r="K1715" s="43"/>
      <c r="L1715" s="43">
        <v>0.25180000000000002</v>
      </c>
      <c r="O1715" s="50"/>
    </row>
    <row r="1716" spans="2:15" x14ac:dyDescent="0.2">
      <c r="B1716">
        <v>1701</v>
      </c>
      <c r="C1716" s="48">
        <f t="shared" ca="1" si="108"/>
        <v>-0.90590450401526867</v>
      </c>
      <c r="D1716" s="48">
        <f t="shared" ca="1" si="105"/>
        <v>0.60773116064004618</v>
      </c>
      <c r="E1716" s="48">
        <f t="shared" ca="1" si="106"/>
        <v>0</v>
      </c>
      <c r="F1716" s="17">
        <f t="shared" ca="1" si="107"/>
        <v>0</v>
      </c>
      <c r="H1716" s="17">
        <v>1701</v>
      </c>
      <c r="I1716" s="43">
        <v>0.66740028118811212</v>
      </c>
      <c r="J1716" s="43">
        <v>1.8284194514491516E-2</v>
      </c>
      <c r="K1716" s="43"/>
      <c r="L1716" s="43">
        <v>0.2392</v>
      </c>
      <c r="O1716" s="50"/>
    </row>
    <row r="1717" spans="2:15" x14ac:dyDescent="0.2">
      <c r="B1717">
        <v>1702</v>
      </c>
      <c r="C1717" s="48">
        <f t="shared" ca="1" si="108"/>
        <v>0.23169939697778683</v>
      </c>
      <c r="D1717" s="48">
        <f t="shared" ca="1" si="105"/>
        <v>0.67985946272610964</v>
      </c>
      <c r="E1717" s="48">
        <f t="shared" ca="1" si="106"/>
        <v>0</v>
      </c>
      <c r="F1717" s="17">
        <f t="shared" ca="1" si="107"/>
        <v>0</v>
      </c>
      <c r="H1717" s="17">
        <v>1702</v>
      </c>
      <c r="I1717" s="43">
        <v>0.66858955061622483</v>
      </c>
      <c r="J1717" s="43">
        <v>1.9363812215676408E-2</v>
      </c>
      <c r="K1717" s="43"/>
      <c r="L1717" s="43">
        <v>0.25159999999999999</v>
      </c>
      <c r="O1717" s="50"/>
    </row>
    <row r="1718" spans="2:15" x14ac:dyDescent="0.2">
      <c r="B1718">
        <v>1703</v>
      </c>
      <c r="C1718" s="48">
        <f t="shared" ca="1" si="108"/>
        <v>0.50944647745085714</v>
      </c>
      <c r="D1718" s="48">
        <f t="shared" ca="1" si="105"/>
        <v>0.6987328541234592</v>
      </c>
      <c r="E1718" s="48">
        <f t="shared" ca="1" si="106"/>
        <v>0</v>
      </c>
      <c r="F1718" s="17">
        <f t="shared" ca="1" si="107"/>
        <v>0</v>
      </c>
      <c r="H1718" s="17">
        <v>1703</v>
      </c>
      <c r="I1718" s="43">
        <v>0.6690560797383257</v>
      </c>
      <c r="J1718" s="43">
        <v>1.9621483837059004E-2</v>
      </c>
      <c r="K1718" s="43"/>
      <c r="L1718" s="43">
        <v>0.25</v>
      </c>
      <c r="O1718" s="50"/>
    </row>
    <row r="1719" spans="2:15" x14ac:dyDescent="0.2">
      <c r="B1719">
        <v>1704</v>
      </c>
      <c r="C1719" s="48">
        <f t="shared" ca="1" si="108"/>
        <v>0.65780666119310582</v>
      </c>
      <c r="D1719" s="48">
        <f t="shared" ca="1" si="105"/>
        <v>0.70902794566860305</v>
      </c>
      <c r="E1719" s="48">
        <f t="shared" ca="1" si="106"/>
        <v>0</v>
      </c>
      <c r="F1719" s="17">
        <f t="shared" ca="1" si="107"/>
        <v>0</v>
      </c>
      <c r="H1719" s="17">
        <v>1704</v>
      </c>
      <c r="I1719" s="43">
        <v>0.66926017694480111</v>
      </c>
      <c r="J1719" s="43">
        <v>1.95631836057754E-2</v>
      </c>
      <c r="K1719" s="43"/>
      <c r="L1719" s="43">
        <v>0.253</v>
      </c>
      <c r="O1719" s="50"/>
    </row>
    <row r="1720" spans="2:15" x14ac:dyDescent="0.2">
      <c r="B1720">
        <v>1705</v>
      </c>
      <c r="C1720" s="48">
        <f t="shared" ca="1" si="108"/>
        <v>-1.1557333352386367</v>
      </c>
      <c r="D1720" s="48">
        <f t="shared" ca="1" si="105"/>
        <v>0.59294557864348807</v>
      </c>
      <c r="E1720" s="48">
        <f t="shared" ca="1" si="106"/>
        <v>0</v>
      </c>
      <c r="F1720" s="17">
        <f t="shared" ca="1" si="107"/>
        <v>0</v>
      </c>
      <c r="H1720" s="17">
        <v>1705</v>
      </c>
      <c r="I1720" s="43">
        <v>0.66814305788476391</v>
      </c>
      <c r="J1720" s="43">
        <v>1.8634882962728368E-2</v>
      </c>
      <c r="K1720" s="43"/>
      <c r="L1720" s="43">
        <v>0.24560000000000001</v>
      </c>
      <c r="O1720" s="50"/>
    </row>
    <row r="1721" spans="2:15" x14ac:dyDescent="0.2">
      <c r="B1721">
        <v>1706</v>
      </c>
      <c r="C1721" s="48">
        <f t="shared" ca="1" si="108"/>
        <v>-0.73272965432066839</v>
      </c>
      <c r="D1721" s="48">
        <f t="shared" ca="1" si="105"/>
        <v>0.61819595373150005</v>
      </c>
      <c r="E1721" s="48">
        <f t="shared" ca="1" si="106"/>
        <v>0</v>
      </c>
      <c r="F1721" s="17">
        <f t="shared" ca="1" si="107"/>
        <v>0</v>
      </c>
      <c r="H1721" s="17">
        <v>1706</v>
      </c>
      <c r="I1721" s="43">
        <v>0.66904087580113081</v>
      </c>
      <c r="J1721" s="43">
        <v>1.9627189078119892E-2</v>
      </c>
      <c r="K1721" s="43"/>
      <c r="L1721" s="43">
        <v>0.24740000000000001</v>
      </c>
      <c r="O1721" s="50"/>
    </row>
    <row r="1722" spans="2:15" x14ac:dyDescent="0.2">
      <c r="B1722">
        <v>1707</v>
      </c>
      <c r="C1722" s="48">
        <f t="shared" ca="1" si="108"/>
        <v>0.31073728993315441</v>
      </c>
      <c r="D1722" s="48">
        <f t="shared" ca="1" si="105"/>
        <v>0.68517772024771595</v>
      </c>
      <c r="E1722" s="48">
        <f t="shared" ca="1" si="106"/>
        <v>0</v>
      </c>
      <c r="F1722" s="17">
        <f t="shared" ca="1" si="107"/>
        <v>0</v>
      </c>
      <c r="H1722" s="17">
        <v>1707</v>
      </c>
      <c r="I1722" s="43">
        <v>0.66795304819086598</v>
      </c>
      <c r="J1722" s="43">
        <v>1.8522588986070117E-2</v>
      </c>
      <c r="K1722" s="43"/>
      <c r="L1722" s="43">
        <v>0.25219999999999998</v>
      </c>
      <c r="O1722" s="50"/>
    </row>
    <row r="1723" spans="2:15" x14ac:dyDescent="0.2">
      <c r="B1723">
        <v>1708</v>
      </c>
      <c r="C1723" s="48">
        <f t="shared" ca="1" si="108"/>
        <v>0.12875881039528084</v>
      </c>
      <c r="D1723" s="48">
        <f t="shared" ca="1" si="105"/>
        <v>0.67299469862429617</v>
      </c>
      <c r="E1723" s="48">
        <f t="shared" ca="1" si="106"/>
        <v>0</v>
      </c>
      <c r="F1723" s="17">
        <f t="shared" ca="1" si="107"/>
        <v>0</v>
      </c>
      <c r="H1723" s="17">
        <v>1708</v>
      </c>
      <c r="I1723" s="43">
        <v>0.66899181543773401</v>
      </c>
      <c r="J1723" s="43">
        <v>1.9386150986480936E-2</v>
      </c>
      <c r="K1723" s="43"/>
      <c r="L1723" s="43">
        <v>0.24479999999999999</v>
      </c>
      <c r="O1723" s="50"/>
    </row>
    <row r="1724" spans="2:15" x14ac:dyDescent="0.2">
      <c r="B1724">
        <v>1709</v>
      </c>
      <c r="C1724" s="48">
        <f t="shared" ca="1" si="108"/>
        <v>-2.5801480075389516</v>
      </c>
      <c r="D1724" s="48">
        <f t="shared" ca="1" si="105"/>
        <v>0.51526080164097166</v>
      </c>
      <c r="E1724" s="48">
        <f t="shared" ca="1" si="106"/>
        <v>0</v>
      </c>
      <c r="F1724" s="17">
        <f t="shared" ca="1" si="107"/>
        <v>0</v>
      </c>
      <c r="H1724" s="17">
        <v>1709</v>
      </c>
      <c r="I1724" s="43">
        <v>0.66940674127297495</v>
      </c>
      <c r="J1724" s="43">
        <v>1.975088391450926E-2</v>
      </c>
      <c r="K1724" s="43"/>
      <c r="L1724" s="43">
        <v>0.25240000000000001</v>
      </c>
      <c r="O1724" s="50"/>
    </row>
    <row r="1725" spans="2:15" x14ac:dyDescent="0.2">
      <c r="B1725">
        <v>1710</v>
      </c>
      <c r="C1725" s="48">
        <f t="shared" ca="1" si="108"/>
        <v>-0.56578430594044293</v>
      </c>
      <c r="D1725" s="48">
        <f t="shared" ca="1" si="105"/>
        <v>0.62845486016582486</v>
      </c>
      <c r="E1725" s="48">
        <f t="shared" ca="1" si="106"/>
        <v>0</v>
      </c>
      <c r="F1725" s="17">
        <f t="shared" ca="1" si="107"/>
        <v>0</v>
      </c>
      <c r="H1725" s="17">
        <v>1710</v>
      </c>
      <c r="I1725" s="43">
        <v>0.66907223703377072</v>
      </c>
      <c r="J1725" s="43">
        <v>1.9400869974399736E-2</v>
      </c>
      <c r="K1725" s="43"/>
      <c r="L1725" s="43">
        <v>0.24540000000000001</v>
      </c>
      <c r="O1725" s="50"/>
    </row>
    <row r="1726" spans="2:15" x14ac:dyDescent="0.2">
      <c r="B1726">
        <v>1711</v>
      </c>
      <c r="C1726" s="48">
        <f t="shared" ca="1" si="108"/>
        <v>-0.17437619574616525</v>
      </c>
      <c r="D1726" s="48">
        <f t="shared" ca="1" si="105"/>
        <v>0.65317960613509596</v>
      </c>
      <c r="E1726" s="48">
        <f t="shared" ca="1" si="106"/>
        <v>0</v>
      </c>
      <c r="F1726" s="17">
        <f t="shared" ca="1" si="107"/>
        <v>0</v>
      </c>
      <c r="H1726" s="17">
        <v>1711</v>
      </c>
      <c r="I1726" s="43">
        <v>0.66806693969522601</v>
      </c>
      <c r="J1726" s="43">
        <v>1.8623912343237362E-2</v>
      </c>
      <c r="K1726" s="43"/>
      <c r="L1726" s="43">
        <v>0.25</v>
      </c>
      <c r="O1726" s="50"/>
    </row>
    <row r="1727" spans="2:15" x14ac:dyDescent="0.2">
      <c r="B1727">
        <v>1712</v>
      </c>
      <c r="C1727" s="48">
        <f t="shared" ca="1" si="108"/>
        <v>-1.4952530822320391</v>
      </c>
      <c r="D1727" s="48">
        <f t="shared" ca="1" si="105"/>
        <v>0.57342676441825002</v>
      </c>
      <c r="E1727" s="48">
        <f t="shared" ca="1" si="106"/>
        <v>0</v>
      </c>
      <c r="F1727" s="17">
        <f t="shared" ca="1" si="107"/>
        <v>0</v>
      </c>
      <c r="H1727" s="17">
        <v>1712</v>
      </c>
      <c r="I1727" s="43">
        <v>0.6693585887720398</v>
      </c>
      <c r="J1727" s="43">
        <v>1.9682427609020017E-2</v>
      </c>
      <c r="K1727" s="43"/>
      <c r="L1727" s="43">
        <v>0.25219999999999998</v>
      </c>
      <c r="O1727" s="50"/>
    </row>
    <row r="1728" spans="2:15" x14ac:dyDescent="0.2">
      <c r="B1728">
        <v>1713</v>
      </c>
      <c r="C1728" s="48">
        <f t="shared" ca="1" si="108"/>
        <v>0.95926170328998817</v>
      </c>
      <c r="D1728" s="48">
        <f t="shared" ca="1" si="105"/>
        <v>0.73041628950966686</v>
      </c>
      <c r="E1728" s="48">
        <f t="shared" ca="1" si="106"/>
        <v>0</v>
      </c>
      <c r="F1728" s="17">
        <f t="shared" ca="1" si="107"/>
        <v>0</v>
      </c>
      <c r="H1728" s="17">
        <v>1713</v>
      </c>
      <c r="I1728" s="43">
        <v>0.66856860436265475</v>
      </c>
      <c r="J1728" s="43">
        <v>1.897620698012353E-2</v>
      </c>
      <c r="K1728" s="43"/>
      <c r="L1728" s="43">
        <v>0.246</v>
      </c>
      <c r="O1728" s="50"/>
    </row>
    <row r="1729" spans="2:15" x14ac:dyDescent="0.2">
      <c r="B1729">
        <v>1714</v>
      </c>
      <c r="C1729" s="48">
        <f t="shared" ca="1" si="108"/>
        <v>-1.2519539545134561</v>
      </c>
      <c r="D1729" s="48">
        <f t="shared" ca="1" si="105"/>
        <v>0.58734740402435404</v>
      </c>
      <c r="E1729" s="48">
        <f t="shared" ca="1" si="106"/>
        <v>0</v>
      </c>
      <c r="F1729" s="17">
        <f t="shared" ca="1" si="107"/>
        <v>0</v>
      </c>
      <c r="H1729" s="17">
        <v>1714</v>
      </c>
      <c r="I1729" s="43">
        <v>0.66825234393194155</v>
      </c>
      <c r="J1729" s="43">
        <v>1.8996855006423029E-2</v>
      </c>
      <c r="K1729" s="43"/>
      <c r="L1729" s="43">
        <v>0.24679999999999999</v>
      </c>
      <c r="O1729" s="50"/>
    </row>
    <row r="1730" spans="2:15" x14ac:dyDescent="0.2">
      <c r="B1730">
        <v>1715</v>
      </c>
      <c r="C1730" s="48">
        <f t="shared" ca="1" si="108"/>
        <v>0.39404644657137583</v>
      </c>
      <c r="D1730" s="48">
        <f t="shared" ca="1" si="105"/>
        <v>0.69082842211104667</v>
      </c>
      <c r="E1730" s="48">
        <f t="shared" ca="1" si="106"/>
        <v>0</v>
      </c>
      <c r="F1730" s="17">
        <f t="shared" ca="1" si="107"/>
        <v>0</v>
      </c>
      <c r="H1730" s="17">
        <v>1715</v>
      </c>
      <c r="I1730" s="43">
        <v>0.66904046421218488</v>
      </c>
      <c r="J1730" s="43">
        <v>1.9383159667624151E-2</v>
      </c>
      <c r="K1730" s="43"/>
      <c r="L1730" s="43">
        <v>0.25559999999999999</v>
      </c>
      <c r="O1730" s="50"/>
    </row>
    <row r="1731" spans="2:15" x14ac:dyDescent="0.2">
      <c r="B1731">
        <v>1716</v>
      </c>
      <c r="C1731" s="48">
        <f t="shared" ca="1" si="108"/>
        <v>0.43258050164079015</v>
      </c>
      <c r="D1731" s="48">
        <f t="shared" ca="1" si="105"/>
        <v>0.6934578534173117</v>
      </c>
      <c r="E1731" s="48">
        <f t="shared" ca="1" si="106"/>
        <v>0</v>
      </c>
      <c r="F1731" s="17">
        <f t="shared" ca="1" si="107"/>
        <v>0</v>
      </c>
      <c r="H1731" s="17">
        <v>1716</v>
      </c>
      <c r="I1731" s="43">
        <v>0.66875668193406823</v>
      </c>
      <c r="J1731" s="43">
        <v>1.9109518868436152E-2</v>
      </c>
      <c r="K1731" s="43"/>
      <c r="L1731" s="43">
        <v>0.249</v>
      </c>
      <c r="O1731" s="50"/>
    </row>
    <row r="1732" spans="2:15" x14ac:dyDescent="0.2">
      <c r="B1732">
        <v>1717</v>
      </c>
      <c r="C1732" s="48">
        <f t="shared" ca="1" si="108"/>
        <v>-0.96633421654550788</v>
      </c>
      <c r="D1732" s="48">
        <f t="shared" ca="1" si="105"/>
        <v>0.60412129766714617</v>
      </c>
      <c r="E1732" s="48">
        <f t="shared" ca="1" si="106"/>
        <v>0</v>
      </c>
      <c r="F1732" s="17">
        <f t="shared" ca="1" si="107"/>
        <v>0</v>
      </c>
      <c r="H1732" s="17">
        <v>1717</v>
      </c>
      <c r="I1732" s="43">
        <v>0.66973144156538833</v>
      </c>
      <c r="J1732" s="43">
        <v>1.9793225333749619E-2</v>
      </c>
      <c r="K1732" s="43"/>
      <c r="L1732" s="43">
        <v>0.253</v>
      </c>
      <c r="O1732" s="50"/>
    </row>
    <row r="1733" spans="2:15" x14ac:dyDescent="0.2">
      <c r="B1733">
        <v>1718</v>
      </c>
      <c r="C1733" s="48">
        <f t="shared" ca="1" si="108"/>
        <v>-8.0276838455367372E-2</v>
      </c>
      <c r="D1733" s="48">
        <f t="shared" ca="1" si="105"/>
        <v>0.65926735923311997</v>
      </c>
      <c r="E1733" s="48">
        <f t="shared" ca="1" si="106"/>
        <v>0</v>
      </c>
      <c r="F1733" s="17">
        <f t="shared" ca="1" si="107"/>
        <v>0</v>
      </c>
      <c r="H1733" s="17">
        <v>1718</v>
      </c>
      <c r="I1733" s="43">
        <v>0.66878565731593831</v>
      </c>
      <c r="J1733" s="43">
        <v>1.9358783051328359E-2</v>
      </c>
      <c r="K1733" s="43"/>
      <c r="L1733" s="43">
        <v>0.25540000000000002</v>
      </c>
      <c r="O1733" s="50"/>
    </row>
    <row r="1734" spans="2:15" x14ac:dyDescent="0.2">
      <c r="B1734">
        <v>1719</v>
      </c>
      <c r="C1734" s="48">
        <f t="shared" ca="1" si="108"/>
        <v>-1.0168712562375171</v>
      </c>
      <c r="D1734" s="48">
        <f t="shared" ca="1" si="105"/>
        <v>0.60111885849068736</v>
      </c>
      <c r="E1734" s="48">
        <f t="shared" ca="1" si="106"/>
        <v>0</v>
      </c>
      <c r="F1734" s="17">
        <f t="shared" ca="1" si="107"/>
        <v>0</v>
      </c>
      <c r="H1734" s="17">
        <v>1719</v>
      </c>
      <c r="I1734" s="43">
        <v>0.66982427629441676</v>
      </c>
      <c r="J1734" s="43">
        <v>2.0058231195034391E-2</v>
      </c>
      <c r="K1734" s="43"/>
      <c r="L1734" s="43">
        <v>0.25740000000000002</v>
      </c>
      <c r="O1734" s="50"/>
    </row>
    <row r="1735" spans="2:15" x14ac:dyDescent="0.2">
      <c r="B1735">
        <v>1720</v>
      </c>
      <c r="C1735" s="48">
        <f t="shared" ca="1" si="108"/>
        <v>-1.009569467015708</v>
      </c>
      <c r="D1735" s="48">
        <f t="shared" ca="1" si="105"/>
        <v>0.60155173866098632</v>
      </c>
      <c r="E1735" s="48">
        <f t="shared" ca="1" si="106"/>
        <v>0</v>
      </c>
      <c r="F1735" s="17">
        <f t="shared" ca="1" si="107"/>
        <v>0</v>
      </c>
      <c r="H1735" s="17">
        <v>1720</v>
      </c>
      <c r="I1735" s="43">
        <v>0.66989407921986244</v>
      </c>
      <c r="J1735" s="43">
        <v>2.0244665627771226E-2</v>
      </c>
      <c r="K1735" s="43"/>
      <c r="L1735" s="43">
        <v>0.25800000000000001</v>
      </c>
      <c r="O1735" s="50"/>
    </row>
    <row r="1736" spans="2:15" x14ac:dyDescent="0.2">
      <c r="B1736">
        <v>1721</v>
      </c>
      <c r="C1736" s="48">
        <f t="shared" ca="1" si="108"/>
        <v>-0.41248563827890572</v>
      </c>
      <c r="D1736" s="48">
        <f t="shared" ca="1" si="105"/>
        <v>0.63802504092712187</v>
      </c>
      <c r="E1736" s="48">
        <f t="shared" ca="1" si="106"/>
        <v>0</v>
      </c>
      <c r="F1736" s="17">
        <f t="shared" ca="1" si="107"/>
        <v>0</v>
      </c>
      <c r="H1736" s="17">
        <v>1721</v>
      </c>
      <c r="I1736" s="43">
        <v>0.66943997269386057</v>
      </c>
      <c r="J1736" s="43">
        <v>1.9883018700503623E-2</v>
      </c>
      <c r="K1736" s="43"/>
      <c r="L1736" s="43">
        <v>0.253</v>
      </c>
      <c r="O1736" s="50"/>
    </row>
    <row r="1737" spans="2:15" x14ac:dyDescent="0.2">
      <c r="B1737">
        <v>1722</v>
      </c>
      <c r="C1737" s="48">
        <f t="shared" ca="1" si="108"/>
        <v>0.17633092725626698</v>
      </c>
      <c r="D1737" s="48">
        <f t="shared" ca="1" si="105"/>
        <v>0.67615846686829018</v>
      </c>
      <c r="E1737" s="48">
        <f t="shared" ca="1" si="106"/>
        <v>0</v>
      </c>
      <c r="F1737" s="17">
        <f t="shared" ca="1" si="107"/>
        <v>0</v>
      </c>
      <c r="H1737" s="17">
        <v>1722</v>
      </c>
      <c r="I1737" s="43">
        <v>0.67064282095135508</v>
      </c>
      <c r="J1737" s="43">
        <v>2.0533284189698905E-2</v>
      </c>
      <c r="K1737" s="43"/>
      <c r="L1737" s="43">
        <v>0.253</v>
      </c>
      <c r="O1737" s="50"/>
    </row>
    <row r="1738" spans="2:15" x14ac:dyDescent="0.2">
      <c r="B1738">
        <v>1723</v>
      </c>
      <c r="C1738" s="48">
        <f t="shared" ca="1" si="108"/>
        <v>0.64009931463737368</v>
      </c>
      <c r="D1738" s="48">
        <f t="shared" ca="1" si="105"/>
        <v>0.70779125940541687</v>
      </c>
      <c r="E1738" s="48">
        <f t="shared" ca="1" si="106"/>
        <v>0</v>
      </c>
      <c r="F1738" s="17">
        <f t="shared" ca="1" si="107"/>
        <v>0</v>
      </c>
      <c r="H1738" s="17">
        <v>1723</v>
      </c>
      <c r="I1738" s="43">
        <v>0.66973131171192379</v>
      </c>
      <c r="J1738" s="43">
        <v>1.9813508808323686E-2</v>
      </c>
      <c r="K1738" s="43"/>
      <c r="L1738" s="43">
        <v>0.25080000000000002</v>
      </c>
      <c r="O1738" s="50"/>
    </row>
    <row r="1739" spans="2:15" x14ac:dyDescent="0.2">
      <c r="B1739">
        <v>1724</v>
      </c>
      <c r="C1739" s="48">
        <f t="shared" ca="1" si="108"/>
        <v>-9.6125314502843937E-2</v>
      </c>
      <c r="D1739" s="48">
        <f t="shared" ca="1" si="105"/>
        <v>0.65823808390576122</v>
      </c>
      <c r="E1739" s="48">
        <f t="shared" ca="1" si="106"/>
        <v>0</v>
      </c>
      <c r="F1739" s="17">
        <f t="shared" ca="1" si="107"/>
        <v>0</v>
      </c>
      <c r="H1739" s="17">
        <v>1724</v>
      </c>
      <c r="I1739" s="43">
        <v>0.66977459869033484</v>
      </c>
      <c r="J1739" s="43">
        <v>1.9950210057448209E-2</v>
      </c>
      <c r="K1739" s="43"/>
      <c r="L1739" s="43">
        <v>0.247</v>
      </c>
      <c r="O1739" s="50"/>
    </row>
    <row r="1740" spans="2:15" x14ac:dyDescent="0.2">
      <c r="B1740">
        <v>1725</v>
      </c>
      <c r="C1740" s="48">
        <f t="shared" ca="1" si="108"/>
        <v>0.1804999436079309</v>
      </c>
      <c r="D1740" s="48">
        <f t="shared" ca="1" si="105"/>
        <v>0.67643643375509155</v>
      </c>
      <c r="E1740" s="48">
        <f t="shared" ca="1" si="106"/>
        <v>0</v>
      </c>
      <c r="F1740" s="17">
        <f t="shared" ca="1" si="107"/>
        <v>0</v>
      </c>
      <c r="H1740" s="17">
        <v>1725</v>
      </c>
      <c r="I1740" s="43">
        <v>0.66858209230321486</v>
      </c>
      <c r="J1740" s="43">
        <v>1.9260002518958968E-2</v>
      </c>
      <c r="K1740" s="43"/>
      <c r="L1740" s="43">
        <v>0.25440000000000002</v>
      </c>
      <c r="O1740" s="50"/>
    </row>
    <row r="1741" spans="2:15" x14ac:dyDescent="0.2">
      <c r="B1741">
        <v>1726</v>
      </c>
      <c r="C1741" s="48">
        <f t="shared" ca="1" si="108"/>
        <v>0.14442535255269903</v>
      </c>
      <c r="D1741" s="48">
        <f t="shared" ca="1" si="105"/>
        <v>0.67403495874050856</v>
      </c>
      <c r="E1741" s="48">
        <f t="shared" ca="1" si="106"/>
        <v>0</v>
      </c>
      <c r="F1741" s="17">
        <f t="shared" ca="1" si="107"/>
        <v>0</v>
      </c>
      <c r="H1741" s="17">
        <v>1726</v>
      </c>
      <c r="I1741" s="43">
        <v>0.66946936780259581</v>
      </c>
      <c r="J1741" s="43">
        <v>1.925807758098887E-2</v>
      </c>
      <c r="K1741" s="43"/>
      <c r="L1741" s="43">
        <v>0.24879999999999999</v>
      </c>
      <c r="O1741" s="50"/>
    </row>
    <row r="1742" spans="2:15" x14ac:dyDescent="0.2">
      <c r="B1742">
        <v>1727</v>
      </c>
      <c r="C1742" s="48">
        <f t="shared" ca="1" si="108"/>
        <v>-1.0812727087246436</v>
      </c>
      <c r="D1742" s="48">
        <f t="shared" ca="1" si="105"/>
        <v>0.59731433947338985</v>
      </c>
      <c r="E1742" s="48">
        <f t="shared" ca="1" si="106"/>
        <v>0</v>
      </c>
      <c r="F1742" s="17">
        <f t="shared" ca="1" si="107"/>
        <v>0</v>
      </c>
      <c r="H1742" s="17">
        <v>1727</v>
      </c>
      <c r="I1742" s="43">
        <v>0.66913156350213854</v>
      </c>
      <c r="J1742" s="43">
        <v>1.9541212396604946E-2</v>
      </c>
      <c r="K1742" s="43"/>
      <c r="L1742" s="43">
        <v>0.255</v>
      </c>
      <c r="O1742" s="50"/>
    </row>
    <row r="1743" spans="2:15" x14ac:dyDescent="0.2">
      <c r="B1743">
        <v>1728</v>
      </c>
      <c r="C1743" s="48">
        <f t="shared" ca="1" si="108"/>
        <v>0.3719119454933339</v>
      </c>
      <c r="D1743" s="48">
        <f t="shared" ca="1" si="105"/>
        <v>0.68932255070918558</v>
      </c>
      <c r="E1743" s="48">
        <f t="shared" ca="1" si="106"/>
        <v>0</v>
      </c>
      <c r="F1743" s="17">
        <f t="shared" ca="1" si="107"/>
        <v>0</v>
      </c>
      <c r="H1743" s="17">
        <v>1728</v>
      </c>
      <c r="I1743" s="43">
        <v>0.66828618977736476</v>
      </c>
      <c r="J1743" s="43">
        <v>1.8870866375685462E-2</v>
      </c>
      <c r="K1743" s="43"/>
      <c r="L1743" s="43">
        <v>0.24879999999999999</v>
      </c>
      <c r="O1743" s="50"/>
    </row>
    <row r="1744" spans="2:15" x14ac:dyDescent="0.2">
      <c r="B1744">
        <v>1729</v>
      </c>
      <c r="C1744" s="48">
        <f t="shared" ca="1" si="108"/>
        <v>-0.3189258111467993</v>
      </c>
      <c r="D1744" s="48">
        <f t="shared" ref="D1744:D1807" ca="1" si="109">S0*EXP((μ-0.5*σ*σ)*T+σ*SQRT(T)*$C1744)</f>
        <v>0.64393729818865997</v>
      </c>
      <c r="E1744" s="48">
        <f t="shared" ref="E1744:E1807" ca="1" si="110">MAX(0,CP*(D1744-K))</f>
        <v>0</v>
      </c>
      <c r="F1744" s="17">
        <f t="shared" ref="F1744:F1807" ca="1" si="111">(CP*(D1744-K)&gt;0)*1</f>
        <v>0</v>
      </c>
      <c r="H1744" s="17">
        <v>1729</v>
      </c>
      <c r="I1744" s="43">
        <v>0.6685126895357929</v>
      </c>
      <c r="J1744" s="43">
        <v>1.9123825713144353E-2</v>
      </c>
      <c r="K1744" s="43"/>
      <c r="L1744" s="43">
        <v>0.24859999999999999</v>
      </c>
      <c r="O1744" s="50"/>
    </row>
    <row r="1745" spans="2:15" x14ac:dyDescent="0.2">
      <c r="B1745">
        <v>1730</v>
      </c>
      <c r="C1745" s="48">
        <f t="shared" ref="C1745:C1808" ca="1" si="112">_xlfn.NORM.S.INV(RAND())</f>
        <v>-0.3781893342966508</v>
      </c>
      <c r="D1745" s="48">
        <f t="shared" ca="1" si="109"/>
        <v>0.64018597335374861</v>
      </c>
      <c r="E1745" s="48">
        <f t="shared" ca="1" si="110"/>
        <v>0</v>
      </c>
      <c r="F1745" s="17">
        <f t="shared" ca="1" si="111"/>
        <v>0</v>
      </c>
      <c r="H1745" s="17">
        <v>1730</v>
      </c>
      <c r="I1745" s="43">
        <v>0.66769214624273887</v>
      </c>
      <c r="J1745" s="43">
        <v>1.825417547805307E-2</v>
      </c>
      <c r="K1745" s="43"/>
      <c r="L1745" s="43">
        <v>0.24640000000000001</v>
      </c>
      <c r="O1745" s="50"/>
    </row>
    <row r="1746" spans="2:15" x14ac:dyDescent="0.2">
      <c r="B1746">
        <v>1731</v>
      </c>
      <c r="C1746" s="48">
        <f t="shared" ca="1" si="112"/>
        <v>0.68568479529545434</v>
      </c>
      <c r="D1746" s="48">
        <f t="shared" ca="1" si="109"/>
        <v>0.71097934309519784</v>
      </c>
      <c r="E1746" s="48">
        <f t="shared" ca="1" si="110"/>
        <v>0</v>
      </c>
      <c r="F1746" s="17">
        <f t="shared" ca="1" si="111"/>
        <v>0</v>
      </c>
      <c r="H1746" s="17">
        <v>1731</v>
      </c>
      <c r="I1746" s="43">
        <v>0.66869293175565814</v>
      </c>
      <c r="J1746" s="43">
        <v>1.9132231280698072E-2</v>
      </c>
      <c r="K1746" s="43"/>
      <c r="L1746" s="43">
        <v>0.24399999999999999</v>
      </c>
      <c r="O1746" s="50"/>
    </row>
    <row r="1747" spans="2:15" x14ac:dyDescent="0.2">
      <c r="B1747">
        <v>1732</v>
      </c>
      <c r="C1747" s="48">
        <f t="shared" ca="1" si="112"/>
        <v>-0.63813779416467353</v>
      </c>
      <c r="D1747" s="48">
        <f t="shared" ca="1" si="109"/>
        <v>0.62398794956338766</v>
      </c>
      <c r="E1747" s="48">
        <f t="shared" ca="1" si="110"/>
        <v>0</v>
      </c>
      <c r="F1747" s="17">
        <f t="shared" ca="1" si="111"/>
        <v>0</v>
      </c>
      <c r="H1747" s="17">
        <v>1732</v>
      </c>
      <c r="I1747" s="43">
        <v>0.66979474563646968</v>
      </c>
      <c r="J1747" s="43">
        <v>2.0040882162789118E-2</v>
      </c>
      <c r="K1747" s="43"/>
      <c r="L1747" s="43">
        <v>0.25619999999999998</v>
      </c>
      <c r="O1747" s="50"/>
    </row>
    <row r="1748" spans="2:15" x14ac:dyDescent="0.2">
      <c r="B1748">
        <v>1733</v>
      </c>
      <c r="C1748" s="48">
        <f t="shared" ca="1" si="112"/>
        <v>-3.0119356226441667</v>
      </c>
      <c r="D1748" s="48">
        <f t="shared" ca="1" si="109"/>
        <v>0.49378704191174944</v>
      </c>
      <c r="E1748" s="48">
        <f t="shared" ca="1" si="110"/>
        <v>0</v>
      </c>
      <c r="F1748" s="17">
        <f t="shared" ca="1" si="111"/>
        <v>0</v>
      </c>
      <c r="H1748" s="17">
        <v>1733</v>
      </c>
      <c r="I1748" s="43">
        <v>0.66771165192004711</v>
      </c>
      <c r="J1748" s="43">
        <v>1.812955674721721E-2</v>
      </c>
      <c r="K1748" s="43"/>
      <c r="L1748" s="43">
        <v>0.24959999999999999</v>
      </c>
      <c r="O1748" s="50"/>
    </row>
    <row r="1749" spans="2:15" x14ac:dyDescent="0.2">
      <c r="B1749">
        <v>1734</v>
      </c>
      <c r="C1749" s="48">
        <f t="shared" ca="1" si="112"/>
        <v>-0.90281257827778483</v>
      </c>
      <c r="D1749" s="48">
        <f t="shared" ca="1" si="109"/>
        <v>0.60791644061074901</v>
      </c>
      <c r="E1749" s="48">
        <f t="shared" ca="1" si="110"/>
        <v>0</v>
      </c>
      <c r="F1749" s="17">
        <f t="shared" ca="1" si="111"/>
        <v>0</v>
      </c>
      <c r="H1749" s="17">
        <v>1734</v>
      </c>
      <c r="I1749" s="43">
        <v>0.66808088821975165</v>
      </c>
      <c r="J1749" s="43">
        <v>1.8884731305327487E-2</v>
      </c>
      <c r="K1749" s="43"/>
      <c r="L1749" s="43">
        <v>0.24299999999999999</v>
      </c>
      <c r="O1749" s="50"/>
    </row>
    <row r="1750" spans="2:15" x14ac:dyDescent="0.2">
      <c r="B1750">
        <v>1735</v>
      </c>
      <c r="C1750" s="48">
        <f t="shared" ca="1" si="112"/>
        <v>-1.4004910544820324</v>
      </c>
      <c r="D1750" s="48">
        <f t="shared" ca="1" si="109"/>
        <v>0.57880901942011009</v>
      </c>
      <c r="E1750" s="48">
        <f t="shared" ca="1" si="110"/>
        <v>0</v>
      </c>
      <c r="F1750" s="17">
        <f t="shared" ca="1" si="111"/>
        <v>0</v>
      </c>
      <c r="H1750" s="17">
        <v>1735</v>
      </c>
      <c r="I1750" s="43">
        <v>0.66826197241497398</v>
      </c>
      <c r="J1750" s="43">
        <v>1.8630885360822337E-2</v>
      </c>
      <c r="K1750" s="43"/>
      <c r="L1750" s="43">
        <v>0.2424</v>
      </c>
      <c r="O1750" s="50"/>
    </row>
    <row r="1751" spans="2:15" x14ac:dyDescent="0.2">
      <c r="B1751">
        <v>1736</v>
      </c>
      <c r="C1751" s="48">
        <f t="shared" ca="1" si="112"/>
        <v>-0.36245612725482007</v>
      </c>
      <c r="D1751" s="48">
        <f t="shared" ca="1" si="109"/>
        <v>0.64117973445404464</v>
      </c>
      <c r="E1751" s="48">
        <f t="shared" ca="1" si="110"/>
        <v>0</v>
      </c>
      <c r="F1751" s="17">
        <f t="shared" ca="1" si="111"/>
        <v>0</v>
      </c>
      <c r="H1751" s="17">
        <v>1736</v>
      </c>
      <c r="I1751" s="43">
        <v>0.66807379207408124</v>
      </c>
      <c r="J1751" s="43">
        <v>1.8506454198844332E-2</v>
      </c>
      <c r="K1751" s="43"/>
      <c r="L1751" s="43">
        <v>0.2462</v>
      </c>
      <c r="O1751" s="50"/>
    </row>
    <row r="1752" spans="2:15" x14ac:dyDescent="0.2">
      <c r="B1752">
        <v>1737</v>
      </c>
      <c r="C1752" s="48">
        <f t="shared" ca="1" si="112"/>
        <v>0.24009545769530555</v>
      </c>
      <c r="D1752" s="48">
        <f t="shared" ca="1" si="109"/>
        <v>0.6804224469085296</v>
      </c>
      <c r="E1752" s="48">
        <f t="shared" ca="1" si="110"/>
        <v>0</v>
      </c>
      <c r="F1752" s="17">
        <f t="shared" ca="1" si="111"/>
        <v>0</v>
      </c>
      <c r="H1752" s="17">
        <v>1737</v>
      </c>
      <c r="I1752" s="43">
        <v>0.66834000417449047</v>
      </c>
      <c r="J1752" s="43">
        <v>1.8966710577239296E-2</v>
      </c>
      <c r="K1752" s="43"/>
      <c r="L1752" s="43">
        <v>0.251</v>
      </c>
      <c r="O1752" s="50"/>
    </row>
    <row r="1753" spans="2:15" x14ac:dyDescent="0.2">
      <c r="B1753">
        <v>1738</v>
      </c>
      <c r="C1753" s="48">
        <f t="shared" ca="1" si="112"/>
        <v>1.7115794388269692</v>
      </c>
      <c r="D1753" s="48">
        <f t="shared" ca="1" si="109"/>
        <v>0.78665024426382335</v>
      </c>
      <c r="E1753" s="48">
        <f t="shared" ca="1" si="110"/>
        <v>0</v>
      </c>
      <c r="F1753" s="17">
        <f t="shared" ca="1" si="111"/>
        <v>0</v>
      </c>
      <c r="H1753" s="17">
        <v>1738</v>
      </c>
      <c r="I1753" s="43">
        <v>0.66930085882048929</v>
      </c>
      <c r="J1753" s="43">
        <v>1.9455518681735839E-2</v>
      </c>
      <c r="K1753" s="43"/>
      <c r="L1753" s="43">
        <v>0.2492</v>
      </c>
      <c r="O1753" s="50"/>
    </row>
    <row r="1754" spans="2:15" x14ac:dyDescent="0.2">
      <c r="B1754">
        <v>1739</v>
      </c>
      <c r="C1754" s="48">
        <f t="shared" ca="1" si="112"/>
        <v>-0.35257077934055553</v>
      </c>
      <c r="D1754" s="48">
        <f t="shared" ca="1" si="109"/>
        <v>0.64180491450194865</v>
      </c>
      <c r="E1754" s="48">
        <f t="shared" ca="1" si="110"/>
        <v>0</v>
      </c>
      <c r="F1754" s="17">
        <f t="shared" ca="1" si="111"/>
        <v>0</v>
      </c>
      <c r="H1754" s="17">
        <v>1739</v>
      </c>
      <c r="I1754" s="43">
        <v>0.66766806837588188</v>
      </c>
      <c r="J1754" s="43">
        <v>1.8545021417937433E-2</v>
      </c>
      <c r="K1754" s="43"/>
      <c r="L1754" s="43">
        <v>0.2462</v>
      </c>
      <c r="O1754" s="50"/>
    </row>
    <row r="1755" spans="2:15" x14ac:dyDescent="0.2">
      <c r="B1755">
        <v>1740</v>
      </c>
      <c r="C1755" s="48">
        <f t="shared" ca="1" si="112"/>
        <v>-0.45280348927737379</v>
      </c>
      <c r="D1755" s="48">
        <f t="shared" ca="1" si="109"/>
        <v>0.63549403022474504</v>
      </c>
      <c r="E1755" s="48">
        <f t="shared" ca="1" si="110"/>
        <v>0</v>
      </c>
      <c r="F1755" s="17">
        <f t="shared" ca="1" si="111"/>
        <v>0</v>
      </c>
      <c r="H1755" s="17">
        <v>1740</v>
      </c>
      <c r="I1755" s="43">
        <v>0.66917141655894086</v>
      </c>
      <c r="J1755" s="43">
        <v>1.9697503423154804E-2</v>
      </c>
      <c r="K1755" s="43"/>
      <c r="L1755" s="43">
        <v>0.25559999999999999</v>
      </c>
      <c r="O1755" s="50"/>
    </row>
    <row r="1756" spans="2:15" x14ac:dyDescent="0.2">
      <c r="B1756">
        <v>1741</v>
      </c>
      <c r="C1756" s="48">
        <f t="shared" ca="1" si="112"/>
        <v>-0.16319508743944561</v>
      </c>
      <c r="D1756" s="48">
        <f t="shared" ca="1" si="109"/>
        <v>0.65390001422068322</v>
      </c>
      <c r="E1756" s="48">
        <f t="shared" ca="1" si="110"/>
        <v>0</v>
      </c>
      <c r="F1756" s="17">
        <f t="shared" ca="1" si="111"/>
        <v>0</v>
      </c>
      <c r="H1756" s="17">
        <v>1741</v>
      </c>
      <c r="I1756" s="43">
        <v>0.66887832922963475</v>
      </c>
      <c r="J1756" s="43">
        <v>1.9249222252118028E-2</v>
      </c>
      <c r="K1756" s="43"/>
      <c r="L1756" s="43">
        <v>0.2402</v>
      </c>
      <c r="O1756" s="50"/>
    </row>
    <row r="1757" spans="2:15" x14ac:dyDescent="0.2">
      <c r="B1757">
        <v>1742</v>
      </c>
      <c r="C1757" s="48">
        <f t="shared" ca="1" si="112"/>
        <v>0.14686375077899183</v>
      </c>
      <c r="D1757" s="48">
        <f t="shared" ca="1" si="109"/>
        <v>0.67419701319688818</v>
      </c>
      <c r="E1757" s="48">
        <f t="shared" ca="1" si="110"/>
        <v>0</v>
      </c>
      <c r="F1757" s="17">
        <f t="shared" ca="1" si="111"/>
        <v>0</v>
      </c>
      <c r="H1757" s="17">
        <v>1742</v>
      </c>
      <c r="I1757" s="43">
        <v>0.66993055445253213</v>
      </c>
      <c r="J1757" s="43">
        <v>2.0199316542253931E-2</v>
      </c>
      <c r="K1757" s="43"/>
      <c r="L1757" s="43">
        <v>0.25259999999999999</v>
      </c>
      <c r="O1757" s="50"/>
    </row>
    <row r="1758" spans="2:15" x14ac:dyDescent="0.2">
      <c r="B1758">
        <v>1743</v>
      </c>
      <c r="C1758" s="48">
        <f t="shared" ca="1" si="112"/>
        <v>0.31454688365161765</v>
      </c>
      <c r="D1758" s="48">
        <f t="shared" ca="1" si="109"/>
        <v>0.68543510639759064</v>
      </c>
      <c r="E1758" s="48">
        <f t="shared" ca="1" si="110"/>
        <v>0</v>
      </c>
      <c r="F1758" s="17">
        <f t="shared" ca="1" si="111"/>
        <v>0</v>
      </c>
      <c r="H1758" s="17">
        <v>1743</v>
      </c>
      <c r="I1758" s="43">
        <v>0.66703374084985168</v>
      </c>
      <c r="J1758" s="43">
        <v>1.8063601619914837E-2</v>
      </c>
      <c r="K1758" s="43"/>
      <c r="L1758" s="43">
        <v>0.2422</v>
      </c>
      <c r="O1758" s="50"/>
    </row>
    <row r="1759" spans="2:15" x14ac:dyDescent="0.2">
      <c r="B1759">
        <v>1744</v>
      </c>
      <c r="C1759" s="48">
        <f t="shared" ca="1" si="112"/>
        <v>-0.75116106976958052</v>
      </c>
      <c r="D1759" s="48">
        <f t="shared" ca="1" si="109"/>
        <v>0.61707364576134061</v>
      </c>
      <c r="E1759" s="48">
        <f t="shared" ca="1" si="110"/>
        <v>0</v>
      </c>
      <c r="F1759" s="17">
        <f t="shared" ca="1" si="111"/>
        <v>0</v>
      </c>
      <c r="H1759" s="17">
        <v>1744</v>
      </c>
      <c r="I1759" s="43">
        <v>0.66975163799933757</v>
      </c>
      <c r="J1759" s="43">
        <v>1.9730436178417257E-2</v>
      </c>
      <c r="K1759" s="43"/>
      <c r="L1759" s="43">
        <v>0.25380000000000003</v>
      </c>
      <c r="O1759" s="50"/>
    </row>
    <row r="1760" spans="2:15" x14ac:dyDescent="0.2">
      <c r="B1760">
        <v>1745</v>
      </c>
      <c r="C1760" s="48">
        <f t="shared" ca="1" si="112"/>
        <v>-0.24369794633841568</v>
      </c>
      <c r="D1760" s="48">
        <f t="shared" ca="1" si="109"/>
        <v>0.64873082885708655</v>
      </c>
      <c r="E1760" s="48">
        <f t="shared" ca="1" si="110"/>
        <v>0</v>
      </c>
      <c r="F1760" s="17">
        <f t="shared" ca="1" si="111"/>
        <v>0</v>
      </c>
      <c r="H1760" s="17">
        <v>1745</v>
      </c>
      <c r="I1760" s="43">
        <v>0.66839254348535138</v>
      </c>
      <c r="J1760" s="43">
        <v>1.9055475215383113E-2</v>
      </c>
      <c r="K1760" s="43"/>
      <c r="L1760" s="43">
        <v>0.2462</v>
      </c>
      <c r="O1760" s="50"/>
    </row>
    <row r="1761" spans="2:15" x14ac:dyDescent="0.2">
      <c r="B1761">
        <v>1746</v>
      </c>
      <c r="C1761" s="48">
        <f t="shared" ca="1" si="112"/>
        <v>-0.17523910384400895</v>
      </c>
      <c r="D1761" s="48">
        <f t="shared" ca="1" si="109"/>
        <v>0.6531240412515259</v>
      </c>
      <c r="E1761" s="48">
        <f t="shared" ca="1" si="110"/>
        <v>0</v>
      </c>
      <c r="F1761" s="17">
        <f t="shared" ca="1" si="111"/>
        <v>0</v>
      </c>
      <c r="H1761" s="17">
        <v>1746</v>
      </c>
      <c r="I1761" s="43">
        <v>0.66965960683211401</v>
      </c>
      <c r="J1761" s="43">
        <v>1.9878022625277332E-2</v>
      </c>
      <c r="K1761" s="43"/>
      <c r="L1761" s="43">
        <v>0.25840000000000002</v>
      </c>
      <c r="O1761" s="50"/>
    </row>
    <row r="1762" spans="2:15" x14ac:dyDescent="0.2">
      <c r="B1762">
        <v>1747</v>
      </c>
      <c r="C1762" s="48">
        <f t="shared" ca="1" si="112"/>
        <v>-1.618484410177772</v>
      </c>
      <c r="D1762" s="48">
        <f t="shared" ca="1" si="109"/>
        <v>0.56650231346268709</v>
      </c>
      <c r="E1762" s="48">
        <f t="shared" ca="1" si="110"/>
        <v>0</v>
      </c>
      <c r="F1762" s="17">
        <f t="shared" ca="1" si="111"/>
        <v>0</v>
      </c>
      <c r="H1762" s="17">
        <v>1747</v>
      </c>
      <c r="I1762" s="43">
        <v>0.66760909666988899</v>
      </c>
      <c r="J1762" s="43">
        <v>1.8415613762896483E-2</v>
      </c>
      <c r="K1762" s="43"/>
      <c r="L1762" s="43">
        <v>0.2462</v>
      </c>
      <c r="O1762" s="50"/>
    </row>
    <row r="1763" spans="2:15" x14ac:dyDescent="0.2">
      <c r="B1763">
        <v>1748</v>
      </c>
      <c r="C1763" s="48">
        <f t="shared" ca="1" si="112"/>
        <v>-0.2997697483438323</v>
      </c>
      <c r="D1763" s="48">
        <f t="shared" ca="1" si="109"/>
        <v>0.64515455359270513</v>
      </c>
      <c r="E1763" s="48">
        <f t="shared" ca="1" si="110"/>
        <v>0</v>
      </c>
      <c r="F1763" s="17">
        <f t="shared" ca="1" si="111"/>
        <v>0</v>
      </c>
      <c r="H1763" s="17">
        <v>1748</v>
      </c>
      <c r="I1763" s="43">
        <v>0.66873265581367447</v>
      </c>
      <c r="J1763" s="43">
        <v>1.9008584051197562E-2</v>
      </c>
      <c r="K1763" s="43"/>
      <c r="L1763" s="43">
        <v>0.2442</v>
      </c>
      <c r="O1763" s="50"/>
    </row>
    <row r="1764" spans="2:15" x14ac:dyDescent="0.2">
      <c r="B1764">
        <v>1749</v>
      </c>
      <c r="C1764" s="48">
        <f t="shared" ca="1" si="112"/>
        <v>-0.63734155134516868</v>
      </c>
      <c r="D1764" s="48">
        <f t="shared" ca="1" si="109"/>
        <v>0.62403693426853013</v>
      </c>
      <c r="E1764" s="48">
        <f t="shared" ca="1" si="110"/>
        <v>0</v>
      </c>
      <c r="F1764" s="17">
        <f t="shared" ca="1" si="111"/>
        <v>0</v>
      </c>
      <c r="H1764" s="17">
        <v>1749</v>
      </c>
      <c r="I1764" s="43">
        <v>0.66870207003451765</v>
      </c>
      <c r="J1764" s="43">
        <v>1.9114667223774539E-2</v>
      </c>
      <c r="K1764" s="43"/>
      <c r="L1764" s="43">
        <v>0.2432</v>
      </c>
      <c r="O1764" s="50"/>
    </row>
    <row r="1765" spans="2:15" x14ac:dyDescent="0.2">
      <c r="B1765">
        <v>1750</v>
      </c>
      <c r="C1765" s="48">
        <f t="shared" ca="1" si="112"/>
        <v>1.0662880100339529</v>
      </c>
      <c r="D1765" s="48">
        <f t="shared" ca="1" si="109"/>
        <v>0.73816404565642368</v>
      </c>
      <c r="E1765" s="48">
        <f t="shared" ca="1" si="110"/>
        <v>0</v>
      </c>
      <c r="F1765" s="17">
        <f t="shared" ca="1" si="111"/>
        <v>0</v>
      </c>
      <c r="H1765" s="17">
        <v>1750</v>
      </c>
      <c r="I1765" s="43">
        <v>0.66857783036420748</v>
      </c>
      <c r="J1765" s="43">
        <v>1.9156026622673409E-2</v>
      </c>
      <c r="K1765" s="43"/>
      <c r="L1765" s="43">
        <v>0.24759999999999999</v>
      </c>
      <c r="O1765" s="50"/>
    </row>
    <row r="1766" spans="2:15" x14ac:dyDescent="0.2">
      <c r="B1766">
        <v>1751</v>
      </c>
      <c r="C1766" s="48">
        <f t="shared" ca="1" si="112"/>
        <v>-0.64022471203179987</v>
      </c>
      <c r="D1766" s="48">
        <f t="shared" ca="1" si="109"/>
        <v>0.62385958102257166</v>
      </c>
      <c r="E1766" s="48">
        <f t="shared" ca="1" si="110"/>
        <v>0</v>
      </c>
      <c r="F1766" s="17">
        <f t="shared" ca="1" si="111"/>
        <v>0</v>
      </c>
      <c r="H1766" s="17">
        <v>1751</v>
      </c>
      <c r="I1766" s="43">
        <v>0.66988243375884171</v>
      </c>
      <c r="J1766" s="43">
        <v>2.0266819379767497E-2</v>
      </c>
      <c r="K1766" s="43"/>
      <c r="L1766" s="43">
        <v>0.26</v>
      </c>
      <c r="O1766" s="50"/>
    </row>
    <row r="1767" spans="2:15" x14ac:dyDescent="0.2">
      <c r="B1767">
        <v>1752</v>
      </c>
      <c r="C1767" s="48">
        <f t="shared" ca="1" si="112"/>
        <v>0.26776069536625385</v>
      </c>
      <c r="D1767" s="48">
        <f t="shared" ca="1" si="109"/>
        <v>0.68228079536151265</v>
      </c>
      <c r="E1767" s="48">
        <f t="shared" ca="1" si="110"/>
        <v>0</v>
      </c>
      <c r="F1767" s="17">
        <f t="shared" ca="1" si="111"/>
        <v>0</v>
      </c>
      <c r="H1767" s="17">
        <v>1752</v>
      </c>
      <c r="I1767" s="43">
        <v>0.66765593105428411</v>
      </c>
      <c r="J1767" s="43">
        <v>1.8393555474162215E-2</v>
      </c>
      <c r="K1767" s="43"/>
      <c r="L1767" s="43">
        <v>0.23780000000000001</v>
      </c>
      <c r="O1767" s="50"/>
    </row>
    <row r="1768" spans="2:15" x14ac:dyDescent="0.2">
      <c r="B1768">
        <v>1753</v>
      </c>
      <c r="C1768" s="48">
        <f t="shared" ca="1" si="112"/>
        <v>-0.87224038141896543</v>
      </c>
      <c r="D1768" s="48">
        <f t="shared" ca="1" si="109"/>
        <v>0.6097514864211655</v>
      </c>
      <c r="E1768" s="48">
        <f t="shared" ca="1" si="110"/>
        <v>0</v>
      </c>
      <c r="F1768" s="17">
        <f t="shared" ca="1" si="111"/>
        <v>0</v>
      </c>
      <c r="H1768" s="17">
        <v>1753</v>
      </c>
      <c r="I1768" s="43">
        <v>0.66856731519068024</v>
      </c>
      <c r="J1768" s="43">
        <v>1.8969769315264701E-2</v>
      </c>
      <c r="K1768" s="43"/>
      <c r="L1768" s="43">
        <v>0.24840000000000001</v>
      </c>
      <c r="O1768" s="50"/>
    </row>
    <row r="1769" spans="2:15" x14ac:dyDescent="0.2">
      <c r="B1769">
        <v>1754</v>
      </c>
      <c r="C1769" s="48">
        <f t="shared" ca="1" si="112"/>
        <v>0.12986305389330227</v>
      </c>
      <c r="D1769" s="48">
        <f t="shared" ca="1" si="109"/>
        <v>0.67306796789256462</v>
      </c>
      <c r="E1769" s="48">
        <f t="shared" ca="1" si="110"/>
        <v>0</v>
      </c>
      <c r="F1769" s="17">
        <f t="shared" ca="1" si="111"/>
        <v>0</v>
      </c>
      <c r="H1769" s="17">
        <v>1754</v>
      </c>
      <c r="I1769" s="43">
        <v>0.66929953916872242</v>
      </c>
      <c r="J1769" s="43">
        <v>1.9639242870037665E-2</v>
      </c>
      <c r="K1769" s="43"/>
      <c r="L1769" s="43">
        <v>0.25280000000000002</v>
      </c>
      <c r="O1769" s="50"/>
    </row>
    <row r="1770" spans="2:15" x14ac:dyDescent="0.2">
      <c r="B1770">
        <v>1755</v>
      </c>
      <c r="C1770" s="48">
        <f t="shared" ca="1" si="112"/>
        <v>-4.1209052434430106E-2</v>
      </c>
      <c r="D1770" s="48">
        <f t="shared" ca="1" si="109"/>
        <v>0.66181148587845673</v>
      </c>
      <c r="E1770" s="48">
        <f t="shared" ca="1" si="110"/>
        <v>0</v>
      </c>
      <c r="F1770" s="17">
        <f t="shared" ca="1" si="111"/>
        <v>0</v>
      </c>
      <c r="H1770" s="17">
        <v>1755</v>
      </c>
      <c r="I1770" s="43">
        <v>0.66943958746482268</v>
      </c>
      <c r="J1770" s="43">
        <v>1.9518210373495777E-2</v>
      </c>
      <c r="K1770" s="43"/>
      <c r="L1770" s="43">
        <v>0.24660000000000001</v>
      </c>
      <c r="O1770" s="50"/>
    </row>
    <row r="1771" spans="2:15" x14ac:dyDescent="0.2">
      <c r="B1771">
        <v>1756</v>
      </c>
      <c r="C1771" s="48">
        <f t="shared" ca="1" si="112"/>
        <v>-0.12915079051990172</v>
      </c>
      <c r="D1771" s="48">
        <f t="shared" ca="1" si="109"/>
        <v>0.65609841293299875</v>
      </c>
      <c r="E1771" s="48">
        <f t="shared" ca="1" si="110"/>
        <v>0</v>
      </c>
      <c r="F1771" s="17">
        <f t="shared" ca="1" si="111"/>
        <v>0</v>
      </c>
      <c r="H1771" s="17">
        <v>1756</v>
      </c>
      <c r="I1771" s="43">
        <v>0.66925859611027849</v>
      </c>
      <c r="J1771" s="43">
        <v>1.932968088598129E-2</v>
      </c>
      <c r="K1771" s="43"/>
      <c r="L1771" s="43">
        <v>0.25159999999999999</v>
      </c>
      <c r="O1771" s="50"/>
    </row>
    <row r="1772" spans="2:15" x14ac:dyDescent="0.2">
      <c r="B1772">
        <v>1757</v>
      </c>
      <c r="C1772" s="48">
        <f t="shared" ca="1" si="112"/>
        <v>-0.97591887109629361</v>
      </c>
      <c r="D1772" s="48">
        <f t="shared" ca="1" si="109"/>
        <v>0.60355071685906503</v>
      </c>
      <c r="E1772" s="48">
        <f t="shared" ca="1" si="110"/>
        <v>0</v>
      </c>
      <c r="F1772" s="17">
        <f t="shared" ca="1" si="111"/>
        <v>0</v>
      </c>
      <c r="H1772" s="17">
        <v>1757</v>
      </c>
      <c r="I1772" s="43">
        <v>0.66877555445599146</v>
      </c>
      <c r="J1772" s="43">
        <v>1.9145335424226091E-2</v>
      </c>
      <c r="K1772" s="43"/>
      <c r="L1772" s="43">
        <v>0.25019999999999998</v>
      </c>
      <c r="O1772" s="50"/>
    </row>
    <row r="1773" spans="2:15" x14ac:dyDescent="0.2">
      <c r="B1773">
        <v>1758</v>
      </c>
      <c r="C1773" s="48">
        <f t="shared" ca="1" si="112"/>
        <v>-1.0653957128769966</v>
      </c>
      <c r="D1773" s="48">
        <f t="shared" ca="1" si="109"/>
        <v>0.59825003150615541</v>
      </c>
      <c r="E1773" s="48">
        <f t="shared" ca="1" si="110"/>
        <v>0</v>
      </c>
      <c r="F1773" s="17">
        <f t="shared" ca="1" si="111"/>
        <v>0</v>
      </c>
      <c r="H1773" s="17">
        <v>1758</v>
      </c>
      <c r="I1773" s="43">
        <v>0.67036379170615834</v>
      </c>
      <c r="J1773" s="43">
        <v>2.0264239667010162E-2</v>
      </c>
      <c r="K1773" s="43"/>
      <c r="L1773" s="43">
        <v>0.25600000000000001</v>
      </c>
      <c r="O1773" s="50"/>
    </row>
    <row r="1774" spans="2:15" x14ac:dyDescent="0.2">
      <c r="B1774">
        <v>1759</v>
      </c>
      <c r="C1774" s="48">
        <f t="shared" ca="1" si="112"/>
        <v>0.65582898166967474</v>
      </c>
      <c r="D1774" s="48">
        <f t="shared" ca="1" si="109"/>
        <v>0.7088897168319882</v>
      </c>
      <c r="E1774" s="48">
        <f t="shared" ca="1" si="110"/>
        <v>0</v>
      </c>
      <c r="F1774" s="17">
        <f t="shared" ca="1" si="111"/>
        <v>0</v>
      </c>
      <c r="H1774" s="17">
        <v>1759</v>
      </c>
      <c r="I1774" s="43">
        <v>0.66878173313716993</v>
      </c>
      <c r="J1774" s="43">
        <v>1.9165808157637722E-2</v>
      </c>
      <c r="K1774" s="43"/>
      <c r="L1774" s="43">
        <v>0.24360000000000001</v>
      </c>
      <c r="O1774" s="50"/>
    </row>
    <row r="1775" spans="2:15" x14ac:dyDescent="0.2">
      <c r="B1775">
        <v>1760</v>
      </c>
      <c r="C1775" s="48">
        <f t="shared" ca="1" si="112"/>
        <v>-2.3599506499321214</v>
      </c>
      <c r="D1775" s="48">
        <f t="shared" ca="1" si="109"/>
        <v>0.52656874021546829</v>
      </c>
      <c r="E1775" s="48">
        <f t="shared" ca="1" si="110"/>
        <v>0</v>
      </c>
      <c r="F1775" s="17">
        <f t="shared" ca="1" si="111"/>
        <v>0</v>
      </c>
      <c r="H1775" s="17">
        <v>1760</v>
      </c>
      <c r="I1775" s="43">
        <v>0.66887812855132645</v>
      </c>
      <c r="J1775" s="43">
        <v>1.9469001310612289E-2</v>
      </c>
      <c r="K1775" s="43"/>
      <c r="L1775" s="43">
        <v>0.25359999999999999</v>
      </c>
      <c r="O1775" s="50"/>
    </row>
    <row r="1776" spans="2:15" x14ac:dyDescent="0.2">
      <c r="B1776">
        <v>1761</v>
      </c>
      <c r="C1776" s="48">
        <f t="shared" ca="1" si="112"/>
        <v>1.3926201073753344</v>
      </c>
      <c r="D1776" s="48">
        <f t="shared" ca="1" si="109"/>
        <v>0.76229859795235888</v>
      </c>
      <c r="E1776" s="48">
        <f t="shared" ca="1" si="110"/>
        <v>0</v>
      </c>
      <c r="F1776" s="17">
        <f t="shared" ca="1" si="111"/>
        <v>0</v>
      </c>
      <c r="H1776" s="17">
        <v>1761</v>
      </c>
      <c r="I1776" s="43">
        <v>0.6692152855417296</v>
      </c>
      <c r="J1776" s="43">
        <v>1.9474031927630732E-2</v>
      </c>
      <c r="K1776" s="43"/>
      <c r="L1776" s="43">
        <v>0.24440000000000001</v>
      </c>
      <c r="O1776" s="50"/>
    </row>
    <row r="1777" spans="2:15" x14ac:dyDescent="0.2">
      <c r="B1777">
        <v>1762</v>
      </c>
      <c r="C1777" s="48">
        <f t="shared" ca="1" si="112"/>
        <v>-0.35989184887347669</v>
      </c>
      <c r="D1777" s="48">
        <f t="shared" ca="1" si="109"/>
        <v>0.64134184884761225</v>
      </c>
      <c r="E1777" s="48">
        <f t="shared" ca="1" si="110"/>
        <v>0</v>
      </c>
      <c r="F1777" s="17">
        <f t="shared" ca="1" si="111"/>
        <v>0</v>
      </c>
      <c r="H1777" s="17">
        <v>1762</v>
      </c>
      <c r="I1777" s="43">
        <v>0.66962866703799817</v>
      </c>
      <c r="J1777" s="43">
        <v>1.967650183275348E-2</v>
      </c>
      <c r="K1777" s="43"/>
      <c r="L1777" s="43">
        <v>0.25219999999999998</v>
      </c>
      <c r="O1777" s="50"/>
    </row>
    <row r="1778" spans="2:15" x14ac:dyDescent="0.2">
      <c r="B1778">
        <v>1763</v>
      </c>
      <c r="C1778" s="48">
        <f t="shared" ca="1" si="112"/>
        <v>-0.69578704900630917</v>
      </c>
      <c r="D1778" s="48">
        <f t="shared" ca="1" si="109"/>
        <v>0.62045157668817241</v>
      </c>
      <c r="E1778" s="48">
        <f t="shared" ca="1" si="110"/>
        <v>0</v>
      </c>
      <c r="F1778" s="17">
        <f t="shared" ca="1" si="111"/>
        <v>0</v>
      </c>
      <c r="H1778" s="17">
        <v>1763</v>
      </c>
      <c r="I1778" s="43">
        <v>0.66906574188387591</v>
      </c>
      <c r="J1778" s="43">
        <v>1.9444234768707203E-2</v>
      </c>
      <c r="K1778" s="43"/>
      <c r="L1778" s="43">
        <v>0.25640000000000002</v>
      </c>
      <c r="O1778" s="50"/>
    </row>
    <row r="1779" spans="2:15" x14ac:dyDescent="0.2">
      <c r="B1779">
        <v>1764</v>
      </c>
      <c r="C1779" s="48">
        <f t="shared" ca="1" si="112"/>
        <v>1.0246597098608472</v>
      </c>
      <c r="D1779" s="48">
        <f t="shared" ca="1" si="109"/>
        <v>0.73514080713823748</v>
      </c>
      <c r="E1779" s="48">
        <f t="shared" ca="1" si="110"/>
        <v>0</v>
      </c>
      <c r="F1779" s="17">
        <f t="shared" ca="1" si="111"/>
        <v>0</v>
      </c>
      <c r="H1779" s="17">
        <v>1764</v>
      </c>
      <c r="I1779" s="43">
        <v>0.66743627975111686</v>
      </c>
      <c r="J1779" s="43">
        <v>1.826349326443634E-2</v>
      </c>
      <c r="K1779" s="43"/>
      <c r="L1779" s="43">
        <v>0.245</v>
      </c>
      <c r="O1779" s="50"/>
    </row>
    <row r="1780" spans="2:15" x14ac:dyDescent="0.2">
      <c r="B1780">
        <v>1765</v>
      </c>
      <c r="C1780" s="48">
        <f t="shared" ca="1" si="112"/>
        <v>-1.5934049822329448</v>
      </c>
      <c r="D1780" s="48">
        <f t="shared" ca="1" si="109"/>
        <v>0.56790473329718472</v>
      </c>
      <c r="E1780" s="48">
        <f t="shared" ca="1" si="110"/>
        <v>0</v>
      </c>
      <c r="F1780" s="17">
        <f t="shared" ca="1" si="111"/>
        <v>0</v>
      </c>
      <c r="H1780" s="17">
        <v>1765</v>
      </c>
      <c r="I1780" s="43">
        <v>0.66847905836094124</v>
      </c>
      <c r="J1780" s="43">
        <v>1.9117762009196744E-2</v>
      </c>
      <c r="K1780" s="43"/>
      <c r="L1780" s="43">
        <v>0.2424</v>
      </c>
      <c r="O1780" s="50"/>
    </row>
    <row r="1781" spans="2:15" x14ac:dyDescent="0.2">
      <c r="B1781">
        <v>1766</v>
      </c>
      <c r="C1781" s="48">
        <f t="shared" ca="1" si="112"/>
        <v>-0.23282295464492614</v>
      </c>
      <c r="D1781" s="48">
        <f t="shared" ca="1" si="109"/>
        <v>0.64942673075977975</v>
      </c>
      <c r="E1781" s="48">
        <f t="shared" ca="1" si="110"/>
        <v>0</v>
      </c>
      <c r="F1781" s="17">
        <f t="shared" ca="1" si="111"/>
        <v>0</v>
      </c>
      <c r="H1781" s="17">
        <v>1766</v>
      </c>
      <c r="I1781" s="43">
        <v>0.66854735710674684</v>
      </c>
      <c r="J1781" s="43">
        <v>1.9005359195436097E-2</v>
      </c>
      <c r="K1781" s="43"/>
      <c r="L1781" s="43">
        <v>0.24759999999999999</v>
      </c>
      <c r="O1781" s="50"/>
    </row>
    <row r="1782" spans="2:15" x14ac:dyDescent="0.2">
      <c r="B1782">
        <v>1767</v>
      </c>
      <c r="C1782" s="48">
        <f t="shared" ca="1" si="112"/>
        <v>-0.10416460265549168</v>
      </c>
      <c r="D1782" s="48">
        <f t="shared" ca="1" si="109"/>
        <v>0.65771658881065509</v>
      </c>
      <c r="E1782" s="48">
        <f t="shared" ca="1" si="110"/>
        <v>0</v>
      </c>
      <c r="F1782" s="17">
        <f t="shared" ca="1" si="111"/>
        <v>0</v>
      </c>
      <c r="H1782" s="17">
        <v>1767</v>
      </c>
      <c r="I1782" s="43">
        <v>0.66870136996380536</v>
      </c>
      <c r="J1782" s="43">
        <v>1.9138516529028562E-2</v>
      </c>
      <c r="K1782" s="43"/>
      <c r="L1782" s="43">
        <v>0.25080000000000002</v>
      </c>
      <c r="O1782" s="50"/>
    </row>
    <row r="1783" spans="2:15" x14ac:dyDescent="0.2">
      <c r="B1783">
        <v>1768</v>
      </c>
      <c r="C1783" s="48">
        <f t="shared" ca="1" si="112"/>
        <v>0.60406749211786936</v>
      </c>
      <c r="D1783" s="48">
        <f t="shared" ca="1" si="109"/>
        <v>0.70528144270621063</v>
      </c>
      <c r="E1783" s="48">
        <f t="shared" ca="1" si="110"/>
        <v>0</v>
      </c>
      <c r="F1783" s="17">
        <f t="shared" ca="1" si="111"/>
        <v>0</v>
      </c>
      <c r="H1783" s="17">
        <v>1768</v>
      </c>
      <c r="I1783" s="43">
        <v>0.66812086904434453</v>
      </c>
      <c r="J1783" s="43">
        <v>1.8870981658037401E-2</v>
      </c>
      <c r="K1783" s="43"/>
      <c r="L1783" s="43">
        <v>0.25240000000000001</v>
      </c>
      <c r="O1783" s="50"/>
    </row>
    <row r="1784" spans="2:15" x14ac:dyDescent="0.2">
      <c r="B1784">
        <v>1769</v>
      </c>
      <c r="C1784" s="48">
        <f t="shared" ca="1" si="112"/>
        <v>1.4286515560283177</v>
      </c>
      <c r="D1784" s="48">
        <f t="shared" ca="1" si="109"/>
        <v>0.76501128787740758</v>
      </c>
      <c r="E1784" s="48">
        <f t="shared" ca="1" si="110"/>
        <v>0</v>
      </c>
      <c r="F1784" s="17">
        <f t="shared" ca="1" si="111"/>
        <v>0</v>
      </c>
      <c r="H1784" s="17">
        <v>1769</v>
      </c>
      <c r="I1784" s="43">
        <v>0.66842230528690405</v>
      </c>
      <c r="J1784" s="43">
        <v>1.8974360218208575E-2</v>
      </c>
      <c r="K1784" s="43"/>
      <c r="L1784" s="43">
        <v>0.2462</v>
      </c>
      <c r="O1784" s="50"/>
    </row>
    <row r="1785" spans="2:15" x14ac:dyDescent="0.2">
      <c r="B1785">
        <v>1770</v>
      </c>
      <c r="C1785" s="48">
        <f t="shared" ca="1" si="112"/>
        <v>2.2080490759640487E-2</v>
      </c>
      <c r="D1785" s="48">
        <f t="shared" ca="1" si="109"/>
        <v>0.66595380533407122</v>
      </c>
      <c r="E1785" s="48">
        <f t="shared" ca="1" si="110"/>
        <v>0</v>
      </c>
      <c r="F1785" s="17">
        <f t="shared" ca="1" si="111"/>
        <v>0</v>
      </c>
      <c r="H1785" s="17">
        <v>1770</v>
      </c>
      <c r="I1785" s="43">
        <v>0.66871630026087958</v>
      </c>
      <c r="J1785" s="43">
        <v>1.9032389198433544E-2</v>
      </c>
      <c r="K1785" s="43"/>
      <c r="L1785" s="43">
        <v>0.24640000000000001</v>
      </c>
      <c r="O1785" s="50"/>
    </row>
    <row r="1786" spans="2:15" x14ac:dyDescent="0.2">
      <c r="B1786">
        <v>1771</v>
      </c>
      <c r="C1786" s="48">
        <f t="shared" ca="1" si="112"/>
        <v>-2.2272246925454833</v>
      </c>
      <c r="D1786" s="48">
        <f t="shared" ca="1" si="109"/>
        <v>0.53350423031486593</v>
      </c>
      <c r="E1786" s="48">
        <f t="shared" ca="1" si="110"/>
        <v>0</v>
      </c>
      <c r="F1786" s="17">
        <f t="shared" ca="1" si="111"/>
        <v>0</v>
      </c>
      <c r="H1786" s="17">
        <v>1771</v>
      </c>
      <c r="I1786" s="43">
        <v>0.66910879711482651</v>
      </c>
      <c r="J1786" s="43">
        <v>1.9424333527662794E-2</v>
      </c>
      <c r="K1786" s="43"/>
      <c r="L1786" s="43">
        <v>0.25280000000000002</v>
      </c>
      <c r="O1786" s="50"/>
    </row>
    <row r="1787" spans="2:15" x14ac:dyDescent="0.2">
      <c r="B1787">
        <v>1772</v>
      </c>
      <c r="C1787" s="48">
        <f t="shared" ca="1" si="112"/>
        <v>-1.0233929911928552</v>
      </c>
      <c r="D1787" s="48">
        <f t="shared" ca="1" si="109"/>
        <v>0.60073248652380662</v>
      </c>
      <c r="E1787" s="48">
        <f t="shared" ca="1" si="110"/>
        <v>0</v>
      </c>
      <c r="F1787" s="17">
        <f t="shared" ca="1" si="111"/>
        <v>0</v>
      </c>
      <c r="H1787" s="17">
        <v>1772</v>
      </c>
      <c r="I1787" s="43">
        <v>0.66724255062828519</v>
      </c>
      <c r="J1787" s="43">
        <v>1.8078763527189776E-2</v>
      </c>
      <c r="K1787" s="43"/>
      <c r="L1787" s="43">
        <v>0.247</v>
      </c>
      <c r="O1787" s="50"/>
    </row>
    <row r="1788" spans="2:15" x14ac:dyDescent="0.2">
      <c r="B1788">
        <v>1773</v>
      </c>
      <c r="C1788" s="48">
        <f t="shared" ca="1" si="112"/>
        <v>0.25721402782261221</v>
      </c>
      <c r="D1788" s="48">
        <f t="shared" ca="1" si="109"/>
        <v>0.68157174944475141</v>
      </c>
      <c r="E1788" s="48">
        <f t="shared" ca="1" si="110"/>
        <v>0</v>
      </c>
      <c r="F1788" s="17">
        <f t="shared" ca="1" si="111"/>
        <v>0</v>
      </c>
      <c r="H1788" s="17">
        <v>1773</v>
      </c>
      <c r="I1788" s="43">
        <v>0.67007467395352382</v>
      </c>
      <c r="J1788" s="43">
        <v>2.022996694183684E-2</v>
      </c>
      <c r="K1788" s="43"/>
      <c r="L1788" s="43">
        <v>0.25440000000000002</v>
      </c>
      <c r="O1788" s="50"/>
    </row>
    <row r="1789" spans="2:15" x14ac:dyDescent="0.2">
      <c r="B1789">
        <v>1774</v>
      </c>
      <c r="C1789" s="48">
        <f t="shared" ca="1" si="112"/>
        <v>-0.35943791232007977</v>
      </c>
      <c r="D1789" s="48">
        <f t="shared" ca="1" si="109"/>
        <v>0.64137055111287056</v>
      </c>
      <c r="E1789" s="48">
        <f t="shared" ca="1" si="110"/>
        <v>0</v>
      </c>
      <c r="F1789" s="17">
        <f t="shared" ca="1" si="111"/>
        <v>0</v>
      </c>
      <c r="H1789" s="17">
        <v>1774</v>
      </c>
      <c r="I1789" s="43">
        <v>0.66931622699524096</v>
      </c>
      <c r="J1789" s="43">
        <v>1.9870995335568735E-2</v>
      </c>
      <c r="K1789" s="43"/>
      <c r="L1789" s="43">
        <v>0.25659999999999999</v>
      </c>
      <c r="O1789" s="50"/>
    </row>
    <row r="1790" spans="2:15" x14ac:dyDescent="0.2">
      <c r="B1790">
        <v>1775</v>
      </c>
      <c r="C1790" s="48">
        <f t="shared" ca="1" si="112"/>
        <v>0.87504478677430442</v>
      </c>
      <c r="D1790" s="48">
        <f t="shared" ca="1" si="109"/>
        <v>0.72437694451895507</v>
      </c>
      <c r="E1790" s="48">
        <f t="shared" ca="1" si="110"/>
        <v>0</v>
      </c>
      <c r="F1790" s="17">
        <f t="shared" ca="1" si="111"/>
        <v>0</v>
      </c>
      <c r="H1790" s="17">
        <v>1775</v>
      </c>
      <c r="I1790" s="43">
        <v>0.66760733624633184</v>
      </c>
      <c r="J1790" s="43">
        <v>1.8477680410319379E-2</v>
      </c>
      <c r="K1790" s="43"/>
      <c r="L1790" s="43">
        <v>0.24340000000000001</v>
      </c>
      <c r="O1790" s="50"/>
    </row>
    <row r="1791" spans="2:15" x14ac:dyDescent="0.2">
      <c r="B1791">
        <v>1776</v>
      </c>
      <c r="C1791" s="48">
        <f t="shared" ca="1" si="112"/>
        <v>1.1179618351113618</v>
      </c>
      <c r="D1791" s="48">
        <f t="shared" ca="1" si="109"/>
        <v>0.74193413742733472</v>
      </c>
      <c r="E1791" s="48">
        <f t="shared" ca="1" si="110"/>
        <v>0</v>
      </c>
      <c r="F1791" s="17">
        <f t="shared" ca="1" si="111"/>
        <v>0</v>
      </c>
      <c r="H1791" s="17">
        <v>1776</v>
      </c>
      <c r="I1791" s="43">
        <v>0.66936466989623533</v>
      </c>
      <c r="J1791" s="43">
        <v>1.9755939960078638E-2</v>
      </c>
      <c r="K1791" s="43"/>
      <c r="L1791" s="43">
        <v>0.249</v>
      </c>
      <c r="O1791" s="50"/>
    </row>
    <row r="1792" spans="2:15" x14ac:dyDescent="0.2">
      <c r="B1792">
        <v>1777</v>
      </c>
      <c r="C1792" s="48">
        <f t="shared" ca="1" si="112"/>
        <v>0.75379200221085496</v>
      </c>
      <c r="D1792" s="48">
        <f t="shared" ca="1" si="109"/>
        <v>0.71576928921569916</v>
      </c>
      <c r="E1792" s="48">
        <f t="shared" ca="1" si="110"/>
        <v>0</v>
      </c>
      <c r="F1792" s="17">
        <f t="shared" ca="1" si="111"/>
        <v>0</v>
      </c>
      <c r="H1792" s="17">
        <v>1777</v>
      </c>
      <c r="I1792" s="43">
        <v>0.66754794882455559</v>
      </c>
      <c r="J1792" s="43">
        <v>1.8395024549651542E-2</v>
      </c>
      <c r="K1792" s="43"/>
      <c r="L1792" s="43">
        <v>0.25</v>
      </c>
      <c r="O1792" s="50"/>
    </row>
    <row r="1793" spans="2:15" x14ac:dyDescent="0.2">
      <c r="B1793">
        <v>1778</v>
      </c>
      <c r="C1793" s="48">
        <f t="shared" ca="1" si="112"/>
        <v>-2.83092645694353</v>
      </c>
      <c r="D1793" s="48">
        <f t="shared" ca="1" si="109"/>
        <v>0.50267788165792571</v>
      </c>
      <c r="E1793" s="48">
        <f t="shared" ca="1" si="110"/>
        <v>0</v>
      </c>
      <c r="F1793" s="17">
        <f t="shared" ca="1" si="111"/>
        <v>0</v>
      </c>
      <c r="H1793" s="17">
        <v>1778</v>
      </c>
      <c r="I1793" s="43">
        <v>0.66825181147233959</v>
      </c>
      <c r="J1793" s="43">
        <v>1.8724040891640953E-2</v>
      </c>
      <c r="K1793" s="43"/>
      <c r="L1793" s="43">
        <v>0.2462</v>
      </c>
      <c r="O1793" s="50"/>
    </row>
    <row r="1794" spans="2:15" x14ac:dyDescent="0.2">
      <c r="B1794">
        <v>1779</v>
      </c>
      <c r="C1794" s="48">
        <f t="shared" ca="1" si="112"/>
        <v>0.56252668129032035</v>
      </c>
      <c r="D1794" s="48">
        <f t="shared" ca="1" si="109"/>
        <v>0.70239893720655866</v>
      </c>
      <c r="E1794" s="48">
        <f t="shared" ca="1" si="110"/>
        <v>0</v>
      </c>
      <c r="F1794" s="17">
        <f t="shared" ca="1" si="111"/>
        <v>0</v>
      </c>
      <c r="H1794" s="17">
        <v>1779</v>
      </c>
      <c r="I1794" s="43">
        <v>0.66890863603595008</v>
      </c>
      <c r="J1794" s="43">
        <v>1.9500253029949441E-2</v>
      </c>
      <c r="K1794" s="43"/>
      <c r="L1794" s="43">
        <v>0.25359999999999999</v>
      </c>
      <c r="O1794" s="50"/>
    </row>
    <row r="1795" spans="2:15" x14ac:dyDescent="0.2">
      <c r="B1795">
        <v>1780</v>
      </c>
      <c r="C1795" s="48">
        <f t="shared" ca="1" si="112"/>
        <v>-0.17648787123469342</v>
      </c>
      <c r="D1795" s="48">
        <f t="shared" ca="1" si="109"/>
        <v>0.65304363826015255</v>
      </c>
      <c r="E1795" s="48">
        <f t="shared" ca="1" si="110"/>
        <v>0</v>
      </c>
      <c r="F1795" s="17">
        <f t="shared" ca="1" si="111"/>
        <v>0</v>
      </c>
      <c r="H1795" s="17">
        <v>1780</v>
      </c>
      <c r="I1795" s="43">
        <v>0.66866613987122703</v>
      </c>
      <c r="J1795" s="43">
        <v>1.8983293436648483E-2</v>
      </c>
      <c r="K1795" s="43"/>
      <c r="L1795" s="43">
        <v>0.2442</v>
      </c>
      <c r="O1795" s="50"/>
    </row>
    <row r="1796" spans="2:15" x14ac:dyDescent="0.2">
      <c r="B1796">
        <v>1781</v>
      </c>
      <c r="C1796" s="48">
        <f t="shared" ca="1" si="112"/>
        <v>-0.61964907769623045</v>
      </c>
      <c r="D1796" s="48">
        <f t="shared" ca="1" si="109"/>
        <v>0.62512636441317404</v>
      </c>
      <c r="E1796" s="48">
        <f t="shared" ca="1" si="110"/>
        <v>0</v>
      </c>
      <c r="F1796" s="17">
        <f t="shared" ca="1" si="111"/>
        <v>0</v>
      </c>
      <c r="H1796" s="17">
        <v>1781</v>
      </c>
      <c r="I1796" s="43">
        <v>0.67057227297391597</v>
      </c>
      <c r="J1796" s="43">
        <v>2.0626780243572045E-2</v>
      </c>
      <c r="K1796" s="43"/>
      <c r="L1796" s="43">
        <v>0.25979999999999998</v>
      </c>
      <c r="O1796" s="50"/>
    </row>
    <row r="1797" spans="2:15" x14ac:dyDescent="0.2">
      <c r="B1797">
        <v>1782</v>
      </c>
      <c r="C1797" s="48">
        <f t="shared" ca="1" si="112"/>
        <v>-1.8019264282547061</v>
      </c>
      <c r="D1797" s="48">
        <f t="shared" ca="1" si="109"/>
        <v>0.55634915837193522</v>
      </c>
      <c r="E1797" s="48">
        <f t="shared" ca="1" si="110"/>
        <v>0</v>
      </c>
      <c r="F1797" s="17">
        <f t="shared" ca="1" si="111"/>
        <v>0</v>
      </c>
      <c r="H1797" s="17">
        <v>1782</v>
      </c>
      <c r="I1797" s="43">
        <v>0.66837641122971392</v>
      </c>
      <c r="J1797" s="43">
        <v>1.9240068134753936E-2</v>
      </c>
      <c r="K1797" s="43"/>
      <c r="L1797" s="43">
        <v>0.24779999999999999</v>
      </c>
      <c r="O1797" s="50"/>
    </row>
    <row r="1798" spans="2:15" x14ac:dyDescent="0.2">
      <c r="B1798">
        <v>1783</v>
      </c>
      <c r="C1798" s="48">
        <f t="shared" ca="1" si="112"/>
        <v>-2.4287701712331168E-2</v>
      </c>
      <c r="D1798" s="48">
        <f t="shared" ca="1" si="109"/>
        <v>0.66291646316339514</v>
      </c>
      <c r="E1798" s="48">
        <f t="shared" ca="1" si="110"/>
        <v>0</v>
      </c>
      <c r="F1798" s="17">
        <f t="shared" ca="1" si="111"/>
        <v>0</v>
      </c>
      <c r="H1798" s="17">
        <v>1783</v>
      </c>
      <c r="I1798" s="43">
        <v>0.6714691636402168</v>
      </c>
      <c r="J1798" s="43">
        <v>2.1311792813707348E-2</v>
      </c>
      <c r="K1798" s="43"/>
      <c r="L1798" s="43">
        <v>0.2606</v>
      </c>
      <c r="O1798" s="50"/>
    </row>
    <row r="1799" spans="2:15" x14ac:dyDescent="0.2">
      <c r="B1799">
        <v>1784</v>
      </c>
      <c r="C1799" s="48">
        <f t="shared" ca="1" si="112"/>
        <v>1.4419830472197408</v>
      </c>
      <c r="D1799" s="48">
        <f t="shared" ca="1" si="109"/>
        <v>0.76601741701335579</v>
      </c>
      <c r="E1799" s="48">
        <f t="shared" ca="1" si="110"/>
        <v>0</v>
      </c>
      <c r="F1799" s="17">
        <f t="shared" ca="1" si="111"/>
        <v>0</v>
      </c>
      <c r="H1799" s="17">
        <v>1784</v>
      </c>
      <c r="I1799" s="43">
        <v>0.66937925492792405</v>
      </c>
      <c r="J1799" s="43">
        <v>1.9817549399803524E-2</v>
      </c>
      <c r="K1799" s="43"/>
      <c r="L1799" s="43">
        <v>0.25700000000000001</v>
      </c>
      <c r="O1799" s="50"/>
    </row>
    <row r="1800" spans="2:15" x14ac:dyDescent="0.2">
      <c r="B1800">
        <v>1785</v>
      </c>
      <c r="C1800" s="48">
        <f t="shared" ca="1" si="112"/>
        <v>-0.78123219805376076</v>
      </c>
      <c r="D1800" s="48">
        <f t="shared" ca="1" si="109"/>
        <v>0.61524695581258415</v>
      </c>
      <c r="E1800" s="48">
        <f t="shared" ca="1" si="110"/>
        <v>0</v>
      </c>
      <c r="F1800" s="17">
        <f t="shared" ca="1" si="111"/>
        <v>0</v>
      </c>
      <c r="H1800" s="17">
        <v>1785</v>
      </c>
      <c r="I1800" s="43">
        <v>0.66806607002019103</v>
      </c>
      <c r="J1800" s="43">
        <v>1.8708217117957691E-2</v>
      </c>
      <c r="K1800" s="43"/>
      <c r="L1800" s="43">
        <v>0.24640000000000001</v>
      </c>
      <c r="O1800" s="50"/>
    </row>
    <row r="1801" spans="2:15" x14ac:dyDescent="0.2">
      <c r="B1801">
        <v>1786</v>
      </c>
      <c r="C1801" s="48">
        <f t="shared" ca="1" si="112"/>
        <v>-0.754366823668151</v>
      </c>
      <c r="D1801" s="48">
        <f t="shared" ca="1" si="109"/>
        <v>0.61687865219991045</v>
      </c>
      <c r="E1801" s="48">
        <f t="shared" ca="1" si="110"/>
        <v>0</v>
      </c>
      <c r="F1801" s="17">
        <f t="shared" ca="1" si="111"/>
        <v>0</v>
      </c>
      <c r="H1801" s="17">
        <v>1786</v>
      </c>
      <c r="I1801" s="43">
        <v>0.66869818525298952</v>
      </c>
      <c r="J1801" s="43">
        <v>1.9180087664966414E-2</v>
      </c>
      <c r="K1801" s="43"/>
      <c r="L1801" s="43">
        <v>0.24479999999999999</v>
      </c>
      <c r="O1801" s="50"/>
    </row>
    <row r="1802" spans="2:15" x14ac:dyDescent="0.2">
      <c r="B1802">
        <v>1787</v>
      </c>
      <c r="C1802" s="48">
        <f t="shared" ca="1" si="112"/>
        <v>-0.69484441418191401</v>
      </c>
      <c r="D1802" s="48">
        <f t="shared" ca="1" si="109"/>
        <v>0.62050923916237344</v>
      </c>
      <c r="E1802" s="48">
        <f t="shared" ca="1" si="110"/>
        <v>0</v>
      </c>
      <c r="F1802" s="17">
        <f t="shared" ca="1" si="111"/>
        <v>0</v>
      </c>
      <c r="H1802" s="17">
        <v>1787</v>
      </c>
      <c r="I1802" s="43">
        <v>0.66917919396203229</v>
      </c>
      <c r="J1802" s="43">
        <v>1.9822561215216826E-2</v>
      </c>
      <c r="K1802" s="43"/>
      <c r="L1802" s="43">
        <v>0.2576</v>
      </c>
      <c r="O1802" s="50"/>
    </row>
    <row r="1803" spans="2:15" x14ac:dyDescent="0.2">
      <c r="B1803">
        <v>1788</v>
      </c>
      <c r="C1803" s="48">
        <f t="shared" ca="1" si="112"/>
        <v>0.29090575642848804</v>
      </c>
      <c r="D1803" s="48">
        <f t="shared" ca="1" si="109"/>
        <v>0.6838394101123515</v>
      </c>
      <c r="E1803" s="48">
        <f t="shared" ca="1" si="110"/>
        <v>0</v>
      </c>
      <c r="F1803" s="17">
        <f t="shared" ca="1" si="111"/>
        <v>0</v>
      </c>
      <c r="H1803" s="17">
        <v>1788</v>
      </c>
      <c r="I1803" s="43">
        <v>0.66886681691019045</v>
      </c>
      <c r="J1803" s="43">
        <v>1.9223608277097348E-2</v>
      </c>
      <c r="K1803" s="43"/>
      <c r="L1803" s="43">
        <v>0.24399999999999999</v>
      </c>
      <c r="O1803" s="50"/>
    </row>
    <row r="1804" spans="2:15" x14ac:dyDescent="0.2">
      <c r="B1804">
        <v>1789</v>
      </c>
      <c r="C1804" s="48">
        <f t="shared" ca="1" si="112"/>
        <v>-0.74197536488547566</v>
      </c>
      <c r="D1804" s="48">
        <f t="shared" ca="1" si="109"/>
        <v>0.61763271792622354</v>
      </c>
      <c r="E1804" s="48">
        <f t="shared" ca="1" si="110"/>
        <v>0</v>
      </c>
      <c r="F1804" s="17">
        <f t="shared" ca="1" si="111"/>
        <v>0</v>
      </c>
      <c r="H1804" s="17">
        <v>1789</v>
      </c>
      <c r="I1804" s="43">
        <v>0.66888134429916868</v>
      </c>
      <c r="J1804" s="43">
        <v>1.9394256335022349E-2</v>
      </c>
      <c r="K1804" s="43"/>
      <c r="L1804" s="43">
        <v>0.254</v>
      </c>
      <c r="O1804" s="50"/>
    </row>
    <row r="1805" spans="2:15" x14ac:dyDescent="0.2">
      <c r="B1805">
        <v>1790</v>
      </c>
      <c r="C1805" s="48">
        <f t="shared" ca="1" si="112"/>
        <v>0.2108249049243979</v>
      </c>
      <c r="D1805" s="48">
        <f t="shared" ca="1" si="109"/>
        <v>0.67846177555392662</v>
      </c>
      <c r="E1805" s="48">
        <f t="shared" ca="1" si="110"/>
        <v>0</v>
      </c>
      <c r="F1805" s="17">
        <f t="shared" ca="1" si="111"/>
        <v>0</v>
      </c>
      <c r="H1805" s="17">
        <v>1790</v>
      </c>
      <c r="I1805" s="43">
        <v>0.66843942942164125</v>
      </c>
      <c r="J1805" s="43">
        <v>1.8972220617406582E-2</v>
      </c>
      <c r="K1805" s="43"/>
      <c r="L1805" s="43">
        <v>0.25219999999999998</v>
      </c>
      <c r="O1805" s="50"/>
    </row>
    <row r="1806" spans="2:15" x14ac:dyDescent="0.2">
      <c r="B1806">
        <v>1791</v>
      </c>
      <c r="C1806" s="48">
        <f t="shared" ca="1" si="112"/>
        <v>-0.53707801629042962</v>
      </c>
      <c r="D1806" s="48">
        <f t="shared" ca="1" si="109"/>
        <v>0.63023595712208147</v>
      </c>
      <c r="E1806" s="48">
        <f t="shared" ca="1" si="110"/>
        <v>0</v>
      </c>
      <c r="F1806" s="17">
        <f t="shared" ca="1" si="111"/>
        <v>0</v>
      </c>
      <c r="H1806" s="17">
        <v>1791</v>
      </c>
      <c r="I1806" s="43">
        <v>0.66874204300067208</v>
      </c>
      <c r="J1806" s="43">
        <v>1.9383380902272297E-2</v>
      </c>
      <c r="K1806" s="43"/>
      <c r="L1806" s="43">
        <v>0.24759999999999999</v>
      </c>
      <c r="O1806" s="50"/>
    </row>
    <row r="1807" spans="2:15" x14ac:dyDescent="0.2">
      <c r="B1807">
        <v>1792</v>
      </c>
      <c r="C1807" s="48">
        <f t="shared" ca="1" si="112"/>
        <v>1.3273061091294676</v>
      </c>
      <c r="D1807" s="48">
        <f t="shared" ca="1" si="109"/>
        <v>0.75740581872176749</v>
      </c>
      <c r="E1807" s="48">
        <f t="shared" ca="1" si="110"/>
        <v>0</v>
      </c>
      <c r="F1807" s="17">
        <f t="shared" ca="1" si="111"/>
        <v>0</v>
      </c>
      <c r="H1807" s="17">
        <v>1792</v>
      </c>
      <c r="I1807" s="43">
        <v>0.66862263210597817</v>
      </c>
      <c r="J1807" s="43">
        <v>1.9101970459907507E-2</v>
      </c>
      <c r="K1807" s="43"/>
      <c r="L1807" s="43">
        <v>0.25040000000000001</v>
      </c>
      <c r="O1807" s="50"/>
    </row>
    <row r="1808" spans="2:15" x14ac:dyDescent="0.2">
      <c r="B1808">
        <v>1793</v>
      </c>
      <c r="C1808" s="48">
        <f t="shared" ca="1" si="112"/>
        <v>0.40952525592700639</v>
      </c>
      <c r="D1808" s="48">
        <f t="shared" ref="D1808:D1871" ca="1" si="113">S0*EXP((μ-0.5*σ*σ)*T+σ*SQRT(T)*$C1808)</f>
        <v>0.69188344256944823</v>
      </c>
      <c r="E1808" s="48">
        <f t="shared" ref="E1808:E1871" ca="1" si="114">MAX(0,CP*(D1808-K))</f>
        <v>0</v>
      </c>
      <c r="F1808" s="17">
        <f t="shared" ref="F1808:F1871" ca="1" si="115">(CP*(D1808-K)&gt;0)*1</f>
        <v>0</v>
      </c>
      <c r="H1808" s="17">
        <v>1793</v>
      </c>
      <c r="I1808" s="43">
        <v>0.66867967056731181</v>
      </c>
      <c r="J1808" s="43">
        <v>1.9274106416606443E-2</v>
      </c>
      <c r="K1808" s="43"/>
      <c r="L1808" s="43">
        <v>0.24859999999999999</v>
      </c>
      <c r="O1808" s="50"/>
    </row>
    <row r="1809" spans="2:15" x14ac:dyDescent="0.2">
      <c r="B1809">
        <v>1794</v>
      </c>
      <c r="C1809" s="48">
        <f t="shared" ref="C1809:C1872" ca="1" si="116">_xlfn.NORM.S.INV(RAND())</f>
        <v>0.18935771576877297</v>
      </c>
      <c r="D1809" s="48">
        <f t="shared" ca="1" si="113"/>
        <v>0.67702740024843922</v>
      </c>
      <c r="E1809" s="48">
        <f t="shared" ca="1" si="114"/>
        <v>0</v>
      </c>
      <c r="F1809" s="17">
        <f t="shared" ca="1" si="115"/>
        <v>0</v>
      </c>
      <c r="H1809" s="17">
        <v>1794</v>
      </c>
      <c r="I1809" s="43">
        <v>0.66937761820450703</v>
      </c>
      <c r="J1809" s="43">
        <v>1.9670090759182857E-2</v>
      </c>
      <c r="K1809" s="43"/>
      <c r="L1809" s="43">
        <v>0.25840000000000002</v>
      </c>
      <c r="O1809" s="50"/>
    </row>
    <row r="1810" spans="2:15" x14ac:dyDescent="0.2">
      <c r="B1810">
        <v>1795</v>
      </c>
      <c r="C1810" s="48">
        <f t="shared" ca="1" si="116"/>
        <v>1.2274720736674163</v>
      </c>
      <c r="D1810" s="48">
        <f t="shared" ca="1" si="113"/>
        <v>0.74998770494013289</v>
      </c>
      <c r="E1810" s="48">
        <f t="shared" ca="1" si="114"/>
        <v>0</v>
      </c>
      <c r="F1810" s="17">
        <f t="shared" ca="1" si="115"/>
        <v>0</v>
      </c>
      <c r="H1810" s="17">
        <v>1795</v>
      </c>
      <c r="I1810" s="43">
        <v>0.66898203256987809</v>
      </c>
      <c r="J1810" s="43">
        <v>1.9413795533329132E-2</v>
      </c>
      <c r="K1810" s="43"/>
      <c r="L1810" s="43">
        <v>0.25519999999999998</v>
      </c>
      <c r="O1810" s="50"/>
    </row>
    <row r="1811" spans="2:15" x14ac:dyDescent="0.2">
      <c r="B1811">
        <v>1796</v>
      </c>
      <c r="C1811" s="48">
        <f t="shared" ca="1" si="116"/>
        <v>1.1372247170849688</v>
      </c>
      <c r="D1811" s="48">
        <f t="shared" ca="1" si="113"/>
        <v>0.7433444675542259</v>
      </c>
      <c r="E1811" s="48">
        <f t="shared" ca="1" si="114"/>
        <v>0</v>
      </c>
      <c r="F1811" s="17">
        <f t="shared" ca="1" si="115"/>
        <v>0</v>
      </c>
      <c r="H1811" s="17">
        <v>1796</v>
      </c>
      <c r="I1811" s="43">
        <v>0.66906310600486241</v>
      </c>
      <c r="J1811" s="43">
        <v>1.9569572141185116E-2</v>
      </c>
      <c r="K1811" s="43"/>
      <c r="L1811" s="43">
        <v>0.25359999999999999</v>
      </c>
      <c r="O1811" s="50"/>
    </row>
    <row r="1812" spans="2:15" x14ac:dyDescent="0.2">
      <c r="B1812">
        <v>1797</v>
      </c>
      <c r="C1812" s="48">
        <f t="shared" ca="1" si="116"/>
        <v>0.43548136832650125</v>
      </c>
      <c r="D1812" s="48">
        <f t="shared" ca="1" si="113"/>
        <v>0.69365620317086185</v>
      </c>
      <c r="E1812" s="48">
        <f t="shared" ca="1" si="114"/>
        <v>0</v>
      </c>
      <c r="F1812" s="17">
        <f t="shared" ca="1" si="115"/>
        <v>0</v>
      </c>
      <c r="H1812" s="17">
        <v>1797</v>
      </c>
      <c r="I1812" s="43">
        <v>0.66858585090247624</v>
      </c>
      <c r="J1812" s="43">
        <v>1.8888171791017955E-2</v>
      </c>
      <c r="K1812" s="43"/>
      <c r="L1812" s="43">
        <v>0.24859999999999999</v>
      </c>
      <c r="O1812" s="50"/>
    </row>
    <row r="1813" spans="2:15" x14ac:dyDescent="0.2">
      <c r="B1813">
        <v>1798</v>
      </c>
      <c r="C1813" s="48">
        <f t="shared" ca="1" si="116"/>
        <v>-0.17089308355224567</v>
      </c>
      <c r="D1813" s="48">
        <f t="shared" ca="1" si="113"/>
        <v>0.65340394079070951</v>
      </c>
      <c r="E1813" s="48">
        <f t="shared" ca="1" si="114"/>
        <v>0</v>
      </c>
      <c r="F1813" s="17">
        <f t="shared" ca="1" si="115"/>
        <v>0</v>
      </c>
      <c r="H1813" s="17">
        <v>1798</v>
      </c>
      <c r="I1813" s="43">
        <v>0.66858248073567506</v>
      </c>
      <c r="J1813" s="43">
        <v>1.8903194800824943E-2</v>
      </c>
      <c r="K1813" s="43"/>
      <c r="L1813" s="43">
        <v>0.24440000000000001</v>
      </c>
      <c r="O1813" s="50"/>
    </row>
    <row r="1814" spans="2:15" x14ac:dyDescent="0.2">
      <c r="B1814">
        <v>1799</v>
      </c>
      <c r="C1814" s="48">
        <f t="shared" ca="1" si="116"/>
        <v>-0.53395036298053866</v>
      </c>
      <c r="D1814" s="48">
        <f t="shared" ca="1" si="113"/>
        <v>0.63043031872117694</v>
      </c>
      <c r="E1814" s="48">
        <f t="shared" ca="1" si="114"/>
        <v>0</v>
      </c>
      <c r="F1814" s="17">
        <f t="shared" ca="1" si="115"/>
        <v>0</v>
      </c>
      <c r="H1814" s="17">
        <v>1799</v>
      </c>
      <c r="I1814" s="43">
        <v>0.66861140569643129</v>
      </c>
      <c r="J1814" s="43">
        <v>1.9275353868462988E-2</v>
      </c>
      <c r="K1814" s="43"/>
      <c r="L1814" s="43">
        <v>0.251</v>
      </c>
      <c r="O1814" s="50"/>
    </row>
    <row r="1815" spans="2:15" x14ac:dyDescent="0.2">
      <c r="B1815">
        <v>1800</v>
      </c>
      <c r="C1815" s="48">
        <f t="shared" ca="1" si="116"/>
        <v>0.27003561859995268</v>
      </c>
      <c r="D1815" s="48">
        <f t="shared" ca="1" si="113"/>
        <v>0.68243383372616351</v>
      </c>
      <c r="E1815" s="48">
        <f t="shared" ca="1" si="114"/>
        <v>0</v>
      </c>
      <c r="F1815" s="17">
        <f t="shared" ca="1" si="115"/>
        <v>0</v>
      </c>
      <c r="H1815" s="17">
        <v>1800</v>
      </c>
      <c r="I1815" s="43">
        <v>0.66886843721876044</v>
      </c>
      <c r="J1815" s="43">
        <v>1.8931885324472125E-2</v>
      </c>
      <c r="K1815" s="43"/>
      <c r="L1815" s="43">
        <v>0.2424</v>
      </c>
      <c r="O1815" s="50"/>
    </row>
    <row r="1816" spans="2:15" x14ac:dyDescent="0.2">
      <c r="B1816">
        <v>1801</v>
      </c>
      <c r="C1816" s="48">
        <f t="shared" ca="1" si="116"/>
        <v>0.24498087745686037</v>
      </c>
      <c r="D1816" s="48">
        <f t="shared" ca="1" si="113"/>
        <v>0.68075024530820838</v>
      </c>
      <c r="E1816" s="48">
        <f t="shared" ca="1" si="114"/>
        <v>0</v>
      </c>
      <c r="F1816" s="17">
        <f t="shared" ca="1" si="115"/>
        <v>0</v>
      </c>
      <c r="H1816" s="17">
        <v>1801</v>
      </c>
      <c r="I1816" s="43">
        <v>0.67008332928301428</v>
      </c>
      <c r="J1816" s="43">
        <v>2.0351053030568354E-2</v>
      </c>
      <c r="K1816" s="43"/>
      <c r="L1816" s="43">
        <v>0.251</v>
      </c>
      <c r="O1816" s="50"/>
    </row>
    <row r="1817" spans="2:15" x14ac:dyDescent="0.2">
      <c r="B1817">
        <v>1802</v>
      </c>
      <c r="C1817" s="48">
        <f t="shared" ca="1" si="116"/>
        <v>-0.61264240263994962</v>
      </c>
      <c r="D1817" s="48">
        <f t="shared" ca="1" si="113"/>
        <v>0.62555833235831038</v>
      </c>
      <c r="E1817" s="48">
        <f t="shared" ca="1" si="114"/>
        <v>0</v>
      </c>
      <c r="F1817" s="17">
        <f t="shared" ca="1" si="115"/>
        <v>0</v>
      </c>
      <c r="H1817" s="17">
        <v>1802</v>
      </c>
      <c r="I1817" s="43">
        <v>0.67024741005278277</v>
      </c>
      <c r="J1817" s="43">
        <v>2.03235323347188E-2</v>
      </c>
      <c r="K1817" s="43"/>
      <c r="L1817" s="43">
        <v>0.25819999999999999</v>
      </c>
      <c r="O1817" s="50"/>
    </row>
    <row r="1818" spans="2:15" x14ac:dyDescent="0.2">
      <c r="B1818">
        <v>1803</v>
      </c>
      <c r="C1818" s="48">
        <f t="shared" ca="1" si="116"/>
        <v>1.4479730472712231</v>
      </c>
      <c r="D1818" s="48">
        <f t="shared" ca="1" si="113"/>
        <v>0.76646991372890594</v>
      </c>
      <c r="E1818" s="48">
        <f t="shared" ca="1" si="114"/>
        <v>0</v>
      </c>
      <c r="F1818" s="17">
        <f t="shared" ca="1" si="115"/>
        <v>0</v>
      </c>
      <c r="H1818" s="17">
        <v>1803</v>
      </c>
      <c r="I1818" s="43">
        <v>0.66871503647808572</v>
      </c>
      <c r="J1818" s="43">
        <v>1.9540697672429545E-2</v>
      </c>
      <c r="K1818" s="43"/>
      <c r="L1818" s="43">
        <v>0.25700000000000001</v>
      </c>
      <c r="O1818" s="50"/>
    </row>
    <row r="1819" spans="2:15" x14ac:dyDescent="0.2">
      <c r="B1819">
        <v>1804</v>
      </c>
      <c r="C1819" s="48">
        <f t="shared" ca="1" si="116"/>
        <v>-0.45241658233392362</v>
      </c>
      <c r="D1819" s="48">
        <f t="shared" ca="1" si="113"/>
        <v>0.63551827108357084</v>
      </c>
      <c r="E1819" s="48">
        <f t="shared" ca="1" si="114"/>
        <v>0</v>
      </c>
      <c r="F1819" s="17">
        <f t="shared" ca="1" si="115"/>
        <v>0</v>
      </c>
      <c r="H1819" s="17">
        <v>1804</v>
      </c>
      <c r="I1819" s="43">
        <v>0.6696140585922743</v>
      </c>
      <c r="J1819" s="43">
        <v>1.9911696462329685E-2</v>
      </c>
      <c r="K1819" s="43"/>
      <c r="L1819" s="43">
        <v>0.25180000000000002</v>
      </c>
      <c r="O1819" s="50"/>
    </row>
    <row r="1820" spans="2:15" x14ac:dyDescent="0.2">
      <c r="B1820">
        <v>1805</v>
      </c>
      <c r="C1820" s="48">
        <f t="shared" ca="1" si="116"/>
        <v>-1.5670516844274711</v>
      </c>
      <c r="D1820" s="48">
        <f t="shared" ca="1" si="113"/>
        <v>0.56938212777780994</v>
      </c>
      <c r="E1820" s="48">
        <f t="shared" ca="1" si="114"/>
        <v>0</v>
      </c>
      <c r="F1820" s="17">
        <f t="shared" ca="1" si="115"/>
        <v>0</v>
      </c>
      <c r="H1820" s="17">
        <v>1805</v>
      </c>
      <c r="I1820" s="43">
        <v>0.66909282992934016</v>
      </c>
      <c r="J1820" s="43">
        <v>1.9336825422375001E-2</v>
      </c>
      <c r="K1820" s="43"/>
      <c r="L1820" s="43">
        <v>0.246</v>
      </c>
      <c r="O1820" s="50"/>
    </row>
    <row r="1821" spans="2:15" x14ac:dyDescent="0.2">
      <c r="B1821">
        <v>1806</v>
      </c>
      <c r="C1821" s="48">
        <f t="shared" ca="1" si="116"/>
        <v>0.14863523412235166</v>
      </c>
      <c r="D1821" s="48">
        <f t="shared" ca="1" si="113"/>
        <v>0.67431476933177625</v>
      </c>
      <c r="E1821" s="48">
        <f t="shared" ca="1" si="114"/>
        <v>0</v>
      </c>
      <c r="F1821" s="17">
        <f t="shared" ca="1" si="115"/>
        <v>0</v>
      </c>
      <c r="H1821" s="17">
        <v>1806</v>
      </c>
      <c r="I1821" s="43">
        <v>0.66758978646378031</v>
      </c>
      <c r="J1821" s="43">
        <v>1.8315460547966393E-2</v>
      </c>
      <c r="K1821" s="43"/>
      <c r="L1821" s="43">
        <v>0.24399999999999999</v>
      </c>
      <c r="O1821" s="50"/>
    </row>
    <row r="1822" spans="2:15" x14ac:dyDescent="0.2">
      <c r="B1822">
        <v>1807</v>
      </c>
      <c r="C1822" s="48">
        <f t="shared" ca="1" si="116"/>
        <v>-1.6137274224764548</v>
      </c>
      <c r="D1822" s="48">
        <f t="shared" ca="1" si="113"/>
        <v>0.56676805367549976</v>
      </c>
      <c r="E1822" s="48">
        <f t="shared" ca="1" si="114"/>
        <v>0</v>
      </c>
      <c r="F1822" s="17">
        <f t="shared" ca="1" si="115"/>
        <v>0</v>
      </c>
      <c r="H1822" s="17">
        <v>1807</v>
      </c>
      <c r="I1822" s="43">
        <v>0.66842963540696787</v>
      </c>
      <c r="J1822" s="43">
        <v>1.8811667746759398E-2</v>
      </c>
      <c r="K1822" s="43"/>
      <c r="L1822" s="43">
        <v>0.2442</v>
      </c>
      <c r="O1822" s="50"/>
    </row>
    <row r="1823" spans="2:15" x14ac:dyDescent="0.2">
      <c r="B1823">
        <v>1808</v>
      </c>
      <c r="C1823" s="48">
        <f t="shared" ca="1" si="116"/>
        <v>0.85907509981097818</v>
      </c>
      <c r="D1823" s="48">
        <f t="shared" ca="1" si="113"/>
        <v>0.72323737477838768</v>
      </c>
      <c r="E1823" s="48">
        <f t="shared" ca="1" si="114"/>
        <v>0</v>
      </c>
      <c r="F1823" s="17">
        <f t="shared" ca="1" si="115"/>
        <v>0</v>
      </c>
      <c r="H1823" s="17">
        <v>1808</v>
      </c>
      <c r="I1823" s="43">
        <v>0.66819665294191555</v>
      </c>
      <c r="J1823" s="43">
        <v>1.8367016838070512E-2</v>
      </c>
      <c r="K1823" s="43"/>
      <c r="L1823" s="43">
        <v>0.24160000000000001</v>
      </c>
      <c r="O1823" s="50"/>
    </row>
    <row r="1824" spans="2:15" x14ac:dyDescent="0.2">
      <c r="B1824">
        <v>1809</v>
      </c>
      <c r="C1824" s="48">
        <f t="shared" ca="1" si="116"/>
        <v>-0.53920745218448085</v>
      </c>
      <c r="D1824" s="48">
        <f t="shared" ca="1" si="113"/>
        <v>0.63010366198451262</v>
      </c>
      <c r="E1824" s="48">
        <f t="shared" ca="1" si="114"/>
        <v>0</v>
      </c>
      <c r="F1824" s="17">
        <f t="shared" ca="1" si="115"/>
        <v>0</v>
      </c>
      <c r="H1824" s="17">
        <v>1809</v>
      </c>
      <c r="I1824" s="43">
        <v>0.67033439281415885</v>
      </c>
      <c r="J1824" s="43">
        <v>2.0511517851568347E-2</v>
      </c>
      <c r="K1824" s="43"/>
      <c r="L1824" s="43">
        <v>0.25900000000000001</v>
      </c>
      <c r="O1824" s="50"/>
    </row>
    <row r="1825" spans="2:15" x14ac:dyDescent="0.2">
      <c r="B1825">
        <v>1810</v>
      </c>
      <c r="C1825" s="48">
        <f t="shared" ca="1" si="116"/>
        <v>-1.2882389634187459</v>
      </c>
      <c r="D1825" s="48">
        <f t="shared" ca="1" si="113"/>
        <v>0.58525007073397628</v>
      </c>
      <c r="E1825" s="48">
        <f t="shared" ca="1" si="114"/>
        <v>0</v>
      </c>
      <c r="F1825" s="17">
        <f t="shared" ca="1" si="115"/>
        <v>0</v>
      </c>
      <c r="H1825" s="17">
        <v>1810</v>
      </c>
      <c r="I1825" s="43">
        <v>0.66819077542203598</v>
      </c>
      <c r="J1825" s="43">
        <v>1.9000528451814266E-2</v>
      </c>
      <c r="K1825" s="43"/>
      <c r="L1825" s="43">
        <v>0.2492</v>
      </c>
      <c r="O1825" s="50"/>
    </row>
    <row r="1826" spans="2:15" x14ac:dyDescent="0.2">
      <c r="B1826">
        <v>1811</v>
      </c>
      <c r="C1826" s="48">
        <f t="shared" ca="1" si="116"/>
        <v>0.74614119609455432</v>
      </c>
      <c r="D1826" s="48">
        <f t="shared" ca="1" si="113"/>
        <v>0.71522960688500115</v>
      </c>
      <c r="E1826" s="48">
        <f t="shared" ca="1" si="114"/>
        <v>0</v>
      </c>
      <c r="F1826" s="17">
        <f t="shared" ca="1" si="115"/>
        <v>0</v>
      </c>
      <c r="H1826" s="17">
        <v>1811</v>
      </c>
      <c r="I1826" s="43">
        <v>0.67014162012087253</v>
      </c>
      <c r="J1826" s="43">
        <v>2.0275223670299006E-2</v>
      </c>
      <c r="K1826" s="43"/>
      <c r="L1826" s="43">
        <v>0.25740000000000002</v>
      </c>
      <c r="O1826" s="50"/>
    </row>
    <row r="1827" spans="2:15" x14ac:dyDescent="0.2">
      <c r="B1827">
        <v>1812</v>
      </c>
      <c r="C1827" s="48">
        <f t="shared" ca="1" si="116"/>
        <v>-0.31576168355795869</v>
      </c>
      <c r="D1827" s="48">
        <f t="shared" ca="1" si="113"/>
        <v>0.64413820146924372</v>
      </c>
      <c r="E1827" s="48">
        <f t="shared" ca="1" si="114"/>
        <v>0</v>
      </c>
      <c r="F1827" s="17">
        <f t="shared" ca="1" si="115"/>
        <v>0</v>
      </c>
      <c r="H1827" s="17">
        <v>1812</v>
      </c>
      <c r="I1827" s="43">
        <v>0.66931440652891983</v>
      </c>
      <c r="J1827" s="43">
        <v>1.9867038784749241E-2</v>
      </c>
      <c r="K1827" s="43"/>
      <c r="L1827" s="43">
        <v>0.25</v>
      </c>
      <c r="O1827" s="50"/>
    </row>
    <row r="1828" spans="2:15" x14ac:dyDescent="0.2">
      <c r="B1828">
        <v>1813</v>
      </c>
      <c r="C1828" s="48">
        <f t="shared" ca="1" si="116"/>
        <v>0.29793635332564505</v>
      </c>
      <c r="D1828" s="48">
        <f t="shared" ca="1" si="113"/>
        <v>0.68431356317953174</v>
      </c>
      <c r="E1828" s="48">
        <f t="shared" ca="1" si="114"/>
        <v>0</v>
      </c>
      <c r="F1828" s="17">
        <f t="shared" ca="1" si="115"/>
        <v>0</v>
      </c>
      <c r="H1828" s="17">
        <v>1813</v>
      </c>
      <c r="I1828" s="43">
        <v>0.66765742809906881</v>
      </c>
      <c r="J1828" s="43">
        <v>1.8195993242012012E-2</v>
      </c>
      <c r="K1828" s="43"/>
      <c r="L1828" s="43">
        <v>0.24540000000000001</v>
      </c>
      <c r="O1828" s="50"/>
    </row>
    <row r="1829" spans="2:15" x14ac:dyDescent="0.2">
      <c r="B1829">
        <v>1814</v>
      </c>
      <c r="C1829" s="48">
        <f t="shared" ca="1" si="116"/>
        <v>0.21765409500015104</v>
      </c>
      <c r="D1829" s="48">
        <f t="shared" ca="1" si="113"/>
        <v>0.67891871906367951</v>
      </c>
      <c r="E1829" s="48">
        <f t="shared" ca="1" si="114"/>
        <v>0</v>
      </c>
      <c r="F1829" s="17">
        <f t="shared" ca="1" si="115"/>
        <v>0</v>
      </c>
      <c r="H1829" s="17">
        <v>1814</v>
      </c>
      <c r="I1829" s="43">
        <v>0.66928987075320756</v>
      </c>
      <c r="J1829" s="43">
        <v>1.9677925473354889E-2</v>
      </c>
      <c r="K1829" s="43"/>
      <c r="L1829" s="43">
        <v>0.251</v>
      </c>
      <c r="O1829" s="50"/>
    </row>
    <row r="1830" spans="2:15" x14ac:dyDescent="0.2">
      <c r="B1830">
        <v>1815</v>
      </c>
      <c r="C1830" s="48">
        <f t="shared" ca="1" si="116"/>
        <v>2.1498208866374906</v>
      </c>
      <c r="D1830" s="48">
        <f t="shared" ca="1" si="113"/>
        <v>0.82138246095748213</v>
      </c>
      <c r="E1830" s="48">
        <f t="shared" ca="1" si="114"/>
        <v>3.3182460957482118E-2</v>
      </c>
      <c r="F1830" s="17">
        <f t="shared" ca="1" si="115"/>
        <v>1</v>
      </c>
      <c r="H1830" s="17">
        <v>1815</v>
      </c>
      <c r="I1830" s="43">
        <v>0.66858335182900408</v>
      </c>
      <c r="J1830" s="43">
        <v>1.9367139802101637E-2</v>
      </c>
      <c r="K1830" s="43"/>
      <c r="L1830" s="43">
        <v>0.25879999999999997</v>
      </c>
      <c r="O1830" s="50"/>
    </row>
    <row r="1831" spans="2:15" x14ac:dyDescent="0.2">
      <c r="B1831">
        <v>1816</v>
      </c>
      <c r="C1831" s="48">
        <f t="shared" ca="1" si="116"/>
        <v>-0.99922849323524021</v>
      </c>
      <c r="D1831" s="48">
        <f t="shared" ca="1" si="113"/>
        <v>0.60216532762843078</v>
      </c>
      <c r="E1831" s="48">
        <f t="shared" ca="1" si="114"/>
        <v>0</v>
      </c>
      <c r="F1831" s="17">
        <f t="shared" ca="1" si="115"/>
        <v>0</v>
      </c>
      <c r="H1831" s="17">
        <v>1816</v>
      </c>
      <c r="I1831" s="43">
        <v>0.66935580667690742</v>
      </c>
      <c r="J1831" s="43">
        <v>2.0168545652675555E-2</v>
      </c>
      <c r="K1831" s="43"/>
      <c r="L1831" s="43">
        <v>0.25519999999999998</v>
      </c>
      <c r="O1831" s="50"/>
    </row>
    <row r="1832" spans="2:15" x14ac:dyDescent="0.2">
      <c r="B1832">
        <v>1817</v>
      </c>
      <c r="C1832" s="48">
        <f t="shared" ca="1" si="116"/>
        <v>0.43199659580928107</v>
      </c>
      <c r="D1832" s="48">
        <f t="shared" ca="1" si="113"/>
        <v>0.69341793511123162</v>
      </c>
      <c r="E1832" s="48">
        <f t="shared" ca="1" si="114"/>
        <v>0</v>
      </c>
      <c r="F1832" s="17">
        <f t="shared" ca="1" si="115"/>
        <v>0</v>
      </c>
      <c r="H1832" s="17">
        <v>1817</v>
      </c>
      <c r="I1832" s="43">
        <v>0.66889639300284331</v>
      </c>
      <c r="J1832" s="43">
        <v>1.9243179709090154E-2</v>
      </c>
      <c r="K1832" s="43"/>
      <c r="L1832" s="43">
        <v>0.25259999999999999</v>
      </c>
      <c r="O1832" s="50"/>
    </row>
    <row r="1833" spans="2:15" x14ac:dyDescent="0.2">
      <c r="B1833">
        <v>1818</v>
      </c>
      <c r="C1833" s="48">
        <f t="shared" ca="1" si="116"/>
        <v>-0.1588255229490465</v>
      </c>
      <c r="D1833" s="48">
        <f t="shared" ca="1" si="113"/>
        <v>0.654181764767648</v>
      </c>
      <c r="E1833" s="48">
        <f t="shared" ca="1" si="114"/>
        <v>0</v>
      </c>
      <c r="F1833" s="17">
        <f t="shared" ca="1" si="115"/>
        <v>0</v>
      </c>
      <c r="H1833" s="17">
        <v>1818</v>
      </c>
      <c r="I1833" s="43">
        <v>0.66902813938459227</v>
      </c>
      <c r="J1833" s="43">
        <v>1.9556724243869665E-2</v>
      </c>
      <c r="K1833" s="43"/>
      <c r="L1833" s="43">
        <v>0.24859999999999999</v>
      </c>
      <c r="O1833" s="50"/>
    </row>
    <row r="1834" spans="2:15" x14ac:dyDescent="0.2">
      <c r="B1834">
        <v>1819</v>
      </c>
      <c r="C1834" s="48">
        <f t="shared" ca="1" si="116"/>
        <v>1.1612768914717151</v>
      </c>
      <c r="D1834" s="48">
        <f t="shared" ca="1" si="113"/>
        <v>0.7451092094193712</v>
      </c>
      <c r="E1834" s="48">
        <f t="shared" ca="1" si="114"/>
        <v>0</v>
      </c>
      <c r="F1834" s="17">
        <f t="shared" ca="1" si="115"/>
        <v>0</v>
      </c>
      <c r="H1834" s="17">
        <v>1819</v>
      </c>
      <c r="I1834" s="43">
        <v>0.66941589219348241</v>
      </c>
      <c r="J1834" s="43">
        <v>1.9745750441908818E-2</v>
      </c>
      <c r="K1834" s="43"/>
      <c r="L1834" s="43">
        <v>0.2462</v>
      </c>
      <c r="O1834" s="50"/>
    </row>
    <row r="1835" spans="2:15" x14ac:dyDescent="0.2">
      <c r="B1835">
        <v>1820</v>
      </c>
      <c r="C1835" s="48">
        <f t="shared" ca="1" si="116"/>
        <v>1.225718651113971</v>
      </c>
      <c r="D1835" s="48">
        <f t="shared" ca="1" si="113"/>
        <v>0.7498580691509239</v>
      </c>
      <c r="E1835" s="48">
        <f t="shared" ca="1" si="114"/>
        <v>0</v>
      </c>
      <c r="F1835" s="17">
        <f t="shared" ca="1" si="115"/>
        <v>0</v>
      </c>
      <c r="H1835" s="17">
        <v>1820</v>
      </c>
      <c r="I1835" s="43">
        <v>0.66911636376890904</v>
      </c>
      <c r="J1835" s="43">
        <v>1.95981909168172E-2</v>
      </c>
      <c r="K1835" s="43"/>
      <c r="L1835" s="43">
        <v>0.25040000000000001</v>
      </c>
      <c r="O1835" s="50"/>
    </row>
    <row r="1836" spans="2:15" x14ac:dyDescent="0.2">
      <c r="B1836">
        <v>1821</v>
      </c>
      <c r="C1836" s="48">
        <f t="shared" ca="1" si="116"/>
        <v>0.89666684543314368</v>
      </c>
      <c r="D1836" s="48">
        <f t="shared" ca="1" si="113"/>
        <v>0.72592271976442402</v>
      </c>
      <c r="E1836" s="48">
        <f t="shared" ca="1" si="114"/>
        <v>0</v>
      </c>
      <c r="F1836" s="17">
        <f t="shared" ca="1" si="115"/>
        <v>0</v>
      </c>
      <c r="H1836" s="17">
        <v>1821</v>
      </c>
      <c r="I1836" s="43">
        <v>0.66877158437880435</v>
      </c>
      <c r="J1836" s="43">
        <v>1.9057739305906419E-2</v>
      </c>
      <c r="K1836" s="43"/>
      <c r="L1836" s="43">
        <v>0.24479999999999999</v>
      </c>
      <c r="O1836" s="50"/>
    </row>
    <row r="1837" spans="2:15" x14ac:dyDescent="0.2">
      <c r="B1837">
        <v>1822</v>
      </c>
      <c r="C1837" s="48">
        <f t="shared" ca="1" si="116"/>
        <v>-0.28648851115722851</v>
      </c>
      <c r="D1837" s="48">
        <f t="shared" ca="1" si="113"/>
        <v>0.64599984874030536</v>
      </c>
      <c r="E1837" s="48">
        <f t="shared" ca="1" si="114"/>
        <v>0</v>
      </c>
      <c r="F1837" s="17">
        <f t="shared" ca="1" si="115"/>
        <v>0</v>
      </c>
      <c r="H1837" s="17">
        <v>1822</v>
      </c>
      <c r="I1837" s="43">
        <v>0.66884475737810756</v>
      </c>
      <c r="J1837" s="43">
        <v>1.9173807772577454E-2</v>
      </c>
      <c r="K1837" s="43"/>
      <c r="L1837" s="43">
        <v>0.24979999999999999</v>
      </c>
      <c r="O1837" s="50"/>
    </row>
    <row r="1838" spans="2:15" x14ac:dyDescent="0.2">
      <c r="B1838">
        <v>1823</v>
      </c>
      <c r="C1838" s="48">
        <f t="shared" ca="1" si="116"/>
        <v>-1.1330731965813401</v>
      </c>
      <c r="D1838" s="48">
        <f t="shared" ca="1" si="113"/>
        <v>0.59427170319967226</v>
      </c>
      <c r="E1838" s="48">
        <f t="shared" ca="1" si="114"/>
        <v>0</v>
      </c>
      <c r="F1838" s="17">
        <f t="shared" ca="1" si="115"/>
        <v>0</v>
      </c>
      <c r="H1838" s="17">
        <v>1823</v>
      </c>
      <c r="I1838" s="43">
        <v>0.66940800714396542</v>
      </c>
      <c r="J1838" s="43">
        <v>1.9805537942038938E-2</v>
      </c>
      <c r="K1838" s="43"/>
      <c r="L1838" s="43">
        <v>0.25259999999999999</v>
      </c>
      <c r="O1838" s="50"/>
    </row>
    <row r="1839" spans="2:15" x14ac:dyDescent="0.2">
      <c r="B1839">
        <v>1824</v>
      </c>
      <c r="C1839" s="48">
        <f t="shared" ca="1" si="116"/>
        <v>0.25045271493728177</v>
      </c>
      <c r="D1839" s="48">
        <f t="shared" ca="1" si="113"/>
        <v>0.68111757823850039</v>
      </c>
      <c r="E1839" s="48">
        <f t="shared" ca="1" si="114"/>
        <v>0</v>
      </c>
      <c r="F1839" s="17">
        <f t="shared" ca="1" si="115"/>
        <v>0</v>
      </c>
      <c r="H1839" s="17">
        <v>1824</v>
      </c>
      <c r="I1839" s="43">
        <v>0.66977146431921031</v>
      </c>
      <c r="J1839" s="43">
        <v>2.005546075271241E-2</v>
      </c>
      <c r="K1839" s="43"/>
      <c r="L1839" s="43">
        <v>0.254</v>
      </c>
      <c r="O1839" s="50"/>
    </row>
    <row r="1840" spans="2:15" x14ac:dyDescent="0.2">
      <c r="B1840">
        <v>1825</v>
      </c>
      <c r="C1840" s="48">
        <f t="shared" ca="1" si="116"/>
        <v>0.57799220597680856</v>
      </c>
      <c r="D1840" s="48">
        <f t="shared" ca="1" si="113"/>
        <v>0.70347070660523714</v>
      </c>
      <c r="E1840" s="48">
        <f t="shared" ca="1" si="114"/>
        <v>0</v>
      </c>
      <c r="F1840" s="17">
        <f t="shared" ca="1" si="115"/>
        <v>0</v>
      </c>
      <c r="H1840" s="17">
        <v>1825</v>
      </c>
      <c r="I1840" s="43">
        <v>0.66788380995543528</v>
      </c>
      <c r="J1840" s="43">
        <v>1.8559147530035951E-2</v>
      </c>
      <c r="K1840" s="43"/>
      <c r="L1840" s="43">
        <v>0.24399999999999999</v>
      </c>
      <c r="O1840" s="50"/>
    </row>
    <row r="1841" spans="2:15" x14ac:dyDescent="0.2">
      <c r="B1841">
        <v>1826</v>
      </c>
      <c r="C1841" s="48">
        <f t="shared" ca="1" si="116"/>
        <v>-0.6904039529495325</v>
      </c>
      <c r="D1841" s="48">
        <f t="shared" ca="1" si="113"/>
        <v>0.62078094134085227</v>
      </c>
      <c r="E1841" s="48">
        <f t="shared" ca="1" si="114"/>
        <v>0</v>
      </c>
      <c r="F1841" s="17">
        <f t="shared" ca="1" si="115"/>
        <v>0</v>
      </c>
      <c r="H1841" s="17">
        <v>1826</v>
      </c>
      <c r="I1841" s="43">
        <v>0.66911414831296168</v>
      </c>
      <c r="J1841" s="43">
        <v>1.9428662923837093E-2</v>
      </c>
      <c r="K1841" s="43"/>
      <c r="L1841" s="43">
        <v>0.24779999999999999</v>
      </c>
      <c r="O1841" s="50"/>
    </row>
    <row r="1842" spans="2:15" x14ac:dyDescent="0.2">
      <c r="B1842">
        <v>1827</v>
      </c>
      <c r="C1842" s="48">
        <f t="shared" ca="1" si="116"/>
        <v>-1.2597179287706377</v>
      </c>
      <c r="D1842" s="48">
        <f t="shared" ca="1" si="113"/>
        <v>0.58689800237671819</v>
      </c>
      <c r="E1842" s="48">
        <f t="shared" ca="1" si="114"/>
        <v>0</v>
      </c>
      <c r="F1842" s="17">
        <f t="shared" ca="1" si="115"/>
        <v>0</v>
      </c>
      <c r="H1842" s="17">
        <v>1827</v>
      </c>
      <c r="I1842" s="43">
        <v>0.67016504834115409</v>
      </c>
      <c r="J1842" s="43">
        <v>2.0166295263971953E-2</v>
      </c>
      <c r="K1842" s="43"/>
      <c r="L1842" s="43">
        <v>0.25140000000000001</v>
      </c>
      <c r="O1842" s="50"/>
    </row>
    <row r="1843" spans="2:15" x14ac:dyDescent="0.2">
      <c r="B1843">
        <v>1828</v>
      </c>
      <c r="C1843" s="48">
        <f t="shared" ca="1" si="116"/>
        <v>0.49272549232650725</v>
      </c>
      <c r="D1843" s="48">
        <f t="shared" ca="1" si="113"/>
        <v>0.69758195613365948</v>
      </c>
      <c r="E1843" s="48">
        <f t="shared" ca="1" si="114"/>
        <v>0</v>
      </c>
      <c r="F1843" s="17">
        <f t="shared" ca="1" si="115"/>
        <v>0</v>
      </c>
      <c r="H1843" s="17">
        <v>1828</v>
      </c>
      <c r="I1843" s="43">
        <v>0.66863703843160494</v>
      </c>
      <c r="J1843" s="43">
        <v>1.9209845083085795E-2</v>
      </c>
      <c r="K1843" s="43"/>
      <c r="L1843" s="43">
        <v>0.249</v>
      </c>
      <c r="O1843" s="50"/>
    </row>
    <row r="1844" spans="2:15" x14ac:dyDescent="0.2">
      <c r="B1844">
        <v>1829</v>
      </c>
      <c r="C1844" s="48">
        <f t="shared" ca="1" si="116"/>
        <v>2.3917926875557143E-2</v>
      </c>
      <c r="D1844" s="48">
        <f t="shared" ca="1" si="113"/>
        <v>0.66607445257937936</v>
      </c>
      <c r="E1844" s="48">
        <f t="shared" ca="1" si="114"/>
        <v>0</v>
      </c>
      <c r="F1844" s="17">
        <f t="shared" ca="1" si="115"/>
        <v>0</v>
      </c>
      <c r="H1844" s="17">
        <v>1829</v>
      </c>
      <c r="I1844" s="43">
        <v>0.66822545262162103</v>
      </c>
      <c r="J1844" s="43">
        <v>1.8828221566540931E-2</v>
      </c>
      <c r="K1844" s="43"/>
      <c r="L1844" s="43">
        <v>0.25419999999999998</v>
      </c>
      <c r="O1844" s="50"/>
    </row>
    <row r="1845" spans="2:15" x14ac:dyDescent="0.2">
      <c r="B1845">
        <v>1830</v>
      </c>
      <c r="C1845" s="48">
        <f t="shared" ca="1" si="116"/>
        <v>-0.92452270308815365</v>
      </c>
      <c r="D1845" s="48">
        <f t="shared" ca="1" si="113"/>
        <v>0.60661668038754601</v>
      </c>
      <c r="E1845" s="48">
        <f t="shared" ca="1" si="114"/>
        <v>0</v>
      </c>
      <c r="F1845" s="17">
        <f t="shared" ca="1" si="115"/>
        <v>0</v>
      </c>
      <c r="H1845" s="17">
        <v>1830</v>
      </c>
      <c r="I1845" s="43">
        <v>0.6697383111940638</v>
      </c>
      <c r="J1845" s="43">
        <v>2.0191193689374991E-2</v>
      </c>
      <c r="K1845" s="43"/>
      <c r="L1845" s="43">
        <v>0.26219999999999999</v>
      </c>
      <c r="O1845" s="50"/>
    </row>
    <row r="1846" spans="2:15" x14ac:dyDescent="0.2">
      <c r="B1846">
        <v>1831</v>
      </c>
      <c r="C1846" s="48">
        <f t="shared" ca="1" si="116"/>
        <v>-0.39081018008579033</v>
      </c>
      <c r="D1846" s="48">
        <f t="shared" ca="1" si="113"/>
        <v>0.63938991266838374</v>
      </c>
      <c r="E1846" s="48">
        <f t="shared" ca="1" si="114"/>
        <v>0</v>
      </c>
      <c r="F1846" s="17">
        <f t="shared" ca="1" si="115"/>
        <v>0</v>
      </c>
      <c r="H1846" s="17">
        <v>1831</v>
      </c>
      <c r="I1846" s="43">
        <v>0.66812874856540316</v>
      </c>
      <c r="J1846" s="43">
        <v>1.8937679058892105E-2</v>
      </c>
      <c r="K1846" s="43"/>
      <c r="L1846" s="43">
        <v>0.24560000000000001</v>
      </c>
      <c r="O1846" s="50"/>
    </row>
    <row r="1847" spans="2:15" x14ac:dyDescent="0.2">
      <c r="B1847">
        <v>1832</v>
      </c>
      <c r="C1847" s="48">
        <f t="shared" ca="1" si="116"/>
        <v>1.1024303181525399</v>
      </c>
      <c r="D1847" s="48">
        <f t="shared" ca="1" si="113"/>
        <v>0.74079894759243681</v>
      </c>
      <c r="E1847" s="48">
        <f t="shared" ca="1" si="114"/>
        <v>0</v>
      </c>
      <c r="F1847" s="17">
        <f t="shared" ca="1" si="115"/>
        <v>0</v>
      </c>
      <c r="H1847" s="17">
        <v>1832</v>
      </c>
      <c r="I1847" s="43">
        <v>0.66951022765182966</v>
      </c>
      <c r="J1847" s="43">
        <v>2.0050627181759036E-2</v>
      </c>
      <c r="K1847" s="43"/>
      <c r="L1847" s="43">
        <v>0.25619999999999998</v>
      </c>
      <c r="O1847" s="50"/>
    </row>
    <row r="1848" spans="2:15" x14ac:dyDescent="0.2">
      <c r="B1848">
        <v>1833</v>
      </c>
      <c r="C1848" s="48">
        <f t="shared" ca="1" si="116"/>
        <v>-0.11106291127247153</v>
      </c>
      <c r="D1848" s="48">
        <f t="shared" ca="1" si="113"/>
        <v>0.65726943651411029</v>
      </c>
      <c r="E1848" s="48">
        <f t="shared" ca="1" si="114"/>
        <v>0</v>
      </c>
      <c r="F1848" s="17">
        <f t="shared" ca="1" si="115"/>
        <v>0</v>
      </c>
      <c r="H1848" s="17">
        <v>1833</v>
      </c>
      <c r="I1848" s="43">
        <v>0.66833006688952712</v>
      </c>
      <c r="J1848" s="43">
        <v>1.8735973669216199E-2</v>
      </c>
      <c r="K1848" s="43"/>
      <c r="L1848" s="43">
        <v>0.24560000000000001</v>
      </c>
      <c r="O1848" s="50"/>
    </row>
    <row r="1849" spans="2:15" x14ac:dyDescent="0.2">
      <c r="B1849">
        <v>1834</v>
      </c>
      <c r="C1849" s="48">
        <f t="shared" ca="1" si="116"/>
        <v>0.35839298629687966</v>
      </c>
      <c r="D1849" s="48">
        <f t="shared" ca="1" si="113"/>
        <v>0.68840443359602321</v>
      </c>
      <c r="E1849" s="48">
        <f t="shared" ca="1" si="114"/>
        <v>0</v>
      </c>
      <c r="F1849" s="17">
        <f t="shared" ca="1" si="115"/>
        <v>0</v>
      </c>
      <c r="H1849" s="17">
        <v>1834</v>
      </c>
      <c r="I1849" s="43">
        <v>0.66864031597688933</v>
      </c>
      <c r="J1849" s="43">
        <v>1.9033231759101651E-2</v>
      </c>
      <c r="K1849" s="43"/>
      <c r="L1849" s="43">
        <v>0.2482</v>
      </c>
      <c r="O1849" s="50"/>
    </row>
    <row r="1850" spans="2:15" x14ac:dyDescent="0.2">
      <c r="B1850">
        <v>1835</v>
      </c>
      <c r="C1850" s="48">
        <f t="shared" ca="1" si="116"/>
        <v>1.3670348348780332</v>
      </c>
      <c r="D1850" s="48">
        <f t="shared" ca="1" si="113"/>
        <v>0.76037820866764683</v>
      </c>
      <c r="E1850" s="48">
        <f t="shared" ca="1" si="114"/>
        <v>0</v>
      </c>
      <c r="F1850" s="17">
        <f t="shared" ca="1" si="115"/>
        <v>0</v>
      </c>
      <c r="H1850" s="17">
        <v>1835</v>
      </c>
      <c r="I1850" s="43">
        <v>0.66919779990166228</v>
      </c>
      <c r="J1850" s="43">
        <v>1.9257838449831421E-2</v>
      </c>
      <c r="K1850" s="43"/>
      <c r="L1850" s="43">
        <v>0.2482</v>
      </c>
      <c r="O1850" s="50"/>
    </row>
    <row r="1851" spans="2:15" x14ac:dyDescent="0.2">
      <c r="B1851">
        <v>1836</v>
      </c>
      <c r="C1851" s="48">
        <f t="shared" ca="1" si="116"/>
        <v>2.2163744783178108</v>
      </c>
      <c r="D1851" s="48">
        <f t="shared" ca="1" si="113"/>
        <v>0.82678955846858782</v>
      </c>
      <c r="E1851" s="48">
        <f t="shared" ca="1" si="114"/>
        <v>3.8589558468587803E-2</v>
      </c>
      <c r="F1851" s="17">
        <f t="shared" ca="1" si="115"/>
        <v>1</v>
      </c>
      <c r="H1851" s="17">
        <v>1836</v>
      </c>
      <c r="I1851" s="43">
        <v>0.6689221985470295</v>
      </c>
      <c r="J1851" s="43">
        <v>1.9635399041984844E-2</v>
      </c>
      <c r="K1851" s="43"/>
      <c r="L1851" s="43">
        <v>0.2626</v>
      </c>
      <c r="O1851" s="50"/>
    </row>
    <row r="1852" spans="2:15" x14ac:dyDescent="0.2">
      <c r="B1852">
        <v>1837</v>
      </c>
      <c r="C1852" s="48">
        <f t="shared" ca="1" si="116"/>
        <v>-0.84955715088591677</v>
      </c>
      <c r="D1852" s="48">
        <f t="shared" ca="1" si="113"/>
        <v>0.61111658868811436</v>
      </c>
      <c r="E1852" s="48">
        <f t="shared" ca="1" si="114"/>
        <v>0</v>
      </c>
      <c r="F1852" s="17">
        <f t="shared" ca="1" si="115"/>
        <v>0</v>
      </c>
      <c r="H1852" s="17">
        <v>1837</v>
      </c>
      <c r="I1852" s="43">
        <v>0.66861241772626412</v>
      </c>
      <c r="J1852" s="43">
        <v>1.9100691784622661E-2</v>
      </c>
      <c r="K1852" s="43"/>
      <c r="L1852" s="43">
        <v>0.24540000000000001</v>
      </c>
      <c r="O1852" s="50"/>
    </row>
    <row r="1853" spans="2:15" x14ac:dyDescent="0.2">
      <c r="B1853">
        <v>1838</v>
      </c>
      <c r="C1853" s="48">
        <f t="shared" ca="1" si="116"/>
        <v>-2.5145991062480458E-2</v>
      </c>
      <c r="D1853" s="48">
        <f t="shared" ca="1" si="113"/>
        <v>0.662860371815709</v>
      </c>
      <c r="E1853" s="48">
        <f t="shared" ca="1" si="114"/>
        <v>0</v>
      </c>
      <c r="F1853" s="17">
        <f t="shared" ca="1" si="115"/>
        <v>0</v>
      </c>
      <c r="H1853" s="17">
        <v>1838</v>
      </c>
      <c r="I1853" s="43">
        <v>0.66905246017210296</v>
      </c>
      <c r="J1853" s="43">
        <v>1.9415665325559057E-2</v>
      </c>
      <c r="K1853" s="43"/>
      <c r="L1853" s="43">
        <v>0.25059999999999999</v>
      </c>
      <c r="O1853" s="50"/>
    </row>
    <row r="1854" spans="2:15" x14ac:dyDescent="0.2">
      <c r="B1854">
        <v>1839</v>
      </c>
      <c r="C1854" s="48">
        <f t="shared" ca="1" si="116"/>
        <v>-0.31435952242939097</v>
      </c>
      <c r="D1854" s="48">
        <f t="shared" ca="1" si="113"/>
        <v>0.64422725040180351</v>
      </c>
      <c r="E1854" s="48">
        <f t="shared" ca="1" si="114"/>
        <v>0</v>
      </c>
      <c r="F1854" s="17">
        <f t="shared" ca="1" si="115"/>
        <v>0</v>
      </c>
      <c r="H1854" s="17">
        <v>1839</v>
      </c>
      <c r="I1854" s="43">
        <v>0.66863573660118114</v>
      </c>
      <c r="J1854" s="43">
        <v>1.9066031982188588E-2</v>
      </c>
      <c r="K1854" s="43"/>
      <c r="L1854" s="43">
        <v>0.248</v>
      </c>
      <c r="O1854" s="50"/>
    </row>
    <row r="1855" spans="2:15" x14ac:dyDescent="0.2">
      <c r="B1855">
        <v>1840</v>
      </c>
      <c r="C1855" s="48">
        <f t="shared" ca="1" si="116"/>
        <v>-0.85393793511479243</v>
      </c>
      <c r="D1855" s="48">
        <f t="shared" ca="1" si="113"/>
        <v>0.61085271026763222</v>
      </c>
      <c r="E1855" s="48">
        <f t="shared" ca="1" si="114"/>
        <v>0</v>
      </c>
      <c r="F1855" s="17">
        <f t="shared" ca="1" si="115"/>
        <v>0</v>
      </c>
      <c r="H1855" s="17">
        <v>1840</v>
      </c>
      <c r="I1855" s="43">
        <v>0.67010458644224491</v>
      </c>
      <c r="J1855" s="43">
        <v>2.0469311320832257E-2</v>
      </c>
      <c r="K1855" s="43"/>
      <c r="L1855" s="43">
        <v>0.25240000000000001</v>
      </c>
      <c r="O1855" s="50"/>
    </row>
    <row r="1856" spans="2:15" x14ac:dyDescent="0.2">
      <c r="B1856">
        <v>1841</v>
      </c>
      <c r="C1856" s="48">
        <f t="shared" ca="1" si="116"/>
        <v>-1.0724670762149091</v>
      </c>
      <c r="D1856" s="48">
        <f t="shared" ca="1" si="113"/>
        <v>0.59783310814689505</v>
      </c>
      <c r="E1856" s="48">
        <f t="shared" ca="1" si="114"/>
        <v>0</v>
      </c>
      <c r="F1856" s="17">
        <f t="shared" ca="1" si="115"/>
        <v>0</v>
      </c>
      <c r="H1856" s="17">
        <v>1841</v>
      </c>
      <c r="I1856" s="43">
        <v>0.66962774883755105</v>
      </c>
      <c r="J1856" s="43">
        <v>1.9815718807074903E-2</v>
      </c>
      <c r="K1856" s="43"/>
      <c r="L1856" s="43">
        <v>0.25219999999999998</v>
      </c>
      <c r="O1856" s="50"/>
    </row>
    <row r="1857" spans="2:15" x14ac:dyDescent="0.2">
      <c r="B1857">
        <v>1842</v>
      </c>
      <c r="C1857" s="48">
        <f t="shared" ca="1" si="116"/>
        <v>0.39613092100112102</v>
      </c>
      <c r="D1857" s="48">
        <f t="shared" ca="1" si="113"/>
        <v>0.6909704040539304</v>
      </c>
      <c r="E1857" s="48">
        <f t="shared" ca="1" si="114"/>
        <v>0</v>
      </c>
      <c r="F1857" s="17">
        <f t="shared" ca="1" si="115"/>
        <v>0</v>
      </c>
      <c r="H1857" s="17">
        <v>1842</v>
      </c>
      <c r="I1857" s="43">
        <v>0.66916222998217612</v>
      </c>
      <c r="J1857" s="43">
        <v>1.9556621796855144E-2</v>
      </c>
      <c r="K1857" s="43"/>
      <c r="L1857" s="43">
        <v>0.25619999999999998</v>
      </c>
      <c r="O1857" s="50"/>
    </row>
    <row r="1858" spans="2:15" x14ac:dyDescent="0.2">
      <c r="B1858">
        <v>1843</v>
      </c>
      <c r="C1858" s="48">
        <f t="shared" ca="1" si="116"/>
        <v>-1.4128073022762324</v>
      </c>
      <c r="D1858" s="48">
        <f t="shared" ca="1" si="113"/>
        <v>0.5781066399823922</v>
      </c>
      <c r="E1858" s="48">
        <f t="shared" ca="1" si="114"/>
        <v>0</v>
      </c>
      <c r="F1858" s="17">
        <f t="shared" ca="1" si="115"/>
        <v>0</v>
      </c>
      <c r="H1858" s="17">
        <v>1843</v>
      </c>
      <c r="I1858" s="43">
        <v>0.66971243482190557</v>
      </c>
      <c r="J1858" s="43">
        <v>2.0040544631876201E-2</v>
      </c>
      <c r="K1858" s="43"/>
      <c r="L1858" s="43">
        <v>0.255</v>
      </c>
      <c r="O1858" s="50"/>
    </row>
    <row r="1859" spans="2:15" x14ac:dyDescent="0.2">
      <c r="B1859">
        <v>1844</v>
      </c>
      <c r="C1859" s="48">
        <f t="shared" ca="1" si="116"/>
        <v>-0.27099548358158837</v>
      </c>
      <c r="D1859" s="48">
        <f t="shared" ca="1" si="113"/>
        <v>0.64698731473236615</v>
      </c>
      <c r="E1859" s="48">
        <f t="shared" ca="1" si="114"/>
        <v>0</v>
      </c>
      <c r="F1859" s="17">
        <f t="shared" ca="1" si="115"/>
        <v>0</v>
      </c>
      <c r="H1859" s="17">
        <v>1844</v>
      </c>
      <c r="I1859" s="43">
        <v>0.66811250951387779</v>
      </c>
      <c r="J1859" s="43">
        <v>1.8978238408618592E-2</v>
      </c>
      <c r="K1859" s="43"/>
      <c r="L1859" s="43">
        <v>0.25580000000000003</v>
      </c>
      <c r="O1859" s="50"/>
    </row>
    <row r="1860" spans="2:15" x14ac:dyDescent="0.2">
      <c r="B1860">
        <v>1845</v>
      </c>
      <c r="C1860" s="48">
        <f t="shared" ca="1" si="116"/>
        <v>-0.62853080995237598</v>
      </c>
      <c r="D1860" s="48">
        <f t="shared" ca="1" si="113"/>
        <v>0.62457922615084116</v>
      </c>
      <c r="E1860" s="48">
        <f t="shared" ca="1" si="114"/>
        <v>0</v>
      </c>
      <c r="F1860" s="17">
        <f t="shared" ca="1" si="115"/>
        <v>0</v>
      </c>
      <c r="H1860" s="17">
        <v>1845</v>
      </c>
      <c r="I1860" s="43">
        <v>0.66871585145013912</v>
      </c>
      <c r="J1860" s="43">
        <v>1.91084302460423E-2</v>
      </c>
      <c r="K1860" s="43"/>
      <c r="L1860" s="43">
        <v>0.25259999999999999</v>
      </c>
      <c r="O1860" s="50"/>
    </row>
    <row r="1861" spans="2:15" x14ac:dyDescent="0.2">
      <c r="B1861">
        <v>1846</v>
      </c>
      <c r="C1861" s="48">
        <f t="shared" ca="1" si="116"/>
        <v>-1.43642194767834</v>
      </c>
      <c r="D1861" s="48">
        <f t="shared" ca="1" si="113"/>
        <v>0.57676231068778339</v>
      </c>
      <c r="E1861" s="48">
        <f t="shared" ca="1" si="114"/>
        <v>0</v>
      </c>
      <c r="F1861" s="17">
        <f t="shared" ca="1" si="115"/>
        <v>0</v>
      </c>
      <c r="H1861" s="17">
        <v>1846</v>
      </c>
      <c r="I1861" s="43">
        <v>0.66881331821493828</v>
      </c>
      <c r="J1861" s="43">
        <v>1.9419674558885252E-2</v>
      </c>
      <c r="K1861" s="43"/>
      <c r="L1861" s="43">
        <v>0.25480000000000003</v>
      </c>
      <c r="O1861" s="50"/>
    </row>
    <row r="1862" spans="2:15" x14ac:dyDescent="0.2">
      <c r="B1862">
        <v>1847</v>
      </c>
      <c r="C1862" s="48">
        <f t="shared" ca="1" si="116"/>
        <v>-0.475752456243349</v>
      </c>
      <c r="D1862" s="48">
        <f t="shared" ca="1" si="113"/>
        <v>0.63405786258192387</v>
      </c>
      <c r="E1862" s="48">
        <f t="shared" ca="1" si="114"/>
        <v>0</v>
      </c>
      <c r="F1862" s="17">
        <f t="shared" ca="1" si="115"/>
        <v>0</v>
      </c>
      <c r="H1862" s="17">
        <v>1847</v>
      </c>
      <c r="I1862" s="43">
        <v>0.66790965184004958</v>
      </c>
      <c r="J1862" s="43">
        <v>1.8767515670847761E-2</v>
      </c>
      <c r="K1862" s="43"/>
      <c r="L1862" s="43">
        <v>0.25340000000000001</v>
      </c>
      <c r="O1862" s="50"/>
    </row>
    <row r="1863" spans="2:15" x14ac:dyDescent="0.2">
      <c r="B1863">
        <v>1848</v>
      </c>
      <c r="C1863" s="48">
        <f t="shared" ca="1" si="116"/>
        <v>0.76707203686346292</v>
      </c>
      <c r="D1863" s="48">
        <f t="shared" ca="1" si="113"/>
        <v>0.71670702031507083</v>
      </c>
      <c r="E1863" s="48">
        <f t="shared" ca="1" si="114"/>
        <v>0</v>
      </c>
      <c r="F1863" s="17">
        <f t="shared" ca="1" si="115"/>
        <v>0</v>
      </c>
      <c r="H1863" s="17">
        <v>1848</v>
      </c>
      <c r="I1863" s="43">
        <v>0.67016525388114312</v>
      </c>
      <c r="J1863" s="43">
        <v>2.0256419928051012E-2</v>
      </c>
      <c r="K1863" s="43"/>
      <c r="L1863" s="43">
        <v>0.25419999999999998</v>
      </c>
      <c r="O1863" s="50"/>
    </row>
    <row r="1864" spans="2:15" x14ac:dyDescent="0.2">
      <c r="B1864">
        <v>1849</v>
      </c>
      <c r="C1864" s="48">
        <f t="shared" ca="1" si="116"/>
        <v>-0.789799942787765</v>
      </c>
      <c r="D1864" s="48">
        <f t="shared" ca="1" si="113"/>
        <v>0.61472749318562248</v>
      </c>
      <c r="E1864" s="48">
        <f t="shared" ca="1" si="114"/>
        <v>0</v>
      </c>
      <c r="F1864" s="17">
        <f t="shared" ca="1" si="115"/>
        <v>0</v>
      </c>
      <c r="H1864" s="17">
        <v>1849</v>
      </c>
      <c r="I1864" s="43">
        <v>0.66988427181763521</v>
      </c>
      <c r="J1864" s="43">
        <v>1.9801642282043026E-2</v>
      </c>
      <c r="K1864" s="43"/>
      <c r="L1864" s="43">
        <v>0.24679999999999999</v>
      </c>
      <c r="O1864" s="50"/>
    </row>
    <row r="1865" spans="2:15" x14ac:dyDescent="0.2">
      <c r="B1865">
        <v>1850</v>
      </c>
      <c r="C1865" s="48">
        <f t="shared" ca="1" si="116"/>
        <v>-0.25165014504377842</v>
      </c>
      <c r="D1865" s="48">
        <f t="shared" ca="1" si="113"/>
        <v>0.64822243153845938</v>
      </c>
      <c r="E1865" s="48">
        <f t="shared" ca="1" si="114"/>
        <v>0</v>
      </c>
      <c r="F1865" s="17">
        <f t="shared" ca="1" si="115"/>
        <v>0</v>
      </c>
      <c r="H1865" s="17">
        <v>1850</v>
      </c>
      <c r="I1865" s="43">
        <v>0.66894637488482134</v>
      </c>
      <c r="J1865" s="43">
        <v>1.9236471107352261E-2</v>
      </c>
      <c r="K1865" s="43"/>
      <c r="L1865" s="43">
        <v>0.24679999999999999</v>
      </c>
      <c r="O1865" s="50"/>
    </row>
    <row r="1866" spans="2:15" x14ac:dyDescent="0.2">
      <c r="B1866">
        <v>1851</v>
      </c>
      <c r="C1866" s="48">
        <f t="shared" ca="1" si="116"/>
        <v>-0.25092923130355599</v>
      </c>
      <c r="D1866" s="48">
        <f t="shared" ca="1" si="113"/>
        <v>0.64826850432848293</v>
      </c>
      <c r="E1866" s="48">
        <f t="shared" ca="1" si="114"/>
        <v>0</v>
      </c>
      <c r="F1866" s="17">
        <f t="shared" ca="1" si="115"/>
        <v>0</v>
      </c>
      <c r="H1866" s="17">
        <v>1851</v>
      </c>
      <c r="I1866" s="43">
        <v>0.66877047450271543</v>
      </c>
      <c r="J1866" s="43">
        <v>1.9377298940044627E-2</v>
      </c>
      <c r="K1866" s="43"/>
      <c r="L1866" s="43">
        <v>0.247</v>
      </c>
      <c r="O1866" s="50"/>
    </row>
    <row r="1867" spans="2:15" x14ac:dyDescent="0.2">
      <c r="B1867">
        <v>1852</v>
      </c>
      <c r="C1867" s="48">
        <f t="shared" ca="1" si="116"/>
        <v>-2.0345794189409911</v>
      </c>
      <c r="D1867" s="48">
        <f t="shared" ca="1" si="113"/>
        <v>0.54373359408793887</v>
      </c>
      <c r="E1867" s="48">
        <f t="shared" ca="1" si="114"/>
        <v>0</v>
      </c>
      <c r="F1867" s="17">
        <f t="shared" ca="1" si="115"/>
        <v>0</v>
      </c>
      <c r="H1867" s="17">
        <v>1852</v>
      </c>
      <c r="I1867" s="43">
        <v>0.6687456623376874</v>
      </c>
      <c r="J1867" s="43">
        <v>1.9206683844342456E-2</v>
      </c>
      <c r="K1867" s="43"/>
      <c r="L1867" s="43">
        <v>0.25580000000000003</v>
      </c>
      <c r="O1867" s="50"/>
    </row>
    <row r="1868" spans="2:15" x14ac:dyDescent="0.2">
      <c r="B1868">
        <v>1853</v>
      </c>
      <c r="C1868" s="48">
        <f t="shared" ca="1" si="116"/>
        <v>-1.2731734580045846</v>
      </c>
      <c r="D1868" s="48">
        <f t="shared" ca="1" si="113"/>
        <v>0.58611997099966162</v>
      </c>
      <c r="E1868" s="48">
        <f t="shared" ca="1" si="114"/>
        <v>0</v>
      </c>
      <c r="F1868" s="17">
        <f t="shared" ca="1" si="115"/>
        <v>0</v>
      </c>
      <c r="H1868" s="17">
        <v>1853</v>
      </c>
      <c r="I1868" s="43">
        <v>0.66873942957113974</v>
      </c>
      <c r="J1868" s="43">
        <v>1.8884053544229597E-2</v>
      </c>
      <c r="K1868" s="43"/>
      <c r="L1868" s="43">
        <v>0.24399999999999999</v>
      </c>
      <c r="O1868" s="50"/>
    </row>
    <row r="1869" spans="2:15" x14ac:dyDescent="0.2">
      <c r="B1869">
        <v>1854</v>
      </c>
      <c r="C1869" s="48">
        <f t="shared" ca="1" si="116"/>
        <v>0.49022309826589461</v>
      </c>
      <c r="D1869" s="48">
        <f t="shared" ca="1" si="113"/>
        <v>0.69740988061412046</v>
      </c>
      <c r="E1869" s="48">
        <f t="shared" ca="1" si="114"/>
        <v>0</v>
      </c>
      <c r="F1869" s="17">
        <f t="shared" ca="1" si="115"/>
        <v>0</v>
      </c>
      <c r="H1869" s="17">
        <v>1854</v>
      </c>
      <c r="I1869" s="43">
        <v>0.66880792780368825</v>
      </c>
      <c r="J1869" s="43">
        <v>1.9141170237241358E-2</v>
      </c>
      <c r="K1869" s="43"/>
      <c r="L1869" s="43">
        <v>0.25580000000000003</v>
      </c>
      <c r="O1869" s="50"/>
    </row>
    <row r="1870" spans="2:15" x14ac:dyDescent="0.2">
      <c r="B1870">
        <v>1855</v>
      </c>
      <c r="C1870" s="48">
        <f t="shared" ca="1" si="116"/>
        <v>-1.9922126371224396</v>
      </c>
      <c r="D1870" s="48">
        <f t="shared" ca="1" si="113"/>
        <v>0.54600942853561818</v>
      </c>
      <c r="E1870" s="48">
        <f t="shared" ca="1" si="114"/>
        <v>0</v>
      </c>
      <c r="F1870" s="17">
        <f t="shared" ca="1" si="115"/>
        <v>0</v>
      </c>
      <c r="H1870" s="17">
        <v>1855</v>
      </c>
      <c r="I1870" s="43">
        <v>0.67021564037973913</v>
      </c>
      <c r="J1870" s="43">
        <v>2.0269100383971912E-2</v>
      </c>
      <c r="K1870" s="43"/>
      <c r="L1870" s="43">
        <v>0.25340000000000001</v>
      </c>
      <c r="O1870" s="50"/>
    </row>
    <row r="1871" spans="2:15" x14ac:dyDescent="0.2">
      <c r="B1871">
        <v>1856</v>
      </c>
      <c r="C1871" s="48">
        <f t="shared" ca="1" si="116"/>
        <v>0.20535789700966145</v>
      </c>
      <c r="D1871" s="48">
        <f t="shared" ca="1" si="113"/>
        <v>0.67809619778730301</v>
      </c>
      <c r="E1871" s="48">
        <f t="shared" ca="1" si="114"/>
        <v>0</v>
      </c>
      <c r="F1871" s="17">
        <f t="shared" ca="1" si="115"/>
        <v>0</v>
      </c>
      <c r="H1871" s="17">
        <v>1856</v>
      </c>
      <c r="I1871" s="43">
        <v>0.66813864037662363</v>
      </c>
      <c r="J1871" s="43">
        <v>1.8810440018353448E-2</v>
      </c>
      <c r="K1871" s="43"/>
      <c r="L1871" s="43">
        <v>0.23980000000000001</v>
      </c>
      <c r="O1871" s="50"/>
    </row>
    <row r="1872" spans="2:15" x14ac:dyDescent="0.2">
      <c r="B1872">
        <v>1857</v>
      </c>
      <c r="C1872" s="48">
        <f t="shared" ca="1" si="116"/>
        <v>-1.078000898659057</v>
      </c>
      <c r="D1872" s="48">
        <f t="shared" ref="D1872:D1935" ca="1" si="117">S0*EXP((μ-0.5*σ*σ)*T+σ*SQRT(T)*$C1872)</f>
        <v>0.59750703995065713</v>
      </c>
      <c r="E1872" s="48">
        <f t="shared" ref="E1872:E1935" ca="1" si="118">MAX(0,CP*(D1872-K))</f>
        <v>0</v>
      </c>
      <c r="F1872" s="17">
        <f t="shared" ref="F1872:F1935" ca="1" si="119">(CP*(D1872-K)&gt;0)*1</f>
        <v>0</v>
      </c>
      <c r="H1872" s="17">
        <v>1857</v>
      </c>
      <c r="I1872" s="43">
        <v>0.6687498637648891</v>
      </c>
      <c r="J1872" s="43">
        <v>1.9418336484030737E-2</v>
      </c>
      <c r="K1872" s="43"/>
      <c r="L1872" s="43">
        <v>0.25559999999999999</v>
      </c>
      <c r="O1872" s="50"/>
    </row>
    <row r="1873" spans="2:15" x14ac:dyDescent="0.2">
      <c r="B1873">
        <v>1858</v>
      </c>
      <c r="C1873" s="48">
        <f t="shared" ref="C1873:C1936" ca="1" si="120">_xlfn.NORM.S.INV(RAND())</f>
        <v>0.77871098569454089</v>
      </c>
      <c r="D1873" s="48">
        <f t="shared" ca="1" si="117"/>
        <v>0.71752988102931803</v>
      </c>
      <c r="E1873" s="48">
        <f t="shared" ca="1" si="118"/>
        <v>0</v>
      </c>
      <c r="F1873" s="17">
        <f t="shared" ca="1" si="119"/>
        <v>0</v>
      </c>
      <c r="H1873" s="17">
        <v>1858</v>
      </c>
      <c r="I1873" s="43">
        <v>0.66899959995683289</v>
      </c>
      <c r="J1873" s="43">
        <v>1.9362373703183038E-2</v>
      </c>
      <c r="K1873" s="43"/>
      <c r="L1873" s="43">
        <v>0.24640000000000001</v>
      </c>
      <c r="O1873" s="50"/>
    </row>
    <row r="1874" spans="2:15" x14ac:dyDescent="0.2">
      <c r="B1874">
        <v>1859</v>
      </c>
      <c r="C1874" s="48">
        <f t="shared" ca="1" si="120"/>
        <v>-1.0028060855980609</v>
      </c>
      <c r="D1874" s="48">
        <f t="shared" ca="1" si="117"/>
        <v>0.60195297788826152</v>
      </c>
      <c r="E1874" s="48">
        <f t="shared" ca="1" si="118"/>
        <v>0</v>
      </c>
      <c r="F1874" s="17">
        <f t="shared" ca="1" si="119"/>
        <v>0</v>
      </c>
      <c r="H1874" s="17">
        <v>1859</v>
      </c>
      <c r="I1874" s="43">
        <v>0.66764774342560573</v>
      </c>
      <c r="J1874" s="43">
        <v>1.856860482047128E-2</v>
      </c>
      <c r="K1874" s="43"/>
      <c r="L1874" s="43">
        <v>0.25</v>
      </c>
      <c r="O1874" s="50"/>
    </row>
    <row r="1875" spans="2:15" x14ac:dyDescent="0.2">
      <c r="B1875">
        <v>1860</v>
      </c>
      <c r="C1875" s="48">
        <f t="shared" ca="1" si="120"/>
        <v>-2.1219007849024838E-2</v>
      </c>
      <c r="D1875" s="48">
        <f t="shared" ca="1" si="117"/>
        <v>0.66311704877926247</v>
      </c>
      <c r="E1875" s="48">
        <f t="shared" ca="1" si="118"/>
        <v>0</v>
      </c>
      <c r="F1875" s="17">
        <f t="shared" ca="1" si="119"/>
        <v>0</v>
      </c>
      <c r="H1875" s="17">
        <v>1860</v>
      </c>
      <c r="I1875" s="43">
        <v>0.66781484069584152</v>
      </c>
      <c r="J1875" s="43">
        <v>1.8397355156604414E-2</v>
      </c>
      <c r="K1875" s="43"/>
      <c r="L1875" s="43">
        <v>0.2356</v>
      </c>
      <c r="O1875" s="50"/>
    </row>
    <row r="1876" spans="2:15" x14ac:dyDescent="0.2">
      <c r="B1876">
        <v>1861</v>
      </c>
      <c r="C1876" s="48">
        <f t="shared" ca="1" si="120"/>
        <v>-0.50960961835989282</v>
      </c>
      <c r="D1876" s="48">
        <f t="shared" ca="1" si="117"/>
        <v>0.63194497420755058</v>
      </c>
      <c r="E1876" s="48">
        <f t="shared" ca="1" si="118"/>
        <v>0</v>
      </c>
      <c r="F1876" s="17">
        <f t="shared" ca="1" si="119"/>
        <v>0</v>
      </c>
      <c r="H1876" s="17">
        <v>1861</v>
      </c>
      <c r="I1876" s="43">
        <v>0.6691189882367149</v>
      </c>
      <c r="J1876" s="43">
        <v>1.9518146139563531E-2</v>
      </c>
      <c r="K1876" s="43"/>
      <c r="L1876" s="43">
        <v>0.25600000000000001</v>
      </c>
      <c r="O1876" s="50"/>
    </row>
    <row r="1877" spans="2:15" x14ac:dyDescent="0.2">
      <c r="B1877">
        <v>1862</v>
      </c>
      <c r="C1877" s="48">
        <f t="shared" ca="1" si="120"/>
        <v>0.11196482624586843</v>
      </c>
      <c r="D1877" s="48">
        <f t="shared" ca="1" si="117"/>
        <v>0.67188135910095592</v>
      </c>
      <c r="E1877" s="48">
        <f t="shared" ca="1" si="118"/>
        <v>0</v>
      </c>
      <c r="F1877" s="17">
        <f t="shared" ca="1" si="119"/>
        <v>0</v>
      </c>
      <c r="H1877" s="17">
        <v>1862</v>
      </c>
      <c r="I1877" s="43">
        <v>0.66796420422856684</v>
      </c>
      <c r="J1877" s="43">
        <v>1.8772635750628961E-2</v>
      </c>
      <c r="K1877" s="43"/>
      <c r="L1877" s="43">
        <v>0.24479999999999999</v>
      </c>
      <c r="O1877" s="50"/>
    </row>
    <row r="1878" spans="2:15" x14ac:dyDescent="0.2">
      <c r="B1878">
        <v>1863</v>
      </c>
      <c r="C1878" s="48">
        <f t="shared" ca="1" si="120"/>
        <v>1.0601916866740924</v>
      </c>
      <c r="D1878" s="48">
        <f t="shared" ca="1" si="117"/>
        <v>0.73772052678902211</v>
      </c>
      <c r="E1878" s="48">
        <f t="shared" ca="1" si="118"/>
        <v>0</v>
      </c>
      <c r="F1878" s="17">
        <f t="shared" ca="1" si="119"/>
        <v>0</v>
      </c>
      <c r="H1878" s="17">
        <v>1863</v>
      </c>
      <c r="I1878" s="43">
        <v>0.66839260302674508</v>
      </c>
      <c r="J1878" s="43">
        <v>1.8691474142017318E-2</v>
      </c>
      <c r="K1878" s="43"/>
      <c r="L1878" s="43">
        <v>0.23980000000000001</v>
      </c>
      <c r="O1878" s="50"/>
    </row>
    <row r="1879" spans="2:15" x14ac:dyDescent="0.2">
      <c r="B1879">
        <v>1864</v>
      </c>
      <c r="C1879" s="48">
        <f t="shared" ca="1" si="120"/>
        <v>-0.74958323548552552</v>
      </c>
      <c r="D1879" s="48">
        <f t="shared" ca="1" si="117"/>
        <v>0.61716964192698631</v>
      </c>
      <c r="E1879" s="48">
        <f t="shared" ca="1" si="118"/>
        <v>0</v>
      </c>
      <c r="F1879" s="17">
        <f t="shared" ca="1" si="119"/>
        <v>0</v>
      </c>
      <c r="H1879" s="17">
        <v>1864</v>
      </c>
      <c r="I1879" s="43">
        <v>0.66997996562013484</v>
      </c>
      <c r="J1879" s="43">
        <v>1.9998868896869998E-2</v>
      </c>
      <c r="K1879" s="43"/>
      <c r="L1879" s="43">
        <v>0.254</v>
      </c>
      <c r="O1879" s="50"/>
    </row>
    <row r="1880" spans="2:15" x14ac:dyDescent="0.2">
      <c r="B1880">
        <v>1865</v>
      </c>
      <c r="C1880" s="48">
        <f t="shared" ca="1" si="120"/>
        <v>0.73800675212908329</v>
      </c>
      <c r="D1880" s="48">
        <f t="shared" ca="1" si="117"/>
        <v>0.7146562553947946</v>
      </c>
      <c r="E1880" s="48">
        <f t="shared" ca="1" si="118"/>
        <v>0</v>
      </c>
      <c r="F1880" s="17">
        <f t="shared" ca="1" si="119"/>
        <v>0</v>
      </c>
      <c r="H1880" s="17">
        <v>1865</v>
      </c>
      <c r="I1880" s="43">
        <v>0.66963803318133652</v>
      </c>
      <c r="J1880" s="43">
        <v>2.0018181300001849E-2</v>
      </c>
      <c r="K1880" s="43"/>
      <c r="L1880" s="43">
        <v>0.25219999999999998</v>
      </c>
      <c r="O1880" s="50"/>
    </row>
    <row r="1881" spans="2:15" x14ac:dyDescent="0.2">
      <c r="B1881">
        <v>1866</v>
      </c>
      <c r="C1881" s="48">
        <f t="shared" ca="1" si="120"/>
        <v>2.1429235858654803</v>
      </c>
      <c r="D1881" s="48">
        <f t="shared" ca="1" si="117"/>
        <v>0.82082412106141855</v>
      </c>
      <c r="E1881" s="48">
        <f t="shared" ca="1" si="118"/>
        <v>3.2624121061418543E-2</v>
      </c>
      <c r="F1881" s="17">
        <f t="shared" ca="1" si="119"/>
        <v>1</v>
      </c>
      <c r="H1881" s="17">
        <v>1866</v>
      </c>
      <c r="I1881" s="43">
        <v>0.66862142452304407</v>
      </c>
      <c r="J1881" s="43">
        <v>1.9030909119832136E-2</v>
      </c>
      <c r="K1881" s="43"/>
      <c r="L1881" s="43">
        <v>0.24</v>
      </c>
      <c r="O1881" s="50"/>
    </row>
    <row r="1882" spans="2:15" x14ac:dyDescent="0.2">
      <c r="B1882">
        <v>1867</v>
      </c>
      <c r="C1882" s="48">
        <f t="shared" ca="1" si="120"/>
        <v>-0.65215364454249125</v>
      </c>
      <c r="D1882" s="48">
        <f t="shared" ca="1" si="117"/>
        <v>0.62312632641312415</v>
      </c>
      <c r="E1882" s="48">
        <f t="shared" ca="1" si="118"/>
        <v>0</v>
      </c>
      <c r="F1882" s="17">
        <f t="shared" ca="1" si="119"/>
        <v>0</v>
      </c>
      <c r="H1882" s="17">
        <v>1867</v>
      </c>
      <c r="I1882" s="43">
        <v>0.66892309552939555</v>
      </c>
      <c r="J1882" s="43">
        <v>1.9188546807512943E-2</v>
      </c>
      <c r="K1882" s="43"/>
      <c r="L1882" s="43">
        <v>0.25159999999999999</v>
      </c>
      <c r="O1882" s="50"/>
    </row>
    <row r="1883" spans="2:15" x14ac:dyDescent="0.2">
      <c r="B1883">
        <v>1868</v>
      </c>
      <c r="C1883" s="48">
        <f t="shared" ca="1" si="120"/>
        <v>-0.25718148151127385</v>
      </c>
      <c r="D1883" s="48">
        <f t="shared" ca="1" si="117"/>
        <v>0.64786903894447923</v>
      </c>
      <c r="E1883" s="48">
        <f t="shared" ca="1" si="118"/>
        <v>0</v>
      </c>
      <c r="F1883" s="17">
        <f t="shared" ca="1" si="119"/>
        <v>0</v>
      </c>
      <c r="H1883" s="17">
        <v>1868</v>
      </c>
      <c r="I1883" s="43">
        <v>0.66964806567531465</v>
      </c>
      <c r="J1883" s="43">
        <v>1.9908849951953737E-2</v>
      </c>
      <c r="K1883" s="43"/>
      <c r="L1883" s="43">
        <v>0.25779999999999997</v>
      </c>
      <c r="O1883" s="50"/>
    </row>
    <row r="1884" spans="2:15" x14ac:dyDescent="0.2">
      <c r="B1884">
        <v>1869</v>
      </c>
      <c r="C1884" s="48">
        <f t="shared" ca="1" si="120"/>
        <v>-0.16376737398103852</v>
      </c>
      <c r="D1884" s="48">
        <f t="shared" ca="1" si="117"/>
        <v>0.65386312203815689</v>
      </c>
      <c r="E1884" s="48">
        <f t="shared" ca="1" si="118"/>
        <v>0</v>
      </c>
      <c r="F1884" s="17">
        <f t="shared" ca="1" si="119"/>
        <v>0</v>
      </c>
      <c r="H1884" s="17">
        <v>1869</v>
      </c>
      <c r="I1884" s="43">
        <v>0.66781068307944302</v>
      </c>
      <c r="J1884" s="43">
        <v>1.8570103955997577E-2</v>
      </c>
      <c r="K1884" s="43"/>
      <c r="L1884" s="43">
        <v>0.24379999999999999</v>
      </c>
      <c r="O1884" s="50"/>
    </row>
    <row r="1885" spans="2:15" x14ac:dyDescent="0.2">
      <c r="B1885">
        <v>1870</v>
      </c>
      <c r="C1885" s="48">
        <f t="shared" ca="1" si="120"/>
        <v>0.19862996204154224</v>
      </c>
      <c r="D1885" s="48">
        <f t="shared" ca="1" si="117"/>
        <v>0.67764657243506921</v>
      </c>
      <c r="E1885" s="48">
        <f t="shared" ca="1" si="118"/>
        <v>0</v>
      </c>
      <c r="F1885" s="17">
        <f t="shared" ca="1" si="119"/>
        <v>0</v>
      </c>
      <c r="H1885" s="17">
        <v>1870</v>
      </c>
      <c r="I1885" s="43">
        <v>0.6682568925400314</v>
      </c>
      <c r="J1885" s="43">
        <v>1.8709809000084902E-2</v>
      </c>
      <c r="K1885" s="43"/>
      <c r="L1885" s="43">
        <v>0.25040000000000001</v>
      </c>
      <c r="O1885" s="50"/>
    </row>
    <row r="1886" spans="2:15" x14ac:dyDescent="0.2">
      <c r="B1886">
        <v>1871</v>
      </c>
      <c r="C1886" s="48">
        <f t="shared" ca="1" si="120"/>
        <v>-9.8322075746170162E-2</v>
      </c>
      <c r="D1886" s="48">
        <f t="shared" ca="1" si="117"/>
        <v>0.65809554265778669</v>
      </c>
      <c r="E1886" s="48">
        <f t="shared" ca="1" si="118"/>
        <v>0</v>
      </c>
      <c r="F1886" s="17">
        <f t="shared" ca="1" si="119"/>
        <v>0</v>
      </c>
      <c r="H1886" s="17">
        <v>1871</v>
      </c>
      <c r="I1886" s="43">
        <v>0.66835795018663624</v>
      </c>
      <c r="J1886" s="43">
        <v>1.8833433858922444E-2</v>
      </c>
      <c r="K1886" s="43"/>
      <c r="L1886" s="43">
        <v>0.252</v>
      </c>
      <c r="O1886" s="50"/>
    </row>
    <row r="1887" spans="2:15" x14ac:dyDescent="0.2">
      <c r="B1887">
        <v>1872</v>
      </c>
      <c r="C1887" s="48">
        <f t="shared" ca="1" si="120"/>
        <v>-1.1440850331362471</v>
      </c>
      <c r="D1887" s="48">
        <f t="shared" ca="1" si="117"/>
        <v>0.59362689461829909</v>
      </c>
      <c r="E1887" s="48">
        <f t="shared" ca="1" si="118"/>
        <v>0</v>
      </c>
      <c r="F1887" s="17">
        <f t="shared" ca="1" si="119"/>
        <v>0</v>
      </c>
      <c r="H1887" s="17">
        <v>1872</v>
      </c>
      <c r="I1887" s="43">
        <v>0.66959088280566481</v>
      </c>
      <c r="J1887" s="43">
        <v>1.9836516426829421E-2</v>
      </c>
      <c r="K1887" s="43"/>
      <c r="L1887" s="43">
        <v>0.25519999999999998</v>
      </c>
      <c r="O1887" s="50"/>
    </row>
    <row r="1888" spans="2:15" x14ac:dyDescent="0.2">
      <c r="B1888">
        <v>1873</v>
      </c>
      <c r="C1888" s="48">
        <f t="shared" ca="1" si="120"/>
        <v>2.012483072925398E-2</v>
      </c>
      <c r="D1888" s="48">
        <f t="shared" ca="1" si="117"/>
        <v>0.6658254194372627</v>
      </c>
      <c r="E1888" s="48">
        <f t="shared" ca="1" si="118"/>
        <v>0</v>
      </c>
      <c r="F1888" s="17">
        <f t="shared" ca="1" si="119"/>
        <v>0</v>
      </c>
      <c r="H1888" s="17">
        <v>1873</v>
      </c>
      <c r="I1888" s="43">
        <v>0.66884638139325148</v>
      </c>
      <c r="J1888" s="43">
        <v>1.9324508860539082E-2</v>
      </c>
      <c r="K1888" s="43"/>
      <c r="L1888" s="43">
        <v>0.255</v>
      </c>
      <c r="O1888" s="50"/>
    </row>
    <row r="1889" spans="2:15" x14ac:dyDescent="0.2">
      <c r="B1889">
        <v>1874</v>
      </c>
      <c r="C1889" s="48">
        <f t="shared" ca="1" si="120"/>
        <v>-0.64107622188305668</v>
      </c>
      <c r="D1889" s="48">
        <f t="shared" ca="1" si="117"/>
        <v>0.62380721133083505</v>
      </c>
      <c r="E1889" s="48">
        <f t="shared" ca="1" si="118"/>
        <v>0</v>
      </c>
      <c r="F1889" s="17">
        <f t="shared" ca="1" si="119"/>
        <v>0</v>
      </c>
      <c r="H1889" s="17">
        <v>1874</v>
      </c>
      <c r="I1889" s="43">
        <v>0.66869465284757557</v>
      </c>
      <c r="J1889" s="43">
        <v>1.9246544728359755E-2</v>
      </c>
      <c r="K1889" s="43"/>
      <c r="L1889" s="43">
        <v>0.25080000000000002</v>
      </c>
      <c r="O1889" s="50"/>
    </row>
    <row r="1890" spans="2:15" x14ac:dyDescent="0.2">
      <c r="B1890">
        <v>1875</v>
      </c>
      <c r="C1890" s="48">
        <f t="shared" ca="1" si="120"/>
        <v>-0.50518896479714137</v>
      </c>
      <c r="D1890" s="48">
        <f t="shared" ca="1" si="117"/>
        <v>0.63222044915387843</v>
      </c>
      <c r="E1890" s="48">
        <f t="shared" ca="1" si="118"/>
        <v>0</v>
      </c>
      <c r="F1890" s="17">
        <f t="shared" ca="1" si="119"/>
        <v>0</v>
      </c>
      <c r="H1890" s="17">
        <v>1875</v>
      </c>
      <c r="I1890" s="43">
        <v>0.66885336342853885</v>
      </c>
      <c r="J1890" s="43">
        <v>1.9340046863250322E-2</v>
      </c>
      <c r="K1890" s="43"/>
      <c r="L1890" s="43">
        <v>0.24560000000000001</v>
      </c>
      <c r="O1890" s="50"/>
    </row>
    <row r="1891" spans="2:15" x14ac:dyDescent="0.2">
      <c r="B1891">
        <v>1876</v>
      </c>
      <c r="C1891" s="48">
        <f t="shared" ca="1" si="120"/>
        <v>0.11744395435898575</v>
      </c>
      <c r="D1891" s="48">
        <f t="shared" ca="1" si="117"/>
        <v>0.67224438956456001</v>
      </c>
      <c r="E1891" s="48">
        <f t="shared" ca="1" si="118"/>
        <v>0</v>
      </c>
      <c r="F1891" s="17">
        <f t="shared" ca="1" si="119"/>
        <v>0</v>
      </c>
      <c r="H1891" s="17">
        <v>1876</v>
      </c>
      <c r="I1891" s="43">
        <v>0.66801931559130157</v>
      </c>
      <c r="J1891" s="43">
        <v>1.8425871975595639E-2</v>
      </c>
      <c r="K1891" s="43"/>
      <c r="L1891" s="43">
        <v>0.24679999999999999</v>
      </c>
      <c r="O1891" s="50"/>
    </row>
    <row r="1892" spans="2:15" x14ac:dyDescent="0.2">
      <c r="B1892">
        <v>1877</v>
      </c>
      <c r="C1892" s="48">
        <f t="shared" ca="1" si="120"/>
        <v>-1.2704552975153698</v>
      </c>
      <c r="D1892" s="48">
        <f t="shared" ca="1" si="117"/>
        <v>0.58627705846309974</v>
      </c>
      <c r="E1892" s="48">
        <f t="shared" ca="1" si="118"/>
        <v>0</v>
      </c>
      <c r="F1892" s="17">
        <f t="shared" ca="1" si="119"/>
        <v>0</v>
      </c>
      <c r="H1892" s="17">
        <v>1877</v>
      </c>
      <c r="I1892" s="43">
        <v>0.66916041874573862</v>
      </c>
      <c r="J1892" s="43">
        <v>1.9508700082302054E-2</v>
      </c>
      <c r="K1892" s="43"/>
      <c r="L1892" s="43">
        <v>0.24160000000000001</v>
      </c>
      <c r="O1892" s="50"/>
    </row>
    <row r="1893" spans="2:15" x14ac:dyDescent="0.2">
      <c r="B1893">
        <v>1878</v>
      </c>
      <c r="C1893" s="48">
        <f t="shared" ca="1" si="120"/>
        <v>-1.5468092393325037</v>
      </c>
      <c r="D1893" s="48">
        <f t="shared" ca="1" si="117"/>
        <v>0.57051955061518156</v>
      </c>
      <c r="E1893" s="48">
        <f t="shared" ca="1" si="118"/>
        <v>0</v>
      </c>
      <c r="F1893" s="17">
        <f t="shared" ca="1" si="119"/>
        <v>0</v>
      </c>
      <c r="H1893" s="17">
        <v>1878</v>
      </c>
      <c r="I1893" s="43">
        <v>0.66801163578751188</v>
      </c>
      <c r="J1893" s="43">
        <v>1.8480128989212891E-2</v>
      </c>
      <c r="K1893" s="43"/>
      <c r="L1893" s="43">
        <v>0.2364</v>
      </c>
      <c r="O1893" s="50"/>
    </row>
    <row r="1894" spans="2:15" x14ac:dyDescent="0.2">
      <c r="B1894">
        <v>1879</v>
      </c>
      <c r="C1894" s="48">
        <f t="shared" ca="1" si="120"/>
        <v>0.33594908307828858</v>
      </c>
      <c r="D1894" s="48">
        <f t="shared" ca="1" si="117"/>
        <v>0.6868828935888911</v>
      </c>
      <c r="E1894" s="48">
        <f t="shared" ca="1" si="118"/>
        <v>0</v>
      </c>
      <c r="F1894" s="17">
        <f t="shared" ca="1" si="119"/>
        <v>0</v>
      </c>
      <c r="H1894" s="17">
        <v>1879</v>
      </c>
      <c r="I1894" s="43">
        <v>0.66855895312625824</v>
      </c>
      <c r="J1894" s="43">
        <v>1.9063208473001633E-2</v>
      </c>
      <c r="K1894" s="43"/>
      <c r="L1894" s="43">
        <v>0.25019999999999998</v>
      </c>
      <c r="O1894" s="50"/>
    </row>
    <row r="1895" spans="2:15" x14ac:dyDescent="0.2">
      <c r="B1895">
        <v>1880</v>
      </c>
      <c r="C1895" s="48">
        <f t="shared" ca="1" si="120"/>
        <v>3.8044147567269558E-2</v>
      </c>
      <c r="D1895" s="48">
        <f t="shared" ca="1" si="117"/>
        <v>0.66700271962561508</v>
      </c>
      <c r="E1895" s="48">
        <f t="shared" ca="1" si="118"/>
        <v>0</v>
      </c>
      <c r="F1895" s="17">
        <f t="shared" ca="1" si="119"/>
        <v>0</v>
      </c>
      <c r="H1895" s="17">
        <v>1880</v>
      </c>
      <c r="I1895" s="43">
        <v>0.66785092383445699</v>
      </c>
      <c r="J1895" s="43">
        <v>1.8462183108348289E-2</v>
      </c>
      <c r="K1895" s="43"/>
      <c r="L1895" s="43">
        <v>0.24440000000000001</v>
      </c>
      <c r="O1895" s="50"/>
    </row>
    <row r="1896" spans="2:15" x14ac:dyDescent="0.2">
      <c r="B1896">
        <v>1881</v>
      </c>
      <c r="C1896" s="48">
        <f t="shared" ca="1" si="120"/>
        <v>0.76964692199941376</v>
      </c>
      <c r="D1896" s="48">
        <f t="shared" ca="1" si="117"/>
        <v>0.71688898049749161</v>
      </c>
      <c r="E1896" s="48">
        <f t="shared" ca="1" si="118"/>
        <v>0</v>
      </c>
      <c r="F1896" s="17">
        <f t="shared" ca="1" si="119"/>
        <v>0</v>
      </c>
      <c r="H1896" s="17">
        <v>1881</v>
      </c>
      <c r="I1896" s="43">
        <v>0.66841363865620218</v>
      </c>
      <c r="J1896" s="43">
        <v>1.9003623741852393E-2</v>
      </c>
      <c r="K1896" s="43"/>
      <c r="L1896" s="43">
        <v>0.25140000000000001</v>
      </c>
      <c r="O1896" s="50"/>
    </row>
    <row r="1897" spans="2:15" x14ac:dyDescent="0.2">
      <c r="B1897">
        <v>1882</v>
      </c>
      <c r="C1897" s="48">
        <f t="shared" ca="1" si="120"/>
        <v>-0.53378320964365256</v>
      </c>
      <c r="D1897" s="48">
        <f t="shared" ca="1" si="117"/>
        <v>0.63044070780955941</v>
      </c>
      <c r="E1897" s="48">
        <f t="shared" ca="1" si="118"/>
        <v>0</v>
      </c>
      <c r="F1897" s="17">
        <f t="shared" ca="1" si="119"/>
        <v>0</v>
      </c>
      <c r="H1897" s="17">
        <v>1882</v>
      </c>
      <c r="I1897" s="43">
        <v>0.66774026450028234</v>
      </c>
      <c r="J1897" s="43">
        <v>1.8606538429150301E-2</v>
      </c>
      <c r="K1897" s="43"/>
      <c r="L1897" s="43">
        <v>0.2492</v>
      </c>
      <c r="O1897" s="50"/>
    </row>
    <row r="1898" spans="2:15" x14ac:dyDescent="0.2">
      <c r="B1898">
        <v>1883</v>
      </c>
      <c r="C1898" s="48">
        <f t="shared" ca="1" si="120"/>
        <v>-0.68599919666034048</v>
      </c>
      <c r="D1898" s="48">
        <f t="shared" ca="1" si="117"/>
        <v>0.62105057635033201</v>
      </c>
      <c r="E1898" s="48">
        <f t="shared" ca="1" si="118"/>
        <v>0</v>
      </c>
      <c r="F1898" s="17">
        <f t="shared" ca="1" si="119"/>
        <v>0</v>
      </c>
      <c r="H1898" s="17">
        <v>1883</v>
      </c>
      <c r="I1898" s="43">
        <v>0.66828063620307165</v>
      </c>
      <c r="J1898" s="43">
        <v>1.8801580087861522E-2</v>
      </c>
      <c r="K1898" s="43"/>
      <c r="L1898" s="43">
        <v>0.249</v>
      </c>
      <c r="O1898" s="50"/>
    </row>
    <row r="1899" spans="2:15" x14ac:dyDescent="0.2">
      <c r="B1899">
        <v>1884</v>
      </c>
      <c r="C1899" s="48">
        <f t="shared" ca="1" si="120"/>
        <v>-1.1484299971400522</v>
      </c>
      <c r="D1899" s="48">
        <f t="shared" ca="1" si="117"/>
        <v>0.59337266364598884</v>
      </c>
      <c r="E1899" s="48">
        <f t="shared" ca="1" si="118"/>
        <v>0</v>
      </c>
      <c r="F1899" s="17">
        <f t="shared" ca="1" si="119"/>
        <v>0</v>
      </c>
      <c r="H1899" s="17">
        <v>1884</v>
      </c>
      <c r="I1899" s="43">
        <v>0.6694832501925011</v>
      </c>
      <c r="J1899" s="43">
        <v>1.9954574800055878E-2</v>
      </c>
      <c r="K1899" s="43"/>
      <c r="L1899" s="43">
        <v>0.25779999999999997</v>
      </c>
      <c r="O1899" s="50"/>
    </row>
    <row r="1900" spans="2:15" x14ac:dyDescent="0.2">
      <c r="B1900">
        <v>1885</v>
      </c>
      <c r="C1900" s="48">
        <f t="shared" ca="1" si="120"/>
        <v>0.13543620149959648</v>
      </c>
      <c r="D1900" s="48">
        <f t="shared" ca="1" si="117"/>
        <v>0.67343788166752594</v>
      </c>
      <c r="E1900" s="48">
        <f t="shared" ca="1" si="118"/>
        <v>0</v>
      </c>
      <c r="F1900" s="17">
        <f t="shared" ca="1" si="119"/>
        <v>0</v>
      </c>
      <c r="H1900" s="17">
        <v>1885</v>
      </c>
      <c r="I1900" s="43">
        <v>0.66837746197342363</v>
      </c>
      <c r="J1900" s="43">
        <v>1.8988439747048187E-2</v>
      </c>
      <c r="K1900" s="43"/>
      <c r="L1900" s="43">
        <v>0.251</v>
      </c>
      <c r="O1900" s="50"/>
    </row>
    <row r="1901" spans="2:15" x14ac:dyDescent="0.2">
      <c r="B1901">
        <v>1886</v>
      </c>
      <c r="C1901" s="48">
        <f t="shared" ca="1" si="120"/>
        <v>0.53707040158236219</v>
      </c>
      <c r="D1901" s="48">
        <f t="shared" ca="1" si="117"/>
        <v>0.70063835768255733</v>
      </c>
      <c r="E1901" s="48">
        <f t="shared" ca="1" si="118"/>
        <v>0</v>
      </c>
      <c r="F1901" s="17">
        <f t="shared" ca="1" si="119"/>
        <v>0</v>
      </c>
      <c r="H1901" s="17">
        <v>1886</v>
      </c>
      <c r="I1901" s="43">
        <v>0.66969579114147071</v>
      </c>
      <c r="J1901" s="43">
        <v>1.9935775435939718E-2</v>
      </c>
      <c r="K1901" s="43"/>
      <c r="L1901" s="43">
        <v>0.255</v>
      </c>
      <c r="O1901" s="50"/>
    </row>
    <row r="1902" spans="2:15" x14ac:dyDescent="0.2">
      <c r="B1902">
        <v>1887</v>
      </c>
      <c r="C1902" s="48">
        <f t="shared" ca="1" si="120"/>
        <v>2.6775813967939621</v>
      </c>
      <c r="D1902" s="48">
        <f t="shared" ca="1" si="117"/>
        <v>0.86525081288982153</v>
      </c>
      <c r="E1902" s="48">
        <f t="shared" ca="1" si="118"/>
        <v>7.7050812889821518E-2</v>
      </c>
      <c r="F1902" s="17">
        <f t="shared" ca="1" si="119"/>
        <v>1</v>
      </c>
      <c r="H1902" s="17">
        <v>1887</v>
      </c>
      <c r="I1902" s="43">
        <v>0.66980806882192523</v>
      </c>
      <c r="J1902" s="43">
        <v>2.0018086969263316E-2</v>
      </c>
      <c r="K1902" s="43"/>
      <c r="L1902" s="43">
        <v>0.25480000000000003</v>
      </c>
      <c r="O1902" s="50"/>
    </row>
    <row r="1903" spans="2:15" x14ac:dyDescent="0.2">
      <c r="B1903">
        <v>1888</v>
      </c>
      <c r="C1903" s="48">
        <f t="shared" ca="1" si="120"/>
        <v>-0.36424309727760851</v>
      </c>
      <c r="D1903" s="48">
        <f t="shared" ca="1" si="117"/>
        <v>0.6410667859404291</v>
      </c>
      <c r="E1903" s="48">
        <f t="shared" ca="1" si="118"/>
        <v>0</v>
      </c>
      <c r="F1903" s="17">
        <f t="shared" ca="1" si="119"/>
        <v>0</v>
      </c>
      <c r="H1903" s="17">
        <v>1888</v>
      </c>
      <c r="I1903" s="43">
        <v>0.66974876424143204</v>
      </c>
      <c r="J1903" s="43">
        <v>2.0095987644678716E-2</v>
      </c>
      <c r="K1903" s="43"/>
      <c r="L1903" s="43">
        <v>0.25800000000000001</v>
      </c>
      <c r="O1903" s="50"/>
    </row>
    <row r="1904" spans="2:15" x14ac:dyDescent="0.2">
      <c r="B1904">
        <v>1889</v>
      </c>
      <c r="C1904" s="48">
        <f t="shared" ca="1" si="120"/>
        <v>1.2076095150665171</v>
      </c>
      <c r="D1904" s="48">
        <f t="shared" ca="1" si="117"/>
        <v>0.74852051646262718</v>
      </c>
      <c r="E1904" s="48">
        <f t="shared" ca="1" si="118"/>
        <v>0</v>
      </c>
      <c r="F1904" s="17">
        <f t="shared" ca="1" si="119"/>
        <v>0</v>
      </c>
      <c r="H1904" s="17">
        <v>1889</v>
      </c>
      <c r="I1904" s="43">
        <v>0.6684489840922242</v>
      </c>
      <c r="J1904" s="43">
        <v>1.921675195257742E-2</v>
      </c>
      <c r="K1904" s="43"/>
      <c r="L1904" s="43">
        <v>0.24540000000000001</v>
      </c>
      <c r="O1904" s="50"/>
    </row>
    <row r="1905" spans="2:15" x14ac:dyDescent="0.2">
      <c r="B1905">
        <v>1890</v>
      </c>
      <c r="C1905" s="48">
        <f t="shared" ca="1" si="120"/>
        <v>-0.73139527532687865</v>
      </c>
      <c r="D1905" s="48">
        <f t="shared" ca="1" si="117"/>
        <v>0.6182772846434399</v>
      </c>
      <c r="E1905" s="48">
        <f t="shared" ca="1" si="118"/>
        <v>0</v>
      </c>
      <c r="F1905" s="17">
        <f t="shared" ca="1" si="119"/>
        <v>0</v>
      </c>
      <c r="H1905" s="17">
        <v>1890</v>
      </c>
      <c r="I1905" s="43">
        <v>0.66843139097366688</v>
      </c>
      <c r="J1905" s="43">
        <v>1.8972063839881769E-2</v>
      </c>
      <c r="K1905" s="43"/>
      <c r="L1905" s="43">
        <v>0.24440000000000001</v>
      </c>
      <c r="O1905" s="50"/>
    </row>
    <row r="1906" spans="2:15" x14ac:dyDescent="0.2">
      <c r="B1906">
        <v>1891</v>
      </c>
      <c r="C1906" s="48">
        <f t="shared" ca="1" si="120"/>
        <v>1.3227241263893237</v>
      </c>
      <c r="D1906" s="48">
        <f t="shared" ca="1" si="117"/>
        <v>0.75706375602184317</v>
      </c>
      <c r="E1906" s="48">
        <f t="shared" ca="1" si="118"/>
        <v>0</v>
      </c>
      <c r="F1906" s="17">
        <f t="shared" ca="1" si="119"/>
        <v>0</v>
      </c>
      <c r="H1906" s="17">
        <v>1891</v>
      </c>
      <c r="I1906" s="43">
        <v>0.66855751270968045</v>
      </c>
      <c r="J1906" s="43">
        <v>1.9096461649592496E-2</v>
      </c>
      <c r="K1906" s="43"/>
      <c r="L1906" s="43">
        <v>0.251</v>
      </c>
      <c r="O1906" s="50"/>
    </row>
    <row r="1907" spans="2:15" x14ac:dyDescent="0.2">
      <c r="B1907">
        <v>1892</v>
      </c>
      <c r="C1907" s="48">
        <f t="shared" ca="1" si="120"/>
        <v>-0.57952616916933197</v>
      </c>
      <c r="D1907" s="48">
        <f t="shared" ca="1" si="117"/>
        <v>0.62760402138044102</v>
      </c>
      <c r="E1907" s="48">
        <f t="shared" ca="1" si="118"/>
        <v>0</v>
      </c>
      <c r="F1907" s="17">
        <f t="shared" ca="1" si="119"/>
        <v>0</v>
      </c>
      <c r="H1907" s="17">
        <v>1892</v>
      </c>
      <c r="I1907" s="43">
        <v>0.66986268406846872</v>
      </c>
      <c r="J1907" s="43">
        <v>2.0060566479546117E-2</v>
      </c>
      <c r="K1907" s="43"/>
      <c r="L1907" s="43">
        <v>0.25679999999999997</v>
      </c>
      <c r="O1907" s="50"/>
    </row>
    <row r="1908" spans="2:15" x14ac:dyDescent="0.2">
      <c r="B1908">
        <v>1893</v>
      </c>
      <c r="C1908" s="48">
        <f t="shared" ca="1" si="120"/>
        <v>0.14019853652222838</v>
      </c>
      <c r="D1908" s="48">
        <f t="shared" ca="1" si="117"/>
        <v>0.67375413940741946</v>
      </c>
      <c r="E1908" s="48">
        <f t="shared" ca="1" si="118"/>
        <v>0</v>
      </c>
      <c r="F1908" s="17">
        <f t="shared" ca="1" si="119"/>
        <v>0</v>
      </c>
      <c r="H1908" s="17">
        <v>1893</v>
      </c>
      <c r="I1908" s="43">
        <v>0.66881016936400406</v>
      </c>
      <c r="J1908" s="43">
        <v>1.934958927500801E-2</v>
      </c>
      <c r="K1908" s="43"/>
      <c r="L1908" s="43">
        <v>0.25059999999999999</v>
      </c>
      <c r="O1908" s="50"/>
    </row>
    <row r="1909" spans="2:15" x14ac:dyDescent="0.2">
      <c r="B1909">
        <v>1894</v>
      </c>
      <c r="C1909" s="48">
        <f t="shared" ca="1" si="120"/>
        <v>-0.69428096779846971</v>
      </c>
      <c r="D1909" s="48">
        <f t="shared" ca="1" si="117"/>
        <v>0.6205437086343667</v>
      </c>
      <c r="E1909" s="48">
        <f t="shared" ca="1" si="118"/>
        <v>0</v>
      </c>
      <c r="F1909" s="17">
        <f t="shared" ca="1" si="119"/>
        <v>0</v>
      </c>
      <c r="H1909" s="17">
        <v>1894</v>
      </c>
      <c r="I1909" s="43">
        <v>0.66916631699609042</v>
      </c>
      <c r="J1909" s="43">
        <v>1.927683856590454E-2</v>
      </c>
      <c r="K1909" s="43"/>
      <c r="L1909" s="43">
        <v>0.253</v>
      </c>
      <c r="O1909" s="50"/>
    </row>
    <row r="1910" spans="2:15" x14ac:dyDescent="0.2">
      <c r="B1910">
        <v>1895</v>
      </c>
      <c r="C1910" s="48">
        <f t="shared" ca="1" si="120"/>
        <v>0.52959626013867633</v>
      </c>
      <c r="D1910" s="48">
        <f t="shared" ca="1" si="117"/>
        <v>0.70012227778083824</v>
      </c>
      <c r="E1910" s="48">
        <f t="shared" ca="1" si="118"/>
        <v>0</v>
      </c>
      <c r="F1910" s="17">
        <f t="shared" ca="1" si="119"/>
        <v>0</v>
      </c>
      <c r="H1910" s="17">
        <v>1895</v>
      </c>
      <c r="I1910" s="43">
        <v>0.66867301284715097</v>
      </c>
      <c r="J1910" s="43">
        <v>1.8935089031562616E-2</v>
      </c>
      <c r="K1910" s="43"/>
      <c r="L1910" s="43">
        <v>0.247</v>
      </c>
      <c r="O1910" s="50"/>
    </row>
    <row r="1911" spans="2:15" x14ac:dyDescent="0.2">
      <c r="B1911">
        <v>1896</v>
      </c>
      <c r="C1911" s="48">
        <f t="shared" ca="1" si="120"/>
        <v>7.1323073175958304E-2</v>
      </c>
      <c r="D1911" s="48">
        <f t="shared" ca="1" si="117"/>
        <v>0.66919467269793753</v>
      </c>
      <c r="E1911" s="48">
        <f t="shared" ca="1" si="118"/>
        <v>0</v>
      </c>
      <c r="F1911" s="17">
        <f t="shared" ca="1" si="119"/>
        <v>0</v>
      </c>
      <c r="H1911" s="17">
        <v>1896</v>
      </c>
      <c r="I1911" s="43">
        <v>0.67065538614797682</v>
      </c>
      <c r="J1911" s="43">
        <v>2.0409304402038555E-2</v>
      </c>
      <c r="K1911" s="43"/>
      <c r="L1911" s="43">
        <v>0.253</v>
      </c>
      <c r="O1911" s="50"/>
    </row>
    <row r="1912" spans="2:15" x14ac:dyDescent="0.2">
      <c r="B1912">
        <v>1897</v>
      </c>
      <c r="C1912" s="48">
        <f t="shared" ca="1" si="120"/>
        <v>1.759439639878444</v>
      </c>
      <c r="D1912" s="48">
        <f t="shared" ca="1" si="117"/>
        <v>0.7903707580229945</v>
      </c>
      <c r="E1912" s="48">
        <f t="shared" ca="1" si="118"/>
        <v>2.1707580229944901E-3</v>
      </c>
      <c r="F1912" s="17">
        <f t="shared" ca="1" si="119"/>
        <v>1</v>
      </c>
      <c r="H1912" s="17">
        <v>1897</v>
      </c>
      <c r="I1912" s="43">
        <v>0.66977696570575385</v>
      </c>
      <c r="J1912" s="43">
        <v>2.0013737818555841E-2</v>
      </c>
      <c r="K1912" s="43"/>
      <c r="L1912" s="43">
        <v>0.24759999999999999</v>
      </c>
      <c r="O1912" s="50"/>
    </row>
    <row r="1913" spans="2:15" x14ac:dyDescent="0.2">
      <c r="B1913">
        <v>1898</v>
      </c>
      <c r="C1913" s="48">
        <f t="shared" ca="1" si="120"/>
        <v>-0.70834203393609541</v>
      </c>
      <c r="D1913" s="48">
        <f t="shared" ca="1" si="117"/>
        <v>0.61968407902919442</v>
      </c>
      <c r="E1913" s="48">
        <f t="shared" ca="1" si="118"/>
        <v>0</v>
      </c>
      <c r="F1913" s="17">
        <f t="shared" ca="1" si="119"/>
        <v>0</v>
      </c>
      <c r="H1913" s="17">
        <v>1898</v>
      </c>
      <c r="I1913" s="43">
        <v>0.6679704547788794</v>
      </c>
      <c r="J1913" s="43">
        <v>1.8561179669700521E-2</v>
      </c>
      <c r="K1913" s="43"/>
      <c r="L1913" s="43">
        <v>0.24360000000000001</v>
      </c>
      <c r="O1913" s="50"/>
    </row>
    <row r="1914" spans="2:15" x14ac:dyDescent="0.2">
      <c r="B1914">
        <v>1899</v>
      </c>
      <c r="C1914" s="48">
        <f t="shared" ca="1" si="120"/>
        <v>-0.44791122315002946</v>
      </c>
      <c r="D1914" s="48">
        <f t="shared" ca="1" si="117"/>
        <v>0.6358006131806464</v>
      </c>
      <c r="E1914" s="48">
        <f t="shared" ca="1" si="118"/>
        <v>0</v>
      </c>
      <c r="F1914" s="17">
        <f t="shared" ca="1" si="119"/>
        <v>0</v>
      </c>
      <c r="H1914" s="17">
        <v>1899</v>
      </c>
      <c r="I1914" s="43">
        <v>0.66858107144819801</v>
      </c>
      <c r="J1914" s="43">
        <v>1.9023530340753898E-2</v>
      </c>
      <c r="K1914" s="43"/>
      <c r="L1914" s="43">
        <v>0.24759999999999999</v>
      </c>
      <c r="O1914" s="50"/>
    </row>
    <row r="1915" spans="2:15" x14ac:dyDescent="0.2">
      <c r="B1915">
        <v>1900</v>
      </c>
      <c r="C1915" s="48">
        <f t="shared" ca="1" si="120"/>
        <v>1.0505224855609161</v>
      </c>
      <c r="D1915" s="48">
        <f t="shared" ca="1" si="117"/>
        <v>0.73701762087096689</v>
      </c>
      <c r="E1915" s="48">
        <f t="shared" ca="1" si="118"/>
        <v>0</v>
      </c>
      <c r="F1915" s="17">
        <f t="shared" ca="1" si="119"/>
        <v>0</v>
      </c>
      <c r="H1915" s="17">
        <v>1900</v>
      </c>
      <c r="I1915" s="43">
        <v>0.66774457889065375</v>
      </c>
      <c r="J1915" s="43">
        <v>1.8271037538315067E-2</v>
      </c>
      <c r="K1915" s="43"/>
      <c r="L1915" s="43">
        <v>0.2422</v>
      </c>
      <c r="O1915" s="50"/>
    </row>
    <row r="1916" spans="2:15" x14ac:dyDescent="0.2">
      <c r="B1916">
        <v>1901</v>
      </c>
      <c r="C1916" s="48">
        <f t="shared" ca="1" si="120"/>
        <v>0.38028310700885704</v>
      </c>
      <c r="D1916" s="48">
        <f t="shared" ca="1" si="117"/>
        <v>0.68989167765801696</v>
      </c>
      <c r="E1916" s="48">
        <f t="shared" ca="1" si="118"/>
        <v>0</v>
      </c>
      <c r="F1916" s="17">
        <f t="shared" ca="1" si="119"/>
        <v>0</v>
      </c>
      <c r="H1916" s="17">
        <v>1901</v>
      </c>
      <c r="I1916" s="43">
        <v>0.66908777515992757</v>
      </c>
      <c r="J1916" s="43">
        <v>1.9468590495352375E-2</v>
      </c>
      <c r="K1916" s="43"/>
      <c r="L1916" s="43">
        <v>0.24540000000000001</v>
      </c>
      <c r="O1916" s="50"/>
    </row>
    <row r="1917" spans="2:15" x14ac:dyDescent="0.2">
      <c r="B1917">
        <v>1902</v>
      </c>
      <c r="C1917" s="48">
        <f t="shared" ca="1" si="120"/>
        <v>1.3970205318607147</v>
      </c>
      <c r="D1917" s="48">
        <f t="shared" ca="1" si="117"/>
        <v>0.76262937519438845</v>
      </c>
      <c r="E1917" s="48">
        <f t="shared" ca="1" si="118"/>
        <v>0</v>
      </c>
      <c r="F1917" s="17">
        <f t="shared" ca="1" si="119"/>
        <v>0</v>
      </c>
      <c r="H1917" s="17">
        <v>1902</v>
      </c>
      <c r="I1917" s="43">
        <v>0.66881767318886909</v>
      </c>
      <c r="J1917" s="43">
        <v>1.9306805008932681E-2</v>
      </c>
      <c r="K1917" s="43"/>
      <c r="L1917" s="43">
        <v>0.25359999999999999</v>
      </c>
      <c r="O1917" s="50"/>
    </row>
    <row r="1918" spans="2:15" x14ac:dyDescent="0.2">
      <c r="B1918">
        <v>1903</v>
      </c>
      <c r="C1918" s="48">
        <f t="shared" ca="1" si="120"/>
        <v>-0.46613929222273032</v>
      </c>
      <c r="D1918" s="48">
        <f t="shared" ca="1" si="117"/>
        <v>0.63465906785364734</v>
      </c>
      <c r="E1918" s="48">
        <f t="shared" ca="1" si="118"/>
        <v>0</v>
      </c>
      <c r="F1918" s="17">
        <f t="shared" ca="1" si="119"/>
        <v>0</v>
      </c>
      <c r="H1918" s="17">
        <v>1903</v>
      </c>
      <c r="I1918" s="43">
        <v>0.66947590299584836</v>
      </c>
      <c r="J1918" s="43">
        <v>1.9673281315697917E-2</v>
      </c>
      <c r="K1918" s="43"/>
      <c r="L1918" s="43">
        <v>0.24360000000000001</v>
      </c>
      <c r="O1918" s="50"/>
    </row>
    <row r="1919" spans="2:15" x14ac:dyDescent="0.2">
      <c r="B1919">
        <v>1904</v>
      </c>
      <c r="C1919" s="48">
        <f t="shared" ca="1" si="120"/>
        <v>0.58583837532500493</v>
      </c>
      <c r="D1919" s="48">
        <f t="shared" ca="1" si="117"/>
        <v>0.70401507561981358</v>
      </c>
      <c r="E1919" s="48">
        <f t="shared" ca="1" si="118"/>
        <v>0</v>
      </c>
      <c r="F1919" s="17">
        <f t="shared" ca="1" si="119"/>
        <v>0</v>
      </c>
      <c r="H1919" s="17">
        <v>1904</v>
      </c>
      <c r="I1919" s="43">
        <v>0.66834615824138843</v>
      </c>
      <c r="J1919" s="43">
        <v>1.892462786228501E-2</v>
      </c>
      <c r="K1919" s="43"/>
      <c r="L1919" s="43">
        <v>0.25</v>
      </c>
      <c r="O1919" s="50"/>
    </row>
    <row r="1920" spans="2:15" x14ac:dyDescent="0.2">
      <c r="B1920">
        <v>1905</v>
      </c>
      <c r="C1920" s="48">
        <f t="shared" ca="1" si="120"/>
        <v>6.7676841829987433E-3</v>
      </c>
      <c r="D1920" s="48">
        <f t="shared" ca="1" si="117"/>
        <v>0.66494920609026986</v>
      </c>
      <c r="E1920" s="48">
        <f t="shared" ca="1" si="118"/>
        <v>0</v>
      </c>
      <c r="F1920" s="17">
        <f t="shared" ca="1" si="119"/>
        <v>0</v>
      </c>
      <c r="H1920" s="17">
        <v>1905</v>
      </c>
      <c r="I1920" s="43">
        <v>0.66882143418970696</v>
      </c>
      <c r="J1920" s="43">
        <v>1.8798383718865164E-2</v>
      </c>
      <c r="K1920" s="43"/>
      <c r="L1920" s="43">
        <v>0.246</v>
      </c>
      <c r="O1920" s="50"/>
    </row>
    <row r="1921" spans="2:15" x14ac:dyDescent="0.2">
      <c r="B1921">
        <v>1906</v>
      </c>
      <c r="C1921" s="48">
        <f t="shared" ca="1" si="120"/>
        <v>-2.8696174751472228</v>
      </c>
      <c r="D1921" s="48">
        <f t="shared" ca="1" si="117"/>
        <v>0.50076409456277038</v>
      </c>
      <c r="E1921" s="48">
        <f t="shared" ca="1" si="118"/>
        <v>0</v>
      </c>
      <c r="F1921" s="17">
        <f t="shared" ca="1" si="119"/>
        <v>0</v>
      </c>
      <c r="H1921" s="17">
        <v>1906</v>
      </c>
      <c r="I1921" s="43">
        <v>0.67080098722410209</v>
      </c>
      <c r="J1921" s="43">
        <v>2.0520308859118465E-2</v>
      </c>
      <c r="K1921" s="43"/>
      <c r="L1921" s="43">
        <v>0.255</v>
      </c>
      <c r="O1921" s="50"/>
    </row>
    <row r="1922" spans="2:15" x14ac:dyDescent="0.2">
      <c r="B1922">
        <v>1907</v>
      </c>
      <c r="C1922" s="48">
        <f t="shared" ca="1" si="120"/>
        <v>1.0638170384216614</v>
      </c>
      <c r="D1922" s="48">
        <f t="shared" ca="1" si="117"/>
        <v>0.73798424574768473</v>
      </c>
      <c r="E1922" s="48">
        <f t="shared" ca="1" si="118"/>
        <v>0</v>
      </c>
      <c r="F1922" s="17">
        <f t="shared" ca="1" si="119"/>
        <v>0</v>
      </c>
      <c r="H1922" s="17">
        <v>1907</v>
      </c>
      <c r="I1922" s="43">
        <v>0.66905268396142559</v>
      </c>
      <c r="J1922" s="43">
        <v>1.9445847507391176E-2</v>
      </c>
      <c r="K1922" s="43"/>
      <c r="L1922" s="43">
        <v>0.24759999999999999</v>
      </c>
      <c r="O1922" s="50"/>
    </row>
    <row r="1923" spans="2:15" x14ac:dyDescent="0.2">
      <c r="B1923">
        <v>1908</v>
      </c>
      <c r="C1923" s="48">
        <f t="shared" ca="1" si="120"/>
        <v>-0.3968844056858607</v>
      </c>
      <c r="D1923" s="48">
        <f t="shared" ca="1" si="117"/>
        <v>0.63900713341747606</v>
      </c>
      <c r="E1923" s="48">
        <f t="shared" ca="1" si="118"/>
        <v>0</v>
      </c>
      <c r="F1923" s="17">
        <f t="shared" ca="1" si="119"/>
        <v>0</v>
      </c>
      <c r="H1923" s="17">
        <v>1908</v>
      </c>
      <c r="I1923" s="43">
        <v>0.66864836103341418</v>
      </c>
      <c r="J1923" s="43">
        <v>1.9379843874073249E-2</v>
      </c>
      <c r="K1923" s="43"/>
      <c r="L1923" s="43">
        <v>0.25619999999999998</v>
      </c>
      <c r="O1923" s="50"/>
    </row>
    <row r="1924" spans="2:15" x14ac:dyDescent="0.2">
      <c r="B1924">
        <v>1909</v>
      </c>
      <c r="C1924" s="48">
        <f t="shared" ca="1" si="120"/>
        <v>-1.8516310492045129</v>
      </c>
      <c r="D1924" s="48">
        <f t="shared" ca="1" si="117"/>
        <v>0.55362957560661219</v>
      </c>
      <c r="E1924" s="48">
        <f t="shared" ca="1" si="118"/>
        <v>0</v>
      </c>
      <c r="F1924" s="17">
        <f t="shared" ca="1" si="119"/>
        <v>0</v>
      </c>
      <c r="H1924" s="17">
        <v>1909</v>
      </c>
      <c r="I1924" s="43">
        <v>0.66868911766243955</v>
      </c>
      <c r="J1924" s="43">
        <v>1.9314438364084321E-2</v>
      </c>
      <c r="K1924" s="43"/>
      <c r="L1924" s="43">
        <v>0.25180000000000002</v>
      </c>
      <c r="O1924" s="50"/>
    </row>
    <row r="1925" spans="2:15" x14ac:dyDescent="0.2">
      <c r="B1925">
        <v>1910</v>
      </c>
      <c r="C1925" s="48">
        <f t="shared" ca="1" si="120"/>
        <v>-0.11878600642274895</v>
      </c>
      <c r="D1925" s="48">
        <f t="shared" ca="1" si="117"/>
        <v>0.65676918176728194</v>
      </c>
      <c r="E1925" s="48">
        <f t="shared" ca="1" si="118"/>
        <v>0</v>
      </c>
      <c r="F1925" s="17">
        <f t="shared" ca="1" si="119"/>
        <v>0</v>
      </c>
      <c r="H1925" s="17">
        <v>1910</v>
      </c>
      <c r="I1925" s="43">
        <v>0.6678099536152482</v>
      </c>
      <c r="J1925" s="43">
        <v>1.8290679465514558E-2</v>
      </c>
      <c r="K1925" s="43"/>
      <c r="L1925" s="43">
        <v>0.24199999999999999</v>
      </c>
      <c r="O1925" s="50"/>
    </row>
    <row r="1926" spans="2:15" x14ac:dyDescent="0.2">
      <c r="B1926">
        <v>1911</v>
      </c>
      <c r="C1926" s="48">
        <f t="shared" ca="1" si="120"/>
        <v>0.88482817726610119</v>
      </c>
      <c r="D1926" s="48">
        <f t="shared" ca="1" si="117"/>
        <v>0.72507595741404629</v>
      </c>
      <c r="E1926" s="48">
        <f t="shared" ca="1" si="118"/>
        <v>0</v>
      </c>
      <c r="F1926" s="17">
        <f t="shared" ca="1" si="119"/>
        <v>0</v>
      </c>
      <c r="H1926" s="17">
        <v>1911</v>
      </c>
      <c r="I1926" s="43">
        <v>0.66860097995419954</v>
      </c>
      <c r="J1926" s="43">
        <v>1.9087439893271302E-2</v>
      </c>
      <c r="K1926" s="43"/>
      <c r="L1926" s="43">
        <v>0.2404</v>
      </c>
      <c r="O1926" s="50"/>
    </row>
    <row r="1927" spans="2:15" x14ac:dyDescent="0.2">
      <c r="B1927">
        <v>1912</v>
      </c>
      <c r="C1927" s="48">
        <f t="shared" ca="1" si="120"/>
        <v>-0.13827212188341742</v>
      </c>
      <c r="D1927" s="48">
        <f t="shared" ca="1" si="117"/>
        <v>0.65550868230158477</v>
      </c>
      <c r="E1927" s="48">
        <f t="shared" ca="1" si="118"/>
        <v>0</v>
      </c>
      <c r="F1927" s="17">
        <f t="shared" ca="1" si="119"/>
        <v>0</v>
      </c>
      <c r="H1927" s="17">
        <v>1912</v>
      </c>
      <c r="I1927" s="43">
        <v>0.66903439450896363</v>
      </c>
      <c r="J1927" s="43">
        <v>1.938822906271781E-2</v>
      </c>
      <c r="K1927" s="43"/>
      <c r="L1927" s="43">
        <v>0.249</v>
      </c>
      <c r="O1927" s="50"/>
    </row>
    <row r="1928" spans="2:15" x14ac:dyDescent="0.2">
      <c r="B1928">
        <v>1913</v>
      </c>
      <c r="C1928" s="48">
        <f t="shared" ca="1" si="120"/>
        <v>0.30767277920434699</v>
      </c>
      <c r="D1928" s="48">
        <f t="shared" ca="1" si="117"/>
        <v>0.68497074400635893</v>
      </c>
      <c r="E1928" s="48">
        <f t="shared" ca="1" si="118"/>
        <v>0</v>
      </c>
      <c r="F1928" s="17">
        <f t="shared" ca="1" si="119"/>
        <v>0</v>
      </c>
      <c r="H1928" s="17">
        <v>1913</v>
      </c>
      <c r="I1928" s="43">
        <v>0.66754905780758078</v>
      </c>
      <c r="J1928" s="43">
        <v>1.821539481552352E-2</v>
      </c>
      <c r="K1928" s="43"/>
      <c r="L1928" s="43">
        <v>0.25140000000000001</v>
      </c>
      <c r="O1928" s="50"/>
    </row>
    <row r="1929" spans="2:15" x14ac:dyDescent="0.2">
      <c r="B1929">
        <v>1914</v>
      </c>
      <c r="C1929" s="48">
        <f t="shared" ca="1" si="120"/>
        <v>6.8829583152176438E-2</v>
      </c>
      <c r="D1929" s="48">
        <f t="shared" ca="1" si="117"/>
        <v>0.66903018688295091</v>
      </c>
      <c r="E1929" s="48">
        <f t="shared" ca="1" si="118"/>
        <v>0</v>
      </c>
      <c r="F1929" s="17">
        <f t="shared" ca="1" si="119"/>
        <v>0</v>
      </c>
      <c r="H1929" s="17">
        <v>1914</v>
      </c>
      <c r="I1929" s="43">
        <v>0.66829471361248938</v>
      </c>
      <c r="J1929" s="43">
        <v>1.8743520924095574E-2</v>
      </c>
      <c r="K1929" s="43"/>
      <c r="L1929" s="43">
        <v>0.23960000000000001</v>
      </c>
      <c r="O1929" s="50"/>
    </row>
    <row r="1930" spans="2:15" x14ac:dyDescent="0.2">
      <c r="B1930">
        <v>1915</v>
      </c>
      <c r="C1930" s="48">
        <f t="shared" ca="1" si="120"/>
        <v>-0.70922384940384586</v>
      </c>
      <c r="D1930" s="48">
        <f t="shared" ca="1" si="117"/>
        <v>0.61963020854319861</v>
      </c>
      <c r="E1930" s="48">
        <f t="shared" ca="1" si="118"/>
        <v>0</v>
      </c>
      <c r="F1930" s="17">
        <f t="shared" ca="1" si="119"/>
        <v>0</v>
      </c>
      <c r="H1930" s="17">
        <v>1915</v>
      </c>
      <c r="I1930" s="43">
        <v>0.66912902851283074</v>
      </c>
      <c r="J1930" s="43">
        <v>1.9390748929784062E-2</v>
      </c>
      <c r="K1930" s="43"/>
      <c r="L1930" s="43">
        <v>0.24560000000000001</v>
      </c>
      <c r="O1930" s="50"/>
    </row>
    <row r="1931" spans="2:15" x14ac:dyDescent="0.2">
      <c r="B1931">
        <v>1916</v>
      </c>
      <c r="C1931" s="48">
        <f t="shared" ca="1" si="120"/>
        <v>-0.20329538027173497</v>
      </c>
      <c r="D1931" s="48">
        <f t="shared" ca="1" si="117"/>
        <v>0.65131999805412544</v>
      </c>
      <c r="E1931" s="48">
        <f t="shared" ca="1" si="118"/>
        <v>0</v>
      </c>
      <c r="F1931" s="17">
        <f t="shared" ca="1" si="119"/>
        <v>0</v>
      </c>
      <c r="H1931" s="17">
        <v>1916</v>
      </c>
      <c r="I1931" s="43">
        <v>0.67003541539173117</v>
      </c>
      <c r="J1931" s="43">
        <v>2.0136267092231708E-2</v>
      </c>
      <c r="K1931" s="43"/>
      <c r="L1931" s="43">
        <v>0.25359999999999999</v>
      </c>
      <c r="O1931" s="50"/>
    </row>
    <row r="1932" spans="2:15" x14ac:dyDescent="0.2">
      <c r="B1932">
        <v>1917</v>
      </c>
      <c r="C1932" s="48">
        <f t="shared" ca="1" si="120"/>
        <v>-0.61355257611728065</v>
      </c>
      <c r="D1932" s="48">
        <f t="shared" ca="1" si="117"/>
        <v>0.62550220246395349</v>
      </c>
      <c r="E1932" s="48">
        <f t="shared" ca="1" si="118"/>
        <v>0</v>
      </c>
      <c r="F1932" s="17">
        <f t="shared" ca="1" si="119"/>
        <v>0</v>
      </c>
      <c r="H1932" s="17">
        <v>1917</v>
      </c>
      <c r="I1932" s="43">
        <v>0.66846797990338935</v>
      </c>
      <c r="J1932" s="43">
        <v>1.8619874612229862E-2</v>
      </c>
      <c r="K1932" s="43"/>
      <c r="L1932" s="43">
        <v>0.23899999999999999</v>
      </c>
      <c r="O1932" s="50"/>
    </row>
    <row r="1933" spans="2:15" x14ac:dyDescent="0.2">
      <c r="B1933">
        <v>1918</v>
      </c>
      <c r="C1933" s="48">
        <f t="shared" ca="1" si="120"/>
        <v>0.15238224468988018</v>
      </c>
      <c r="D1933" s="48">
        <f t="shared" ca="1" si="117"/>
        <v>0.67456391281327988</v>
      </c>
      <c r="E1933" s="48">
        <f t="shared" ca="1" si="118"/>
        <v>0</v>
      </c>
      <c r="F1933" s="17">
        <f t="shared" ca="1" si="119"/>
        <v>0</v>
      </c>
      <c r="H1933" s="17">
        <v>1918</v>
      </c>
      <c r="I1933" s="43">
        <v>0.66829895925192362</v>
      </c>
      <c r="J1933" s="43">
        <v>1.8833932618057745E-2</v>
      </c>
      <c r="K1933" s="43"/>
      <c r="L1933" s="43">
        <v>0.25040000000000001</v>
      </c>
      <c r="O1933" s="50"/>
    </row>
    <row r="1934" spans="2:15" x14ac:dyDescent="0.2">
      <c r="B1934">
        <v>1919</v>
      </c>
      <c r="C1934" s="48">
        <f t="shared" ca="1" si="120"/>
        <v>-1.1895862490760107</v>
      </c>
      <c r="D1934" s="48">
        <f t="shared" ca="1" si="117"/>
        <v>0.59096993737260239</v>
      </c>
      <c r="E1934" s="48">
        <f t="shared" ca="1" si="118"/>
        <v>0</v>
      </c>
      <c r="F1934" s="17">
        <f t="shared" ca="1" si="119"/>
        <v>0</v>
      </c>
      <c r="H1934" s="17">
        <v>1919</v>
      </c>
      <c r="I1934" s="43">
        <v>0.66811842411183531</v>
      </c>
      <c r="J1934" s="43">
        <v>1.893956551222345E-2</v>
      </c>
      <c r="K1934" s="43"/>
      <c r="L1934" s="43">
        <v>0.2492</v>
      </c>
      <c r="O1934" s="50"/>
    </row>
    <row r="1935" spans="2:15" x14ac:dyDescent="0.2">
      <c r="B1935">
        <v>1920</v>
      </c>
      <c r="C1935" s="48">
        <f t="shared" ca="1" si="120"/>
        <v>0.14413110981248273</v>
      </c>
      <c r="D1935" s="48">
        <f t="shared" ca="1" si="117"/>
        <v>0.67401540618175548</v>
      </c>
      <c r="E1935" s="48">
        <f t="shared" ca="1" si="118"/>
        <v>0</v>
      </c>
      <c r="F1935" s="17">
        <f t="shared" ca="1" si="119"/>
        <v>0</v>
      </c>
      <c r="H1935" s="17">
        <v>1920</v>
      </c>
      <c r="I1935" s="43">
        <v>0.6690309591559187</v>
      </c>
      <c r="J1935" s="43">
        <v>1.9428453542683296E-2</v>
      </c>
      <c r="K1935" s="43"/>
      <c r="L1935" s="43">
        <v>0.25619999999999998</v>
      </c>
      <c r="O1935" s="50"/>
    </row>
    <row r="1936" spans="2:15" x14ac:dyDescent="0.2">
      <c r="B1936">
        <v>1921</v>
      </c>
      <c r="C1936" s="48">
        <f t="shared" ca="1" si="120"/>
        <v>1.0811246911367134</v>
      </c>
      <c r="D1936" s="48">
        <f t="shared" ref="D1936:D1999" ca="1" si="121">S0*EXP((μ-0.5*σ*σ)*T+σ*SQRT(T)*$C1936)</f>
        <v>0.73924455625921404</v>
      </c>
      <c r="E1936" s="48">
        <f t="shared" ref="E1936:E1999" ca="1" si="122">MAX(0,CP*(D1936-K))</f>
        <v>0</v>
      </c>
      <c r="F1936" s="17">
        <f t="shared" ref="F1936:F1999" ca="1" si="123">(CP*(D1936-K)&gt;0)*1</f>
        <v>0</v>
      </c>
      <c r="H1936" s="17">
        <v>1921</v>
      </c>
      <c r="I1936" s="43">
        <v>0.67049777354373996</v>
      </c>
      <c r="J1936" s="43">
        <v>2.0606300438926389E-2</v>
      </c>
      <c r="K1936" s="43"/>
      <c r="L1936" s="43">
        <v>0.2586</v>
      </c>
      <c r="O1936" s="50"/>
    </row>
    <row r="1937" spans="2:15" x14ac:dyDescent="0.2">
      <c r="B1937">
        <v>1922</v>
      </c>
      <c r="C1937" s="48">
        <f t="shared" ref="C1937:C2000" ca="1" si="124">_xlfn.NORM.S.INV(RAND())</f>
        <v>0.41984334582681393</v>
      </c>
      <c r="D1937" s="48">
        <f t="shared" ca="1" si="121"/>
        <v>0.6925876082813418</v>
      </c>
      <c r="E1937" s="48">
        <f t="shared" ca="1" si="122"/>
        <v>0</v>
      </c>
      <c r="F1937" s="17">
        <f t="shared" ca="1" si="123"/>
        <v>0</v>
      </c>
      <c r="H1937" s="17">
        <v>1922</v>
      </c>
      <c r="I1937" s="43">
        <v>0.67000142600816293</v>
      </c>
      <c r="J1937" s="43">
        <v>2.0101133606998341E-2</v>
      </c>
      <c r="K1937" s="43"/>
      <c r="L1937" s="43">
        <v>0.25480000000000003</v>
      </c>
      <c r="O1937" s="50"/>
    </row>
    <row r="1938" spans="2:15" x14ac:dyDescent="0.2">
      <c r="B1938">
        <v>1923</v>
      </c>
      <c r="C1938" s="48">
        <f t="shared" ca="1" si="124"/>
        <v>0.66511461353886925</v>
      </c>
      <c r="D1938" s="48">
        <f t="shared" ca="1" si="121"/>
        <v>0.70953896489255786</v>
      </c>
      <c r="E1938" s="48">
        <f t="shared" ca="1" si="122"/>
        <v>0</v>
      </c>
      <c r="F1938" s="17">
        <f t="shared" ca="1" si="123"/>
        <v>0</v>
      </c>
      <c r="H1938" s="17">
        <v>1923</v>
      </c>
      <c r="I1938" s="43">
        <v>0.66950054964302197</v>
      </c>
      <c r="J1938" s="43">
        <v>1.9955126331120728E-2</v>
      </c>
      <c r="K1938" s="43"/>
      <c r="L1938" s="43">
        <v>0.24879999999999999</v>
      </c>
      <c r="O1938" s="50"/>
    </row>
    <row r="1939" spans="2:15" x14ac:dyDescent="0.2">
      <c r="B1939">
        <v>1924</v>
      </c>
      <c r="C1939" s="48">
        <f t="shared" ca="1" si="124"/>
        <v>1.1015268854697959</v>
      </c>
      <c r="D1939" s="48">
        <f t="shared" ca="1" si="121"/>
        <v>0.74073296968544999</v>
      </c>
      <c r="E1939" s="48">
        <f t="shared" ca="1" si="122"/>
        <v>0</v>
      </c>
      <c r="F1939" s="17">
        <f t="shared" ca="1" si="123"/>
        <v>0</v>
      </c>
      <c r="H1939" s="17">
        <v>1924</v>
      </c>
      <c r="I1939" s="43">
        <v>0.66921920660334111</v>
      </c>
      <c r="J1939" s="43">
        <v>1.9437540811225774E-2</v>
      </c>
      <c r="K1939" s="43"/>
      <c r="L1939" s="43">
        <v>0.25080000000000002</v>
      </c>
      <c r="O1939" s="50"/>
    </row>
    <row r="1940" spans="2:15" x14ac:dyDescent="0.2">
      <c r="B1940">
        <v>1925</v>
      </c>
      <c r="C1940" s="48">
        <f t="shared" ca="1" si="124"/>
        <v>0.98342382270425643</v>
      </c>
      <c r="D1940" s="48">
        <f t="shared" ca="1" si="121"/>
        <v>0.73215827511643394</v>
      </c>
      <c r="E1940" s="48">
        <f t="shared" ca="1" si="122"/>
        <v>0</v>
      </c>
      <c r="F1940" s="17">
        <f t="shared" ca="1" si="123"/>
        <v>0</v>
      </c>
      <c r="H1940" s="17">
        <v>1925</v>
      </c>
      <c r="I1940" s="43">
        <v>0.66943298118872629</v>
      </c>
      <c r="J1940" s="43">
        <v>1.9532801467396999E-2</v>
      </c>
      <c r="K1940" s="43"/>
      <c r="L1940" s="43">
        <v>0.24779999999999999</v>
      </c>
      <c r="O1940" s="50"/>
    </row>
    <row r="1941" spans="2:15" x14ac:dyDescent="0.2">
      <c r="B1941">
        <v>1926</v>
      </c>
      <c r="C1941" s="48">
        <f t="shared" ca="1" si="124"/>
        <v>0.49826861493090197</v>
      </c>
      <c r="D1941" s="48">
        <f t="shared" ca="1" si="121"/>
        <v>0.69796327660057411</v>
      </c>
      <c r="E1941" s="48">
        <f t="shared" ca="1" si="122"/>
        <v>0</v>
      </c>
      <c r="F1941" s="17">
        <f t="shared" ca="1" si="123"/>
        <v>0</v>
      </c>
      <c r="H1941" s="17">
        <v>1926</v>
      </c>
      <c r="I1941" s="43">
        <v>0.66868044396208892</v>
      </c>
      <c r="J1941" s="43">
        <v>1.9171834526494375E-2</v>
      </c>
      <c r="K1941" s="43"/>
      <c r="L1941" s="43">
        <v>0.24660000000000001</v>
      </c>
      <c r="O1941" s="50"/>
    </row>
    <row r="1942" spans="2:15" x14ac:dyDescent="0.2">
      <c r="B1942">
        <v>1927</v>
      </c>
      <c r="C1942" s="48">
        <f t="shared" ca="1" si="124"/>
        <v>-1.0038559336724904</v>
      </c>
      <c r="D1942" s="48">
        <f t="shared" ca="1" si="121"/>
        <v>0.60189067785638417</v>
      </c>
      <c r="E1942" s="48">
        <f t="shared" ca="1" si="122"/>
        <v>0</v>
      </c>
      <c r="F1942" s="17">
        <f t="shared" ca="1" si="123"/>
        <v>0</v>
      </c>
      <c r="H1942" s="17">
        <v>1927</v>
      </c>
      <c r="I1942" s="43">
        <v>0.66840695628568925</v>
      </c>
      <c r="J1942" s="43">
        <v>1.8859682179661906E-2</v>
      </c>
      <c r="K1942" s="43"/>
      <c r="L1942" s="43">
        <v>0.248</v>
      </c>
      <c r="O1942" s="50"/>
    </row>
    <row r="1943" spans="2:15" x14ac:dyDescent="0.2">
      <c r="B1943">
        <v>1928</v>
      </c>
      <c r="C1943" s="48">
        <f t="shared" ca="1" si="124"/>
        <v>-0.56782463759756119</v>
      </c>
      <c r="D1943" s="48">
        <f t="shared" ca="1" si="121"/>
        <v>0.62832845847043317</v>
      </c>
      <c r="E1943" s="48">
        <f t="shared" ca="1" si="122"/>
        <v>0</v>
      </c>
      <c r="F1943" s="17">
        <f t="shared" ca="1" si="123"/>
        <v>0</v>
      </c>
      <c r="H1943" s="17">
        <v>1928</v>
      </c>
      <c r="I1943" s="43">
        <v>0.66993018191141196</v>
      </c>
      <c r="J1943" s="43">
        <v>1.9934569441089248E-2</v>
      </c>
      <c r="K1943" s="43"/>
      <c r="L1943" s="43">
        <v>0.248</v>
      </c>
      <c r="O1943" s="50"/>
    </row>
    <row r="1944" spans="2:15" x14ac:dyDescent="0.2">
      <c r="B1944">
        <v>1929</v>
      </c>
      <c r="C1944" s="48">
        <f t="shared" ca="1" si="124"/>
        <v>-0.26719779480201278</v>
      </c>
      <c r="D1944" s="48">
        <f t="shared" ca="1" si="121"/>
        <v>0.64722959506493027</v>
      </c>
      <c r="E1944" s="48">
        <f t="shared" ca="1" si="122"/>
        <v>0</v>
      </c>
      <c r="F1944" s="17">
        <f t="shared" ca="1" si="123"/>
        <v>0</v>
      </c>
      <c r="H1944" s="17">
        <v>1929</v>
      </c>
      <c r="I1944" s="43">
        <v>0.66945407333100071</v>
      </c>
      <c r="J1944" s="43">
        <v>1.959093292470545E-2</v>
      </c>
      <c r="K1944" s="43"/>
      <c r="L1944" s="43">
        <v>0.24660000000000001</v>
      </c>
      <c r="O1944" s="50"/>
    </row>
    <row r="1945" spans="2:15" x14ac:dyDescent="0.2">
      <c r="B1945">
        <v>1930</v>
      </c>
      <c r="C1945" s="48">
        <f t="shared" ca="1" si="124"/>
        <v>-0.24928280961495383</v>
      </c>
      <c r="D1945" s="48">
        <f t="shared" ca="1" si="121"/>
        <v>0.64837373757486549</v>
      </c>
      <c r="E1945" s="48">
        <f t="shared" ca="1" si="122"/>
        <v>0</v>
      </c>
      <c r="F1945" s="17">
        <f t="shared" ca="1" si="123"/>
        <v>0</v>
      </c>
      <c r="H1945" s="17">
        <v>1930</v>
      </c>
      <c r="I1945" s="43">
        <v>0.66917910199764041</v>
      </c>
      <c r="J1945" s="43">
        <v>1.9543538030196182E-2</v>
      </c>
      <c r="K1945" s="43"/>
      <c r="L1945" s="43">
        <v>0.251</v>
      </c>
      <c r="O1945" s="50"/>
    </row>
    <row r="1946" spans="2:15" x14ac:dyDescent="0.2">
      <c r="B1946">
        <v>1931</v>
      </c>
      <c r="C1946" s="48">
        <f t="shared" ca="1" si="124"/>
        <v>1.2300495564784169</v>
      </c>
      <c r="D1946" s="48">
        <f t="shared" ca="1" si="121"/>
        <v>0.75017830666298668</v>
      </c>
      <c r="E1946" s="48">
        <f t="shared" ca="1" si="122"/>
        <v>0</v>
      </c>
      <c r="F1946" s="17">
        <f t="shared" ca="1" si="123"/>
        <v>0</v>
      </c>
      <c r="H1946" s="17">
        <v>1931</v>
      </c>
      <c r="I1946" s="43">
        <v>0.66871608133143601</v>
      </c>
      <c r="J1946" s="43">
        <v>1.9322452173545068E-2</v>
      </c>
      <c r="K1946" s="43"/>
      <c r="L1946" s="43">
        <v>0.251</v>
      </c>
      <c r="O1946" s="50"/>
    </row>
    <row r="1947" spans="2:15" x14ac:dyDescent="0.2">
      <c r="B1947">
        <v>1932</v>
      </c>
      <c r="C1947" s="48">
        <f t="shared" ca="1" si="124"/>
        <v>0.43482336089127765</v>
      </c>
      <c r="D1947" s="48">
        <f t="shared" ca="1" si="121"/>
        <v>0.69361120625897588</v>
      </c>
      <c r="E1947" s="48">
        <f t="shared" ca="1" si="122"/>
        <v>0</v>
      </c>
      <c r="F1947" s="17">
        <f t="shared" ca="1" si="123"/>
        <v>0</v>
      </c>
      <c r="H1947" s="17">
        <v>1932</v>
      </c>
      <c r="I1947" s="43">
        <v>0.66782681631369301</v>
      </c>
      <c r="J1947" s="43">
        <v>1.8376683511761818E-2</v>
      </c>
      <c r="K1947" s="43"/>
      <c r="L1947" s="43">
        <v>0.246</v>
      </c>
      <c r="O1947" s="50"/>
    </row>
    <row r="1948" spans="2:15" x14ac:dyDescent="0.2">
      <c r="B1948">
        <v>1933</v>
      </c>
      <c r="C1948" s="48">
        <f t="shared" ca="1" si="124"/>
        <v>6.2416337045031411E-2</v>
      </c>
      <c r="D1948" s="48">
        <f t="shared" ca="1" si="121"/>
        <v>0.66860731573669252</v>
      </c>
      <c r="E1948" s="48">
        <f t="shared" ca="1" si="122"/>
        <v>0</v>
      </c>
      <c r="F1948" s="17">
        <f t="shared" ca="1" si="123"/>
        <v>0</v>
      </c>
      <c r="H1948" s="17">
        <v>1933</v>
      </c>
      <c r="I1948" s="43">
        <v>0.6677237010338879</v>
      </c>
      <c r="J1948" s="43">
        <v>1.8374343227768566E-2</v>
      </c>
      <c r="K1948" s="43"/>
      <c r="L1948" s="43">
        <v>0.24279999999999999</v>
      </c>
      <c r="O1948" s="50"/>
    </row>
    <row r="1949" spans="2:15" x14ac:dyDescent="0.2">
      <c r="B1949">
        <v>1934</v>
      </c>
      <c r="C1949" s="48">
        <f t="shared" ca="1" si="124"/>
        <v>-4.3976353799186033E-2</v>
      </c>
      <c r="D1949" s="48">
        <f t="shared" ca="1" si="121"/>
        <v>0.661630954276067</v>
      </c>
      <c r="E1949" s="48">
        <f t="shared" ca="1" si="122"/>
        <v>0</v>
      </c>
      <c r="F1949" s="17">
        <f t="shared" ca="1" si="123"/>
        <v>0</v>
      </c>
      <c r="H1949" s="17">
        <v>1934</v>
      </c>
      <c r="I1949" s="43">
        <v>0.66904916831712813</v>
      </c>
      <c r="J1949" s="43">
        <v>1.9343133772964507E-2</v>
      </c>
      <c r="K1949" s="43"/>
      <c r="L1949" s="43">
        <v>0.24640000000000001</v>
      </c>
      <c r="O1949" s="50"/>
    </row>
    <row r="1950" spans="2:15" x14ac:dyDescent="0.2">
      <c r="B1950">
        <v>1935</v>
      </c>
      <c r="C1950" s="48">
        <f t="shared" ca="1" si="124"/>
        <v>-0.96601570721237418</v>
      </c>
      <c r="D1950" s="48">
        <f t="shared" ca="1" si="121"/>
        <v>0.60414026799552301</v>
      </c>
      <c r="E1950" s="48">
        <f t="shared" ca="1" si="122"/>
        <v>0</v>
      </c>
      <c r="F1950" s="17">
        <f t="shared" ca="1" si="123"/>
        <v>0</v>
      </c>
      <c r="H1950" s="17">
        <v>1935</v>
      </c>
      <c r="I1950" s="43">
        <v>0.66909488261710981</v>
      </c>
      <c r="J1950" s="43">
        <v>1.957197123920499E-2</v>
      </c>
      <c r="K1950" s="43"/>
      <c r="L1950" s="43">
        <v>0.25180000000000002</v>
      </c>
      <c r="O1950" s="50"/>
    </row>
    <row r="1951" spans="2:15" x14ac:dyDescent="0.2">
      <c r="B1951">
        <v>1936</v>
      </c>
      <c r="C1951" s="48">
        <f t="shared" ca="1" si="124"/>
        <v>1.7356451072597943</v>
      </c>
      <c r="D1951" s="48">
        <f t="shared" ca="1" si="121"/>
        <v>0.78851884549599804</v>
      </c>
      <c r="E1951" s="48">
        <f t="shared" ca="1" si="122"/>
        <v>3.1884549599803247E-4</v>
      </c>
      <c r="F1951" s="17">
        <f t="shared" ca="1" si="123"/>
        <v>1</v>
      </c>
      <c r="H1951" s="17">
        <v>1936</v>
      </c>
      <c r="I1951" s="43">
        <v>0.66746529845819746</v>
      </c>
      <c r="J1951" s="43">
        <v>1.8233203015809944E-2</v>
      </c>
      <c r="K1951" s="43"/>
      <c r="L1951" s="43">
        <v>0.2346</v>
      </c>
      <c r="O1951" s="50"/>
    </row>
    <row r="1952" spans="2:15" x14ac:dyDescent="0.2">
      <c r="B1952">
        <v>1937</v>
      </c>
      <c r="C1952" s="48">
        <f t="shared" ca="1" si="124"/>
        <v>-2.0869639269749443</v>
      </c>
      <c r="D1952" s="48">
        <f t="shared" ca="1" si="121"/>
        <v>0.54093274446845674</v>
      </c>
      <c r="E1952" s="48">
        <f t="shared" ca="1" si="122"/>
        <v>0</v>
      </c>
      <c r="F1952" s="17">
        <f t="shared" ca="1" si="123"/>
        <v>0</v>
      </c>
      <c r="H1952" s="17">
        <v>1937</v>
      </c>
      <c r="I1952" s="43">
        <v>0.66904693713126595</v>
      </c>
      <c r="J1952" s="43">
        <v>1.9513334516964426E-2</v>
      </c>
      <c r="K1952" s="43"/>
      <c r="L1952" s="43">
        <v>0.25040000000000001</v>
      </c>
      <c r="O1952" s="50"/>
    </row>
    <row r="1953" spans="2:15" x14ac:dyDescent="0.2">
      <c r="B1953">
        <v>1938</v>
      </c>
      <c r="C1953" s="48">
        <f t="shared" ca="1" si="124"/>
        <v>0.67159194506087694</v>
      </c>
      <c r="D1953" s="48">
        <f t="shared" ca="1" si="121"/>
        <v>0.70999220963005838</v>
      </c>
      <c r="E1953" s="48">
        <f t="shared" ca="1" si="122"/>
        <v>0</v>
      </c>
      <c r="F1953" s="17">
        <f t="shared" ca="1" si="123"/>
        <v>0</v>
      </c>
      <c r="H1953" s="17">
        <v>1938</v>
      </c>
      <c r="I1953" s="43">
        <v>0.66950554703965948</v>
      </c>
      <c r="J1953" s="43">
        <v>1.9296839964650626E-2</v>
      </c>
      <c r="K1953" s="43"/>
      <c r="L1953" s="43">
        <v>0.24660000000000001</v>
      </c>
      <c r="O1953" s="50"/>
    </row>
    <row r="1954" spans="2:15" x14ac:dyDescent="0.2">
      <c r="B1954">
        <v>1939</v>
      </c>
      <c r="C1954" s="48">
        <f t="shared" ca="1" si="124"/>
        <v>-0.70261798298634792</v>
      </c>
      <c r="D1954" s="48">
        <f t="shared" ca="1" si="121"/>
        <v>0.62003387765249651</v>
      </c>
      <c r="E1954" s="48">
        <f t="shared" ca="1" si="122"/>
        <v>0</v>
      </c>
      <c r="F1954" s="17">
        <f t="shared" ca="1" si="123"/>
        <v>0</v>
      </c>
      <c r="H1954" s="17">
        <v>1939</v>
      </c>
      <c r="I1954" s="43">
        <v>0.66842618359248118</v>
      </c>
      <c r="J1954" s="43">
        <v>1.8838192373898888E-2</v>
      </c>
      <c r="K1954" s="43"/>
      <c r="L1954" s="43">
        <v>0.2384</v>
      </c>
      <c r="O1954" s="50"/>
    </row>
    <row r="1955" spans="2:15" x14ac:dyDescent="0.2">
      <c r="B1955">
        <v>1940</v>
      </c>
      <c r="C1955" s="48">
        <f t="shared" ca="1" si="124"/>
        <v>-0.53534805105584238</v>
      </c>
      <c r="D1955" s="48">
        <f t="shared" ca="1" si="121"/>
        <v>0.6303434548560054</v>
      </c>
      <c r="E1955" s="48">
        <f t="shared" ca="1" si="122"/>
        <v>0</v>
      </c>
      <c r="F1955" s="17">
        <f t="shared" ca="1" si="123"/>
        <v>0</v>
      </c>
      <c r="H1955" s="17">
        <v>1940</v>
      </c>
      <c r="I1955" s="43">
        <v>0.66952312703046812</v>
      </c>
      <c r="J1955" s="43">
        <v>1.9467864093257653E-2</v>
      </c>
      <c r="K1955" s="43"/>
      <c r="L1955" s="43">
        <v>0.25879999999999997</v>
      </c>
      <c r="O1955" s="50"/>
    </row>
    <row r="1956" spans="2:15" x14ac:dyDescent="0.2">
      <c r="B1956">
        <v>1941</v>
      </c>
      <c r="C1956" s="48">
        <f t="shared" ca="1" si="124"/>
        <v>-1.7687426702148461</v>
      </c>
      <c r="D1956" s="48">
        <f t="shared" ca="1" si="121"/>
        <v>0.5581722366456906</v>
      </c>
      <c r="E1956" s="48">
        <f t="shared" ca="1" si="122"/>
        <v>0</v>
      </c>
      <c r="F1956" s="17">
        <f t="shared" ca="1" si="123"/>
        <v>0</v>
      </c>
      <c r="H1956" s="17">
        <v>1941</v>
      </c>
      <c r="I1956" s="43">
        <v>0.66952917334713846</v>
      </c>
      <c r="J1956" s="43">
        <v>1.9630603760933066E-2</v>
      </c>
      <c r="K1956" s="43"/>
      <c r="L1956" s="43">
        <v>0.2492</v>
      </c>
      <c r="O1956" s="50"/>
    </row>
    <row r="1957" spans="2:15" x14ac:dyDescent="0.2">
      <c r="B1957">
        <v>1942</v>
      </c>
      <c r="C1957" s="48">
        <f t="shared" ca="1" si="124"/>
        <v>-0.35666611804047088</v>
      </c>
      <c r="D1957" s="48">
        <f t="shared" ca="1" si="121"/>
        <v>0.64154583866240855</v>
      </c>
      <c r="E1957" s="48">
        <f t="shared" ca="1" si="122"/>
        <v>0</v>
      </c>
      <c r="F1957" s="17">
        <f t="shared" ca="1" si="123"/>
        <v>0</v>
      </c>
      <c r="H1957" s="17">
        <v>1942</v>
      </c>
      <c r="I1957" s="43">
        <v>0.66879965974849465</v>
      </c>
      <c r="J1957" s="43">
        <v>1.9020629725140004E-2</v>
      </c>
      <c r="K1957" s="43"/>
      <c r="L1957" s="43">
        <v>0.251</v>
      </c>
      <c r="O1957" s="50"/>
    </row>
    <row r="1958" spans="2:15" x14ac:dyDescent="0.2">
      <c r="B1958">
        <v>1943</v>
      </c>
      <c r="C1958" s="48">
        <f t="shared" ca="1" si="124"/>
        <v>-0.56318101774077012</v>
      </c>
      <c r="D1958" s="48">
        <f t="shared" ca="1" si="121"/>
        <v>0.6286161748090332</v>
      </c>
      <c r="E1958" s="48">
        <f t="shared" ca="1" si="122"/>
        <v>0</v>
      </c>
      <c r="F1958" s="17">
        <f t="shared" ca="1" si="123"/>
        <v>0</v>
      </c>
      <c r="H1958" s="17">
        <v>1943</v>
      </c>
      <c r="I1958" s="43">
        <v>0.66933258065328227</v>
      </c>
      <c r="J1958" s="43">
        <v>1.9576922949841355E-2</v>
      </c>
      <c r="K1958" s="43"/>
      <c r="L1958" s="43">
        <v>0.25040000000000001</v>
      </c>
      <c r="O1958" s="50"/>
    </row>
    <row r="1959" spans="2:15" x14ac:dyDescent="0.2">
      <c r="B1959">
        <v>1944</v>
      </c>
      <c r="C1959" s="48">
        <f t="shared" ca="1" si="124"/>
        <v>-1.7183331791241958</v>
      </c>
      <c r="D1959" s="48">
        <f t="shared" ca="1" si="121"/>
        <v>0.56095311427049199</v>
      </c>
      <c r="E1959" s="48">
        <f t="shared" ca="1" si="122"/>
        <v>0</v>
      </c>
      <c r="F1959" s="17">
        <f t="shared" ca="1" si="123"/>
        <v>0</v>
      </c>
      <c r="H1959" s="17">
        <v>1944</v>
      </c>
      <c r="I1959" s="43">
        <v>0.66783635206310432</v>
      </c>
      <c r="J1959" s="43">
        <v>1.8652400499300201E-2</v>
      </c>
      <c r="K1959" s="43"/>
      <c r="L1959" s="43">
        <v>0.24840000000000001</v>
      </c>
      <c r="O1959" s="50"/>
    </row>
    <row r="1960" spans="2:15" x14ac:dyDescent="0.2">
      <c r="B1960">
        <v>1945</v>
      </c>
      <c r="C1960" s="48">
        <f t="shared" ca="1" si="124"/>
        <v>-2.7636332566721857</v>
      </c>
      <c r="D1960" s="48">
        <f t="shared" ca="1" si="121"/>
        <v>0.50602386741891114</v>
      </c>
      <c r="E1960" s="48">
        <f t="shared" ca="1" si="122"/>
        <v>0</v>
      </c>
      <c r="F1960" s="17">
        <f t="shared" ca="1" si="123"/>
        <v>0</v>
      </c>
      <c r="H1960" s="17">
        <v>1945</v>
      </c>
      <c r="I1960" s="43">
        <v>0.66973881202204444</v>
      </c>
      <c r="J1960" s="43">
        <v>1.9823155623196559E-2</v>
      </c>
      <c r="K1960" s="43"/>
      <c r="L1960" s="43">
        <v>0.25280000000000002</v>
      </c>
      <c r="O1960" s="50"/>
    </row>
    <row r="1961" spans="2:15" x14ac:dyDescent="0.2">
      <c r="B1961">
        <v>1946</v>
      </c>
      <c r="C1961" s="48">
        <f t="shared" ca="1" si="124"/>
        <v>1.3016073863699895</v>
      </c>
      <c r="D1961" s="48">
        <f t="shared" ca="1" si="121"/>
        <v>0.7554893053446049</v>
      </c>
      <c r="E1961" s="48">
        <f t="shared" ca="1" si="122"/>
        <v>0</v>
      </c>
      <c r="F1961" s="17">
        <f t="shared" ca="1" si="123"/>
        <v>0</v>
      </c>
      <c r="H1961" s="17">
        <v>1946</v>
      </c>
      <c r="I1961" s="43">
        <v>0.66931777837773987</v>
      </c>
      <c r="J1961" s="43">
        <v>1.9878850327179072E-2</v>
      </c>
      <c r="K1961" s="43"/>
      <c r="L1961" s="43">
        <v>0.25059999999999999</v>
      </c>
      <c r="O1961" s="50"/>
    </row>
    <row r="1962" spans="2:15" x14ac:dyDescent="0.2">
      <c r="B1962">
        <v>1947</v>
      </c>
      <c r="C1962" s="48">
        <f t="shared" ca="1" si="124"/>
        <v>0.87469661338110916</v>
      </c>
      <c r="D1962" s="48">
        <f t="shared" ca="1" si="121"/>
        <v>0.72435208032035447</v>
      </c>
      <c r="E1962" s="48">
        <f t="shared" ca="1" si="122"/>
        <v>0</v>
      </c>
      <c r="F1962" s="17">
        <f t="shared" ca="1" si="123"/>
        <v>0</v>
      </c>
      <c r="H1962" s="17">
        <v>1947</v>
      </c>
      <c r="I1962" s="43">
        <v>0.66745755098498027</v>
      </c>
      <c r="J1962" s="43">
        <v>1.8293265483675089E-2</v>
      </c>
      <c r="K1962" s="43"/>
      <c r="L1962" s="43">
        <v>0.24460000000000001</v>
      </c>
      <c r="O1962" s="50"/>
    </row>
    <row r="1963" spans="2:15" x14ac:dyDescent="0.2">
      <c r="B1963">
        <v>1948</v>
      </c>
      <c r="C1963" s="48">
        <f t="shared" ca="1" si="124"/>
        <v>-0.85285818971543381</v>
      </c>
      <c r="D1963" s="48">
        <f t="shared" ca="1" si="121"/>
        <v>0.61091773861295451</v>
      </c>
      <c r="E1963" s="48">
        <f t="shared" ca="1" si="122"/>
        <v>0</v>
      </c>
      <c r="F1963" s="17">
        <f t="shared" ca="1" si="123"/>
        <v>0</v>
      </c>
      <c r="H1963" s="17">
        <v>1948</v>
      </c>
      <c r="I1963" s="43">
        <v>0.66905299740449597</v>
      </c>
      <c r="J1963" s="43">
        <v>1.9533626982166964E-2</v>
      </c>
      <c r="K1963" s="43"/>
      <c r="L1963" s="43">
        <v>0.253</v>
      </c>
      <c r="O1963" s="50"/>
    </row>
    <row r="1964" spans="2:15" x14ac:dyDescent="0.2">
      <c r="B1964">
        <v>1949</v>
      </c>
      <c r="C1964" s="48">
        <f t="shared" ca="1" si="124"/>
        <v>0.31294004548742138</v>
      </c>
      <c r="D1964" s="48">
        <f t="shared" ca="1" si="121"/>
        <v>0.68532653240605879</v>
      </c>
      <c r="E1964" s="48">
        <f t="shared" ca="1" si="122"/>
        <v>0</v>
      </c>
      <c r="F1964" s="17">
        <f t="shared" ca="1" si="123"/>
        <v>0</v>
      </c>
      <c r="H1964" s="17">
        <v>1949</v>
      </c>
      <c r="I1964" s="43">
        <v>0.66902203121559267</v>
      </c>
      <c r="J1964" s="43">
        <v>1.968402230842287E-2</v>
      </c>
      <c r="K1964" s="43"/>
      <c r="L1964" s="43">
        <v>0.252</v>
      </c>
      <c r="O1964" s="50"/>
    </row>
    <row r="1965" spans="2:15" x14ac:dyDescent="0.2">
      <c r="B1965">
        <v>1950</v>
      </c>
      <c r="C1965" s="48">
        <f t="shared" ca="1" si="124"/>
        <v>-0.48982745793921245</v>
      </c>
      <c r="D1965" s="48">
        <f t="shared" ca="1" si="121"/>
        <v>0.63317864212159258</v>
      </c>
      <c r="E1965" s="48">
        <f t="shared" ca="1" si="122"/>
        <v>0</v>
      </c>
      <c r="F1965" s="17">
        <f t="shared" ca="1" si="123"/>
        <v>0</v>
      </c>
      <c r="H1965" s="17">
        <v>1950</v>
      </c>
      <c r="I1965" s="43">
        <v>0.66918873225538711</v>
      </c>
      <c r="J1965" s="43">
        <v>1.9446555917297961E-2</v>
      </c>
      <c r="K1965" s="43"/>
      <c r="L1965" s="43">
        <v>0.24859999999999999</v>
      </c>
      <c r="O1965" s="50"/>
    </row>
    <row r="1966" spans="2:15" x14ac:dyDescent="0.2">
      <c r="B1966">
        <v>1951</v>
      </c>
      <c r="C1966" s="48">
        <f t="shared" ca="1" si="124"/>
        <v>1.6934438429574581</v>
      </c>
      <c r="D1966" s="48">
        <f t="shared" ca="1" si="121"/>
        <v>0.78524501546084702</v>
      </c>
      <c r="E1966" s="48">
        <f t="shared" ca="1" si="122"/>
        <v>0</v>
      </c>
      <c r="F1966" s="17">
        <f t="shared" ca="1" si="123"/>
        <v>0</v>
      </c>
      <c r="H1966" s="17">
        <v>1951</v>
      </c>
      <c r="I1966" s="43">
        <v>0.66858395364606171</v>
      </c>
      <c r="J1966" s="43">
        <v>1.8893420648242322E-2</v>
      </c>
      <c r="K1966" s="43"/>
      <c r="L1966" s="43">
        <v>0.24859999999999999</v>
      </c>
      <c r="O1966" s="50"/>
    </row>
    <row r="1967" spans="2:15" x14ac:dyDescent="0.2">
      <c r="B1967">
        <v>1952</v>
      </c>
      <c r="C1967" s="48">
        <f t="shared" ca="1" si="124"/>
        <v>-0.98472970420671557</v>
      </c>
      <c r="D1967" s="48">
        <f t="shared" ca="1" si="121"/>
        <v>0.60302667755988471</v>
      </c>
      <c r="E1967" s="48">
        <f t="shared" ca="1" si="122"/>
        <v>0</v>
      </c>
      <c r="F1967" s="17">
        <f t="shared" ca="1" si="123"/>
        <v>0</v>
      </c>
      <c r="H1967" s="17">
        <v>1952</v>
      </c>
      <c r="I1967" s="43">
        <v>0.66920075504352583</v>
      </c>
      <c r="J1967" s="43">
        <v>1.9445371997289254E-2</v>
      </c>
      <c r="K1967" s="43"/>
      <c r="L1967" s="43">
        <v>0.25640000000000002</v>
      </c>
      <c r="O1967" s="50"/>
    </row>
    <row r="1968" spans="2:15" x14ac:dyDescent="0.2">
      <c r="B1968">
        <v>1953</v>
      </c>
      <c r="C1968" s="48">
        <f t="shared" ca="1" si="124"/>
        <v>1.362308638982517</v>
      </c>
      <c r="D1968" s="48">
        <f t="shared" ca="1" si="121"/>
        <v>0.76002399776319529</v>
      </c>
      <c r="E1968" s="48">
        <f t="shared" ca="1" si="122"/>
        <v>0</v>
      </c>
      <c r="F1968" s="17">
        <f t="shared" ca="1" si="123"/>
        <v>0</v>
      </c>
      <c r="H1968" s="17">
        <v>1953</v>
      </c>
      <c r="I1968" s="43">
        <v>0.66960239707244595</v>
      </c>
      <c r="J1968" s="43">
        <v>1.9849200682596616E-2</v>
      </c>
      <c r="K1968" s="43"/>
      <c r="L1968" s="43">
        <v>0.25659999999999999</v>
      </c>
      <c r="O1968" s="50"/>
    </row>
    <row r="1969" spans="2:15" x14ac:dyDescent="0.2">
      <c r="B1969">
        <v>1954</v>
      </c>
      <c r="C1969" s="48">
        <f t="shared" ca="1" si="124"/>
        <v>-0.26272255532557809</v>
      </c>
      <c r="D1969" s="48">
        <f t="shared" ca="1" si="121"/>
        <v>0.64751521740797269</v>
      </c>
      <c r="E1969" s="48">
        <f t="shared" ca="1" si="122"/>
        <v>0</v>
      </c>
      <c r="F1969" s="17">
        <f t="shared" ca="1" si="123"/>
        <v>0</v>
      </c>
      <c r="H1969" s="17">
        <v>1954</v>
      </c>
      <c r="I1969" s="43">
        <v>0.66877555906000885</v>
      </c>
      <c r="J1969" s="43">
        <v>1.9418836268511281E-2</v>
      </c>
      <c r="K1969" s="43"/>
      <c r="L1969" s="43">
        <v>0.25419999999999998</v>
      </c>
      <c r="O1969" s="50"/>
    </row>
    <row r="1970" spans="2:15" x14ac:dyDescent="0.2">
      <c r="B1970">
        <v>1955</v>
      </c>
      <c r="C1970" s="48">
        <f t="shared" ca="1" si="124"/>
        <v>0.22775823467754622</v>
      </c>
      <c r="D1970" s="48">
        <f t="shared" ca="1" si="121"/>
        <v>0.67959535517553327</v>
      </c>
      <c r="E1970" s="48">
        <f t="shared" ca="1" si="122"/>
        <v>0</v>
      </c>
      <c r="F1970" s="17">
        <f t="shared" ca="1" si="123"/>
        <v>0</v>
      </c>
      <c r="H1970" s="17">
        <v>1955</v>
      </c>
      <c r="I1970" s="43">
        <v>0.66910343375593107</v>
      </c>
      <c r="J1970" s="43">
        <v>1.9386212189844813E-2</v>
      </c>
      <c r="K1970" s="43"/>
      <c r="L1970" s="43">
        <v>0.25019999999999998</v>
      </c>
      <c r="O1970" s="50"/>
    </row>
    <row r="1971" spans="2:15" x14ac:dyDescent="0.2">
      <c r="B1971">
        <v>1956</v>
      </c>
      <c r="C1971" s="48">
        <f t="shared" ca="1" si="124"/>
        <v>-0.41465610551092125</v>
      </c>
      <c r="D1971" s="48">
        <f t="shared" ca="1" si="121"/>
        <v>0.63788853037799043</v>
      </c>
      <c r="E1971" s="48">
        <f t="shared" ca="1" si="122"/>
        <v>0</v>
      </c>
      <c r="F1971" s="17">
        <f t="shared" ca="1" si="123"/>
        <v>0</v>
      </c>
      <c r="H1971" s="17">
        <v>1956</v>
      </c>
      <c r="I1971" s="43">
        <v>0.6704553802925094</v>
      </c>
      <c r="J1971" s="43">
        <v>2.0520004567875061E-2</v>
      </c>
      <c r="K1971" s="43"/>
      <c r="L1971" s="43">
        <v>0.25559999999999999</v>
      </c>
      <c r="O1971" s="50"/>
    </row>
    <row r="1972" spans="2:15" x14ac:dyDescent="0.2">
      <c r="B1972">
        <v>1957</v>
      </c>
      <c r="C1972" s="48">
        <f t="shared" ca="1" si="124"/>
        <v>-0.3647198274508795</v>
      </c>
      <c r="D1972" s="48">
        <f t="shared" ca="1" si="121"/>
        <v>0.64103665675214838</v>
      </c>
      <c r="E1972" s="48">
        <f t="shared" ca="1" si="122"/>
        <v>0</v>
      </c>
      <c r="F1972" s="17">
        <f t="shared" ca="1" si="123"/>
        <v>0</v>
      </c>
      <c r="H1972" s="17">
        <v>1957</v>
      </c>
      <c r="I1972" s="43">
        <v>0.66856205926056322</v>
      </c>
      <c r="J1972" s="43">
        <v>1.8988517732123084E-2</v>
      </c>
      <c r="K1972" s="43"/>
      <c r="L1972" s="43">
        <v>0.2382</v>
      </c>
      <c r="O1972" s="50"/>
    </row>
    <row r="1973" spans="2:15" x14ac:dyDescent="0.2">
      <c r="B1973">
        <v>1958</v>
      </c>
      <c r="C1973" s="48">
        <f t="shared" ca="1" si="124"/>
        <v>-1.2160250288897176</v>
      </c>
      <c r="D1973" s="48">
        <f t="shared" ca="1" si="121"/>
        <v>0.5894315608655919</v>
      </c>
      <c r="E1973" s="48">
        <f t="shared" ca="1" si="122"/>
        <v>0</v>
      </c>
      <c r="F1973" s="17">
        <f t="shared" ca="1" si="123"/>
        <v>0</v>
      </c>
      <c r="H1973" s="17">
        <v>1958</v>
      </c>
      <c r="I1973" s="43">
        <v>0.6688840211191196</v>
      </c>
      <c r="J1973" s="43">
        <v>1.9387342632440369E-2</v>
      </c>
      <c r="K1973" s="43"/>
      <c r="L1973" s="43">
        <v>0.24979999999999999</v>
      </c>
      <c r="O1973" s="50"/>
    </row>
    <row r="1974" spans="2:15" x14ac:dyDescent="0.2">
      <c r="B1974">
        <v>1959</v>
      </c>
      <c r="C1974" s="48">
        <f t="shared" ca="1" si="124"/>
        <v>3.9560009598350362E-2</v>
      </c>
      <c r="D1974" s="48">
        <f t="shared" ca="1" si="121"/>
        <v>0.66710240729719261</v>
      </c>
      <c r="E1974" s="48">
        <f t="shared" ca="1" si="122"/>
        <v>0</v>
      </c>
      <c r="F1974" s="17">
        <f t="shared" ca="1" si="123"/>
        <v>0</v>
      </c>
      <c r="H1974" s="17">
        <v>1959</v>
      </c>
      <c r="I1974" s="43">
        <v>0.66774330746804889</v>
      </c>
      <c r="J1974" s="43">
        <v>1.8431762095101594E-2</v>
      </c>
      <c r="K1974" s="43"/>
      <c r="L1974" s="43">
        <v>0.2492</v>
      </c>
      <c r="O1974" s="50"/>
    </row>
    <row r="1975" spans="2:15" x14ac:dyDescent="0.2">
      <c r="B1975">
        <v>1960</v>
      </c>
      <c r="C1975" s="48">
        <f t="shared" ca="1" si="124"/>
        <v>0.15565303488627302</v>
      </c>
      <c r="D1975" s="48">
        <f t="shared" ca="1" si="121"/>
        <v>0.67478146704476716</v>
      </c>
      <c r="E1975" s="48">
        <f t="shared" ca="1" si="122"/>
        <v>0</v>
      </c>
      <c r="F1975" s="17">
        <f t="shared" ca="1" si="123"/>
        <v>0</v>
      </c>
      <c r="H1975" s="17">
        <v>1960</v>
      </c>
      <c r="I1975" s="43">
        <v>0.66958053243706761</v>
      </c>
      <c r="J1975" s="43">
        <v>1.9924694988860729E-2</v>
      </c>
      <c r="K1975" s="43"/>
      <c r="L1975" s="43">
        <v>0.26219999999999999</v>
      </c>
      <c r="O1975" s="50"/>
    </row>
    <row r="1976" spans="2:15" x14ac:dyDescent="0.2">
      <c r="B1976">
        <v>1961</v>
      </c>
      <c r="C1976" s="48">
        <f t="shared" ca="1" si="124"/>
        <v>-0.24274898667105307</v>
      </c>
      <c r="D1976" s="48">
        <f t="shared" ca="1" si="121"/>
        <v>0.64879152405436658</v>
      </c>
      <c r="E1976" s="48">
        <f t="shared" ca="1" si="122"/>
        <v>0</v>
      </c>
      <c r="F1976" s="17">
        <f t="shared" ca="1" si="123"/>
        <v>0</v>
      </c>
      <c r="H1976" s="17">
        <v>1961</v>
      </c>
      <c r="I1976" s="43">
        <v>0.66936989505470013</v>
      </c>
      <c r="J1976" s="43">
        <v>1.9930880985439898E-2</v>
      </c>
      <c r="K1976" s="43"/>
      <c r="L1976" s="43">
        <v>0.25779999999999997</v>
      </c>
      <c r="O1976" s="50"/>
    </row>
    <row r="1977" spans="2:15" x14ac:dyDescent="0.2">
      <c r="B1977">
        <v>1962</v>
      </c>
      <c r="C1977" s="48">
        <f t="shared" ca="1" si="124"/>
        <v>-0.21580920623180233</v>
      </c>
      <c r="D1977" s="48">
        <f t="shared" ca="1" si="121"/>
        <v>0.65051695584022273</v>
      </c>
      <c r="E1977" s="48">
        <f t="shared" ca="1" si="122"/>
        <v>0</v>
      </c>
      <c r="F1977" s="17">
        <f t="shared" ca="1" si="123"/>
        <v>0</v>
      </c>
      <c r="H1977" s="17">
        <v>1962</v>
      </c>
      <c r="I1977" s="43">
        <v>0.66891055767654384</v>
      </c>
      <c r="J1977" s="43">
        <v>1.9176170390155563E-2</v>
      </c>
      <c r="K1977" s="43"/>
      <c r="L1977" s="43">
        <v>0.24440000000000001</v>
      </c>
      <c r="O1977" s="50"/>
    </row>
    <row r="1978" spans="2:15" x14ac:dyDescent="0.2">
      <c r="B1978">
        <v>1963</v>
      </c>
      <c r="C1978" s="48">
        <f t="shared" ca="1" si="124"/>
        <v>1.7189316875521501</v>
      </c>
      <c r="D1978" s="48">
        <f t="shared" ca="1" si="121"/>
        <v>0.78722064621120702</v>
      </c>
      <c r="E1978" s="48">
        <f t="shared" ca="1" si="122"/>
        <v>0</v>
      </c>
      <c r="F1978" s="17">
        <f t="shared" ca="1" si="123"/>
        <v>0</v>
      </c>
      <c r="H1978" s="17">
        <v>1963</v>
      </c>
      <c r="I1978" s="43">
        <v>0.6683316151525458</v>
      </c>
      <c r="J1978" s="43">
        <v>1.8946513103207725E-2</v>
      </c>
      <c r="K1978" s="43"/>
      <c r="L1978" s="43">
        <v>0.25180000000000002</v>
      </c>
      <c r="O1978" s="50"/>
    </row>
    <row r="1979" spans="2:15" x14ac:dyDescent="0.2">
      <c r="B1979">
        <v>1964</v>
      </c>
      <c r="C1979" s="48">
        <f t="shared" ca="1" si="124"/>
        <v>-0.80488070852731675</v>
      </c>
      <c r="D1979" s="48">
        <f t="shared" ca="1" si="121"/>
        <v>0.61381421109265932</v>
      </c>
      <c r="E1979" s="48">
        <f t="shared" ca="1" si="122"/>
        <v>0</v>
      </c>
      <c r="F1979" s="17">
        <f t="shared" ca="1" si="123"/>
        <v>0</v>
      </c>
      <c r="H1979" s="17">
        <v>1964</v>
      </c>
      <c r="I1979" s="43">
        <v>0.66887965499391244</v>
      </c>
      <c r="J1979" s="43">
        <v>1.9295839910364543E-2</v>
      </c>
      <c r="K1979" s="43"/>
      <c r="L1979" s="43">
        <v>0.24759999999999999</v>
      </c>
      <c r="O1979" s="50"/>
    </row>
    <row r="1980" spans="2:15" x14ac:dyDescent="0.2">
      <c r="B1980">
        <v>1965</v>
      </c>
      <c r="C1980" s="48">
        <f t="shared" ca="1" si="124"/>
        <v>-0.59093263662059425</v>
      </c>
      <c r="D1980" s="48">
        <f t="shared" ca="1" si="121"/>
        <v>0.62689865551846691</v>
      </c>
      <c r="E1980" s="48">
        <f t="shared" ca="1" si="122"/>
        <v>0</v>
      </c>
      <c r="F1980" s="17">
        <f t="shared" ca="1" si="123"/>
        <v>0</v>
      </c>
      <c r="H1980" s="17">
        <v>1965</v>
      </c>
      <c r="I1980" s="43">
        <v>0.66867619638551234</v>
      </c>
      <c r="J1980" s="43">
        <v>1.9374470367036978E-2</v>
      </c>
      <c r="K1980" s="43"/>
      <c r="L1980" s="43">
        <v>0.2576</v>
      </c>
      <c r="O1980" s="50"/>
    </row>
    <row r="1981" spans="2:15" x14ac:dyDescent="0.2">
      <c r="B1981">
        <v>1966</v>
      </c>
      <c r="C1981" s="48">
        <f t="shared" ca="1" si="124"/>
        <v>0.47116356046485874</v>
      </c>
      <c r="D1981" s="48">
        <f t="shared" ca="1" si="121"/>
        <v>0.69610065582850789</v>
      </c>
      <c r="E1981" s="48">
        <f t="shared" ca="1" si="122"/>
        <v>0</v>
      </c>
      <c r="F1981" s="17">
        <f t="shared" ca="1" si="123"/>
        <v>0</v>
      </c>
      <c r="H1981" s="17">
        <v>1966</v>
      </c>
      <c r="I1981" s="43">
        <v>0.6696976609344506</v>
      </c>
      <c r="J1981" s="43">
        <v>2.0331702874690917E-2</v>
      </c>
      <c r="K1981" s="43"/>
      <c r="L1981" s="43">
        <v>0.25919999999999999</v>
      </c>
      <c r="O1981" s="50"/>
    </row>
    <row r="1982" spans="2:15" x14ac:dyDescent="0.2">
      <c r="B1982">
        <v>1967</v>
      </c>
      <c r="C1982" s="48">
        <f t="shared" ca="1" si="124"/>
        <v>0.28189440097078594</v>
      </c>
      <c r="D1982" s="48">
        <f t="shared" ca="1" si="121"/>
        <v>0.68323215236163315</v>
      </c>
      <c r="E1982" s="48">
        <f t="shared" ca="1" si="122"/>
        <v>0</v>
      </c>
      <c r="F1982" s="17">
        <f t="shared" ca="1" si="123"/>
        <v>0</v>
      </c>
      <c r="H1982" s="17">
        <v>1967</v>
      </c>
      <c r="I1982" s="43">
        <v>0.66848428335500176</v>
      </c>
      <c r="J1982" s="43">
        <v>1.9259695517317609E-2</v>
      </c>
      <c r="K1982" s="43"/>
      <c r="L1982" s="43">
        <v>0.25440000000000002</v>
      </c>
      <c r="O1982" s="50"/>
    </row>
    <row r="1983" spans="2:15" x14ac:dyDescent="0.2">
      <c r="B1983">
        <v>1968</v>
      </c>
      <c r="C1983" s="48">
        <f t="shared" ca="1" si="124"/>
        <v>1.3041886820711297</v>
      </c>
      <c r="D1983" s="48">
        <f t="shared" ca="1" si="121"/>
        <v>0.75568158930613438</v>
      </c>
      <c r="E1983" s="48">
        <f t="shared" ca="1" si="122"/>
        <v>0</v>
      </c>
      <c r="F1983" s="17">
        <f t="shared" ca="1" si="123"/>
        <v>0</v>
      </c>
      <c r="H1983" s="17">
        <v>1968</v>
      </c>
      <c r="I1983" s="43">
        <v>0.66838282993669118</v>
      </c>
      <c r="J1983" s="43">
        <v>1.8771997675256703E-2</v>
      </c>
      <c r="K1983" s="43"/>
      <c r="L1983" s="43">
        <v>0.24360000000000001</v>
      </c>
      <c r="O1983" s="50"/>
    </row>
    <row r="1984" spans="2:15" x14ac:dyDescent="0.2">
      <c r="B1984">
        <v>1969</v>
      </c>
      <c r="C1984" s="48">
        <f t="shared" ca="1" si="124"/>
        <v>-1.0579185587186954</v>
      </c>
      <c r="D1984" s="48">
        <f t="shared" ca="1" si="121"/>
        <v>0.59869119631915779</v>
      </c>
      <c r="E1984" s="48">
        <f t="shared" ca="1" si="122"/>
        <v>0</v>
      </c>
      <c r="F1984" s="17">
        <f t="shared" ca="1" si="123"/>
        <v>0</v>
      </c>
      <c r="H1984" s="17">
        <v>1969</v>
      </c>
      <c r="I1984" s="43">
        <v>0.66892409674746056</v>
      </c>
      <c r="J1984" s="43">
        <v>1.9305370094563193E-2</v>
      </c>
      <c r="K1984" s="43"/>
      <c r="L1984" s="43">
        <v>0.25159999999999999</v>
      </c>
      <c r="O1984" s="50"/>
    </row>
    <row r="1985" spans="2:15" x14ac:dyDescent="0.2">
      <c r="B1985">
        <v>1970</v>
      </c>
      <c r="C1985" s="48">
        <f t="shared" ca="1" si="124"/>
        <v>2.2164639062929727</v>
      </c>
      <c r="D1985" s="48">
        <f t="shared" ca="1" si="121"/>
        <v>0.82679684787250507</v>
      </c>
      <c r="E1985" s="48">
        <f t="shared" ca="1" si="122"/>
        <v>3.8596847872505058E-2</v>
      </c>
      <c r="F1985" s="17">
        <f t="shared" ca="1" si="123"/>
        <v>1</v>
      </c>
      <c r="H1985" s="17">
        <v>1970</v>
      </c>
      <c r="I1985" s="43">
        <v>0.66973731202426356</v>
      </c>
      <c r="J1985" s="43">
        <v>1.9904182283377637E-2</v>
      </c>
      <c r="K1985" s="43"/>
      <c r="L1985" s="43">
        <v>0.25180000000000002</v>
      </c>
      <c r="O1985" s="50"/>
    </row>
    <row r="1986" spans="2:15" x14ac:dyDescent="0.2">
      <c r="B1986">
        <v>1971</v>
      </c>
      <c r="C1986" s="48">
        <f t="shared" ca="1" si="124"/>
        <v>0.44451482584924779</v>
      </c>
      <c r="D1986" s="48">
        <f t="shared" ca="1" si="121"/>
        <v>0.69427423864606763</v>
      </c>
      <c r="E1986" s="48">
        <f t="shared" ca="1" si="122"/>
        <v>0</v>
      </c>
      <c r="F1986" s="17">
        <f t="shared" ca="1" si="123"/>
        <v>0</v>
      </c>
      <c r="H1986" s="17">
        <v>1971</v>
      </c>
      <c r="I1986" s="43">
        <v>0.66872706723665254</v>
      </c>
      <c r="J1986" s="43">
        <v>1.8994984727919665E-2</v>
      </c>
      <c r="K1986" s="43"/>
      <c r="L1986" s="43">
        <v>0.24440000000000001</v>
      </c>
      <c r="O1986" s="50"/>
    </row>
    <row r="1987" spans="2:15" x14ac:dyDescent="0.2">
      <c r="B1987">
        <v>1972</v>
      </c>
      <c r="C1987" s="48">
        <f t="shared" ca="1" si="124"/>
        <v>0.4151056455960549</v>
      </c>
      <c r="D1987" s="48">
        <f t="shared" ca="1" si="121"/>
        <v>0.69226419146713158</v>
      </c>
      <c r="E1987" s="48">
        <f t="shared" ca="1" si="122"/>
        <v>0</v>
      </c>
      <c r="F1987" s="17">
        <f t="shared" ca="1" si="123"/>
        <v>0</v>
      </c>
      <c r="H1987" s="17">
        <v>1972</v>
      </c>
      <c r="I1987" s="43">
        <v>0.66773938170187308</v>
      </c>
      <c r="J1987" s="43">
        <v>1.8526477675399222E-2</v>
      </c>
      <c r="K1987" s="43"/>
      <c r="L1987" s="43">
        <v>0.24460000000000001</v>
      </c>
      <c r="O1987" s="50"/>
    </row>
    <row r="1988" spans="2:15" x14ac:dyDescent="0.2">
      <c r="B1988">
        <v>1973</v>
      </c>
      <c r="C1988" s="48">
        <f t="shared" ca="1" si="124"/>
        <v>-0.27956620592954506</v>
      </c>
      <c r="D1988" s="48">
        <f t="shared" ca="1" si="121"/>
        <v>0.6464408634577139</v>
      </c>
      <c r="E1988" s="48">
        <f t="shared" ca="1" si="122"/>
        <v>0</v>
      </c>
      <c r="F1988" s="17">
        <f t="shared" ca="1" si="123"/>
        <v>0</v>
      </c>
      <c r="H1988" s="17">
        <v>1973</v>
      </c>
      <c r="I1988" s="43">
        <v>0.66906578219681467</v>
      </c>
      <c r="J1988" s="43">
        <v>1.9570945934191775E-2</v>
      </c>
      <c r="K1988" s="43"/>
      <c r="L1988" s="43">
        <v>0.247</v>
      </c>
      <c r="O1988" s="50"/>
    </row>
    <row r="1989" spans="2:15" x14ac:dyDescent="0.2">
      <c r="B1989">
        <v>1974</v>
      </c>
      <c r="C1989" s="48">
        <f t="shared" ca="1" si="124"/>
        <v>0.86030562872354044</v>
      </c>
      <c r="D1989" s="48">
        <f t="shared" ca="1" si="121"/>
        <v>0.72332511944888722</v>
      </c>
      <c r="E1989" s="48">
        <f t="shared" ca="1" si="122"/>
        <v>0</v>
      </c>
      <c r="F1989" s="17">
        <f t="shared" ca="1" si="123"/>
        <v>0</v>
      </c>
      <c r="H1989" s="17">
        <v>1974</v>
      </c>
      <c r="I1989" s="43">
        <v>0.66857374349257293</v>
      </c>
      <c r="J1989" s="43">
        <v>1.8823234614553031E-2</v>
      </c>
      <c r="K1989" s="43"/>
      <c r="L1989" s="43">
        <v>0.25059999999999999</v>
      </c>
      <c r="O1989" s="50"/>
    </row>
    <row r="1990" spans="2:15" x14ac:dyDescent="0.2">
      <c r="B1990">
        <v>1975</v>
      </c>
      <c r="C1990" s="48">
        <f t="shared" ca="1" si="124"/>
        <v>0.18504724892225319</v>
      </c>
      <c r="D1990" s="48">
        <f t="shared" ca="1" si="121"/>
        <v>0.67673975314837298</v>
      </c>
      <c r="E1990" s="48">
        <f t="shared" ca="1" si="122"/>
        <v>0</v>
      </c>
      <c r="F1990" s="17">
        <f t="shared" ca="1" si="123"/>
        <v>0</v>
      </c>
      <c r="H1990" s="17">
        <v>1975</v>
      </c>
      <c r="I1990" s="43">
        <v>0.66867436822336879</v>
      </c>
      <c r="J1990" s="43">
        <v>1.9322437452329599E-2</v>
      </c>
      <c r="K1990" s="43"/>
      <c r="L1990" s="43">
        <v>0.2576</v>
      </c>
      <c r="O1990" s="50"/>
    </row>
    <row r="1991" spans="2:15" x14ac:dyDescent="0.2">
      <c r="B1991">
        <v>1976</v>
      </c>
      <c r="C1991" s="48">
        <f t="shared" ca="1" si="124"/>
        <v>1.18379752873699</v>
      </c>
      <c r="D1991" s="48">
        <f t="shared" ca="1" si="121"/>
        <v>0.7467653779883644</v>
      </c>
      <c r="E1991" s="48">
        <f t="shared" ca="1" si="122"/>
        <v>0</v>
      </c>
      <c r="F1991" s="17">
        <f t="shared" ca="1" si="123"/>
        <v>0</v>
      </c>
      <c r="H1991" s="17">
        <v>1976</v>
      </c>
      <c r="I1991" s="43">
        <v>0.6694143523895858</v>
      </c>
      <c r="J1991" s="43">
        <v>1.9717891998999277E-2</v>
      </c>
      <c r="K1991" s="43"/>
      <c r="L1991" s="43">
        <v>0.24759999999999999</v>
      </c>
      <c r="O1991" s="50"/>
    </row>
    <row r="1992" spans="2:15" x14ac:dyDescent="0.2">
      <c r="B1992">
        <v>1977</v>
      </c>
      <c r="C1992" s="48">
        <f t="shared" ca="1" si="124"/>
        <v>0.34097914916846767</v>
      </c>
      <c r="D1992" s="48">
        <f t="shared" ca="1" si="121"/>
        <v>0.6872236043107216</v>
      </c>
      <c r="E1992" s="48">
        <f t="shared" ca="1" si="122"/>
        <v>0</v>
      </c>
      <c r="F1992" s="17">
        <f t="shared" ca="1" si="123"/>
        <v>0</v>
      </c>
      <c r="H1992" s="17">
        <v>1977</v>
      </c>
      <c r="I1992" s="43">
        <v>0.6697191756233386</v>
      </c>
      <c r="J1992" s="43">
        <v>1.9982246098936052E-2</v>
      </c>
      <c r="K1992" s="43"/>
      <c r="L1992" s="43">
        <v>0.25119999999999998</v>
      </c>
      <c r="O1992" s="50"/>
    </row>
    <row r="1993" spans="2:15" x14ac:dyDescent="0.2">
      <c r="B1993">
        <v>1978</v>
      </c>
      <c r="C1993" s="48">
        <f t="shared" ca="1" si="124"/>
        <v>0.60159771629948755</v>
      </c>
      <c r="D1993" s="48">
        <f t="shared" ca="1" si="121"/>
        <v>0.70510973537440869</v>
      </c>
      <c r="E1993" s="48">
        <f t="shared" ca="1" si="122"/>
        <v>0</v>
      </c>
      <c r="F1993" s="17">
        <f t="shared" ca="1" si="123"/>
        <v>0</v>
      </c>
      <c r="H1993" s="17">
        <v>1978</v>
      </c>
      <c r="I1993" s="43">
        <v>0.66933309459411805</v>
      </c>
      <c r="J1993" s="43">
        <v>1.9699349681482996E-2</v>
      </c>
      <c r="K1993" s="43"/>
      <c r="L1993" s="43">
        <v>0.25240000000000001</v>
      </c>
      <c r="O1993" s="50"/>
    </row>
    <row r="1994" spans="2:15" x14ac:dyDescent="0.2">
      <c r="B1994">
        <v>1979</v>
      </c>
      <c r="C1994" s="48">
        <f t="shared" ca="1" si="124"/>
        <v>1.1461230509477385</v>
      </c>
      <c r="D1994" s="48">
        <f t="shared" ca="1" si="121"/>
        <v>0.74399686317891645</v>
      </c>
      <c r="E1994" s="48">
        <f t="shared" ca="1" si="122"/>
        <v>0</v>
      </c>
      <c r="F1994" s="17">
        <f t="shared" ca="1" si="123"/>
        <v>0</v>
      </c>
      <c r="H1994" s="17">
        <v>1979</v>
      </c>
      <c r="I1994" s="43">
        <v>0.66919271894293275</v>
      </c>
      <c r="J1994" s="43">
        <v>1.9571207254455193E-2</v>
      </c>
      <c r="K1994" s="43"/>
      <c r="L1994" s="43">
        <v>0.25340000000000001</v>
      </c>
      <c r="O1994" s="50"/>
    </row>
    <row r="1995" spans="2:15" x14ac:dyDescent="0.2">
      <c r="B1995">
        <v>1980</v>
      </c>
      <c r="C1995" s="48">
        <f t="shared" ca="1" si="124"/>
        <v>-0.31976029613669466</v>
      </c>
      <c r="D1995" s="48">
        <f t="shared" ca="1" si="121"/>
        <v>0.64388432379843052</v>
      </c>
      <c r="E1995" s="48">
        <f t="shared" ca="1" si="122"/>
        <v>0</v>
      </c>
      <c r="F1995" s="17">
        <f t="shared" ca="1" si="123"/>
        <v>0</v>
      </c>
      <c r="H1995" s="17">
        <v>1980</v>
      </c>
      <c r="I1995" s="43">
        <v>0.66739697534902254</v>
      </c>
      <c r="J1995" s="43">
        <v>1.8053712365958444E-2</v>
      </c>
      <c r="K1995" s="43"/>
      <c r="L1995" s="43">
        <v>0.23760000000000001</v>
      </c>
      <c r="O1995" s="50"/>
    </row>
    <row r="1996" spans="2:15" x14ac:dyDescent="0.2">
      <c r="B1996">
        <v>1981</v>
      </c>
      <c r="C1996" s="48">
        <f t="shared" ca="1" si="124"/>
        <v>0.1063690039819956</v>
      </c>
      <c r="D1996" s="48">
        <f t="shared" ca="1" si="121"/>
        <v>0.67151079918893009</v>
      </c>
      <c r="E1996" s="48">
        <f t="shared" ca="1" si="122"/>
        <v>0</v>
      </c>
      <c r="F1996" s="17">
        <f t="shared" ca="1" si="123"/>
        <v>0</v>
      </c>
      <c r="H1996" s="17">
        <v>1981</v>
      </c>
      <c r="I1996" s="43">
        <v>0.66866740291210736</v>
      </c>
      <c r="J1996" s="43">
        <v>1.9051837794254973E-2</v>
      </c>
      <c r="K1996" s="43"/>
      <c r="L1996" s="43">
        <v>0.247</v>
      </c>
      <c r="O1996" s="50"/>
    </row>
    <row r="1997" spans="2:15" x14ac:dyDescent="0.2">
      <c r="B1997">
        <v>1982</v>
      </c>
      <c r="C1997" s="48">
        <f t="shared" ca="1" si="124"/>
        <v>-0.61643799719456427</v>
      </c>
      <c r="D1997" s="48">
        <f t="shared" ca="1" si="121"/>
        <v>0.62532429343304197</v>
      </c>
      <c r="E1997" s="48">
        <f t="shared" ca="1" si="122"/>
        <v>0</v>
      </c>
      <c r="F1997" s="17">
        <f t="shared" ca="1" si="123"/>
        <v>0</v>
      </c>
      <c r="H1997" s="17">
        <v>1982</v>
      </c>
      <c r="I1997" s="43">
        <v>0.66871890306611159</v>
      </c>
      <c r="J1997" s="43">
        <v>1.9090144599320596E-2</v>
      </c>
      <c r="K1997" s="43"/>
      <c r="L1997" s="43">
        <v>0.252</v>
      </c>
      <c r="O1997" s="50"/>
    </row>
    <row r="1998" spans="2:15" x14ac:dyDescent="0.2">
      <c r="B1998">
        <v>1983</v>
      </c>
      <c r="C1998" s="48">
        <f t="shared" ca="1" si="124"/>
        <v>2.413384478742223E-2</v>
      </c>
      <c r="D1998" s="48">
        <f t="shared" ca="1" si="121"/>
        <v>0.66608863132434759</v>
      </c>
      <c r="E1998" s="48">
        <f t="shared" ca="1" si="122"/>
        <v>0</v>
      </c>
      <c r="F1998" s="17">
        <f t="shared" ca="1" si="123"/>
        <v>0</v>
      </c>
      <c r="H1998" s="17">
        <v>1983</v>
      </c>
      <c r="I1998" s="43">
        <v>0.66744064657066193</v>
      </c>
      <c r="J1998" s="43">
        <v>1.8101786356465525E-2</v>
      </c>
      <c r="K1998" s="43"/>
      <c r="L1998" s="43">
        <v>0.2442</v>
      </c>
      <c r="O1998" s="50"/>
    </row>
    <row r="1999" spans="2:15" x14ac:dyDescent="0.2">
      <c r="B1999">
        <v>1984</v>
      </c>
      <c r="C1999" s="48">
        <f t="shared" ca="1" si="124"/>
        <v>-0.76877129098902808</v>
      </c>
      <c r="D1999" s="48">
        <f t="shared" ca="1" si="121"/>
        <v>0.61600324456476263</v>
      </c>
      <c r="E1999" s="48">
        <f t="shared" ca="1" si="122"/>
        <v>0</v>
      </c>
      <c r="F1999" s="17">
        <f t="shared" ca="1" si="123"/>
        <v>0</v>
      </c>
      <c r="H1999" s="17">
        <v>1984</v>
      </c>
      <c r="I1999" s="43">
        <v>0.66942283846401207</v>
      </c>
      <c r="J1999" s="43">
        <v>1.9441668186779209E-2</v>
      </c>
      <c r="K1999" s="43"/>
      <c r="L1999" s="43">
        <v>0.25679999999999997</v>
      </c>
      <c r="O1999" s="50"/>
    </row>
    <row r="2000" spans="2:15" x14ac:dyDescent="0.2">
      <c r="B2000">
        <v>1985</v>
      </c>
      <c r="C2000" s="48">
        <f t="shared" ca="1" si="124"/>
        <v>0.48040130310705492</v>
      </c>
      <c r="D2000" s="48">
        <f t="shared" ref="D2000:D2063" ca="1" si="125">S0*EXP((μ-0.5*σ*σ)*T+σ*SQRT(T)*$C2000)</f>
        <v>0.69673490133491844</v>
      </c>
      <c r="E2000" s="48">
        <f t="shared" ref="E2000:E2063" ca="1" si="126">MAX(0,CP*(D2000-K))</f>
        <v>0</v>
      </c>
      <c r="F2000" s="17">
        <f t="shared" ref="F2000:F2063" ca="1" si="127">(CP*(D2000-K)&gt;0)*1</f>
        <v>0</v>
      </c>
      <c r="H2000" s="17">
        <v>1985</v>
      </c>
      <c r="I2000" s="43">
        <v>0.67028414903528744</v>
      </c>
      <c r="J2000" s="43">
        <v>2.0845197630771462E-2</v>
      </c>
      <c r="K2000" s="43"/>
      <c r="L2000" s="43">
        <v>0.2636</v>
      </c>
      <c r="O2000" s="50"/>
    </row>
    <row r="2001" spans="2:15" x14ac:dyDescent="0.2">
      <c r="B2001">
        <v>1986</v>
      </c>
      <c r="C2001" s="48">
        <f t="shared" ref="C2001:C2064" ca="1" si="128">_xlfn.NORM.S.INV(RAND())</f>
        <v>-0.65895557798630333</v>
      </c>
      <c r="D2001" s="48">
        <f t="shared" ca="1" si="125"/>
        <v>0.62270860706545228</v>
      </c>
      <c r="E2001" s="48">
        <f t="shared" ca="1" si="126"/>
        <v>0</v>
      </c>
      <c r="F2001" s="17">
        <f t="shared" ca="1" si="127"/>
        <v>0</v>
      </c>
      <c r="H2001" s="17">
        <v>1986</v>
      </c>
      <c r="I2001" s="43">
        <v>0.66885701034322587</v>
      </c>
      <c r="J2001" s="43">
        <v>1.9166137131029687E-2</v>
      </c>
      <c r="K2001" s="43"/>
      <c r="L2001" s="43">
        <v>0.246</v>
      </c>
      <c r="O2001" s="50"/>
    </row>
    <row r="2002" spans="2:15" x14ac:dyDescent="0.2">
      <c r="B2002">
        <v>1987</v>
      </c>
      <c r="C2002" s="48">
        <f t="shared" ca="1" si="128"/>
        <v>0.15209816161396217</v>
      </c>
      <c r="D2002" s="48">
        <f t="shared" ca="1" si="125"/>
        <v>0.67454502054498211</v>
      </c>
      <c r="E2002" s="48">
        <f t="shared" ca="1" si="126"/>
        <v>0</v>
      </c>
      <c r="F2002" s="17">
        <f t="shared" ca="1" si="127"/>
        <v>0</v>
      </c>
      <c r="H2002" s="17">
        <v>1987</v>
      </c>
      <c r="I2002" s="43">
        <v>0.66857918438823249</v>
      </c>
      <c r="J2002" s="43">
        <v>1.880066267536068E-2</v>
      </c>
      <c r="K2002" s="43"/>
      <c r="L2002" s="43">
        <v>0.24360000000000001</v>
      </c>
      <c r="O2002" s="50"/>
    </row>
    <row r="2003" spans="2:15" x14ac:dyDescent="0.2">
      <c r="B2003">
        <v>1988</v>
      </c>
      <c r="C2003" s="48">
        <f t="shared" ca="1" si="128"/>
        <v>0.94778609539077441</v>
      </c>
      <c r="D2003" s="48">
        <f t="shared" ca="1" si="125"/>
        <v>0.72959039947698423</v>
      </c>
      <c r="E2003" s="48">
        <f t="shared" ca="1" si="126"/>
        <v>0</v>
      </c>
      <c r="F2003" s="17">
        <f t="shared" ca="1" si="127"/>
        <v>0</v>
      </c>
      <c r="H2003" s="17">
        <v>1988</v>
      </c>
      <c r="I2003" s="43">
        <v>0.66778637816850306</v>
      </c>
      <c r="J2003" s="43">
        <v>1.8370331558068324E-2</v>
      </c>
      <c r="K2003" s="43"/>
      <c r="L2003" s="43">
        <v>0.24479999999999999</v>
      </c>
      <c r="O2003" s="50"/>
    </row>
    <row r="2004" spans="2:15" x14ac:dyDescent="0.2">
      <c r="B2004">
        <v>1989</v>
      </c>
      <c r="C2004" s="48">
        <f t="shared" ca="1" si="128"/>
        <v>0.24030785404861241</v>
      </c>
      <c r="D2004" s="48">
        <f t="shared" ca="1" si="125"/>
        <v>0.68043669484453728</v>
      </c>
      <c r="E2004" s="48">
        <f t="shared" ca="1" si="126"/>
        <v>0</v>
      </c>
      <c r="F2004" s="17">
        <f t="shared" ca="1" si="127"/>
        <v>0</v>
      </c>
      <c r="H2004" s="17">
        <v>1989</v>
      </c>
      <c r="I2004" s="43">
        <v>0.66869481911010842</v>
      </c>
      <c r="J2004" s="43">
        <v>1.8983271928786342E-2</v>
      </c>
      <c r="K2004" s="43"/>
      <c r="L2004" s="43">
        <v>0.24879999999999999</v>
      </c>
      <c r="O2004" s="50"/>
    </row>
    <row r="2005" spans="2:15" x14ac:dyDescent="0.2">
      <c r="B2005">
        <v>1990</v>
      </c>
      <c r="C2005" s="48">
        <f t="shared" ca="1" si="128"/>
        <v>1.2704388027776639</v>
      </c>
      <c r="D2005" s="48">
        <f t="shared" ca="1" si="125"/>
        <v>0.75317137691471348</v>
      </c>
      <c r="E2005" s="48">
        <f t="shared" ca="1" si="126"/>
        <v>0</v>
      </c>
      <c r="F2005" s="17">
        <f t="shared" ca="1" si="127"/>
        <v>0</v>
      </c>
      <c r="H2005" s="17">
        <v>1990</v>
      </c>
      <c r="I2005" s="43">
        <v>0.66851027901105975</v>
      </c>
      <c r="J2005" s="43">
        <v>1.9162538119173719E-2</v>
      </c>
      <c r="K2005" s="43"/>
      <c r="L2005" s="43">
        <v>0.24060000000000001</v>
      </c>
      <c r="O2005" s="50"/>
    </row>
    <row r="2006" spans="2:15" x14ac:dyDescent="0.2">
      <c r="B2006">
        <v>1991</v>
      </c>
      <c r="C2006" s="48">
        <f t="shared" ca="1" si="128"/>
        <v>1.6879957909282548</v>
      </c>
      <c r="D2006" s="48">
        <f t="shared" ca="1" si="125"/>
        <v>0.78482336602010561</v>
      </c>
      <c r="E2006" s="48">
        <f t="shared" ca="1" si="126"/>
        <v>0</v>
      </c>
      <c r="F2006" s="17">
        <f t="shared" ca="1" si="127"/>
        <v>0</v>
      </c>
      <c r="H2006" s="17">
        <v>1991</v>
      </c>
      <c r="I2006" s="43">
        <v>0.66994195350636143</v>
      </c>
      <c r="J2006" s="43">
        <v>1.9847963122417763E-2</v>
      </c>
      <c r="K2006" s="43"/>
      <c r="L2006" s="43">
        <v>0.2492</v>
      </c>
      <c r="O2006" s="50"/>
    </row>
    <row r="2007" spans="2:15" x14ac:dyDescent="0.2">
      <c r="B2007">
        <v>1992</v>
      </c>
      <c r="C2007" s="48">
        <f t="shared" ca="1" si="128"/>
        <v>1.6055072961384733</v>
      </c>
      <c r="D2007" s="48">
        <f t="shared" ca="1" si="125"/>
        <v>0.77846680372853994</v>
      </c>
      <c r="E2007" s="48">
        <f t="shared" ca="1" si="126"/>
        <v>0</v>
      </c>
      <c r="F2007" s="17">
        <f t="shared" ca="1" si="127"/>
        <v>0</v>
      </c>
      <c r="H2007" s="17">
        <v>1992</v>
      </c>
      <c r="I2007" s="43">
        <v>0.66918292378535127</v>
      </c>
      <c r="J2007" s="43">
        <v>1.9409628949529894E-2</v>
      </c>
      <c r="K2007" s="43"/>
      <c r="L2007" s="43">
        <v>0.245</v>
      </c>
      <c r="O2007" s="50"/>
    </row>
    <row r="2008" spans="2:15" x14ac:dyDescent="0.2">
      <c r="B2008">
        <v>1993</v>
      </c>
      <c r="C2008" s="48">
        <f t="shared" ca="1" si="128"/>
        <v>-0.31739980976133897</v>
      </c>
      <c r="D2008" s="48">
        <f t="shared" ca="1" si="125"/>
        <v>0.6440341823755078</v>
      </c>
      <c r="E2008" s="48">
        <f t="shared" ca="1" si="126"/>
        <v>0</v>
      </c>
      <c r="F2008" s="17">
        <f t="shared" ca="1" si="127"/>
        <v>0</v>
      </c>
      <c r="H2008" s="17">
        <v>1993</v>
      </c>
      <c r="I2008" s="43">
        <v>0.66958181178163723</v>
      </c>
      <c r="J2008" s="43">
        <v>1.9966055103153676E-2</v>
      </c>
      <c r="K2008" s="43"/>
      <c r="L2008" s="43">
        <v>0.25679999999999997</v>
      </c>
      <c r="O2008" s="50"/>
    </row>
    <row r="2009" spans="2:15" x14ac:dyDescent="0.2">
      <c r="B2009">
        <v>1994</v>
      </c>
      <c r="C2009" s="48">
        <f t="shared" ca="1" si="128"/>
        <v>-1.4249058779231958</v>
      </c>
      <c r="D2009" s="48">
        <f t="shared" ca="1" si="125"/>
        <v>0.57741750397583014</v>
      </c>
      <c r="E2009" s="48">
        <f t="shared" ca="1" si="126"/>
        <v>0</v>
      </c>
      <c r="F2009" s="17">
        <f t="shared" ca="1" si="127"/>
        <v>0</v>
      </c>
      <c r="H2009" s="17">
        <v>1994</v>
      </c>
      <c r="I2009" s="43">
        <v>0.66957965013816145</v>
      </c>
      <c r="J2009" s="43">
        <v>1.9845933145360983E-2</v>
      </c>
      <c r="K2009" s="43"/>
      <c r="L2009" s="43">
        <v>0.25280000000000002</v>
      </c>
      <c r="O2009" s="50"/>
    </row>
    <row r="2010" spans="2:15" x14ac:dyDescent="0.2">
      <c r="B2010">
        <v>1995</v>
      </c>
      <c r="C2010" s="48">
        <f t="shared" ca="1" si="128"/>
        <v>-3.0236966292744811</v>
      </c>
      <c r="D2010" s="48">
        <f t="shared" ca="1" si="125"/>
        <v>0.4932148336171282</v>
      </c>
      <c r="E2010" s="48">
        <f t="shared" ca="1" si="126"/>
        <v>0</v>
      </c>
      <c r="F2010" s="17">
        <f t="shared" ca="1" si="127"/>
        <v>0</v>
      </c>
      <c r="H2010" s="17">
        <v>1995</v>
      </c>
      <c r="I2010" s="43">
        <v>0.66840685620720597</v>
      </c>
      <c r="J2010" s="43">
        <v>1.8754523770844949E-2</v>
      </c>
      <c r="K2010" s="43"/>
      <c r="L2010" s="43">
        <v>0.24</v>
      </c>
      <c r="O2010" s="50"/>
    </row>
    <row r="2011" spans="2:15" x14ac:dyDescent="0.2">
      <c r="B2011">
        <v>1996</v>
      </c>
      <c r="C2011" s="48">
        <f t="shared" ca="1" si="128"/>
        <v>-1.4108999489719203</v>
      </c>
      <c r="D2011" s="48">
        <f t="shared" ca="1" si="125"/>
        <v>0.57821535803321911</v>
      </c>
      <c r="E2011" s="48">
        <f t="shared" ca="1" si="126"/>
        <v>0</v>
      </c>
      <c r="F2011" s="17">
        <f t="shared" ca="1" si="127"/>
        <v>0</v>
      </c>
      <c r="H2011" s="17">
        <v>1996</v>
      </c>
      <c r="I2011" s="43">
        <v>0.66853639632134743</v>
      </c>
      <c r="J2011" s="43">
        <v>1.9043067366063829E-2</v>
      </c>
      <c r="K2011" s="43"/>
      <c r="L2011" s="43">
        <v>0.25719999999999998</v>
      </c>
      <c r="O2011" s="50"/>
    </row>
    <row r="2012" spans="2:15" x14ac:dyDescent="0.2">
      <c r="B2012">
        <v>1997</v>
      </c>
      <c r="C2012" s="48">
        <f t="shared" ca="1" si="128"/>
        <v>0.25920984911588879</v>
      </c>
      <c r="D2012" s="48">
        <f t="shared" ca="1" si="125"/>
        <v>0.68170587072198707</v>
      </c>
      <c r="E2012" s="48">
        <f t="shared" ca="1" si="126"/>
        <v>0</v>
      </c>
      <c r="F2012" s="17">
        <f t="shared" ca="1" si="127"/>
        <v>0</v>
      </c>
      <c r="H2012" s="17">
        <v>1997</v>
      </c>
      <c r="I2012" s="43">
        <v>0.6680351165569316</v>
      </c>
      <c r="J2012" s="43">
        <v>1.8534872986300802E-2</v>
      </c>
      <c r="K2012" s="43"/>
      <c r="L2012" s="43">
        <v>0.24740000000000001</v>
      </c>
      <c r="O2012" s="50"/>
    </row>
    <row r="2013" spans="2:15" x14ac:dyDescent="0.2">
      <c r="B2013">
        <v>1998</v>
      </c>
      <c r="C2013" s="48">
        <f t="shared" ca="1" si="128"/>
        <v>0.19391385488416304</v>
      </c>
      <c r="D2013" s="48">
        <f t="shared" ca="1" si="125"/>
        <v>0.67733157452495407</v>
      </c>
      <c r="E2013" s="48">
        <f t="shared" ca="1" si="126"/>
        <v>0</v>
      </c>
      <c r="F2013" s="17">
        <f t="shared" ca="1" si="127"/>
        <v>0</v>
      </c>
      <c r="H2013" s="17">
        <v>1998</v>
      </c>
      <c r="I2013" s="43">
        <v>0.66872151656282131</v>
      </c>
      <c r="J2013" s="43">
        <v>1.9372238693430854E-2</v>
      </c>
      <c r="K2013" s="43"/>
      <c r="L2013" s="43">
        <v>0.24560000000000001</v>
      </c>
      <c r="O2013" s="50"/>
    </row>
    <row r="2014" spans="2:15" x14ac:dyDescent="0.2">
      <c r="B2014">
        <v>1999</v>
      </c>
      <c r="C2014" s="48">
        <f t="shared" ca="1" si="128"/>
        <v>2.8116248959324665E-2</v>
      </c>
      <c r="D2014" s="48">
        <f t="shared" ca="1" si="125"/>
        <v>0.66635019915716942</v>
      </c>
      <c r="E2014" s="48">
        <f t="shared" ca="1" si="126"/>
        <v>0</v>
      </c>
      <c r="F2014" s="17">
        <f t="shared" ca="1" si="127"/>
        <v>0</v>
      </c>
      <c r="H2014" s="17">
        <v>1999</v>
      </c>
      <c r="I2014" s="43">
        <v>0.66899528470933167</v>
      </c>
      <c r="J2014" s="43">
        <v>1.9560172218971598E-2</v>
      </c>
      <c r="K2014" s="43"/>
      <c r="L2014" s="43">
        <v>0.25240000000000001</v>
      </c>
      <c r="O2014" s="50"/>
    </row>
    <row r="2015" spans="2:15" x14ac:dyDescent="0.2">
      <c r="B2015">
        <v>2000</v>
      </c>
      <c r="C2015" s="48">
        <f t="shared" ca="1" si="128"/>
        <v>-0.52186010491235579</v>
      </c>
      <c r="D2015" s="48">
        <f t="shared" ca="1" si="125"/>
        <v>0.63118220686487481</v>
      </c>
      <c r="E2015" s="48">
        <f t="shared" ca="1" si="126"/>
        <v>0</v>
      </c>
      <c r="F2015" s="17">
        <f t="shared" ca="1" si="127"/>
        <v>0</v>
      </c>
      <c r="H2015" s="17">
        <v>2000</v>
      </c>
      <c r="I2015" s="43">
        <v>0.66802702881250919</v>
      </c>
      <c r="J2015" s="43">
        <v>1.883238698759666E-2</v>
      </c>
      <c r="K2015" s="43"/>
      <c r="L2015" s="43">
        <v>0.24959999999999999</v>
      </c>
      <c r="O2015" s="50"/>
    </row>
    <row r="2016" spans="2:15" x14ac:dyDescent="0.2">
      <c r="B2016">
        <v>2001</v>
      </c>
      <c r="C2016" s="48">
        <f t="shared" ca="1" si="128"/>
        <v>-0.55503745773212854</v>
      </c>
      <c r="D2016" s="48">
        <f t="shared" ca="1" si="125"/>
        <v>0.62912106382441446</v>
      </c>
      <c r="E2016" s="48">
        <f t="shared" ca="1" si="126"/>
        <v>0</v>
      </c>
      <c r="F2016" s="17">
        <f t="shared" ca="1" si="127"/>
        <v>0</v>
      </c>
      <c r="H2016" s="17">
        <v>2001</v>
      </c>
      <c r="I2016" s="43">
        <v>0.66869216304433576</v>
      </c>
      <c r="J2016" s="43">
        <v>1.9037264737045787E-2</v>
      </c>
      <c r="K2016" s="43"/>
      <c r="L2016" s="43">
        <v>0.24740000000000001</v>
      </c>
      <c r="O2016" s="50"/>
    </row>
    <row r="2017" spans="2:15" x14ac:dyDescent="0.2">
      <c r="B2017">
        <v>2002</v>
      </c>
      <c r="C2017" s="48">
        <f t="shared" ca="1" si="128"/>
        <v>6.4902684525205145E-2</v>
      </c>
      <c r="D2017" s="48">
        <f t="shared" ca="1" si="125"/>
        <v>0.66877122666015121</v>
      </c>
      <c r="E2017" s="48">
        <f t="shared" ca="1" si="126"/>
        <v>0</v>
      </c>
      <c r="F2017" s="17">
        <f t="shared" ca="1" si="127"/>
        <v>0</v>
      </c>
      <c r="H2017" s="17">
        <v>2002</v>
      </c>
      <c r="I2017" s="43">
        <v>0.67082023526889711</v>
      </c>
      <c r="J2017" s="43">
        <v>2.0782804409859891E-2</v>
      </c>
      <c r="K2017" s="43"/>
      <c r="L2017" s="43">
        <v>0.25840000000000002</v>
      </c>
      <c r="O2017" s="50"/>
    </row>
    <row r="2018" spans="2:15" x14ac:dyDescent="0.2">
      <c r="B2018">
        <v>2003</v>
      </c>
      <c r="C2018" s="48">
        <f t="shared" ca="1" si="128"/>
        <v>0.72321516533316088</v>
      </c>
      <c r="D2018" s="48">
        <f t="shared" ca="1" si="125"/>
        <v>0.71361485661014801</v>
      </c>
      <c r="E2018" s="48">
        <f t="shared" ca="1" si="126"/>
        <v>0</v>
      </c>
      <c r="F2018" s="17">
        <f t="shared" ca="1" si="127"/>
        <v>0</v>
      </c>
      <c r="H2018" s="17">
        <v>2003</v>
      </c>
      <c r="I2018" s="43">
        <v>0.6696001068629811</v>
      </c>
      <c r="J2018" s="43">
        <v>1.9909501797622704E-2</v>
      </c>
      <c r="K2018" s="43"/>
      <c r="L2018" s="43">
        <v>0.253</v>
      </c>
      <c r="O2018" s="50"/>
    </row>
    <row r="2019" spans="2:15" x14ac:dyDescent="0.2">
      <c r="B2019">
        <v>2004</v>
      </c>
      <c r="C2019" s="48">
        <f t="shared" ca="1" si="128"/>
        <v>-0.77201250975944546</v>
      </c>
      <c r="D2019" s="48">
        <f t="shared" ca="1" si="125"/>
        <v>0.61580643614269459</v>
      </c>
      <c r="E2019" s="48">
        <f t="shared" ca="1" si="126"/>
        <v>0</v>
      </c>
      <c r="F2019" s="17">
        <f t="shared" ca="1" si="127"/>
        <v>0</v>
      </c>
      <c r="H2019" s="17">
        <v>2004</v>
      </c>
      <c r="I2019" s="43">
        <v>0.66825060062405806</v>
      </c>
      <c r="J2019" s="43">
        <v>1.8940753950784338E-2</v>
      </c>
      <c r="K2019" s="43"/>
      <c r="L2019" s="43">
        <v>0.24679999999999999</v>
      </c>
      <c r="O2019" s="50"/>
    </row>
    <row r="2020" spans="2:15" x14ac:dyDescent="0.2">
      <c r="B2020">
        <v>2005</v>
      </c>
      <c r="C2020" s="48">
        <f t="shared" ca="1" si="128"/>
        <v>-1.1566186471560598</v>
      </c>
      <c r="D2020" s="48">
        <f t="shared" ca="1" si="125"/>
        <v>0.59289382821936842</v>
      </c>
      <c r="E2020" s="48">
        <f t="shared" ca="1" si="126"/>
        <v>0</v>
      </c>
      <c r="F2020" s="17">
        <f t="shared" ca="1" si="127"/>
        <v>0</v>
      </c>
      <c r="H2020" s="17">
        <v>2005</v>
      </c>
      <c r="I2020" s="43">
        <v>0.66906255866470432</v>
      </c>
      <c r="J2020" s="43">
        <v>1.9306133249496212E-2</v>
      </c>
      <c r="K2020" s="43"/>
      <c r="L2020" s="43">
        <v>0.247</v>
      </c>
      <c r="O2020" s="50"/>
    </row>
    <row r="2021" spans="2:15" x14ac:dyDescent="0.2">
      <c r="B2021">
        <v>2006</v>
      </c>
      <c r="C2021" s="48">
        <f t="shared" ca="1" si="128"/>
        <v>0.13371330587259944</v>
      </c>
      <c r="D2021" s="48">
        <f t="shared" ca="1" si="125"/>
        <v>0.67332350397037732</v>
      </c>
      <c r="E2021" s="48">
        <f t="shared" ca="1" si="126"/>
        <v>0</v>
      </c>
      <c r="F2021" s="17">
        <f t="shared" ca="1" si="127"/>
        <v>0</v>
      </c>
      <c r="H2021" s="17">
        <v>2006</v>
      </c>
      <c r="I2021" s="43">
        <v>0.67025691945601218</v>
      </c>
      <c r="J2021" s="43">
        <v>2.0297230071930385E-2</v>
      </c>
      <c r="K2021" s="43"/>
      <c r="L2021" s="43">
        <v>0.25080000000000002</v>
      </c>
      <c r="O2021" s="50"/>
    </row>
    <row r="2022" spans="2:15" x14ac:dyDescent="0.2">
      <c r="B2022">
        <v>2007</v>
      </c>
      <c r="C2022" s="48">
        <f t="shared" ca="1" si="128"/>
        <v>-0.4193464753080845</v>
      </c>
      <c r="D2022" s="48">
        <f t="shared" ca="1" si="125"/>
        <v>0.63759363145194292</v>
      </c>
      <c r="E2022" s="48">
        <f t="shared" ca="1" si="126"/>
        <v>0</v>
      </c>
      <c r="F2022" s="17">
        <f t="shared" ca="1" si="127"/>
        <v>0</v>
      </c>
      <c r="H2022" s="17">
        <v>2007</v>
      </c>
      <c r="I2022" s="43">
        <v>0.66893355527236931</v>
      </c>
      <c r="J2022" s="43">
        <v>1.9423150887079979E-2</v>
      </c>
      <c r="K2022" s="43"/>
      <c r="L2022" s="43">
        <v>0.25219999999999998</v>
      </c>
      <c r="O2022" s="50"/>
    </row>
    <row r="2023" spans="2:15" x14ac:dyDescent="0.2">
      <c r="B2023">
        <v>2008</v>
      </c>
      <c r="C2023" s="48">
        <f t="shared" ca="1" si="128"/>
        <v>-1.5663369199381638</v>
      </c>
      <c r="D2023" s="48">
        <f t="shared" ca="1" si="125"/>
        <v>0.56942225174080907</v>
      </c>
      <c r="E2023" s="48">
        <f t="shared" ca="1" si="126"/>
        <v>0</v>
      </c>
      <c r="F2023" s="17">
        <f t="shared" ca="1" si="127"/>
        <v>0</v>
      </c>
      <c r="H2023" s="17">
        <v>2008</v>
      </c>
      <c r="I2023" s="43">
        <v>0.66799279881671125</v>
      </c>
      <c r="J2023" s="43">
        <v>1.8461199158341091E-2</v>
      </c>
      <c r="K2023" s="43"/>
      <c r="L2023" s="43">
        <v>0.2452</v>
      </c>
      <c r="O2023" s="50"/>
    </row>
    <row r="2024" spans="2:15" x14ac:dyDescent="0.2">
      <c r="B2024">
        <v>2009</v>
      </c>
      <c r="C2024" s="48">
        <f t="shared" ca="1" si="128"/>
        <v>0.19005324674513605</v>
      </c>
      <c r="D2024" s="48">
        <f t="shared" ca="1" si="125"/>
        <v>0.677073826041659</v>
      </c>
      <c r="E2024" s="48">
        <f t="shared" ca="1" si="126"/>
        <v>0</v>
      </c>
      <c r="F2024" s="17">
        <f t="shared" ca="1" si="127"/>
        <v>0</v>
      </c>
      <c r="H2024" s="17">
        <v>2009</v>
      </c>
      <c r="I2024" s="43">
        <v>0.66806554628567605</v>
      </c>
      <c r="J2024" s="43">
        <v>1.8806656586392106E-2</v>
      </c>
      <c r="K2024" s="43"/>
      <c r="L2024" s="43">
        <v>0.2482</v>
      </c>
      <c r="O2024" s="50"/>
    </row>
    <row r="2025" spans="2:15" x14ac:dyDescent="0.2">
      <c r="B2025">
        <v>2010</v>
      </c>
      <c r="C2025" s="48">
        <f t="shared" ca="1" si="128"/>
        <v>0.43051627386969221</v>
      </c>
      <c r="D2025" s="48">
        <f t="shared" ca="1" si="125"/>
        <v>0.69331674425367984</v>
      </c>
      <c r="E2025" s="48">
        <f t="shared" ca="1" si="126"/>
        <v>0</v>
      </c>
      <c r="F2025" s="17">
        <f t="shared" ca="1" si="127"/>
        <v>0</v>
      </c>
      <c r="H2025" s="17">
        <v>2010</v>
      </c>
      <c r="I2025" s="43">
        <v>0.66832250044681163</v>
      </c>
      <c r="J2025" s="43">
        <v>1.8847427458258955E-2</v>
      </c>
      <c r="K2025" s="43"/>
      <c r="L2025" s="43">
        <v>0.23980000000000001</v>
      </c>
      <c r="O2025" s="50"/>
    </row>
    <row r="2026" spans="2:15" x14ac:dyDescent="0.2">
      <c r="B2026">
        <v>2011</v>
      </c>
      <c r="C2026" s="48">
        <f t="shared" ca="1" si="128"/>
        <v>0.75195174562849487</v>
      </c>
      <c r="D2026" s="48">
        <f t="shared" ca="1" si="125"/>
        <v>0.71563944166398696</v>
      </c>
      <c r="E2026" s="48">
        <f t="shared" ca="1" si="126"/>
        <v>0</v>
      </c>
      <c r="F2026" s="17">
        <f t="shared" ca="1" si="127"/>
        <v>0</v>
      </c>
      <c r="H2026" s="17">
        <v>2011</v>
      </c>
      <c r="I2026" s="43">
        <v>0.66914184244310593</v>
      </c>
      <c r="J2026" s="43">
        <v>1.9503627343170234E-2</v>
      </c>
      <c r="K2026" s="43"/>
      <c r="L2026" s="43">
        <v>0.25380000000000003</v>
      </c>
      <c r="O2026" s="50"/>
    </row>
    <row r="2027" spans="2:15" x14ac:dyDescent="0.2">
      <c r="B2027">
        <v>2012</v>
      </c>
      <c r="C2027" s="48">
        <f t="shared" ca="1" si="128"/>
        <v>-0.47845808495761794</v>
      </c>
      <c r="D2027" s="48">
        <f t="shared" ca="1" si="125"/>
        <v>0.63388875585202686</v>
      </c>
      <c r="E2027" s="48">
        <f t="shared" ca="1" si="126"/>
        <v>0</v>
      </c>
      <c r="F2027" s="17">
        <f t="shared" ca="1" si="127"/>
        <v>0</v>
      </c>
      <c r="H2027" s="17">
        <v>2012</v>
      </c>
      <c r="I2027" s="43">
        <v>0.67029597910157801</v>
      </c>
      <c r="J2027" s="43">
        <v>2.050465527153084E-2</v>
      </c>
      <c r="K2027" s="43"/>
      <c r="L2027" s="43">
        <v>0.25</v>
      </c>
      <c r="O2027" s="50"/>
    </row>
    <row r="2028" spans="2:15" x14ac:dyDescent="0.2">
      <c r="B2028">
        <v>2013</v>
      </c>
      <c r="C2028" s="48">
        <f t="shared" ca="1" si="128"/>
        <v>-0.72908154401004444</v>
      </c>
      <c r="D2028" s="48">
        <f t="shared" ca="1" si="125"/>
        <v>0.61841833281791614</v>
      </c>
      <c r="E2028" s="48">
        <f t="shared" ca="1" si="126"/>
        <v>0</v>
      </c>
      <c r="F2028" s="17">
        <f t="shared" ca="1" si="127"/>
        <v>0</v>
      </c>
      <c r="H2028" s="17">
        <v>2013</v>
      </c>
      <c r="I2028" s="43">
        <v>0.6683183372598368</v>
      </c>
      <c r="J2028" s="43">
        <v>1.9069382031661874E-2</v>
      </c>
      <c r="K2028" s="43"/>
      <c r="L2028" s="43">
        <v>0.25679999999999997</v>
      </c>
      <c r="O2028" s="50"/>
    </row>
    <row r="2029" spans="2:15" x14ac:dyDescent="0.2">
      <c r="B2029">
        <v>2014</v>
      </c>
      <c r="C2029" s="48">
        <f t="shared" ca="1" si="128"/>
        <v>-2.089675177602532</v>
      </c>
      <c r="D2029" s="48">
        <f t="shared" ca="1" si="125"/>
        <v>0.54078817498926757</v>
      </c>
      <c r="E2029" s="48">
        <f t="shared" ca="1" si="126"/>
        <v>0</v>
      </c>
      <c r="F2029" s="17">
        <f t="shared" ca="1" si="127"/>
        <v>0</v>
      </c>
      <c r="H2029" s="17">
        <v>2014</v>
      </c>
      <c r="I2029" s="43">
        <v>0.66808895617040776</v>
      </c>
      <c r="J2029" s="43">
        <v>1.8745219133389304E-2</v>
      </c>
      <c r="K2029" s="43"/>
      <c r="L2029" s="43">
        <v>0.24959999999999999</v>
      </c>
      <c r="O2029" s="50"/>
    </row>
    <row r="2030" spans="2:15" x14ac:dyDescent="0.2">
      <c r="B2030">
        <v>2015</v>
      </c>
      <c r="C2030" s="48">
        <f t="shared" ca="1" si="128"/>
        <v>-1.1076654900623361E-2</v>
      </c>
      <c r="D2030" s="48">
        <f t="shared" ca="1" si="125"/>
        <v>0.6637804370362862</v>
      </c>
      <c r="E2030" s="48">
        <f t="shared" ca="1" si="126"/>
        <v>0</v>
      </c>
      <c r="F2030" s="17">
        <f t="shared" ca="1" si="127"/>
        <v>0</v>
      </c>
      <c r="H2030" s="17">
        <v>2015</v>
      </c>
      <c r="I2030" s="43">
        <v>0.66964061717322143</v>
      </c>
      <c r="J2030" s="43">
        <v>1.9968361173448055E-2</v>
      </c>
      <c r="K2030" s="43"/>
      <c r="L2030" s="43">
        <v>0.25019999999999998</v>
      </c>
      <c r="O2030" s="50"/>
    </row>
    <row r="2031" spans="2:15" x14ac:dyDescent="0.2">
      <c r="B2031">
        <v>2016</v>
      </c>
      <c r="C2031" s="48">
        <f t="shared" ca="1" si="128"/>
        <v>0.38069048545234907</v>
      </c>
      <c r="D2031" s="48">
        <f t="shared" ca="1" si="125"/>
        <v>0.68991938592682278</v>
      </c>
      <c r="E2031" s="48">
        <f t="shared" ca="1" si="126"/>
        <v>0</v>
      </c>
      <c r="F2031" s="17">
        <f t="shared" ca="1" si="127"/>
        <v>0</v>
      </c>
      <c r="H2031" s="17">
        <v>2016</v>
      </c>
      <c r="I2031" s="43">
        <v>0.66839850133755119</v>
      </c>
      <c r="J2031" s="43">
        <v>1.9064414822665406E-2</v>
      </c>
      <c r="K2031" s="43"/>
      <c r="L2031" s="43">
        <v>0.24779999999999999</v>
      </c>
      <c r="O2031" s="50"/>
    </row>
    <row r="2032" spans="2:15" x14ac:dyDescent="0.2">
      <c r="B2032">
        <v>2017</v>
      </c>
      <c r="C2032" s="48">
        <f t="shared" ca="1" si="128"/>
        <v>0.56392420634582852</v>
      </c>
      <c r="D2032" s="48">
        <f t="shared" ca="1" si="125"/>
        <v>0.70249571931690991</v>
      </c>
      <c r="E2032" s="48">
        <f t="shared" ca="1" si="126"/>
        <v>0</v>
      </c>
      <c r="F2032" s="17">
        <f t="shared" ca="1" si="127"/>
        <v>0</v>
      </c>
      <c r="H2032" s="17">
        <v>2017</v>
      </c>
      <c r="I2032" s="43">
        <v>0.66821669039578857</v>
      </c>
      <c r="J2032" s="43">
        <v>1.8802157373935164E-2</v>
      </c>
      <c r="K2032" s="43"/>
      <c r="L2032" s="43">
        <v>0.252</v>
      </c>
      <c r="O2032" s="50"/>
    </row>
    <row r="2033" spans="2:15" x14ac:dyDescent="0.2">
      <c r="B2033">
        <v>2018</v>
      </c>
      <c r="C2033" s="48">
        <f t="shared" ca="1" si="128"/>
        <v>-1.4789727405742765</v>
      </c>
      <c r="D2033" s="48">
        <f t="shared" ca="1" si="125"/>
        <v>0.57434787499879059</v>
      </c>
      <c r="E2033" s="48">
        <f t="shared" ca="1" si="126"/>
        <v>0</v>
      </c>
      <c r="F2033" s="17">
        <f t="shared" ca="1" si="127"/>
        <v>0</v>
      </c>
      <c r="H2033" s="17">
        <v>2018</v>
      </c>
      <c r="I2033" s="43">
        <v>0.66791901769718864</v>
      </c>
      <c r="J2033" s="43">
        <v>1.8605775426909589E-2</v>
      </c>
      <c r="K2033" s="43"/>
      <c r="L2033" s="43">
        <v>0.2404</v>
      </c>
      <c r="O2033" s="50"/>
    </row>
    <row r="2034" spans="2:15" x14ac:dyDescent="0.2">
      <c r="B2034">
        <v>2019</v>
      </c>
      <c r="C2034" s="48">
        <f t="shared" ca="1" si="128"/>
        <v>-1.4208887073119145</v>
      </c>
      <c r="D2034" s="48">
        <f t="shared" ca="1" si="125"/>
        <v>0.57764623124499259</v>
      </c>
      <c r="E2034" s="48">
        <f t="shared" ca="1" si="126"/>
        <v>0</v>
      </c>
      <c r="F2034" s="17">
        <f t="shared" ca="1" si="127"/>
        <v>0</v>
      </c>
      <c r="H2034" s="17">
        <v>2019</v>
      </c>
      <c r="I2034" s="43">
        <v>0.66844539733349118</v>
      </c>
      <c r="J2034" s="43">
        <v>1.8710163493771477E-2</v>
      </c>
      <c r="K2034" s="43"/>
      <c r="L2034" s="43">
        <v>0.2432</v>
      </c>
      <c r="O2034" s="50"/>
    </row>
    <row r="2035" spans="2:15" x14ac:dyDescent="0.2">
      <c r="B2035">
        <v>2020</v>
      </c>
      <c r="C2035" s="48">
        <f t="shared" ca="1" si="128"/>
        <v>-0.77663718661633463</v>
      </c>
      <c r="D2035" s="48">
        <f t="shared" ca="1" si="125"/>
        <v>0.61552573231465302</v>
      </c>
      <c r="E2035" s="48">
        <f t="shared" ca="1" si="126"/>
        <v>0</v>
      </c>
      <c r="F2035" s="17">
        <f t="shared" ca="1" si="127"/>
        <v>0</v>
      </c>
      <c r="H2035" s="17">
        <v>2020</v>
      </c>
      <c r="I2035" s="43">
        <v>0.6684304963333898</v>
      </c>
      <c r="J2035" s="43">
        <v>1.9090084640073151E-2</v>
      </c>
      <c r="K2035" s="43"/>
      <c r="L2035" s="43">
        <v>0.24660000000000001</v>
      </c>
      <c r="O2035" s="50"/>
    </row>
    <row r="2036" spans="2:15" x14ac:dyDescent="0.2">
      <c r="B2036">
        <v>2021</v>
      </c>
      <c r="C2036" s="48">
        <f t="shared" ca="1" si="128"/>
        <v>-0.69712603332693002</v>
      </c>
      <c r="D2036" s="48">
        <f t="shared" ca="1" si="125"/>
        <v>0.62036967809532872</v>
      </c>
      <c r="E2036" s="48">
        <f t="shared" ca="1" si="126"/>
        <v>0</v>
      </c>
      <c r="F2036" s="17">
        <f t="shared" ca="1" si="127"/>
        <v>0</v>
      </c>
      <c r="H2036" s="17">
        <v>2021</v>
      </c>
      <c r="I2036" s="43">
        <v>0.66851855383552816</v>
      </c>
      <c r="J2036" s="43">
        <v>1.9165656845356399E-2</v>
      </c>
      <c r="K2036" s="43"/>
      <c r="L2036" s="43">
        <v>0.24440000000000001</v>
      </c>
      <c r="O2036" s="50"/>
    </row>
    <row r="2037" spans="2:15" x14ac:dyDescent="0.2">
      <c r="B2037">
        <v>2022</v>
      </c>
      <c r="C2037" s="48">
        <f t="shared" ca="1" si="128"/>
        <v>-0.77534130676746194</v>
      </c>
      <c r="D2037" s="48">
        <f t="shared" ca="1" si="125"/>
        <v>0.61560437537638701</v>
      </c>
      <c r="E2037" s="48">
        <f t="shared" ca="1" si="126"/>
        <v>0</v>
      </c>
      <c r="F2037" s="17">
        <f t="shared" ca="1" si="127"/>
        <v>0</v>
      </c>
      <c r="H2037" s="17">
        <v>2022</v>
      </c>
      <c r="I2037" s="43">
        <v>0.66909445363625519</v>
      </c>
      <c r="J2037" s="43">
        <v>1.9492448197537607E-2</v>
      </c>
      <c r="K2037" s="43"/>
      <c r="L2037" s="43">
        <v>0.26079999999999998</v>
      </c>
      <c r="O2037" s="50"/>
    </row>
    <row r="2038" spans="2:15" x14ac:dyDescent="0.2">
      <c r="B2038">
        <v>2023</v>
      </c>
      <c r="C2038" s="48">
        <f t="shared" ca="1" si="128"/>
        <v>-0.69298152163406557</v>
      </c>
      <c r="D2038" s="48">
        <f t="shared" ca="1" si="125"/>
        <v>0.62062321102861506</v>
      </c>
      <c r="E2038" s="48">
        <f t="shared" ca="1" si="126"/>
        <v>0</v>
      </c>
      <c r="F2038" s="17">
        <f t="shared" ca="1" si="127"/>
        <v>0</v>
      </c>
      <c r="H2038" s="17">
        <v>2023</v>
      </c>
      <c r="I2038" s="43">
        <v>0.66952512631125483</v>
      </c>
      <c r="J2038" s="43">
        <v>1.9854284662141463E-2</v>
      </c>
      <c r="K2038" s="43"/>
      <c r="L2038" s="43">
        <v>0.254</v>
      </c>
      <c r="O2038" s="50"/>
    </row>
    <row r="2039" spans="2:15" x14ac:dyDescent="0.2">
      <c r="B2039">
        <v>2024</v>
      </c>
      <c r="C2039" s="48">
        <f t="shared" ca="1" si="128"/>
        <v>0.32916891454815939</v>
      </c>
      <c r="D2039" s="48">
        <f t="shared" ca="1" si="125"/>
        <v>0.68642390724059632</v>
      </c>
      <c r="E2039" s="48">
        <f t="shared" ca="1" si="126"/>
        <v>0</v>
      </c>
      <c r="F2039" s="17">
        <f t="shared" ca="1" si="127"/>
        <v>0</v>
      </c>
      <c r="H2039" s="17">
        <v>2024</v>
      </c>
      <c r="I2039" s="43">
        <v>0.66838897116686946</v>
      </c>
      <c r="J2039" s="43">
        <v>1.9202065858160821E-2</v>
      </c>
      <c r="K2039" s="43"/>
      <c r="L2039" s="43">
        <v>0.25919999999999999</v>
      </c>
      <c r="O2039" s="50"/>
    </row>
    <row r="2040" spans="2:15" x14ac:dyDescent="0.2">
      <c r="B2040">
        <v>2025</v>
      </c>
      <c r="C2040" s="48">
        <f t="shared" ca="1" si="128"/>
        <v>1.1251822743375297</v>
      </c>
      <c r="D2040" s="48">
        <f t="shared" ca="1" si="125"/>
        <v>0.74246246743222055</v>
      </c>
      <c r="E2040" s="48">
        <f t="shared" ca="1" si="126"/>
        <v>0</v>
      </c>
      <c r="F2040" s="17">
        <f t="shared" ca="1" si="127"/>
        <v>0</v>
      </c>
      <c r="H2040" s="17">
        <v>2025</v>
      </c>
      <c r="I2040" s="43">
        <v>0.66945378251425114</v>
      </c>
      <c r="J2040" s="43">
        <v>1.96866694269359E-2</v>
      </c>
      <c r="K2040" s="43"/>
      <c r="L2040" s="43">
        <v>0.25480000000000003</v>
      </c>
      <c r="O2040" s="50"/>
    </row>
    <row r="2041" spans="2:15" x14ac:dyDescent="0.2">
      <c r="B2041">
        <v>2026</v>
      </c>
      <c r="C2041" s="48">
        <f t="shared" ca="1" si="128"/>
        <v>-0.29545304885053203</v>
      </c>
      <c r="D2041" s="48">
        <f t="shared" ca="1" si="125"/>
        <v>0.64542917204738659</v>
      </c>
      <c r="E2041" s="48">
        <f t="shared" ca="1" si="126"/>
        <v>0</v>
      </c>
      <c r="F2041" s="17">
        <f t="shared" ca="1" si="127"/>
        <v>0</v>
      </c>
      <c r="H2041" s="17">
        <v>2026</v>
      </c>
      <c r="I2041" s="43">
        <v>0.6685918188662231</v>
      </c>
      <c r="J2041" s="43">
        <v>1.8824161620567936E-2</v>
      </c>
      <c r="K2041" s="43"/>
      <c r="L2041" s="43">
        <v>0.251</v>
      </c>
      <c r="O2041" s="50"/>
    </row>
    <row r="2042" spans="2:15" x14ac:dyDescent="0.2">
      <c r="B2042">
        <v>2027</v>
      </c>
      <c r="C2042" s="48">
        <f t="shared" ca="1" si="128"/>
        <v>-1.3620439776955375</v>
      </c>
      <c r="D2042" s="48">
        <f t="shared" ca="1" si="125"/>
        <v>0.58100710030979219</v>
      </c>
      <c r="E2042" s="48">
        <f t="shared" ca="1" si="126"/>
        <v>0</v>
      </c>
      <c r="F2042" s="17">
        <f t="shared" ca="1" si="127"/>
        <v>0</v>
      </c>
      <c r="H2042" s="17">
        <v>2027</v>
      </c>
      <c r="I2042" s="43">
        <v>0.66946910446225094</v>
      </c>
      <c r="J2042" s="43">
        <v>1.9730031023557412E-2</v>
      </c>
      <c r="K2042" s="43"/>
      <c r="L2042" s="43">
        <v>0.25519999999999998</v>
      </c>
      <c r="O2042" s="50"/>
    </row>
    <row r="2043" spans="2:15" x14ac:dyDescent="0.2">
      <c r="B2043">
        <v>2028</v>
      </c>
      <c r="C2043" s="48">
        <f t="shared" ca="1" si="128"/>
        <v>0.98587771490047982</v>
      </c>
      <c r="D2043" s="48">
        <f t="shared" ca="1" si="125"/>
        <v>0.73233542248655614</v>
      </c>
      <c r="E2043" s="48">
        <f t="shared" ca="1" si="126"/>
        <v>0</v>
      </c>
      <c r="F2043" s="17">
        <f t="shared" ca="1" si="127"/>
        <v>0</v>
      </c>
      <c r="H2043" s="17">
        <v>2028</v>
      </c>
      <c r="I2043" s="43">
        <v>0.6691284454669949</v>
      </c>
      <c r="J2043" s="43">
        <v>1.9737873403617611E-2</v>
      </c>
      <c r="K2043" s="43"/>
      <c r="L2043" s="43">
        <v>0.252</v>
      </c>
      <c r="O2043" s="50"/>
    </row>
    <row r="2044" spans="2:15" x14ac:dyDescent="0.2">
      <c r="B2044">
        <v>2029</v>
      </c>
      <c r="C2044" s="48">
        <f t="shared" ca="1" si="128"/>
        <v>-0.90459229614050674</v>
      </c>
      <c r="D2044" s="48">
        <f t="shared" ca="1" si="125"/>
        <v>0.60780978623723847</v>
      </c>
      <c r="E2044" s="48">
        <f t="shared" ca="1" si="126"/>
        <v>0</v>
      </c>
      <c r="F2044" s="17">
        <f t="shared" ca="1" si="127"/>
        <v>0</v>
      </c>
      <c r="H2044" s="17">
        <v>2029</v>
      </c>
      <c r="I2044" s="43">
        <v>0.669110133679649</v>
      </c>
      <c r="J2044" s="43">
        <v>1.9756814471330729E-2</v>
      </c>
      <c r="K2044" s="43"/>
      <c r="L2044" s="43">
        <v>0.25640000000000002</v>
      </c>
      <c r="O2044" s="50"/>
    </row>
    <row r="2045" spans="2:15" x14ac:dyDescent="0.2">
      <c r="B2045">
        <v>2030</v>
      </c>
      <c r="C2045" s="48">
        <f t="shared" ca="1" si="128"/>
        <v>-5.584076401168106E-2</v>
      </c>
      <c r="D2045" s="48">
        <f t="shared" ca="1" si="125"/>
        <v>0.66085750876813132</v>
      </c>
      <c r="E2045" s="48">
        <f t="shared" ca="1" si="126"/>
        <v>0</v>
      </c>
      <c r="F2045" s="17">
        <f t="shared" ca="1" si="127"/>
        <v>0</v>
      </c>
      <c r="H2045" s="17">
        <v>2030</v>
      </c>
      <c r="I2045" s="43">
        <v>0.66938474622110655</v>
      </c>
      <c r="J2045" s="43">
        <v>1.9746693596306972E-2</v>
      </c>
      <c r="K2045" s="43"/>
      <c r="L2045" s="43">
        <v>0.25240000000000001</v>
      </c>
      <c r="O2045" s="50"/>
    </row>
    <row r="2046" spans="2:15" x14ac:dyDescent="0.2">
      <c r="B2046">
        <v>2031</v>
      </c>
      <c r="C2046" s="48">
        <f t="shared" ca="1" si="128"/>
        <v>-1.9219316718379906</v>
      </c>
      <c r="D2046" s="48">
        <f t="shared" ca="1" si="125"/>
        <v>0.54980576786296831</v>
      </c>
      <c r="E2046" s="48">
        <f t="shared" ca="1" si="126"/>
        <v>0</v>
      </c>
      <c r="F2046" s="17">
        <f t="shared" ca="1" si="127"/>
        <v>0</v>
      </c>
      <c r="H2046" s="17">
        <v>2031</v>
      </c>
      <c r="I2046" s="43">
        <v>0.66960186335581384</v>
      </c>
      <c r="J2046" s="43">
        <v>1.9761714726320521E-2</v>
      </c>
      <c r="K2046" s="43"/>
      <c r="L2046" s="43">
        <v>0.25619999999999998</v>
      </c>
      <c r="O2046" s="50"/>
    </row>
    <row r="2047" spans="2:15" x14ac:dyDescent="0.2">
      <c r="B2047">
        <v>2032</v>
      </c>
      <c r="C2047" s="48">
        <f t="shared" ca="1" si="128"/>
        <v>0.56201810168435762</v>
      </c>
      <c r="D2047" s="48">
        <f t="shared" ca="1" si="125"/>
        <v>0.70236372010419534</v>
      </c>
      <c r="E2047" s="48">
        <f t="shared" ca="1" si="126"/>
        <v>0</v>
      </c>
      <c r="F2047" s="17">
        <f t="shared" ca="1" si="127"/>
        <v>0</v>
      </c>
      <c r="H2047" s="17">
        <v>2032</v>
      </c>
      <c r="I2047" s="43">
        <v>0.66899948632168915</v>
      </c>
      <c r="J2047" s="43">
        <v>1.9520194768716196E-2</v>
      </c>
      <c r="K2047" s="43"/>
      <c r="L2047" s="43">
        <v>0.25140000000000001</v>
      </c>
      <c r="O2047" s="50"/>
    </row>
    <row r="2048" spans="2:15" x14ac:dyDescent="0.2">
      <c r="B2048">
        <v>2033</v>
      </c>
      <c r="C2048" s="48">
        <f t="shared" ca="1" si="128"/>
        <v>0.62634104553526426</v>
      </c>
      <c r="D2048" s="48">
        <f t="shared" ca="1" si="125"/>
        <v>0.70683186714253765</v>
      </c>
      <c r="E2048" s="48">
        <f t="shared" ca="1" si="126"/>
        <v>0</v>
      </c>
      <c r="F2048" s="17">
        <f t="shared" ca="1" si="127"/>
        <v>0</v>
      </c>
      <c r="H2048" s="17">
        <v>2033</v>
      </c>
      <c r="I2048" s="43">
        <v>0.6686419970306674</v>
      </c>
      <c r="J2048" s="43">
        <v>1.915239270346877E-2</v>
      </c>
      <c r="K2048" s="43"/>
      <c r="L2048" s="43">
        <v>0.2462</v>
      </c>
      <c r="O2048" s="50"/>
    </row>
    <row r="2049" spans="2:15" x14ac:dyDescent="0.2">
      <c r="B2049">
        <v>2034</v>
      </c>
      <c r="C2049" s="48">
        <f t="shared" ca="1" si="128"/>
        <v>-0.70540774670558293</v>
      </c>
      <c r="D2049" s="48">
        <f t="shared" ca="1" si="125"/>
        <v>0.61986336962122646</v>
      </c>
      <c r="E2049" s="48">
        <f t="shared" ca="1" si="126"/>
        <v>0</v>
      </c>
      <c r="F2049" s="17">
        <f t="shared" ca="1" si="127"/>
        <v>0</v>
      </c>
      <c r="H2049" s="17">
        <v>2034</v>
      </c>
      <c r="I2049" s="43">
        <v>0.67008143818786525</v>
      </c>
      <c r="J2049" s="43">
        <v>2.0291876499603938E-2</v>
      </c>
      <c r="K2049" s="43"/>
      <c r="L2049" s="43">
        <v>0.25619999999999998</v>
      </c>
      <c r="O2049" s="50"/>
    </row>
    <row r="2050" spans="2:15" x14ac:dyDescent="0.2">
      <c r="B2050">
        <v>2035</v>
      </c>
      <c r="C2050" s="48">
        <f t="shared" ca="1" si="128"/>
        <v>0.50534708441950693</v>
      </c>
      <c r="D2050" s="48">
        <f t="shared" ca="1" si="125"/>
        <v>0.69845051914493017</v>
      </c>
      <c r="E2050" s="48">
        <f t="shared" ca="1" si="126"/>
        <v>0</v>
      </c>
      <c r="F2050" s="17">
        <f t="shared" ca="1" si="127"/>
        <v>0</v>
      </c>
      <c r="H2050" s="17">
        <v>2035</v>
      </c>
      <c r="I2050" s="43">
        <v>0.66828162741703945</v>
      </c>
      <c r="J2050" s="43">
        <v>1.8939679541241258E-2</v>
      </c>
      <c r="K2050" s="43"/>
      <c r="L2050" s="43">
        <v>0.24460000000000001</v>
      </c>
      <c r="O2050" s="50"/>
    </row>
    <row r="2051" spans="2:15" x14ac:dyDescent="0.2">
      <c r="B2051">
        <v>2036</v>
      </c>
      <c r="C2051" s="48">
        <f t="shared" ca="1" si="128"/>
        <v>-1.4813280658628178</v>
      </c>
      <c r="D2051" s="48">
        <f t="shared" ca="1" si="125"/>
        <v>0.57421452371154058</v>
      </c>
      <c r="E2051" s="48">
        <f t="shared" ca="1" si="126"/>
        <v>0</v>
      </c>
      <c r="F2051" s="17">
        <f t="shared" ca="1" si="127"/>
        <v>0</v>
      </c>
      <c r="H2051" s="17">
        <v>2036</v>
      </c>
      <c r="I2051" s="43">
        <v>0.67031204946187883</v>
      </c>
      <c r="J2051" s="43">
        <v>2.0583044930802846E-2</v>
      </c>
      <c r="K2051" s="43"/>
      <c r="L2051" s="43">
        <v>0.26019999999999999</v>
      </c>
      <c r="O2051" s="50"/>
    </row>
    <row r="2052" spans="2:15" x14ac:dyDescent="0.2">
      <c r="B2052">
        <v>2037</v>
      </c>
      <c r="C2052" s="48">
        <f t="shared" ca="1" si="128"/>
        <v>9.4184603049970769E-2</v>
      </c>
      <c r="D2052" s="48">
        <f t="shared" ca="1" si="125"/>
        <v>0.67070464505463567</v>
      </c>
      <c r="E2052" s="48">
        <f t="shared" ca="1" si="126"/>
        <v>0</v>
      </c>
      <c r="F2052" s="17">
        <f t="shared" ca="1" si="127"/>
        <v>0</v>
      </c>
      <c r="H2052" s="17">
        <v>2037</v>
      </c>
      <c r="I2052" s="43">
        <v>0.67068825210139948</v>
      </c>
      <c r="J2052" s="43">
        <v>2.0933977164552028E-2</v>
      </c>
      <c r="K2052" s="43"/>
      <c r="L2052" s="43">
        <v>0.26200000000000001</v>
      </c>
      <c r="O2052" s="50"/>
    </row>
    <row r="2053" spans="2:15" x14ac:dyDescent="0.2">
      <c r="B2053">
        <v>2038</v>
      </c>
      <c r="C2053" s="48">
        <f t="shared" ca="1" si="128"/>
        <v>-0.37835442115509271</v>
      </c>
      <c r="D2053" s="48">
        <f t="shared" ca="1" si="125"/>
        <v>0.64017555409450633</v>
      </c>
      <c r="E2053" s="48">
        <f t="shared" ca="1" si="126"/>
        <v>0</v>
      </c>
      <c r="F2053" s="17">
        <f t="shared" ca="1" si="127"/>
        <v>0</v>
      </c>
      <c r="H2053" s="17">
        <v>2038</v>
      </c>
      <c r="I2053" s="43">
        <v>0.67004964701051339</v>
      </c>
      <c r="J2053" s="43">
        <v>2.035563164402128E-2</v>
      </c>
      <c r="K2053" s="43"/>
      <c r="L2053" s="43">
        <v>0.26600000000000001</v>
      </c>
      <c r="O2053" s="50"/>
    </row>
    <row r="2054" spans="2:15" x14ac:dyDescent="0.2">
      <c r="B2054">
        <v>2039</v>
      </c>
      <c r="C2054" s="48">
        <f t="shared" ca="1" si="128"/>
        <v>0.98742839155469153</v>
      </c>
      <c r="D2054" s="48">
        <f t="shared" ca="1" si="125"/>
        <v>0.73244738849796509</v>
      </c>
      <c r="E2054" s="48">
        <f t="shared" ca="1" si="126"/>
        <v>0</v>
      </c>
      <c r="F2054" s="17">
        <f t="shared" ca="1" si="127"/>
        <v>0</v>
      </c>
      <c r="H2054" s="17">
        <v>2039</v>
      </c>
      <c r="I2054" s="43">
        <v>0.66901286764500756</v>
      </c>
      <c r="J2054" s="43">
        <v>1.9121823145819224E-2</v>
      </c>
      <c r="K2054" s="43"/>
      <c r="L2054" s="43">
        <v>0.2422</v>
      </c>
      <c r="O2054" s="50"/>
    </row>
    <row r="2055" spans="2:15" x14ac:dyDescent="0.2">
      <c r="B2055">
        <v>2040</v>
      </c>
      <c r="C2055" s="48">
        <f t="shared" ca="1" si="128"/>
        <v>0.97560879034192727</v>
      </c>
      <c r="D2055" s="48">
        <f t="shared" ca="1" si="125"/>
        <v>0.73159439058232589</v>
      </c>
      <c r="E2055" s="48">
        <f t="shared" ca="1" si="126"/>
        <v>0</v>
      </c>
      <c r="F2055" s="17">
        <f t="shared" ca="1" si="127"/>
        <v>0</v>
      </c>
      <c r="H2055" s="17">
        <v>2040</v>
      </c>
      <c r="I2055" s="43">
        <v>0.66891750559950247</v>
      </c>
      <c r="J2055" s="43">
        <v>1.9319328200396713E-2</v>
      </c>
      <c r="K2055" s="43"/>
      <c r="L2055" s="43">
        <v>0.248</v>
      </c>
      <c r="O2055" s="50"/>
    </row>
    <row r="2056" spans="2:15" x14ac:dyDescent="0.2">
      <c r="B2056">
        <v>2041</v>
      </c>
      <c r="C2056" s="48">
        <f t="shared" ca="1" si="128"/>
        <v>0.25376846543727571</v>
      </c>
      <c r="D2056" s="48">
        <f t="shared" ca="1" si="125"/>
        <v>0.68134026614810095</v>
      </c>
      <c r="E2056" s="48">
        <f t="shared" ca="1" si="126"/>
        <v>0</v>
      </c>
      <c r="F2056" s="17">
        <f t="shared" ca="1" si="127"/>
        <v>0</v>
      </c>
      <c r="H2056" s="17">
        <v>2041</v>
      </c>
      <c r="I2056" s="43">
        <v>0.67034356040652276</v>
      </c>
      <c r="J2056" s="43">
        <v>2.053092286463095E-2</v>
      </c>
      <c r="K2056" s="43"/>
      <c r="L2056" s="43">
        <v>0.25019999999999998</v>
      </c>
      <c r="O2056" s="50"/>
    </row>
    <row r="2057" spans="2:15" x14ac:dyDescent="0.2">
      <c r="B2057">
        <v>2042</v>
      </c>
      <c r="C2057" s="48">
        <f t="shared" ca="1" si="128"/>
        <v>0.21079114593395476</v>
      </c>
      <c r="D2057" s="48">
        <f t="shared" ca="1" si="125"/>
        <v>0.67845951749207833</v>
      </c>
      <c r="E2057" s="48">
        <f t="shared" ca="1" si="126"/>
        <v>0</v>
      </c>
      <c r="F2057" s="17">
        <f t="shared" ca="1" si="127"/>
        <v>0</v>
      </c>
      <c r="H2057" s="17">
        <v>2042</v>
      </c>
      <c r="I2057" s="43">
        <v>0.66852648515602953</v>
      </c>
      <c r="J2057" s="43">
        <v>1.8948475266697511E-2</v>
      </c>
      <c r="K2057" s="43"/>
      <c r="L2057" s="43">
        <v>0.24579999999999999</v>
      </c>
      <c r="O2057" s="50"/>
    </row>
    <row r="2058" spans="2:15" x14ac:dyDescent="0.2">
      <c r="B2058">
        <v>2043</v>
      </c>
      <c r="C2058" s="48">
        <f t="shared" ca="1" si="128"/>
        <v>-2.4558629303630206E-2</v>
      </c>
      <c r="D2058" s="48">
        <f t="shared" ca="1" si="125"/>
        <v>0.66289875685757327</v>
      </c>
      <c r="E2058" s="48">
        <f t="shared" ca="1" si="126"/>
        <v>0</v>
      </c>
      <c r="F2058" s="17">
        <f t="shared" ca="1" si="127"/>
        <v>0</v>
      </c>
      <c r="H2058" s="17">
        <v>2043</v>
      </c>
      <c r="I2058" s="43">
        <v>0.67069538154532438</v>
      </c>
      <c r="J2058" s="43">
        <v>2.0269593920807714E-2</v>
      </c>
      <c r="K2058" s="43"/>
      <c r="L2058" s="43">
        <v>0.25140000000000001</v>
      </c>
      <c r="O2058" s="50"/>
    </row>
    <row r="2059" spans="2:15" x14ac:dyDescent="0.2">
      <c r="B2059">
        <v>2044</v>
      </c>
      <c r="C2059" s="48">
        <f t="shared" ca="1" si="128"/>
        <v>-0.52721613432154113</v>
      </c>
      <c r="D2059" s="48">
        <f t="shared" ca="1" si="125"/>
        <v>0.63084900704016333</v>
      </c>
      <c r="E2059" s="48">
        <f t="shared" ca="1" si="126"/>
        <v>0</v>
      </c>
      <c r="F2059" s="17">
        <f t="shared" ca="1" si="127"/>
        <v>0</v>
      </c>
      <c r="H2059" s="17">
        <v>2044</v>
      </c>
      <c r="I2059" s="43">
        <v>0.66912981705291519</v>
      </c>
      <c r="J2059" s="43">
        <v>1.9262212249778327E-2</v>
      </c>
      <c r="K2059" s="43"/>
      <c r="L2059" s="43">
        <v>0.24940000000000001</v>
      </c>
      <c r="O2059" s="50"/>
    </row>
    <row r="2060" spans="2:15" x14ac:dyDescent="0.2">
      <c r="B2060">
        <v>2045</v>
      </c>
      <c r="C2060" s="48">
        <f t="shared" ca="1" si="128"/>
        <v>-2.3801748055255754</v>
      </c>
      <c r="D2060" s="48">
        <f t="shared" ca="1" si="125"/>
        <v>0.52551988798699989</v>
      </c>
      <c r="E2060" s="48">
        <f t="shared" ca="1" si="126"/>
        <v>0</v>
      </c>
      <c r="F2060" s="17">
        <f t="shared" ca="1" si="127"/>
        <v>0</v>
      </c>
      <c r="H2060" s="17">
        <v>2045</v>
      </c>
      <c r="I2060" s="43">
        <v>0.66949520765425219</v>
      </c>
      <c r="J2060" s="43">
        <v>1.9734591108102131E-2</v>
      </c>
      <c r="K2060" s="43"/>
      <c r="L2060" s="43">
        <v>0.24560000000000001</v>
      </c>
      <c r="O2060" s="50"/>
    </row>
    <row r="2061" spans="2:15" x14ac:dyDescent="0.2">
      <c r="B2061">
        <v>2046</v>
      </c>
      <c r="C2061" s="48">
        <f t="shared" ca="1" si="128"/>
        <v>0.42384173705335032</v>
      </c>
      <c r="D2061" s="48">
        <f t="shared" ca="1" si="125"/>
        <v>0.69286067408959662</v>
      </c>
      <c r="E2061" s="48">
        <f t="shared" ca="1" si="126"/>
        <v>0</v>
      </c>
      <c r="F2061" s="17">
        <f t="shared" ca="1" si="127"/>
        <v>0</v>
      </c>
      <c r="H2061" s="17">
        <v>2046</v>
      </c>
      <c r="I2061" s="43">
        <v>0.66830113978649175</v>
      </c>
      <c r="J2061" s="43">
        <v>1.8766564946066749E-2</v>
      </c>
      <c r="K2061" s="43"/>
      <c r="L2061" s="43">
        <v>0.25</v>
      </c>
      <c r="O2061" s="50"/>
    </row>
    <row r="2062" spans="2:15" x14ac:dyDescent="0.2">
      <c r="B2062">
        <v>2047</v>
      </c>
      <c r="C2062" s="48">
        <f t="shared" ca="1" si="128"/>
        <v>0.38668130670459533</v>
      </c>
      <c r="D2062" s="48">
        <f t="shared" ca="1" si="125"/>
        <v>0.69032698640834655</v>
      </c>
      <c r="E2062" s="48">
        <f t="shared" ca="1" si="126"/>
        <v>0</v>
      </c>
      <c r="F2062" s="17">
        <f t="shared" ca="1" si="127"/>
        <v>0</v>
      </c>
      <c r="H2062" s="17">
        <v>2047</v>
      </c>
      <c r="I2062" s="43">
        <v>0.66860450710549291</v>
      </c>
      <c r="J2062" s="43">
        <v>1.9219286299980789E-2</v>
      </c>
      <c r="K2062" s="43"/>
      <c r="L2062" s="43">
        <v>0.24440000000000001</v>
      </c>
      <c r="O2062" s="50"/>
    </row>
    <row r="2063" spans="2:15" x14ac:dyDescent="0.2">
      <c r="B2063">
        <v>2048</v>
      </c>
      <c r="C2063" s="48">
        <f t="shared" ca="1" si="128"/>
        <v>1.9615318901336052</v>
      </c>
      <c r="D2063" s="48">
        <f t="shared" ca="1" si="125"/>
        <v>0.80627583654863899</v>
      </c>
      <c r="E2063" s="48">
        <f t="shared" ca="1" si="126"/>
        <v>1.8075836548638979E-2</v>
      </c>
      <c r="F2063" s="17">
        <f t="shared" ca="1" si="127"/>
        <v>1</v>
      </c>
      <c r="H2063" s="17">
        <v>2048</v>
      </c>
      <c r="I2063" s="43">
        <v>0.66766332591249034</v>
      </c>
      <c r="J2063" s="43">
        <v>1.8365199691285576E-2</v>
      </c>
      <c r="K2063" s="43"/>
      <c r="L2063" s="43">
        <v>0.25</v>
      </c>
      <c r="O2063" s="50"/>
    </row>
    <row r="2064" spans="2:15" x14ac:dyDescent="0.2">
      <c r="B2064">
        <v>2049</v>
      </c>
      <c r="C2064" s="48">
        <f t="shared" ca="1" si="128"/>
        <v>-0.72816480267259331</v>
      </c>
      <c r="D2064" s="48">
        <f t="shared" ref="D2064:D2127" ca="1" si="129">S0*EXP((μ-0.5*σ*σ)*T+σ*SQRT(T)*$C2064)</f>
        <v>0.61847422750340642</v>
      </c>
      <c r="E2064" s="48">
        <f t="shared" ref="E2064:E2127" ca="1" si="130">MAX(0,CP*(D2064-K))</f>
        <v>0</v>
      </c>
      <c r="F2064" s="17">
        <f t="shared" ref="F2064:F2127" ca="1" si="131">(CP*(D2064-K)&gt;0)*1</f>
        <v>0</v>
      </c>
      <c r="H2064" s="17">
        <v>2049</v>
      </c>
      <c r="I2064" s="43">
        <v>0.66914128627837643</v>
      </c>
      <c r="J2064" s="43">
        <v>1.9517412765513727E-2</v>
      </c>
      <c r="K2064" s="43"/>
      <c r="L2064" s="43">
        <v>0.2452</v>
      </c>
      <c r="O2064" s="50"/>
    </row>
    <row r="2065" spans="2:15" x14ac:dyDescent="0.2">
      <c r="B2065">
        <v>2050</v>
      </c>
      <c r="C2065" s="48">
        <f t="shared" ref="C2065:C2128" ca="1" si="132">_xlfn.NORM.S.INV(RAND())</f>
        <v>0.22069059529483481</v>
      </c>
      <c r="D2065" s="48">
        <f t="shared" ca="1" si="129"/>
        <v>0.67912199119383987</v>
      </c>
      <c r="E2065" s="48">
        <f t="shared" ca="1" si="130"/>
        <v>0</v>
      </c>
      <c r="F2065" s="17">
        <f t="shared" ca="1" si="131"/>
        <v>0</v>
      </c>
      <c r="H2065" s="17">
        <v>2050</v>
      </c>
      <c r="I2065" s="43">
        <v>0.66976540544789609</v>
      </c>
      <c r="J2065" s="43">
        <v>1.9884934987078814E-2</v>
      </c>
      <c r="K2065" s="43"/>
      <c r="L2065" s="43">
        <v>0.25059999999999999</v>
      </c>
      <c r="O2065" s="50"/>
    </row>
    <row r="2066" spans="2:15" x14ac:dyDescent="0.2">
      <c r="B2066">
        <v>2051</v>
      </c>
      <c r="C2066" s="48">
        <f t="shared" ca="1" si="132"/>
        <v>0.94430096863168211</v>
      </c>
      <c r="D2066" s="48">
        <f t="shared" ca="1" si="129"/>
        <v>0.72933976269704182</v>
      </c>
      <c r="E2066" s="48">
        <f t="shared" ca="1" si="130"/>
        <v>0</v>
      </c>
      <c r="F2066" s="17">
        <f t="shared" ca="1" si="131"/>
        <v>0</v>
      </c>
      <c r="H2066" s="17">
        <v>2051</v>
      </c>
      <c r="I2066" s="43">
        <v>0.6692975274631745</v>
      </c>
      <c r="J2066" s="43">
        <v>1.9653295752881293E-2</v>
      </c>
      <c r="K2066" s="43"/>
      <c r="L2066" s="43">
        <v>0.25459999999999999</v>
      </c>
      <c r="O2066" s="50"/>
    </row>
    <row r="2067" spans="2:15" x14ac:dyDescent="0.2">
      <c r="B2067">
        <v>2052</v>
      </c>
      <c r="C2067" s="48">
        <f t="shared" ca="1" si="132"/>
        <v>-7.5661604044694977E-2</v>
      </c>
      <c r="D2067" s="48">
        <f t="shared" ca="1" si="129"/>
        <v>0.65956739695914235</v>
      </c>
      <c r="E2067" s="48">
        <f t="shared" ca="1" si="130"/>
        <v>0</v>
      </c>
      <c r="F2067" s="17">
        <f t="shared" ca="1" si="131"/>
        <v>0</v>
      </c>
      <c r="H2067" s="17">
        <v>2052</v>
      </c>
      <c r="I2067" s="43">
        <v>0.66932703424116335</v>
      </c>
      <c r="J2067" s="43">
        <v>1.9530993705347655E-2</v>
      </c>
      <c r="K2067" s="43"/>
      <c r="L2067" s="43">
        <v>0.25019999999999998</v>
      </c>
      <c r="O2067" s="50"/>
    </row>
    <row r="2068" spans="2:15" x14ac:dyDescent="0.2">
      <c r="B2068">
        <v>2053</v>
      </c>
      <c r="C2068" s="48">
        <f t="shared" ca="1" si="132"/>
        <v>-0.39724906861322445</v>
      </c>
      <c r="D2068" s="48">
        <f t="shared" ca="1" si="129"/>
        <v>0.63898416076016273</v>
      </c>
      <c r="E2068" s="48">
        <f t="shared" ca="1" si="130"/>
        <v>0</v>
      </c>
      <c r="F2068" s="17">
        <f t="shared" ca="1" si="131"/>
        <v>0</v>
      </c>
      <c r="H2068" s="17">
        <v>2053</v>
      </c>
      <c r="I2068" s="43">
        <v>0.66864314082309306</v>
      </c>
      <c r="J2068" s="43">
        <v>1.8977042919334653E-2</v>
      </c>
      <c r="K2068" s="43"/>
      <c r="L2068" s="43">
        <v>0.245</v>
      </c>
      <c r="O2068" s="50"/>
    </row>
    <row r="2069" spans="2:15" x14ac:dyDescent="0.2">
      <c r="B2069">
        <v>2054</v>
      </c>
      <c r="C2069" s="48">
        <f t="shared" ca="1" si="132"/>
        <v>-0.26420719365582285</v>
      </c>
      <c r="D2069" s="48">
        <f t="shared" ca="1" si="129"/>
        <v>0.64742044965438361</v>
      </c>
      <c r="E2069" s="48">
        <f t="shared" ca="1" si="130"/>
        <v>0</v>
      </c>
      <c r="F2069" s="17">
        <f t="shared" ca="1" si="131"/>
        <v>0</v>
      </c>
      <c r="H2069" s="17">
        <v>2054</v>
      </c>
      <c r="I2069" s="43">
        <v>0.66863071236520222</v>
      </c>
      <c r="J2069" s="43">
        <v>1.946899387618219E-2</v>
      </c>
      <c r="K2069" s="43"/>
      <c r="L2069" s="43">
        <v>0.25380000000000003</v>
      </c>
      <c r="O2069" s="50"/>
    </row>
    <row r="2070" spans="2:15" x14ac:dyDescent="0.2">
      <c r="B2070">
        <v>2055</v>
      </c>
      <c r="C2070" s="48">
        <f t="shared" ca="1" si="132"/>
        <v>0.66234077771629751</v>
      </c>
      <c r="D2070" s="48">
        <f t="shared" ca="1" si="129"/>
        <v>0.70934495702495415</v>
      </c>
      <c r="E2070" s="48">
        <f t="shared" ca="1" si="130"/>
        <v>0</v>
      </c>
      <c r="F2070" s="17">
        <f t="shared" ca="1" si="131"/>
        <v>0</v>
      </c>
      <c r="H2070" s="17">
        <v>2055</v>
      </c>
      <c r="I2070" s="43">
        <v>0.66878578488806573</v>
      </c>
      <c r="J2070" s="43">
        <v>1.9485672929171569E-2</v>
      </c>
      <c r="K2070" s="43"/>
      <c r="L2070" s="43">
        <v>0.25040000000000001</v>
      </c>
      <c r="O2070" s="50"/>
    </row>
    <row r="2071" spans="2:15" x14ac:dyDescent="0.2">
      <c r="B2071">
        <v>2056</v>
      </c>
      <c r="C2071" s="48">
        <f t="shared" ca="1" si="132"/>
        <v>0.65926109322645421</v>
      </c>
      <c r="D2071" s="48">
        <f t="shared" ca="1" si="129"/>
        <v>0.7091296196057979</v>
      </c>
      <c r="E2071" s="48">
        <f t="shared" ca="1" si="130"/>
        <v>0</v>
      </c>
      <c r="F2071" s="17">
        <f t="shared" ca="1" si="131"/>
        <v>0</v>
      </c>
      <c r="H2071" s="17">
        <v>2056</v>
      </c>
      <c r="I2071" s="43">
        <v>0.66843092182783315</v>
      </c>
      <c r="J2071" s="43">
        <v>1.8772677147609072E-2</v>
      </c>
      <c r="K2071" s="43"/>
      <c r="L2071" s="43">
        <v>0.24660000000000001</v>
      </c>
      <c r="O2071" s="50"/>
    </row>
    <row r="2072" spans="2:15" x14ac:dyDescent="0.2">
      <c r="B2072">
        <v>2057</v>
      </c>
      <c r="C2072" s="48">
        <f t="shared" ca="1" si="132"/>
        <v>-7.3879667841672644E-2</v>
      </c>
      <c r="D2072" s="48">
        <f t="shared" ca="1" si="129"/>
        <v>0.65968327768317525</v>
      </c>
      <c r="E2072" s="48">
        <f t="shared" ca="1" si="130"/>
        <v>0</v>
      </c>
      <c r="F2072" s="17">
        <f t="shared" ca="1" si="131"/>
        <v>0</v>
      </c>
      <c r="H2072" s="17">
        <v>2057</v>
      </c>
      <c r="I2072" s="43">
        <v>0.66953125759107357</v>
      </c>
      <c r="J2072" s="43">
        <v>1.9742137033313869E-2</v>
      </c>
      <c r="K2072" s="43"/>
      <c r="L2072" s="43">
        <v>0.25140000000000001</v>
      </c>
      <c r="O2072" s="50"/>
    </row>
    <row r="2073" spans="2:15" x14ac:dyDescent="0.2">
      <c r="B2073">
        <v>2058</v>
      </c>
      <c r="C2073" s="48">
        <f t="shared" ca="1" si="132"/>
        <v>-0.96674278002998049</v>
      </c>
      <c r="D2073" s="48">
        <f t="shared" ca="1" si="129"/>
        <v>0.60409696461037143</v>
      </c>
      <c r="E2073" s="48">
        <f t="shared" ca="1" si="130"/>
        <v>0</v>
      </c>
      <c r="F2073" s="17">
        <f t="shared" ca="1" si="131"/>
        <v>0</v>
      </c>
      <c r="H2073" s="17">
        <v>2058</v>
      </c>
      <c r="I2073" s="43">
        <v>0.67001064826449741</v>
      </c>
      <c r="J2073" s="43">
        <v>2.0129315559753173E-2</v>
      </c>
      <c r="K2073" s="43"/>
      <c r="L2073" s="43">
        <v>0.25219999999999998</v>
      </c>
      <c r="O2073" s="50"/>
    </row>
    <row r="2074" spans="2:15" x14ac:dyDescent="0.2">
      <c r="B2074">
        <v>2059</v>
      </c>
      <c r="C2074" s="48">
        <f t="shared" ca="1" si="132"/>
        <v>-1.5756380460176207</v>
      </c>
      <c r="D2074" s="48">
        <f t="shared" ca="1" si="129"/>
        <v>0.56890034538821466</v>
      </c>
      <c r="E2074" s="48">
        <f t="shared" ca="1" si="130"/>
        <v>0</v>
      </c>
      <c r="F2074" s="17">
        <f t="shared" ca="1" si="131"/>
        <v>0</v>
      </c>
      <c r="H2074" s="17">
        <v>2059</v>
      </c>
      <c r="I2074" s="43">
        <v>0.66959099908704878</v>
      </c>
      <c r="J2074" s="43">
        <v>1.9867951749162175E-2</v>
      </c>
      <c r="K2074" s="43"/>
      <c r="L2074" s="43">
        <v>0.25219999999999998</v>
      </c>
      <c r="O2074" s="50"/>
    </row>
    <row r="2075" spans="2:15" x14ac:dyDescent="0.2">
      <c r="B2075">
        <v>2060</v>
      </c>
      <c r="C2075" s="48">
        <f t="shared" ca="1" si="132"/>
        <v>1.3776054817275554</v>
      </c>
      <c r="D2075" s="48">
        <f t="shared" ca="1" si="129"/>
        <v>0.76117103718435453</v>
      </c>
      <c r="E2075" s="48">
        <f t="shared" ca="1" si="130"/>
        <v>0</v>
      </c>
      <c r="F2075" s="17">
        <f t="shared" ca="1" si="131"/>
        <v>0</v>
      </c>
      <c r="H2075" s="17">
        <v>2060</v>
      </c>
      <c r="I2075" s="43">
        <v>0.66823801418567108</v>
      </c>
      <c r="J2075" s="43">
        <v>1.8814423096745012E-2</v>
      </c>
      <c r="K2075" s="43"/>
      <c r="L2075" s="43">
        <v>0.2492</v>
      </c>
      <c r="O2075" s="50"/>
    </row>
    <row r="2076" spans="2:15" x14ac:dyDescent="0.2">
      <c r="B2076">
        <v>2061</v>
      </c>
      <c r="C2076" s="48">
        <f t="shared" ca="1" si="132"/>
        <v>1.4614967004651367</v>
      </c>
      <c r="D2076" s="48">
        <f t="shared" ca="1" si="129"/>
        <v>0.76749250105124345</v>
      </c>
      <c r="E2076" s="48">
        <f t="shared" ca="1" si="130"/>
        <v>0</v>
      </c>
      <c r="F2076" s="17">
        <f t="shared" ca="1" si="131"/>
        <v>0</v>
      </c>
      <c r="H2076" s="17">
        <v>2061</v>
      </c>
      <c r="I2076" s="43">
        <v>0.66856845196064896</v>
      </c>
      <c r="J2076" s="43">
        <v>1.9200188574944134E-2</v>
      </c>
      <c r="K2076" s="43"/>
      <c r="L2076" s="43">
        <v>0.25440000000000002</v>
      </c>
      <c r="O2076" s="50"/>
    </row>
    <row r="2077" spans="2:15" x14ac:dyDescent="0.2">
      <c r="B2077">
        <v>2062</v>
      </c>
      <c r="C2077" s="48">
        <f t="shared" ca="1" si="132"/>
        <v>-0.865189320456349</v>
      </c>
      <c r="D2077" s="48">
        <f t="shared" ca="1" si="129"/>
        <v>0.6101755002447955</v>
      </c>
      <c r="E2077" s="48">
        <f t="shared" ca="1" si="130"/>
        <v>0</v>
      </c>
      <c r="F2077" s="17">
        <f t="shared" ca="1" si="131"/>
        <v>0</v>
      </c>
      <c r="H2077" s="17">
        <v>2062</v>
      </c>
      <c r="I2077" s="43">
        <v>0.66986445424024177</v>
      </c>
      <c r="J2077" s="43">
        <v>1.9777538725257778E-2</v>
      </c>
      <c r="K2077" s="43"/>
      <c r="L2077" s="43">
        <v>0.25419999999999998</v>
      </c>
      <c r="O2077" s="50"/>
    </row>
    <row r="2078" spans="2:15" x14ac:dyDescent="0.2">
      <c r="B2078">
        <v>2063</v>
      </c>
      <c r="C2078" s="48">
        <f t="shared" ca="1" si="132"/>
        <v>-1.1170179224561199</v>
      </c>
      <c r="D2078" s="48">
        <f t="shared" ca="1" si="129"/>
        <v>0.59521309032309555</v>
      </c>
      <c r="E2078" s="48">
        <f t="shared" ca="1" si="130"/>
        <v>0</v>
      </c>
      <c r="F2078" s="17">
        <f t="shared" ca="1" si="131"/>
        <v>0</v>
      </c>
      <c r="H2078" s="17">
        <v>2063</v>
      </c>
      <c r="I2078" s="43">
        <v>0.66880164015496379</v>
      </c>
      <c r="J2078" s="43">
        <v>1.9381827032490445E-2</v>
      </c>
      <c r="K2078" s="43"/>
      <c r="L2078" s="43">
        <v>0.25159999999999999</v>
      </c>
      <c r="O2078" s="50"/>
    </row>
    <row r="2079" spans="2:15" x14ac:dyDescent="0.2">
      <c r="B2079">
        <v>2064</v>
      </c>
      <c r="C2079" s="48">
        <f t="shared" ca="1" si="132"/>
        <v>1.6997593209534743</v>
      </c>
      <c r="D2079" s="48">
        <f t="shared" ca="1" si="129"/>
        <v>0.78573408244317855</v>
      </c>
      <c r="E2079" s="48">
        <f t="shared" ca="1" si="130"/>
        <v>0</v>
      </c>
      <c r="F2079" s="17">
        <f t="shared" ca="1" si="131"/>
        <v>0</v>
      </c>
      <c r="H2079" s="17">
        <v>2064</v>
      </c>
      <c r="I2079" s="43">
        <v>0.66900840757584201</v>
      </c>
      <c r="J2079" s="43">
        <v>1.9432392345376404E-2</v>
      </c>
      <c r="K2079" s="43"/>
      <c r="L2079" s="43">
        <v>0.24779999999999999</v>
      </c>
      <c r="O2079" s="50"/>
    </row>
    <row r="2080" spans="2:15" x14ac:dyDescent="0.2">
      <c r="B2080">
        <v>2065</v>
      </c>
      <c r="C2080" s="48">
        <f t="shared" ca="1" si="132"/>
        <v>-0.75685565457283932</v>
      </c>
      <c r="D2080" s="48">
        <f t="shared" ca="1" si="129"/>
        <v>0.61672730876975146</v>
      </c>
      <c r="E2080" s="48">
        <f t="shared" ca="1" si="130"/>
        <v>0</v>
      </c>
      <c r="F2080" s="17">
        <f t="shared" ca="1" si="131"/>
        <v>0</v>
      </c>
      <c r="H2080" s="17">
        <v>2065</v>
      </c>
      <c r="I2080" s="43">
        <v>0.67018125613646995</v>
      </c>
      <c r="J2080" s="43">
        <v>2.0094112339246378E-2</v>
      </c>
      <c r="K2080" s="43"/>
      <c r="L2080" s="43">
        <v>0.25979999999999998</v>
      </c>
      <c r="O2080" s="50"/>
    </row>
    <row r="2081" spans="2:15" x14ac:dyDescent="0.2">
      <c r="B2081">
        <v>2066</v>
      </c>
      <c r="C2081" s="48">
        <f t="shared" ca="1" si="132"/>
        <v>-0.76848727958699037</v>
      </c>
      <c r="D2081" s="48">
        <f t="shared" ca="1" si="129"/>
        <v>0.61602049287583638</v>
      </c>
      <c r="E2081" s="48">
        <f t="shared" ca="1" si="130"/>
        <v>0</v>
      </c>
      <c r="F2081" s="17">
        <f t="shared" ca="1" si="131"/>
        <v>0</v>
      </c>
      <c r="H2081" s="17">
        <v>2066</v>
      </c>
      <c r="I2081" s="43">
        <v>0.66828026425689546</v>
      </c>
      <c r="J2081" s="43">
        <v>1.8789712529766963E-2</v>
      </c>
      <c r="K2081" s="43"/>
      <c r="L2081" s="43">
        <v>0.2384</v>
      </c>
      <c r="O2081" s="50"/>
    </row>
    <row r="2082" spans="2:15" x14ac:dyDescent="0.2">
      <c r="B2082">
        <v>2067</v>
      </c>
      <c r="C2082" s="48">
        <f t="shared" ca="1" si="132"/>
        <v>1.644780616235392</v>
      </c>
      <c r="D2082" s="48">
        <f t="shared" ca="1" si="129"/>
        <v>0.78148675871627182</v>
      </c>
      <c r="E2082" s="48">
        <f t="shared" ca="1" si="130"/>
        <v>0</v>
      </c>
      <c r="F2082" s="17">
        <f t="shared" ca="1" si="131"/>
        <v>0</v>
      </c>
      <c r="H2082" s="17">
        <v>2067</v>
      </c>
      <c r="I2082" s="43">
        <v>0.67047007500099065</v>
      </c>
      <c r="J2082" s="43">
        <v>2.0556755613387174E-2</v>
      </c>
      <c r="K2082" s="43"/>
      <c r="L2082" s="43">
        <v>0.25640000000000002</v>
      </c>
      <c r="O2082" s="50"/>
    </row>
    <row r="2083" spans="2:15" x14ac:dyDescent="0.2">
      <c r="B2083">
        <v>2068</v>
      </c>
      <c r="C2083" s="48">
        <f t="shared" ca="1" si="132"/>
        <v>0.34517683646483449</v>
      </c>
      <c r="D2083" s="48">
        <f t="shared" ca="1" si="129"/>
        <v>0.68750806334982673</v>
      </c>
      <c r="E2083" s="48">
        <f t="shared" ca="1" si="130"/>
        <v>0</v>
      </c>
      <c r="F2083" s="17">
        <f t="shared" ca="1" si="131"/>
        <v>0</v>
      </c>
      <c r="H2083" s="17">
        <v>2068</v>
      </c>
      <c r="I2083" s="43">
        <v>0.66941432201635875</v>
      </c>
      <c r="J2083" s="43">
        <v>1.9755552215050754E-2</v>
      </c>
      <c r="K2083" s="43"/>
      <c r="L2083" s="43">
        <v>0.25180000000000002</v>
      </c>
      <c r="O2083" s="50"/>
    </row>
    <row r="2084" spans="2:15" x14ac:dyDescent="0.2">
      <c r="B2084">
        <v>2069</v>
      </c>
      <c r="C2084" s="48">
        <f t="shared" ca="1" si="132"/>
        <v>-3.2992695456906584E-2</v>
      </c>
      <c r="D2084" s="48">
        <f t="shared" ca="1" si="129"/>
        <v>0.66234779011562273</v>
      </c>
      <c r="E2084" s="48">
        <f t="shared" ca="1" si="130"/>
        <v>0</v>
      </c>
      <c r="F2084" s="17">
        <f t="shared" ca="1" si="131"/>
        <v>0</v>
      </c>
      <c r="H2084" s="17">
        <v>2069</v>
      </c>
      <c r="I2084" s="43">
        <v>0.66890170218715517</v>
      </c>
      <c r="J2084" s="43">
        <v>1.9361773559568224E-2</v>
      </c>
      <c r="K2084" s="43"/>
      <c r="L2084" s="43">
        <v>0.25380000000000003</v>
      </c>
      <c r="O2084" s="50"/>
    </row>
    <row r="2085" spans="2:15" x14ac:dyDescent="0.2">
      <c r="B2085">
        <v>2070</v>
      </c>
      <c r="C2085" s="48">
        <f t="shared" ca="1" si="132"/>
        <v>-0.2133519377328561</v>
      </c>
      <c r="D2085" s="48">
        <f t="shared" ca="1" si="129"/>
        <v>0.65067456649056321</v>
      </c>
      <c r="E2085" s="48">
        <f t="shared" ca="1" si="130"/>
        <v>0</v>
      </c>
      <c r="F2085" s="17">
        <f t="shared" ca="1" si="131"/>
        <v>0</v>
      </c>
      <c r="H2085" s="17">
        <v>2070</v>
      </c>
      <c r="I2085" s="43">
        <v>0.66958175688754751</v>
      </c>
      <c r="J2085" s="43">
        <v>1.9862423439722682E-2</v>
      </c>
      <c r="K2085" s="43"/>
      <c r="L2085" s="43">
        <v>0.25459999999999999</v>
      </c>
      <c r="O2085" s="50"/>
    </row>
    <row r="2086" spans="2:15" x14ac:dyDescent="0.2">
      <c r="B2086">
        <v>2071</v>
      </c>
      <c r="C2086" s="48">
        <f t="shared" ca="1" si="132"/>
        <v>1.3167344219794306</v>
      </c>
      <c r="D2086" s="48">
        <f t="shared" ca="1" si="129"/>
        <v>0.75661683442174155</v>
      </c>
      <c r="E2086" s="48">
        <f t="shared" ca="1" si="130"/>
        <v>0</v>
      </c>
      <c r="F2086" s="17">
        <f t="shared" ca="1" si="131"/>
        <v>0</v>
      </c>
      <c r="H2086" s="17">
        <v>2071</v>
      </c>
      <c r="I2086" s="43">
        <v>0.66931128557622188</v>
      </c>
      <c r="J2086" s="43">
        <v>1.9678113445852151E-2</v>
      </c>
      <c r="K2086" s="43"/>
      <c r="L2086" s="43">
        <v>0.25040000000000001</v>
      </c>
      <c r="O2086" s="50"/>
    </row>
    <row r="2087" spans="2:15" x14ac:dyDescent="0.2">
      <c r="B2087">
        <v>2072</v>
      </c>
      <c r="C2087" s="48">
        <f t="shared" ca="1" si="132"/>
        <v>1.4615923668538799</v>
      </c>
      <c r="D2087" s="48">
        <f t="shared" ca="1" si="129"/>
        <v>0.76749973969643304</v>
      </c>
      <c r="E2087" s="48">
        <f t="shared" ca="1" si="130"/>
        <v>0</v>
      </c>
      <c r="F2087" s="17">
        <f t="shared" ca="1" si="131"/>
        <v>0</v>
      </c>
      <c r="H2087" s="17">
        <v>2072</v>
      </c>
      <c r="I2087" s="43">
        <v>0.66759362868709937</v>
      </c>
      <c r="J2087" s="43">
        <v>1.8345024638910835E-2</v>
      </c>
      <c r="K2087" s="43"/>
      <c r="L2087" s="43">
        <v>0.24679999999999999</v>
      </c>
      <c r="O2087" s="50"/>
    </row>
    <row r="2088" spans="2:15" x14ac:dyDescent="0.2">
      <c r="B2088">
        <v>2073</v>
      </c>
      <c r="C2088" s="48">
        <f t="shared" ca="1" si="132"/>
        <v>0.96386822066017774</v>
      </c>
      <c r="D2088" s="48">
        <f t="shared" ca="1" si="129"/>
        <v>0.7307480796711755</v>
      </c>
      <c r="E2088" s="48">
        <f t="shared" ca="1" si="130"/>
        <v>0</v>
      </c>
      <c r="F2088" s="17">
        <f t="shared" ca="1" si="131"/>
        <v>0</v>
      </c>
      <c r="H2088" s="17">
        <v>2073</v>
      </c>
      <c r="I2088" s="43">
        <v>0.66906734250838107</v>
      </c>
      <c r="J2088" s="43">
        <v>1.9529336316970982E-2</v>
      </c>
      <c r="K2088" s="43"/>
      <c r="L2088" s="43">
        <v>0.25059999999999999</v>
      </c>
      <c r="O2088" s="50"/>
    </row>
    <row r="2089" spans="2:15" x14ac:dyDescent="0.2">
      <c r="B2089">
        <v>2074</v>
      </c>
      <c r="C2089" s="48">
        <f t="shared" ca="1" si="132"/>
        <v>-0.12875526017336597</v>
      </c>
      <c r="D2089" s="48">
        <f t="shared" ca="1" si="129"/>
        <v>0.6561239975538331</v>
      </c>
      <c r="E2089" s="48">
        <f t="shared" ca="1" si="130"/>
        <v>0</v>
      </c>
      <c r="F2089" s="17">
        <f t="shared" ca="1" si="131"/>
        <v>0</v>
      </c>
      <c r="H2089" s="17">
        <v>2074</v>
      </c>
      <c r="I2089" s="43">
        <v>0.66966131341050883</v>
      </c>
      <c r="J2089" s="43">
        <v>2.0228806984955192E-2</v>
      </c>
      <c r="K2089" s="43"/>
      <c r="L2089" s="43">
        <v>0.25879999999999997</v>
      </c>
      <c r="O2089" s="50"/>
    </row>
    <row r="2090" spans="2:15" x14ac:dyDescent="0.2">
      <c r="B2090">
        <v>2075</v>
      </c>
      <c r="C2090" s="48">
        <f t="shared" ca="1" si="132"/>
        <v>-0.35093159829253068</v>
      </c>
      <c r="D2090" s="48">
        <f t="shared" ca="1" si="129"/>
        <v>0.64190864029765049</v>
      </c>
      <c r="E2090" s="48">
        <f t="shared" ca="1" si="130"/>
        <v>0</v>
      </c>
      <c r="F2090" s="17">
        <f t="shared" ca="1" si="131"/>
        <v>0</v>
      </c>
      <c r="H2090" s="17">
        <v>2075</v>
      </c>
      <c r="I2090" s="43">
        <v>0.66692236557872531</v>
      </c>
      <c r="J2090" s="43">
        <v>1.7817883721985183E-2</v>
      </c>
      <c r="K2090" s="43"/>
      <c r="L2090" s="43">
        <v>0.24060000000000001</v>
      </c>
      <c r="O2090" s="50"/>
    </row>
    <row r="2091" spans="2:15" x14ac:dyDescent="0.2">
      <c r="B2091">
        <v>2076</v>
      </c>
      <c r="C2091" s="48">
        <f t="shared" ca="1" si="132"/>
        <v>-0.63322649892304084</v>
      </c>
      <c r="D2091" s="48">
        <f t="shared" ca="1" si="129"/>
        <v>0.62429015279970168</v>
      </c>
      <c r="E2091" s="48">
        <f t="shared" ca="1" si="130"/>
        <v>0</v>
      </c>
      <c r="F2091" s="17">
        <f t="shared" ca="1" si="131"/>
        <v>0</v>
      </c>
      <c r="H2091" s="17">
        <v>2076</v>
      </c>
      <c r="I2091" s="43">
        <v>0.6678390563601192</v>
      </c>
      <c r="J2091" s="43">
        <v>1.8584792414410869E-2</v>
      </c>
      <c r="K2091" s="43"/>
      <c r="L2091" s="43">
        <v>0.2472</v>
      </c>
      <c r="O2091" s="50"/>
    </row>
    <row r="2092" spans="2:15" x14ac:dyDescent="0.2">
      <c r="B2092">
        <v>2077</v>
      </c>
      <c r="C2092" s="48">
        <f t="shared" ca="1" si="132"/>
        <v>-0.19996998827929768</v>
      </c>
      <c r="D2092" s="48">
        <f t="shared" ca="1" si="129"/>
        <v>0.65153356309936994</v>
      </c>
      <c r="E2092" s="48">
        <f t="shared" ca="1" si="130"/>
        <v>0</v>
      </c>
      <c r="F2092" s="17">
        <f t="shared" ca="1" si="131"/>
        <v>0</v>
      </c>
      <c r="H2092" s="17">
        <v>2077</v>
      </c>
      <c r="I2092" s="43">
        <v>0.66865034813154767</v>
      </c>
      <c r="J2092" s="43">
        <v>1.9272856763712928E-2</v>
      </c>
      <c r="K2092" s="43"/>
      <c r="L2092" s="43">
        <v>0.25140000000000001</v>
      </c>
      <c r="O2092" s="50"/>
    </row>
    <row r="2093" spans="2:15" x14ac:dyDescent="0.2">
      <c r="B2093">
        <v>2078</v>
      </c>
      <c r="C2093" s="48">
        <f t="shared" ca="1" si="132"/>
        <v>-1.2304871773516923</v>
      </c>
      <c r="D2093" s="48">
        <f t="shared" ca="1" si="129"/>
        <v>0.58859175606389191</v>
      </c>
      <c r="E2093" s="48">
        <f t="shared" ca="1" si="130"/>
        <v>0</v>
      </c>
      <c r="F2093" s="17">
        <f t="shared" ca="1" si="131"/>
        <v>0</v>
      </c>
      <c r="H2093" s="17">
        <v>2078</v>
      </c>
      <c r="I2093" s="43">
        <v>0.66978223114037772</v>
      </c>
      <c r="J2093" s="43">
        <v>2.0094118855333822E-2</v>
      </c>
      <c r="K2093" s="43"/>
      <c r="L2093" s="43">
        <v>0.25580000000000003</v>
      </c>
      <c r="O2093" s="50"/>
    </row>
    <row r="2094" spans="2:15" x14ac:dyDescent="0.2">
      <c r="B2094">
        <v>2079</v>
      </c>
      <c r="C2094" s="48">
        <f t="shared" ca="1" si="132"/>
        <v>-0.598645975090487</v>
      </c>
      <c r="D2094" s="48">
        <f t="shared" ca="1" si="129"/>
        <v>0.6264221188421697</v>
      </c>
      <c r="E2094" s="48">
        <f t="shared" ca="1" si="130"/>
        <v>0</v>
      </c>
      <c r="F2094" s="17">
        <f t="shared" ca="1" si="131"/>
        <v>0</v>
      </c>
      <c r="H2094" s="17">
        <v>2079</v>
      </c>
      <c r="I2094" s="43">
        <v>0.66878343152433617</v>
      </c>
      <c r="J2094" s="43">
        <v>1.9146317837939485E-2</v>
      </c>
      <c r="K2094" s="43"/>
      <c r="L2094" s="43">
        <v>0.25040000000000001</v>
      </c>
      <c r="O2094" s="50"/>
    </row>
    <row r="2095" spans="2:15" x14ac:dyDescent="0.2">
      <c r="B2095">
        <v>2080</v>
      </c>
      <c r="C2095" s="48">
        <f t="shared" ca="1" si="132"/>
        <v>1.3958531252954616</v>
      </c>
      <c r="D2095" s="48">
        <f t="shared" ca="1" si="129"/>
        <v>0.76254160796480241</v>
      </c>
      <c r="E2095" s="48">
        <f t="shared" ca="1" si="130"/>
        <v>0</v>
      </c>
      <c r="F2095" s="17">
        <f t="shared" ca="1" si="131"/>
        <v>0</v>
      </c>
      <c r="H2095" s="17">
        <v>2080</v>
      </c>
      <c r="I2095" s="43">
        <v>0.6685297929564894</v>
      </c>
      <c r="J2095" s="43">
        <v>1.89812007319827E-2</v>
      </c>
      <c r="K2095" s="43"/>
      <c r="L2095" s="43">
        <v>0.25600000000000001</v>
      </c>
      <c r="O2095" s="50"/>
    </row>
    <row r="2096" spans="2:15" x14ac:dyDescent="0.2">
      <c r="B2096">
        <v>2081</v>
      </c>
      <c r="C2096" s="48">
        <f t="shared" ca="1" si="132"/>
        <v>1.9850771287439852</v>
      </c>
      <c r="D2096" s="48">
        <f t="shared" ca="1" si="129"/>
        <v>0.80814959072987913</v>
      </c>
      <c r="E2096" s="48">
        <f t="shared" ca="1" si="130"/>
        <v>1.9949590729879119E-2</v>
      </c>
      <c r="F2096" s="17">
        <f t="shared" ca="1" si="131"/>
        <v>1</v>
      </c>
      <c r="H2096" s="17">
        <v>2081</v>
      </c>
      <c r="I2096" s="43">
        <v>0.66904933666310795</v>
      </c>
      <c r="J2096" s="43">
        <v>1.9221908323239417E-2</v>
      </c>
      <c r="K2096" s="43"/>
      <c r="L2096" s="43">
        <v>0.24779999999999999</v>
      </c>
      <c r="O2096" s="50"/>
    </row>
    <row r="2097" spans="2:15" x14ac:dyDescent="0.2">
      <c r="B2097">
        <v>2082</v>
      </c>
      <c r="C2097" s="48">
        <f t="shared" ca="1" si="132"/>
        <v>0.27611345235449541</v>
      </c>
      <c r="D2097" s="48">
        <f t="shared" ca="1" si="129"/>
        <v>0.68284286942051187</v>
      </c>
      <c r="E2097" s="48">
        <f t="shared" ca="1" si="130"/>
        <v>0</v>
      </c>
      <c r="F2097" s="17">
        <f t="shared" ca="1" si="131"/>
        <v>0</v>
      </c>
      <c r="H2097" s="17">
        <v>2082</v>
      </c>
      <c r="I2097" s="43">
        <v>0.66811911667463808</v>
      </c>
      <c r="J2097" s="43">
        <v>1.8667351966048372E-2</v>
      </c>
      <c r="K2097" s="43"/>
      <c r="L2097" s="43">
        <v>0.24360000000000001</v>
      </c>
      <c r="O2097" s="50"/>
    </row>
    <row r="2098" spans="2:15" x14ac:dyDescent="0.2">
      <c r="B2098">
        <v>2083</v>
      </c>
      <c r="C2098" s="48">
        <f t="shared" ca="1" si="132"/>
        <v>0.24572350457213424</v>
      </c>
      <c r="D2098" s="48">
        <f t="shared" ca="1" si="129"/>
        <v>0.68080008739621978</v>
      </c>
      <c r="E2098" s="48">
        <f t="shared" ca="1" si="130"/>
        <v>0</v>
      </c>
      <c r="F2098" s="17">
        <f t="shared" ca="1" si="131"/>
        <v>0</v>
      </c>
      <c r="H2098" s="17">
        <v>2083</v>
      </c>
      <c r="I2098" s="43">
        <v>0.66838760650185347</v>
      </c>
      <c r="J2098" s="43">
        <v>1.9010614210092511E-2</v>
      </c>
      <c r="K2098" s="43"/>
      <c r="L2098" s="43">
        <v>0.25</v>
      </c>
      <c r="O2098" s="50"/>
    </row>
    <row r="2099" spans="2:15" x14ac:dyDescent="0.2">
      <c r="B2099">
        <v>2084</v>
      </c>
      <c r="C2099" s="48">
        <f t="shared" ca="1" si="132"/>
        <v>1.3487829866578094</v>
      </c>
      <c r="D2099" s="48">
        <f t="shared" ca="1" si="129"/>
        <v>0.7590112116901101</v>
      </c>
      <c r="E2099" s="48">
        <f t="shared" ca="1" si="130"/>
        <v>0</v>
      </c>
      <c r="F2099" s="17">
        <f t="shared" ca="1" si="131"/>
        <v>0</v>
      </c>
      <c r="H2099" s="17">
        <v>2084</v>
      </c>
      <c r="I2099" s="43">
        <v>0.66869081173921008</v>
      </c>
      <c r="J2099" s="43">
        <v>1.9160558646463263E-2</v>
      </c>
      <c r="K2099" s="43"/>
      <c r="L2099" s="43">
        <v>0.24740000000000001</v>
      </c>
      <c r="O2099" s="50"/>
    </row>
    <row r="2100" spans="2:15" x14ac:dyDescent="0.2">
      <c r="B2100">
        <v>2085</v>
      </c>
      <c r="C2100" s="48">
        <f t="shared" ca="1" si="132"/>
        <v>0.25467956923053192</v>
      </c>
      <c r="D2100" s="48">
        <f t="shared" ca="1" si="129"/>
        <v>0.68140146920808198</v>
      </c>
      <c r="E2100" s="48">
        <f t="shared" ca="1" si="130"/>
        <v>0</v>
      </c>
      <c r="F2100" s="17">
        <f t="shared" ca="1" si="131"/>
        <v>0</v>
      </c>
      <c r="H2100" s="17">
        <v>2085</v>
      </c>
      <c r="I2100" s="43">
        <v>0.66874815027035106</v>
      </c>
      <c r="J2100" s="43">
        <v>1.9051420176119795E-2</v>
      </c>
      <c r="K2100" s="43"/>
      <c r="L2100" s="43">
        <v>0.2412</v>
      </c>
      <c r="O2100" s="50"/>
    </row>
    <row r="2101" spans="2:15" x14ac:dyDescent="0.2">
      <c r="B2101">
        <v>2086</v>
      </c>
      <c r="C2101" s="48">
        <f t="shared" ca="1" si="132"/>
        <v>-1.3681102446604851</v>
      </c>
      <c r="D2101" s="48">
        <f t="shared" ca="1" si="129"/>
        <v>0.58065972830182899</v>
      </c>
      <c r="E2101" s="48">
        <f t="shared" ca="1" si="130"/>
        <v>0</v>
      </c>
      <c r="F2101" s="17">
        <f t="shared" ca="1" si="131"/>
        <v>0</v>
      </c>
      <c r="H2101" s="17">
        <v>2086</v>
      </c>
      <c r="I2101" s="43">
        <v>0.66972052347085687</v>
      </c>
      <c r="J2101" s="43">
        <v>1.9803488241275202E-2</v>
      </c>
      <c r="K2101" s="43"/>
      <c r="L2101" s="43">
        <v>0.25540000000000002</v>
      </c>
      <c r="O2101" s="50"/>
    </row>
    <row r="2102" spans="2:15" x14ac:dyDescent="0.2">
      <c r="B2102">
        <v>2087</v>
      </c>
      <c r="C2102" s="48">
        <f t="shared" ca="1" si="132"/>
        <v>0.12656825207146361</v>
      </c>
      <c r="D2102" s="48">
        <f t="shared" ca="1" si="129"/>
        <v>0.67284937330363737</v>
      </c>
      <c r="E2102" s="48">
        <f t="shared" ca="1" si="130"/>
        <v>0</v>
      </c>
      <c r="F2102" s="17">
        <f t="shared" ca="1" si="131"/>
        <v>0</v>
      </c>
      <c r="H2102" s="17">
        <v>2087</v>
      </c>
      <c r="I2102" s="43">
        <v>0.66883808428680358</v>
      </c>
      <c r="J2102" s="43">
        <v>1.9377776261591487E-2</v>
      </c>
      <c r="K2102" s="43"/>
      <c r="L2102" s="43">
        <v>0.25159999999999999</v>
      </c>
      <c r="O2102" s="50"/>
    </row>
    <row r="2103" spans="2:15" x14ac:dyDescent="0.2">
      <c r="B2103">
        <v>2088</v>
      </c>
      <c r="C2103" s="48">
        <f t="shared" ca="1" si="132"/>
        <v>1.2297491947811434</v>
      </c>
      <c r="D2103" s="48">
        <f t="shared" ca="1" si="129"/>
        <v>0.75015609278708029</v>
      </c>
      <c r="E2103" s="48">
        <f t="shared" ca="1" si="130"/>
        <v>0</v>
      </c>
      <c r="F2103" s="17">
        <f t="shared" ca="1" si="131"/>
        <v>0</v>
      </c>
      <c r="H2103" s="17">
        <v>2088</v>
      </c>
      <c r="I2103" s="43">
        <v>0.66892773313846132</v>
      </c>
      <c r="J2103" s="43">
        <v>1.9212585795977417E-2</v>
      </c>
      <c r="K2103" s="43"/>
      <c r="L2103" s="43">
        <v>0.24479999999999999</v>
      </c>
      <c r="O2103" s="50"/>
    </row>
    <row r="2104" spans="2:15" x14ac:dyDescent="0.2">
      <c r="B2104">
        <v>2089</v>
      </c>
      <c r="C2104" s="48">
        <f t="shared" ca="1" si="132"/>
        <v>-0.81350534139751918</v>
      </c>
      <c r="D2104" s="48">
        <f t="shared" ca="1" si="129"/>
        <v>0.613292518519859</v>
      </c>
      <c r="E2104" s="48">
        <f t="shared" ca="1" si="130"/>
        <v>0</v>
      </c>
      <c r="F2104" s="17">
        <f t="shared" ca="1" si="131"/>
        <v>0</v>
      </c>
      <c r="H2104" s="17">
        <v>2089</v>
      </c>
      <c r="I2104" s="43">
        <v>0.66916665452840396</v>
      </c>
      <c r="J2104" s="43">
        <v>1.9704540929320582E-2</v>
      </c>
      <c r="K2104" s="43"/>
      <c r="L2104" s="43">
        <v>0.25540000000000002</v>
      </c>
      <c r="O2104" s="50"/>
    </row>
    <row r="2105" spans="2:15" x14ac:dyDescent="0.2">
      <c r="B2105">
        <v>2090</v>
      </c>
      <c r="C2105" s="48">
        <f t="shared" ca="1" si="132"/>
        <v>1.0767017265812693</v>
      </c>
      <c r="D2105" s="48">
        <f t="shared" ca="1" si="129"/>
        <v>0.73892227976450375</v>
      </c>
      <c r="E2105" s="48">
        <f t="shared" ca="1" si="130"/>
        <v>0</v>
      </c>
      <c r="F2105" s="17">
        <f t="shared" ca="1" si="131"/>
        <v>0</v>
      </c>
      <c r="H2105" s="17">
        <v>2090</v>
      </c>
      <c r="I2105" s="43">
        <v>0.66940294363824437</v>
      </c>
      <c r="J2105" s="43">
        <v>1.9729279041814804E-2</v>
      </c>
      <c r="K2105" s="43"/>
      <c r="L2105" s="43">
        <v>0.26019999999999999</v>
      </c>
      <c r="O2105" s="50"/>
    </row>
    <row r="2106" spans="2:15" x14ac:dyDescent="0.2">
      <c r="B2106">
        <v>2091</v>
      </c>
      <c r="C2106" s="48">
        <f t="shared" ca="1" si="132"/>
        <v>-1.4863683778698833</v>
      </c>
      <c r="D2106" s="48">
        <f t="shared" ca="1" si="129"/>
        <v>0.57392926073063111</v>
      </c>
      <c r="E2106" s="48">
        <f t="shared" ca="1" si="130"/>
        <v>0</v>
      </c>
      <c r="F2106" s="17">
        <f t="shared" ca="1" si="131"/>
        <v>0</v>
      </c>
      <c r="H2106" s="17">
        <v>2091</v>
      </c>
      <c r="I2106" s="43">
        <v>0.66975734615596816</v>
      </c>
      <c r="J2106" s="43">
        <v>2.0060767016956499E-2</v>
      </c>
      <c r="K2106" s="43"/>
      <c r="L2106" s="43">
        <v>0.25459999999999999</v>
      </c>
      <c r="O2106" s="50"/>
    </row>
    <row r="2107" spans="2:15" x14ac:dyDescent="0.2">
      <c r="B2107">
        <v>2092</v>
      </c>
      <c r="C2107" s="48">
        <f t="shared" ca="1" si="132"/>
        <v>1.1483953212071973</v>
      </c>
      <c r="D2107" s="48">
        <f t="shared" ca="1" si="129"/>
        <v>0.74416355007323376</v>
      </c>
      <c r="E2107" s="48">
        <f t="shared" ca="1" si="130"/>
        <v>0</v>
      </c>
      <c r="F2107" s="17">
        <f t="shared" ca="1" si="131"/>
        <v>0</v>
      </c>
      <c r="H2107" s="17">
        <v>2092</v>
      </c>
      <c r="I2107" s="43">
        <v>0.66761543211880037</v>
      </c>
      <c r="J2107" s="43">
        <v>1.8586360785127123E-2</v>
      </c>
      <c r="K2107" s="43"/>
      <c r="L2107" s="43">
        <v>0.248</v>
      </c>
      <c r="O2107" s="50"/>
    </row>
    <row r="2108" spans="2:15" x14ac:dyDescent="0.2">
      <c r="B2108">
        <v>2093</v>
      </c>
      <c r="C2108" s="48">
        <f t="shared" ca="1" si="132"/>
        <v>-1.8100890266359815</v>
      </c>
      <c r="D2108" s="48">
        <f t="shared" ca="1" si="129"/>
        <v>0.55590162765253637</v>
      </c>
      <c r="E2108" s="48">
        <f t="shared" ca="1" si="130"/>
        <v>0</v>
      </c>
      <c r="F2108" s="17">
        <f t="shared" ca="1" si="131"/>
        <v>0</v>
      </c>
      <c r="H2108" s="17">
        <v>2093</v>
      </c>
      <c r="I2108" s="43">
        <v>0.66839281506153192</v>
      </c>
      <c r="J2108" s="43">
        <v>1.9125007733911573E-2</v>
      </c>
      <c r="K2108" s="43"/>
      <c r="L2108" s="43">
        <v>0.252</v>
      </c>
      <c r="O2108" s="50"/>
    </row>
    <row r="2109" spans="2:15" x14ac:dyDescent="0.2">
      <c r="B2109">
        <v>2094</v>
      </c>
      <c r="C2109" s="48">
        <f t="shared" ca="1" si="132"/>
        <v>0.5537139123710646</v>
      </c>
      <c r="D2109" s="48">
        <f t="shared" ca="1" si="129"/>
        <v>0.70178893795966968</v>
      </c>
      <c r="E2109" s="48">
        <f t="shared" ca="1" si="130"/>
        <v>0</v>
      </c>
      <c r="F2109" s="17">
        <f t="shared" ca="1" si="131"/>
        <v>0</v>
      </c>
      <c r="H2109" s="17">
        <v>2094</v>
      </c>
      <c r="I2109" s="43">
        <v>0.67067195956454395</v>
      </c>
      <c r="J2109" s="43">
        <v>2.0479405719764917E-2</v>
      </c>
      <c r="K2109" s="43"/>
      <c r="L2109" s="43">
        <v>0.25119999999999998</v>
      </c>
      <c r="O2109" s="50"/>
    </row>
    <row r="2110" spans="2:15" x14ac:dyDescent="0.2">
      <c r="B2110">
        <v>2095</v>
      </c>
      <c r="C2110" s="48">
        <f t="shared" ca="1" si="132"/>
        <v>-0.10557641750103205</v>
      </c>
      <c r="D2110" s="48">
        <f t="shared" ca="1" si="129"/>
        <v>0.65762504941587063</v>
      </c>
      <c r="E2110" s="48">
        <f t="shared" ca="1" si="130"/>
        <v>0</v>
      </c>
      <c r="F2110" s="17">
        <f t="shared" ca="1" si="131"/>
        <v>0</v>
      </c>
      <c r="H2110" s="17">
        <v>2095</v>
      </c>
      <c r="I2110" s="43">
        <v>0.66964305323195217</v>
      </c>
      <c r="J2110" s="43">
        <v>1.9723832119988755E-2</v>
      </c>
      <c r="K2110" s="43"/>
      <c r="L2110" s="43">
        <v>0.25280000000000002</v>
      </c>
      <c r="O2110" s="50"/>
    </row>
    <row r="2111" spans="2:15" x14ac:dyDescent="0.2">
      <c r="B2111">
        <v>2096</v>
      </c>
      <c r="C2111" s="48">
        <f t="shared" ca="1" si="132"/>
        <v>0.68141516960718296</v>
      </c>
      <c r="D2111" s="48">
        <f t="shared" ca="1" si="129"/>
        <v>0.71068013240549954</v>
      </c>
      <c r="E2111" s="48">
        <f t="shared" ca="1" si="130"/>
        <v>0</v>
      </c>
      <c r="F2111" s="17">
        <f t="shared" ca="1" si="131"/>
        <v>0</v>
      </c>
      <c r="H2111" s="17">
        <v>2096</v>
      </c>
      <c r="I2111" s="43">
        <v>0.66819435226830481</v>
      </c>
      <c r="J2111" s="43">
        <v>1.880408118936221E-2</v>
      </c>
      <c r="K2111" s="43"/>
      <c r="L2111" s="43">
        <v>0.2472</v>
      </c>
      <c r="O2111" s="50"/>
    </row>
    <row r="2112" spans="2:15" x14ac:dyDescent="0.2">
      <c r="B2112">
        <v>2097</v>
      </c>
      <c r="C2112" s="48">
        <f t="shared" ca="1" si="132"/>
        <v>-1.136858442753526</v>
      </c>
      <c r="D2112" s="48">
        <f t="shared" ca="1" si="129"/>
        <v>0.59404997554212879</v>
      </c>
      <c r="E2112" s="48">
        <f t="shared" ca="1" si="130"/>
        <v>0</v>
      </c>
      <c r="F2112" s="17">
        <f t="shared" ca="1" si="131"/>
        <v>0</v>
      </c>
      <c r="H2112" s="17">
        <v>2097</v>
      </c>
      <c r="I2112" s="43">
        <v>0.66804343149809697</v>
      </c>
      <c r="J2112" s="43">
        <v>1.8812753167129586E-2</v>
      </c>
      <c r="K2112" s="43"/>
      <c r="L2112" s="43">
        <v>0.24679999999999999</v>
      </c>
      <c r="O2112" s="50"/>
    </row>
    <row r="2113" spans="2:15" x14ac:dyDescent="0.2">
      <c r="B2113">
        <v>2098</v>
      </c>
      <c r="C2113" s="48">
        <f t="shared" ca="1" si="132"/>
        <v>4.2134072602297068E-2</v>
      </c>
      <c r="D2113" s="48">
        <f t="shared" ca="1" si="129"/>
        <v>0.66727171959657339</v>
      </c>
      <c r="E2113" s="48">
        <f t="shared" ca="1" si="130"/>
        <v>0</v>
      </c>
      <c r="F2113" s="17">
        <f t="shared" ca="1" si="131"/>
        <v>0</v>
      </c>
      <c r="H2113" s="17">
        <v>2098</v>
      </c>
      <c r="I2113" s="43">
        <v>0.66766873051816988</v>
      </c>
      <c r="J2113" s="43">
        <v>1.8311580300320793E-2</v>
      </c>
      <c r="K2113" s="43"/>
      <c r="L2113" s="43">
        <v>0.23899999999999999</v>
      </c>
      <c r="O2113" s="50"/>
    </row>
    <row r="2114" spans="2:15" x14ac:dyDescent="0.2">
      <c r="B2114">
        <v>2099</v>
      </c>
      <c r="C2114" s="48">
        <f t="shared" ca="1" si="132"/>
        <v>0.2044409946675661</v>
      </c>
      <c r="D2114" s="48">
        <f t="shared" ca="1" si="129"/>
        <v>0.67803490399633259</v>
      </c>
      <c r="E2114" s="48">
        <f t="shared" ca="1" si="130"/>
        <v>0</v>
      </c>
      <c r="F2114" s="17">
        <f t="shared" ca="1" si="131"/>
        <v>0</v>
      </c>
      <c r="H2114" s="17">
        <v>2099</v>
      </c>
      <c r="I2114" s="43">
        <v>0.67062889303524398</v>
      </c>
      <c r="J2114" s="43">
        <v>2.0803024497623373E-2</v>
      </c>
      <c r="K2114" s="43"/>
      <c r="L2114" s="43">
        <v>0.25819999999999999</v>
      </c>
      <c r="O2114" s="50"/>
    </row>
    <row r="2115" spans="2:15" x14ac:dyDescent="0.2">
      <c r="B2115">
        <v>2100</v>
      </c>
      <c r="C2115" s="48">
        <f t="shared" ca="1" si="132"/>
        <v>-0.59740782593962383</v>
      </c>
      <c r="D2115" s="48">
        <f t="shared" ca="1" si="129"/>
        <v>0.62649858834655225</v>
      </c>
      <c r="E2115" s="48">
        <f t="shared" ca="1" si="130"/>
        <v>0</v>
      </c>
      <c r="F2115" s="17">
        <f t="shared" ca="1" si="131"/>
        <v>0</v>
      </c>
      <c r="H2115" s="17">
        <v>2100</v>
      </c>
      <c r="I2115" s="43">
        <v>0.66972249772377368</v>
      </c>
      <c r="J2115" s="43">
        <v>2.0340182281075911E-2</v>
      </c>
      <c r="K2115" s="43"/>
      <c r="L2115" s="43">
        <v>0.26179999999999998</v>
      </c>
      <c r="O2115" s="50"/>
    </row>
    <row r="2116" spans="2:15" x14ac:dyDescent="0.2">
      <c r="B2116">
        <v>2101</v>
      </c>
      <c r="C2116" s="48">
        <f t="shared" ca="1" si="132"/>
        <v>3.305289188829974E-2</v>
      </c>
      <c r="D2116" s="48">
        <f t="shared" ca="1" si="129"/>
        <v>0.66667458482357689</v>
      </c>
      <c r="E2116" s="48">
        <f t="shared" ca="1" si="130"/>
        <v>0</v>
      </c>
      <c r="F2116" s="17">
        <f t="shared" ca="1" si="131"/>
        <v>0</v>
      </c>
      <c r="H2116" s="17">
        <v>2101</v>
      </c>
      <c r="I2116" s="43">
        <v>0.66867731407513298</v>
      </c>
      <c r="J2116" s="43">
        <v>1.9320164012972624E-2</v>
      </c>
      <c r="K2116" s="43"/>
      <c r="L2116" s="43">
        <v>0.25180000000000002</v>
      </c>
      <c r="O2116" s="50"/>
    </row>
    <row r="2117" spans="2:15" x14ac:dyDescent="0.2">
      <c r="B2117">
        <v>2102</v>
      </c>
      <c r="C2117" s="48">
        <f t="shared" ca="1" si="132"/>
        <v>-0.57676904494520165</v>
      </c>
      <c r="D2117" s="48">
        <f t="shared" ca="1" si="129"/>
        <v>0.62777463857556037</v>
      </c>
      <c r="E2117" s="48">
        <f t="shared" ca="1" si="130"/>
        <v>0</v>
      </c>
      <c r="F2117" s="17">
        <f t="shared" ca="1" si="131"/>
        <v>0</v>
      </c>
      <c r="H2117" s="17">
        <v>2102</v>
      </c>
      <c r="I2117" s="43">
        <v>0.66845619957283131</v>
      </c>
      <c r="J2117" s="43">
        <v>1.8902549294868426E-2</v>
      </c>
      <c r="K2117" s="43"/>
      <c r="L2117" s="43">
        <v>0.25180000000000002</v>
      </c>
      <c r="O2117" s="50"/>
    </row>
    <row r="2118" spans="2:15" x14ac:dyDescent="0.2">
      <c r="B2118">
        <v>2103</v>
      </c>
      <c r="C2118" s="48">
        <f t="shared" ca="1" si="132"/>
        <v>2.3326590552863693</v>
      </c>
      <c r="D2118" s="48">
        <f t="shared" ca="1" si="129"/>
        <v>0.83632258099526435</v>
      </c>
      <c r="E2118" s="48">
        <f t="shared" ca="1" si="130"/>
        <v>4.8122580995264341E-2</v>
      </c>
      <c r="F2118" s="17">
        <f t="shared" ca="1" si="131"/>
        <v>1</v>
      </c>
      <c r="H2118" s="17">
        <v>2103</v>
      </c>
      <c r="I2118" s="43">
        <v>0.66894310757986719</v>
      </c>
      <c r="J2118" s="43">
        <v>1.9498943869217793E-2</v>
      </c>
      <c r="K2118" s="43"/>
      <c r="L2118" s="43">
        <v>0.24560000000000001</v>
      </c>
      <c r="O2118" s="50"/>
    </row>
    <row r="2119" spans="2:15" x14ac:dyDescent="0.2">
      <c r="B2119">
        <v>2104</v>
      </c>
      <c r="C2119" s="48">
        <f t="shared" ca="1" si="132"/>
        <v>-1.4112071970229638</v>
      </c>
      <c r="D2119" s="48">
        <f t="shared" ca="1" si="129"/>
        <v>0.57819784368812654</v>
      </c>
      <c r="E2119" s="48">
        <f t="shared" ca="1" si="130"/>
        <v>0</v>
      </c>
      <c r="F2119" s="17">
        <f t="shared" ca="1" si="131"/>
        <v>0</v>
      </c>
      <c r="H2119" s="17">
        <v>2104</v>
      </c>
      <c r="I2119" s="43">
        <v>0.66874064271231903</v>
      </c>
      <c r="J2119" s="43">
        <v>1.9106546940042345E-2</v>
      </c>
      <c r="K2119" s="43"/>
      <c r="L2119" s="43">
        <v>0.24979999999999999</v>
      </c>
      <c r="O2119" s="50"/>
    </row>
    <row r="2120" spans="2:15" x14ac:dyDescent="0.2">
      <c r="B2120">
        <v>2105</v>
      </c>
      <c r="C2120" s="48">
        <f t="shared" ca="1" si="132"/>
        <v>0.7097446495963553</v>
      </c>
      <c r="D2120" s="48">
        <f t="shared" ca="1" si="129"/>
        <v>0.71266778791332419</v>
      </c>
      <c r="E2120" s="48">
        <f t="shared" ca="1" si="130"/>
        <v>0</v>
      </c>
      <c r="F2120" s="17">
        <f t="shared" ca="1" si="131"/>
        <v>0</v>
      </c>
      <c r="H2120" s="17">
        <v>2105</v>
      </c>
      <c r="I2120" s="43">
        <v>0.66795060012722351</v>
      </c>
      <c r="J2120" s="43">
        <v>1.8369416043332618E-2</v>
      </c>
      <c r="K2120" s="43"/>
      <c r="L2120" s="43">
        <v>0.246</v>
      </c>
      <c r="O2120" s="50"/>
    </row>
    <row r="2121" spans="2:15" x14ac:dyDescent="0.2">
      <c r="B2121">
        <v>2106</v>
      </c>
      <c r="C2121" s="48">
        <f t="shared" ca="1" si="132"/>
        <v>-0.68851986963301393</v>
      </c>
      <c r="D2121" s="48">
        <f t="shared" ca="1" si="129"/>
        <v>0.62089626025242417</v>
      </c>
      <c r="E2121" s="48">
        <f t="shared" ca="1" si="130"/>
        <v>0</v>
      </c>
      <c r="F2121" s="17">
        <f t="shared" ca="1" si="131"/>
        <v>0</v>
      </c>
      <c r="H2121" s="17">
        <v>2106</v>
      </c>
      <c r="I2121" s="43">
        <v>0.66892456647202958</v>
      </c>
      <c r="J2121" s="43">
        <v>1.9131816533015739E-2</v>
      </c>
      <c r="K2121" s="43"/>
      <c r="L2121" s="43">
        <v>0.24460000000000001</v>
      </c>
      <c r="O2121" s="50"/>
    </row>
    <row r="2122" spans="2:15" x14ac:dyDescent="0.2">
      <c r="B2122">
        <v>2107</v>
      </c>
      <c r="C2122" s="48">
        <f t="shared" ca="1" si="132"/>
        <v>0.19511954960987307</v>
      </c>
      <c r="D2122" s="48">
        <f t="shared" ca="1" si="129"/>
        <v>0.67741209127087498</v>
      </c>
      <c r="E2122" s="48">
        <f t="shared" ca="1" si="130"/>
        <v>0</v>
      </c>
      <c r="F2122" s="17">
        <f t="shared" ca="1" si="131"/>
        <v>0</v>
      </c>
      <c r="H2122" s="17">
        <v>2107</v>
      </c>
      <c r="I2122" s="43">
        <v>0.66999739074519971</v>
      </c>
      <c r="J2122" s="43">
        <v>2.0236801069703481E-2</v>
      </c>
      <c r="K2122" s="43"/>
      <c r="L2122" s="43">
        <v>0.25019999999999998</v>
      </c>
      <c r="O2122" s="50"/>
    </row>
    <row r="2123" spans="2:15" x14ac:dyDescent="0.2">
      <c r="B2123">
        <v>2108</v>
      </c>
      <c r="C2123" s="48">
        <f t="shared" ca="1" si="132"/>
        <v>0.64255429990570023</v>
      </c>
      <c r="D2123" s="48">
        <f t="shared" ca="1" si="129"/>
        <v>0.70796258741264562</v>
      </c>
      <c r="E2123" s="48">
        <f t="shared" ca="1" si="130"/>
        <v>0</v>
      </c>
      <c r="F2123" s="17">
        <f t="shared" ca="1" si="131"/>
        <v>0</v>
      </c>
      <c r="H2123" s="17">
        <v>2108</v>
      </c>
      <c r="I2123" s="43">
        <v>0.66909517074864944</v>
      </c>
      <c r="J2123" s="43">
        <v>1.928290552708755E-2</v>
      </c>
      <c r="K2123" s="43"/>
      <c r="L2123" s="43">
        <v>0.248</v>
      </c>
      <c r="O2123" s="50"/>
    </row>
    <row r="2124" spans="2:15" x14ac:dyDescent="0.2">
      <c r="B2124">
        <v>2109</v>
      </c>
      <c r="C2124" s="48">
        <f t="shared" ca="1" si="132"/>
        <v>1.9094426117418812</v>
      </c>
      <c r="D2124" s="48">
        <f t="shared" ca="1" si="129"/>
        <v>0.80214594111019422</v>
      </c>
      <c r="E2124" s="48">
        <f t="shared" ca="1" si="130"/>
        <v>1.3945941110194204E-2</v>
      </c>
      <c r="F2124" s="17">
        <f t="shared" ca="1" si="131"/>
        <v>1</v>
      </c>
      <c r="H2124" s="17">
        <v>2109</v>
      </c>
      <c r="I2124" s="43">
        <v>0.66865147264657554</v>
      </c>
      <c r="J2124" s="43">
        <v>1.9284750200441562E-2</v>
      </c>
      <c r="K2124" s="43"/>
      <c r="L2124" s="43">
        <v>0.25559999999999999</v>
      </c>
      <c r="O2124" s="50"/>
    </row>
    <row r="2125" spans="2:15" x14ac:dyDescent="0.2">
      <c r="B2125">
        <v>2110</v>
      </c>
      <c r="C2125" s="48">
        <f t="shared" ca="1" si="132"/>
        <v>0.80590634265344185</v>
      </c>
      <c r="D2125" s="48">
        <f t="shared" ca="1" si="129"/>
        <v>0.71945624702759015</v>
      </c>
      <c r="E2125" s="48">
        <f t="shared" ca="1" si="130"/>
        <v>0</v>
      </c>
      <c r="F2125" s="17">
        <f t="shared" ca="1" si="131"/>
        <v>0</v>
      </c>
      <c r="H2125" s="17">
        <v>2110</v>
      </c>
      <c r="I2125" s="43">
        <v>0.67060722329955691</v>
      </c>
      <c r="J2125" s="43">
        <v>2.0504624690996346E-2</v>
      </c>
      <c r="K2125" s="43"/>
      <c r="L2125" s="43">
        <v>0.253</v>
      </c>
      <c r="O2125" s="50"/>
    </row>
    <row r="2126" spans="2:15" x14ac:dyDescent="0.2">
      <c r="B2126">
        <v>2111</v>
      </c>
      <c r="C2126" s="48">
        <f t="shared" ca="1" si="132"/>
        <v>-0.26097061552832085</v>
      </c>
      <c r="D2126" s="48">
        <f t="shared" ca="1" si="129"/>
        <v>0.64762706544955362</v>
      </c>
      <c r="E2126" s="48">
        <f t="shared" ca="1" si="130"/>
        <v>0</v>
      </c>
      <c r="F2126" s="17">
        <f t="shared" ca="1" si="131"/>
        <v>0</v>
      </c>
      <c r="H2126" s="17">
        <v>2111</v>
      </c>
      <c r="I2126" s="43">
        <v>0.66951485519856335</v>
      </c>
      <c r="J2126" s="43">
        <v>1.9817713303892592E-2</v>
      </c>
      <c r="K2126" s="43"/>
      <c r="L2126" s="43">
        <v>0.24840000000000001</v>
      </c>
      <c r="O2126" s="50"/>
    </row>
    <row r="2127" spans="2:15" x14ac:dyDescent="0.2">
      <c r="B2127">
        <v>2112</v>
      </c>
      <c r="C2127" s="48">
        <f t="shared" ca="1" si="132"/>
        <v>-1.6419445117594704</v>
      </c>
      <c r="D2127" s="48">
        <f t="shared" ca="1" si="129"/>
        <v>0.56519358014264087</v>
      </c>
      <c r="E2127" s="48">
        <f t="shared" ca="1" si="130"/>
        <v>0</v>
      </c>
      <c r="F2127" s="17">
        <f t="shared" ca="1" si="131"/>
        <v>0</v>
      </c>
      <c r="H2127" s="17">
        <v>2112</v>
      </c>
      <c r="I2127" s="43">
        <v>0.66922945276200996</v>
      </c>
      <c r="J2127" s="43">
        <v>1.9591784211307247E-2</v>
      </c>
      <c r="K2127" s="43"/>
      <c r="L2127" s="43">
        <v>0.24779999999999999</v>
      </c>
      <c r="O2127" s="50"/>
    </row>
    <row r="2128" spans="2:15" x14ac:dyDescent="0.2">
      <c r="B2128">
        <v>2113</v>
      </c>
      <c r="C2128" s="48">
        <f t="shared" ca="1" si="132"/>
        <v>0.75733283832947829</v>
      </c>
      <c r="D2128" s="48">
        <f t="shared" ref="D2128:D2191" ca="1" si="133">S0*EXP((μ-0.5*σ*σ)*T+σ*SQRT(T)*$C2128)</f>
        <v>0.7160191950597633</v>
      </c>
      <c r="E2128" s="48">
        <f t="shared" ref="E2128:E2191" ca="1" si="134">MAX(0,CP*(D2128-K))</f>
        <v>0</v>
      </c>
      <c r="F2128" s="17">
        <f t="shared" ref="F2128:F2191" ca="1" si="135">(CP*(D2128-K)&gt;0)*1</f>
        <v>0</v>
      </c>
      <c r="H2128" s="17">
        <v>2113</v>
      </c>
      <c r="I2128" s="43">
        <v>0.66872813298633427</v>
      </c>
      <c r="J2128" s="43">
        <v>1.9288158466618185E-2</v>
      </c>
      <c r="K2128" s="43"/>
      <c r="L2128" s="43">
        <v>0.24440000000000001</v>
      </c>
      <c r="O2128" s="50"/>
    </row>
    <row r="2129" spans="2:15" x14ac:dyDescent="0.2">
      <c r="B2129">
        <v>2114</v>
      </c>
      <c r="C2129" s="48">
        <f t="shared" ref="C2129:C2192" ca="1" si="136">_xlfn.NORM.S.INV(RAND())</f>
        <v>0.86226998737225202</v>
      </c>
      <c r="D2129" s="48">
        <f t="shared" ca="1" si="133"/>
        <v>0.72346521298740751</v>
      </c>
      <c r="E2129" s="48">
        <f t="shared" ca="1" si="134"/>
        <v>0</v>
      </c>
      <c r="F2129" s="17">
        <f t="shared" ca="1" si="135"/>
        <v>0</v>
      </c>
      <c r="H2129" s="17">
        <v>2114</v>
      </c>
      <c r="I2129" s="43">
        <v>0.67031311922874837</v>
      </c>
      <c r="J2129" s="43">
        <v>2.0772895578549024E-2</v>
      </c>
      <c r="K2129" s="43"/>
      <c r="L2129" s="43">
        <v>0.26200000000000001</v>
      </c>
      <c r="O2129" s="50"/>
    </row>
    <row r="2130" spans="2:15" x14ac:dyDescent="0.2">
      <c r="B2130">
        <v>2115</v>
      </c>
      <c r="C2130" s="48">
        <f t="shared" ca="1" si="136"/>
        <v>-0.24299391690567698</v>
      </c>
      <c r="D2130" s="48">
        <f t="shared" ca="1" si="133"/>
        <v>0.64877585784078362</v>
      </c>
      <c r="E2130" s="48">
        <f t="shared" ca="1" si="134"/>
        <v>0</v>
      </c>
      <c r="F2130" s="17">
        <f t="shared" ca="1" si="135"/>
        <v>0</v>
      </c>
      <c r="H2130" s="17">
        <v>2115</v>
      </c>
      <c r="I2130" s="43">
        <v>0.66958129187514093</v>
      </c>
      <c r="J2130" s="43">
        <v>2.0090934754900532E-2</v>
      </c>
      <c r="K2130" s="43"/>
      <c r="L2130" s="43">
        <v>0.25480000000000003</v>
      </c>
      <c r="O2130" s="50"/>
    </row>
    <row r="2131" spans="2:15" x14ac:dyDescent="0.2">
      <c r="B2131">
        <v>2116</v>
      </c>
      <c r="C2131" s="48">
        <f t="shared" ca="1" si="136"/>
        <v>-1.0301467430354485</v>
      </c>
      <c r="D2131" s="48">
        <f t="shared" ca="1" si="133"/>
        <v>0.60033263075897381</v>
      </c>
      <c r="E2131" s="48">
        <f t="shared" ca="1" si="134"/>
        <v>0</v>
      </c>
      <c r="F2131" s="17">
        <f t="shared" ca="1" si="135"/>
        <v>0</v>
      </c>
      <c r="H2131" s="17">
        <v>2116</v>
      </c>
      <c r="I2131" s="43">
        <v>0.6686657276754161</v>
      </c>
      <c r="J2131" s="43">
        <v>1.9425131082561602E-2</v>
      </c>
      <c r="K2131" s="43"/>
      <c r="L2131" s="43">
        <v>0.25640000000000002</v>
      </c>
      <c r="O2131" s="50"/>
    </row>
    <row r="2132" spans="2:15" x14ac:dyDescent="0.2">
      <c r="B2132">
        <v>2117</v>
      </c>
      <c r="C2132" s="48">
        <f t="shared" ca="1" si="136"/>
        <v>1.2233400934363392</v>
      </c>
      <c r="D2132" s="48">
        <f t="shared" ca="1" si="133"/>
        <v>0.74968225106095499</v>
      </c>
      <c r="E2132" s="48">
        <f t="shared" ca="1" si="134"/>
        <v>0</v>
      </c>
      <c r="F2132" s="17">
        <f t="shared" ca="1" si="135"/>
        <v>0</v>
      </c>
      <c r="H2132" s="17">
        <v>2117</v>
      </c>
      <c r="I2132" s="43">
        <v>0.66940976982923006</v>
      </c>
      <c r="J2132" s="43">
        <v>1.9720463714333836E-2</v>
      </c>
      <c r="K2132" s="43"/>
      <c r="L2132" s="43">
        <v>0.25380000000000003</v>
      </c>
      <c r="O2132" s="50"/>
    </row>
    <row r="2133" spans="2:15" x14ac:dyDescent="0.2">
      <c r="B2133">
        <v>2118</v>
      </c>
      <c r="C2133" s="48">
        <f t="shared" ca="1" si="136"/>
        <v>0.94742450766052078</v>
      </c>
      <c r="D2133" s="48">
        <f t="shared" ca="1" si="133"/>
        <v>0.72956439148782748</v>
      </c>
      <c r="E2133" s="48">
        <f t="shared" ca="1" si="134"/>
        <v>0</v>
      </c>
      <c r="F2133" s="17">
        <f t="shared" ca="1" si="135"/>
        <v>0</v>
      </c>
      <c r="H2133" s="17">
        <v>2118</v>
      </c>
      <c r="I2133" s="43">
        <v>0.66913987508159245</v>
      </c>
      <c r="J2133" s="43">
        <v>1.955078235446784E-2</v>
      </c>
      <c r="K2133" s="43"/>
      <c r="L2133" s="43">
        <v>0.25159999999999999</v>
      </c>
      <c r="O2133" s="50"/>
    </row>
    <row r="2134" spans="2:15" x14ac:dyDescent="0.2">
      <c r="B2134">
        <v>2119</v>
      </c>
      <c r="C2134" s="48">
        <f t="shared" ca="1" si="136"/>
        <v>1.5957201944900568</v>
      </c>
      <c r="D2134" s="48">
        <f t="shared" ca="1" si="133"/>
        <v>0.77771603459057848</v>
      </c>
      <c r="E2134" s="48">
        <f t="shared" ca="1" si="134"/>
        <v>0</v>
      </c>
      <c r="F2134" s="17">
        <f t="shared" ca="1" si="135"/>
        <v>0</v>
      </c>
      <c r="H2134" s="17">
        <v>2119</v>
      </c>
      <c r="I2134" s="43">
        <v>0.66998236119897991</v>
      </c>
      <c r="J2134" s="43">
        <v>2.0418250933146895E-2</v>
      </c>
      <c r="K2134" s="43"/>
      <c r="L2134" s="43">
        <v>0.25979999999999998</v>
      </c>
      <c r="O2134" s="50"/>
    </row>
    <row r="2135" spans="2:15" x14ac:dyDescent="0.2">
      <c r="B2135">
        <v>2120</v>
      </c>
      <c r="C2135" s="48">
        <f t="shared" ca="1" si="136"/>
        <v>0.51317546516948387</v>
      </c>
      <c r="D2135" s="48">
        <f t="shared" ca="1" si="133"/>
        <v>0.69898977752915314</v>
      </c>
      <c r="E2135" s="48">
        <f t="shared" ca="1" si="134"/>
        <v>0</v>
      </c>
      <c r="F2135" s="17">
        <f t="shared" ca="1" si="135"/>
        <v>0</v>
      </c>
      <c r="H2135" s="17">
        <v>2120</v>
      </c>
      <c r="I2135" s="43">
        <v>0.66815945549704037</v>
      </c>
      <c r="J2135" s="43">
        <v>1.8825465934380066E-2</v>
      </c>
      <c r="K2135" s="43"/>
      <c r="L2135" s="43">
        <v>0.25359999999999999</v>
      </c>
      <c r="O2135" s="50"/>
    </row>
    <row r="2136" spans="2:15" x14ac:dyDescent="0.2">
      <c r="B2136">
        <v>2121</v>
      </c>
      <c r="C2136" s="48">
        <f t="shared" ca="1" si="136"/>
        <v>8.9918760847084819E-2</v>
      </c>
      <c r="D2136" s="48">
        <f t="shared" ca="1" si="133"/>
        <v>0.67042263376069777</v>
      </c>
      <c r="E2136" s="48">
        <f t="shared" ca="1" si="134"/>
        <v>0</v>
      </c>
      <c r="F2136" s="17">
        <f t="shared" ca="1" si="135"/>
        <v>0</v>
      </c>
      <c r="H2136" s="17">
        <v>2121</v>
      </c>
      <c r="I2136" s="43">
        <v>0.66918846840885204</v>
      </c>
      <c r="J2136" s="43">
        <v>1.9517783812567666E-2</v>
      </c>
      <c r="K2136" s="43"/>
      <c r="L2136" s="43">
        <v>0.25359999999999999</v>
      </c>
      <c r="O2136" s="50"/>
    </row>
    <row r="2137" spans="2:15" x14ac:dyDescent="0.2">
      <c r="B2137">
        <v>2122</v>
      </c>
      <c r="C2137" s="48">
        <f t="shared" ca="1" si="136"/>
        <v>0.67716086023608391</v>
      </c>
      <c r="D2137" s="48">
        <f t="shared" ca="1" si="133"/>
        <v>0.71038212031055903</v>
      </c>
      <c r="E2137" s="48">
        <f t="shared" ca="1" si="134"/>
        <v>0</v>
      </c>
      <c r="F2137" s="17">
        <f t="shared" ca="1" si="135"/>
        <v>0</v>
      </c>
      <c r="H2137" s="17">
        <v>2122</v>
      </c>
      <c r="I2137" s="43">
        <v>0.66904507766159038</v>
      </c>
      <c r="J2137" s="43">
        <v>1.9241990454195061E-2</v>
      </c>
      <c r="K2137" s="43"/>
      <c r="L2137" s="43">
        <v>0.2482</v>
      </c>
      <c r="O2137" s="50"/>
    </row>
    <row r="2138" spans="2:15" x14ac:dyDescent="0.2">
      <c r="B2138">
        <v>2123</v>
      </c>
      <c r="C2138" s="48">
        <f t="shared" ca="1" si="136"/>
        <v>-0.16261477299904786</v>
      </c>
      <c r="D2138" s="48">
        <f t="shared" ca="1" si="133"/>
        <v>0.65393742604345739</v>
      </c>
      <c r="E2138" s="48">
        <f t="shared" ca="1" si="134"/>
        <v>0</v>
      </c>
      <c r="F2138" s="17">
        <f t="shared" ca="1" si="135"/>
        <v>0</v>
      </c>
      <c r="H2138" s="17">
        <v>2123</v>
      </c>
      <c r="I2138" s="43">
        <v>0.66905034484276882</v>
      </c>
      <c r="J2138" s="43">
        <v>1.9556303619552066E-2</v>
      </c>
      <c r="K2138" s="43"/>
      <c r="L2138" s="43">
        <v>0.24759999999999999</v>
      </c>
      <c r="O2138" s="50"/>
    </row>
    <row r="2139" spans="2:15" x14ac:dyDescent="0.2">
      <c r="B2139">
        <v>2124</v>
      </c>
      <c r="C2139" s="48">
        <f t="shared" ca="1" si="136"/>
        <v>0.19785589965639022</v>
      </c>
      <c r="D2139" s="48">
        <f t="shared" ca="1" si="133"/>
        <v>0.67759486126563384</v>
      </c>
      <c r="E2139" s="48">
        <f t="shared" ca="1" si="134"/>
        <v>0</v>
      </c>
      <c r="F2139" s="17">
        <f t="shared" ca="1" si="135"/>
        <v>0</v>
      </c>
      <c r="H2139" s="17">
        <v>2124</v>
      </c>
      <c r="I2139" s="43">
        <v>0.66779076005808835</v>
      </c>
      <c r="J2139" s="43">
        <v>1.8743528947973404E-2</v>
      </c>
      <c r="K2139" s="43"/>
      <c r="L2139" s="43">
        <v>0.24679999999999999</v>
      </c>
      <c r="O2139" s="50"/>
    </row>
    <row r="2140" spans="2:15" x14ac:dyDescent="0.2">
      <c r="B2140">
        <v>2125</v>
      </c>
      <c r="C2140" s="48">
        <f t="shared" ca="1" si="136"/>
        <v>-0.91902357670725399</v>
      </c>
      <c r="D2140" s="48">
        <f t="shared" ca="1" si="133"/>
        <v>0.60694564372570492</v>
      </c>
      <c r="E2140" s="48">
        <f t="shared" ca="1" si="134"/>
        <v>0</v>
      </c>
      <c r="F2140" s="17">
        <f t="shared" ca="1" si="135"/>
        <v>0</v>
      </c>
      <c r="H2140" s="17">
        <v>2125</v>
      </c>
      <c r="I2140" s="43">
        <v>0.66936436349071393</v>
      </c>
      <c r="J2140" s="43">
        <v>1.9656040970206838E-2</v>
      </c>
      <c r="K2140" s="43"/>
      <c r="L2140" s="43">
        <v>0.25180000000000002</v>
      </c>
      <c r="O2140" s="50"/>
    </row>
    <row r="2141" spans="2:15" x14ac:dyDescent="0.2">
      <c r="B2141">
        <v>2126</v>
      </c>
      <c r="C2141" s="48">
        <f t="shared" ca="1" si="136"/>
        <v>-1.8291296456907382</v>
      </c>
      <c r="D2141" s="48">
        <f t="shared" ca="1" si="133"/>
        <v>0.55485908658255678</v>
      </c>
      <c r="E2141" s="48">
        <f t="shared" ca="1" si="134"/>
        <v>0</v>
      </c>
      <c r="F2141" s="17">
        <f t="shared" ca="1" si="135"/>
        <v>0</v>
      </c>
      <c r="H2141" s="17">
        <v>2126</v>
      </c>
      <c r="I2141" s="43">
        <v>0.66887792879577068</v>
      </c>
      <c r="J2141" s="43">
        <v>1.920241012014157E-2</v>
      </c>
      <c r="K2141" s="43"/>
      <c r="L2141" s="43">
        <v>0.245</v>
      </c>
      <c r="O2141" s="50"/>
    </row>
    <row r="2142" spans="2:15" x14ac:dyDescent="0.2">
      <c r="B2142">
        <v>2127</v>
      </c>
      <c r="C2142" s="48">
        <f t="shared" ca="1" si="136"/>
        <v>-0.38454824242523156</v>
      </c>
      <c r="D2142" s="48">
        <f t="shared" ca="1" si="133"/>
        <v>0.63978476099618997</v>
      </c>
      <c r="E2142" s="48">
        <f t="shared" ca="1" si="134"/>
        <v>0</v>
      </c>
      <c r="F2142" s="17">
        <f t="shared" ca="1" si="135"/>
        <v>0</v>
      </c>
      <c r="H2142" s="17">
        <v>2127</v>
      </c>
      <c r="I2142" s="43">
        <v>0.66981999968181805</v>
      </c>
      <c r="J2142" s="43">
        <v>2.047371315652623E-2</v>
      </c>
      <c r="K2142" s="43"/>
      <c r="L2142" s="43">
        <v>0.25540000000000002</v>
      </c>
      <c r="O2142" s="50"/>
    </row>
    <row r="2143" spans="2:15" x14ac:dyDescent="0.2">
      <c r="B2143">
        <v>2128</v>
      </c>
      <c r="C2143" s="48">
        <f t="shared" ca="1" si="136"/>
        <v>-0.624982659862097</v>
      </c>
      <c r="D2143" s="48">
        <f t="shared" ca="1" si="133"/>
        <v>0.62479774414203204</v>
      </c>
      <c r="E2143" s="48">
        <f t="shared" ca="1" si="134"/>
        <v>0</v>
      </c>
      <c r="F2143" s="17">
        <f t="shared" ca="1" si="135"/>
        <v>0</v>
      </c>
      <c r="H2143" s="17">
        <v>2128</v>
      </c>
      <c r="I2143" s="43">
        <v>0.66823881015407904</v>
      </c>
      <c r="J2143" s="43">
        <v>1.8549398832730275E-2</v>
      </c>
      <c r="K2143" s="43"/>
      <c r="L2143" s="43">
        <v>0.25019999999999998</v>
      </c>
      <c r="O2143" s="50"/>
    </row>
    <row r="2144" spans="2:15" x14ac:dyDescent="0.2">
      <c r="B2144">
        <v>2129</v>
      </c>
      <c r="C2144" s="48">
        <f t="shared" ca="1" si="136"/>
        <v>1.4119074634350131</v>
      </c>
      <c r="D2144" s="48">
        <f t="shared" ca="1" si="133"/>
        <v>0.76374948134156828</v>
      </c>
      <c r="E2144" s="48">
        <f t="shared" ca="1" si="134"/>
        <v>0</v>
      </c>
      <c r="F2144" s="17">
        <f t="shared" ca="1" si="135"/>
        <v>0</v>
      </c>
      <c r="H2144" s="17">
        <v>2129</v>
      </c>
      <c r="I2144" s="43">
        <v>0.6689698374453289</v>
      </c>
      <c r="J2144" s="43">
        <v>1.9257448062636358E-2</v>
      </c>
      <c r="K2144" s="43"/>
      <c r="L2144" s="43">
        <v>0.252</v>
      </c>
      <c r="O2144" s="50"/>
    </row>
    <row r="2145" spans="2:15" x14ac:dyDescent="0.2">
      <c r="B2145">
        <v>2130</v>
      </c>
      <c r="C2145" s="48">
        <f t="shared" ca="1" si="136"/>
        <v>-1.2413796630853891</v>
      </c>
      <c r="D2145" s="48">
        <f t="shared" ca="1" si="133"/>
        <v>0.58796002864079366</v>
      </c>
      <c r="E2145" s="48">
        <f t="shared" ca="1" si="134"/>
        <v>0</v>
      </c>
      <c r="F2145" s="17">
        <f t="shared" ca="1" si="135"/>
        <v>0</v>
      </c>
      <c r="H2145" s="17">
        <v>2130</v>
      </c>
      <c r="I2145" s="43">
        <v>0.66986755459987612</v>
      </c>
      <c r="J2145" s="43">
        <v>2.00130750140055E-2</v>
      </c>
      <c r="K2145" s="43"/>
      <c r="L2145" s="43">
        <v>0.25459999999999999</v>
      </c>
      <c r="O2145" s="50"/>
    </row>
    <row r="2146" spans="2:15" x14ac:dyDescent="0.2">
      <c r="B2146">
        <v>2131</v>
      </c>
      <c r="C2146" s="48">
        <f t="shared" ca="1" si="136"/>
        <v>1.4464147511636143</v>
      </c>
      <c r="D2146" s="48">
        <f t="shared" ca="1" si="133"/>
        <v>0.76635217117301913</v>
      </c>
      <c r="E2146" s="48">
        <f t="shared" ca="1" si="134"/>
        <v>0</v>
      </c>
      <c r="F2146" s="17">
        <f t="shared" ca="1" si="135"/>
        <v>0</v>
      </c>
      <c r="H2146" s="17">
        <v>2131</v>
      </c>
      <c r="I2146" s="43">
        <v>0.66799506871065972</v>
      </c>
      <c r="J2146" s="43">
        <v>1.8357019860323835E-2</v>
      </c>
      <c r="K2146" s="43"/>
      <c r="L2146" s="43">
        <v>0.24199999999999999</v>
      </c>
      <c r="O2146" s="50"/>
    </row>
    <row r="2147" spans="2:15" x14ac:dyDescent="0.2">
      <c r="B2147">
        <v>2132</v>
      </c>
      <c r="C2147" s="48">
        <f t="shared" ca="1" si="136"/>
        <v>-0.11833855941043481</v>
      </c>
      <c r="D2147" s="48">
        <f t="shared" ca="1" si="133"/>
        <v>0.6567981542476895</v>
      </c>
      <c r="E2147" s="48">
        <f t="shared" ca="1" si="134"/>
        <v>0</v>
      </c>
      <c r="F2147" s="17">
        <f t="shared" ca="1" si="135"/>
        <v>0</v>
      </c>
      <c r="H2147" s="17">
        <v>2132</v>
      </c>
      <c r="I2147" s="43">
        <v>0.66843318576693989</v>
      </c>
      <c r="J2147" s="43">
        <v>1.8704359935181825E-2</v>
      </c>
      <c r="K2147" s="43"/>
      <c r="L2147" s="43">
        <v>0.24940000000000001</v>
      </c>
      <c r="O2147" s="50"/>
    </row>
    <row r="2148" spans="2:15" x14ac:dyDescent="0.2">
      <c r="B2148">
        <v>2133</v>
      </c>
      <c r="C2148" s="48">
        <f t="shared" ca="1" si="136"/>
        <v>-1.5191917912772597</v>
      </c>
      <c r="D2148" s="48">
        <f t="shared" ca="1" si="133"/>
        <v>0.57207504041024104</v>
      </c>
      <c r="E2148" s="48">
        <f t="shared" ca="1" si="134"/>
        <v>0</v>
      </c>
      <c r="F2148" s="17">
        <f t="shared" ca="1" si="135"/>
        <v>0</v>
      </c>
      <c r="H2148" s="17">
        <v>2133</v>
      </c>
      <c r="I2148" s="43">
        <v>0.66908312160280281</v>
      </c>
      <c r="J2148" s="43">
        <v>1.9476283291088654E-2</v>
      </c>
      <c r="K2148" s="43"/>
      <c r="L2148" s="43">
        <v>0.24840000000000001</v>
      </c>
      <c r="O2148" s="50"/>
    </row>
    <row r="2149" spans="2:15" x14ac:dyDescent="0.2">
      <c r="B2149">
        <v>2134</v>
      </c>
      <c r="C2149" s="48">
        <f t="shared" ca="1" si="136"/>
        <v>1.021408292246258</v>
      </c>
      <c r="D2149" s="48">
        <f t="shared" ca="1" si="133"/>
        <v>0.73490519622584849</v>
      </c>
      <c r="E2149" s="48">
        <f t="shared" ca="1" si="134"/>
        <v>0</v>
      </c>
      <c r="F2149" s="17">
        <f t="shared" ca="1" si="135"/>
        <v>0</v>
      </c>
      <c r="H2149" s="17">
        <v>2134</v>
      </c>
      <c r="I2149" s="43">
        <v>0.66883409942547323</v>
      </c>
      <c r="J2149" s="43">
        <v>1.9249285788408243E-2</v>
      </c>
      <c r="K2149" s="43"/>
      <c r="L2149" s="43">
        <v>0.25</v>
      </c>
      <c r="O2149" s="50"/>
    </row>
    <row r="2150" spans="2:15" x14ac:dyDescent="0.2">
      <c r="B2150">
        <v>2135</v>
      </c>
      <c r="C2150" s="48">
        <f t="shared" ca="1" si="136"/>
        <v>-1.4886233194386878</v>
      </c>
      <c r="D2150" s="48">
        <f t="shared" ca="1" si="133"/>
        <v>0.57380168528107978</v>
      </c>
      <c r="E2150" s="48">
        <f t="shared" ca="1" si="134"/>
        <v>0</v>
      </c>
      <c r="F2150" s="17">
        <f t="shared" ca="1" si="135"/>
        <v>0</v>
      </c>
      <c r="H2150" s="17">
        <v>2135</v>
      </c>
      <c r="I2150" s="43">
        <v>0.66834416847090472</v>
      </c>
      <c r="J2150" s="43">
        <v>1.9158297966307004E-2</v>
      </c>
      <c r="K2150" s="43"/>
      <c r="L2150" s="43">
        <v>0.25040000000000001</v>
      </c>
      <c r="O2150" s="50"/>
    </row>
    <row r="2151" spans="2:15" x14ac:dyDescent="0.2">
      <c r="B2151">
        <v>2136</v>
      </c>
      <c r="C2151" s="48">
        <f t="shared" ca="1" si="136"/>
        <v>-0.12272324073956456</v>
      </c>
      <c r="D2151" s="48">
        <f t="shared" ca="1" si="133"/>
        <v>0.65651429841966746</v>
      </c>
      <c r="E2151" s="48">
        <f t="shared" ca="1" si="134"/>
        <v>0</v>
      </c>
      <c r="F2151" s="17">
        <f t="shared" ca="1" si="135"/>
        <v>0</v>
      </c>
      <c r="H2151" s="17">
        <v>2136</v>
      </c>
      <c r="I2151" s="43">
        <v>0.66925432692525288</v>
      </c>
      <c r="J2151" s="43">
        <v>1.962583981014349E-2</v>
      </c>
      <c r="K2151" s="43"/>
      <c r="L2151" s="43">
        <v>0.24879999999999999</v>
      </c>
      <c r="O2151" s="50"/>
    </row>
    <row r="2152" spans="2:15" x14ac:dyDescent="0.2">
      <c r="B2152">
        <v>2137</v>
      </c>
      <c r="C2152" s="48">
        <f t="shared" ca="1" si="136"/>
        <v>-0.70714548043860803</v>
      </c>
      <c r="D2152" s="48">
        <f t="shared" ca="1" si="133"/>
        <v>0.61975718448605632</v>
      </c>
      <c r="E2152" s="48">
        <f t="shared" ca="1" si="134"/>
        <v>0</v>
      </c>
      <c r="F2152" s="17">
        <f t="shared" ca="1" si="135"/>
        <v>0</v>
      </c>
      <c r="H2152" s="17">
        <v>2137</v>
      </c>
      <c r="I2152" s="43">
        <v>0.66905129330727653</v>
      </c>
      <c r="J2152" s="43">
        <v>1.9622795760994519E-2</v>
      </c>
      <c r="K2152" s="43"/>
      <c r="L2152" s="43">
        <v>0.25019999999999998</v>
      </c>
      <c r="O2152" s="50"/>
    </row>
    <row r="2153" spans="2:15" x14ac:dyDescent="0.2">
      <c r="B2153">
        <v>2138</v>
      </c>
      <c r="C2153" s="48">
        <f t="shared" ca="1" si="136"/>
        <v>1.2367944239184607E-2</v>
      </c>
      <c r="D2153" s="48">
        <f t="shared" ca="1" si="133"/>
        <v>0.66531643620032999</v>
      </c>
      <c r="E2153" s="48">
        <f t="shared" ca="1" si="134"/>
        <v>0</v>
      </c>
      <c r="F2153" s="17">
        <f t="shared" ca="1" si="135"/>
        <v>0</v>
      </c>
      <c r="H2153" s="17">
        <v>2138</v>
      </c>
      <c r="I2153" s="43">
        <v>0.66871654165673822</v>
      </c>
      <c r="J2153" s="43">
        <v>1.913767492756591E-2</v>
      </c>
      <c r="K2153" s="43"/>
      <c r="L2153" s="43">
        <v>0.24979999999999999</v>
      </c>
      <c r="O2153" s="50"/>
    </row>
    <row r="2154" spans="2:15" x14ac:dyDescent="0.2">
      <c r="B2154">
        <v>2139</v>
      </c>
      <c r="C2154" s="48">
        <f t="shared" ca="1" si="136"/>
        <v>0.32478372097026692</v>
      </c>
      <c r="D2154" s="48">
        <f t="shared" ca="1" si="133"/>
        <v>0.68612721306815982</v>
      </c>
      <c r="E2154" s="48">
        <f t="shared" ca="1" si="134"/>
        <v>0</v>
      </c>
      <c r="F2154" s="17">
        <f t="shared" ca="1" si="135"/>
        <v>0</v>
      </c>
      <c r="H2154" s="17">
        <v>2139</v>
      </c>
      <c r="I2154" s="43">
        <v>0.66930099570005608</v>
      </c>
      <c r="J2154" s="43">
        <v>1.9536589730242294E-2</v>
      </c>
      <c r="K2154" s="43"/>
      <c r="L2154" s="43">
        <v>0.246</v>
      </c>
      <c r="O2154" s="50"/>
    </row>
    <row r="2155" spans="2:15" x14ac:dyDescent="0.2">
      <c r="B2155">
        <v>2140</v>
      </c>
      <c r="C2155" s="48">
        <f t="shared" ca="1" si="136"/>
        <v>0.3671688902912606</v>
      </c>
      <c r="D2155" s="48">
        <f t="shared" ca="1" si="133"/>
        <v>0.68900029482889968</v>
      </c>
      <c r="E2155" s="48">
        <f t="shared" ca="1" si="134"/>
        <v>0</v>
      </c>
      <c r="F2155" s="17">
        <f t="shared" ca="1" si="135"/>
        <v>0</v>
      </c>
      <c r="H2155" s="17">
        <v>2140</v>
      </c>
      <c r="I2155" s="43">
        <v>0.66932790847408796</v>
      </c>
      <c r="J2155" s="43">
        <v>1.9407747567390405E-2</v>
      </c>
      <c r="K2155" s="43"/>
      <c r="L2155" s="43">
        <v>0.25080000000000002</v>
      </c>
      <c r="O2155" s="50"/>
    </row>
    <row r="2156" spans="2:15" x14ac:dyDescent="0.2">
      <c r="B2156">
        <v>2141</v>
      </c>
      <c r="C2156" s="48">
        <f t="shared" ca="1" si="136"/>
        <v>-0.19010575999696203</v>
      </c>
      <c r="D2156" s="48">
        <f t="shared" ca="1" si="133"/>
        <v>0.65216748071193564</v>
      </c>
      <c r="E2156" s="48">
        <f t="shared" ca="1" si="134"/>
        <v>0</v>
      </c>
      <c r="F2156" s="17">
        <f t="shared" ca="1" si="135"/>
        <v>0</v>
      </c>
      <c r="H2156" s="17">
        <v>2141</v>
      </c>
      <c r="I2156" s="43">
        <v>0.67012567220820485</v>
      </c>
      <c r="J2156" s="43">
        <v>2.0269029701604501E-2</v>
      </c>
      <c r="K2156" s="43"/>
      <c r="L2156" s="43">
        <v>0.25740000000000002</v>
      </c>
      <c r="O2156" s="50"/>
    </row>
    <row r="2157" spans="2:15" x14ac:dyDescent="0.2">
      <c r="B2157">
        <v>2142</v>
      </c>
      <c r="C2157" s="48">
        <f t="shared" ca="1" si="136"/>
        <v>0.88527162127029713</v>
      </c>
      <c r="D2157" s="48">
        <f t="shared" ca="1" si="133"/>
        <v>0.7251076569938717</v>
      </c>
      <c r="E2157" s="48">
        <f t="shared" ca="1" si="134"/>
        <v>0</v>
      </c>
      <c r="F2157" s="17">
        <f t="shared" ca="1" si="135"/>
        <v>0</v>
      </c>
      <c r="H2157" s="17">
        <v>2142</v>
      </c>
      <c r="I2157" s="43">
        <v>0.66948893390604336</v>
      </c>
      <c r="J2157" s="43">
        <v>1.9911235176721019E-2</v>
      </c>
      <c r="K2157" s="43"/>
      <c r="L2157" s="43">
        <v>0.26340000000000002</v>
      </c>
      <c r="O2157" s="50"/>
    </row>
    <row r="2158" spans="2:15" x14ac:dyDescent="0.2">
      <c r="B2158">
        <v>2143</v>
      </c>
      <c r="C2158" s="48">
        <f t="shared" ca="1" si="136"/>
        <v>-0.70112439997066178</v>
      </c>
      <c r="D2158" s="48">
        <f t="shared" ca="1" si="133"/>
        <v>0.6201251834767213</v>
      </c>
      <c r="E2158" s="48">
        <f t="shared" ca="1" si="134"/>
        <v>0</v>
      </c>
      <c r="F2158" s="17">
        <f t="shared" ca="1" si="135"/>
        <v>0</v>
      </c>
      <c r="H2158" s="17">
        <v>2143</v>
      </c>
      <c r="I2158" s="43">
        <v>0.66787415369729419</v>
      </c>
      <c r="J2158" s="43">
        <v>1.8786953846713202E-2</v>
      </c>
      <c r="K2158" s="43"/>
      <c r="L2158" s="43">
        <v>0.25459999999999999</v>
      </c>
      <c r="O2158" s="50"/>
    </row>
    <row r="2159" spans="2:15" x14ac:dyDescent="0.2">
      <c r="B2159">
        <v>2144</v>
      </c>
      <c r="C2159" s="48">
        <f t="shared" ca="1" si="136"/>
        <v>0.49891459499652557</v>
      </c>
      <c r="D2159" s="48">
        <f t="shared" ca="1" si="133"/>
        <v>0.69800772818431278</v>
      </c>
      <c r="E2159" s="48">
        <f t="shared" ca="1" si="134"/>
        <v>0</v>
      </c>
      <c r="F2159" s="17">
        <f t="shared" ca="1" si="135"/>
        <v>0</v>
      </c>
      <c r="H2159" s="17">
        <v>2144</v>
      </c>
      <c r="I2159" s="43">
        <v>0.66887694703351164</v>
      </c>
      <c r="J2159" s="43">
        <v>1.9423662019097728E-2</v>
      </c>
      <c r="K2159" s="43"/>
      <c r="L2159" s="43">
        <v>0.2492</v>
      </c>
      <c r="O2159" s="50"/>
    </row>
    <row r="2160" spans="2:15" x14ac:dyDescent="0.2">
      <c r="B2160">
        <v>2145</v>
      </c>
      <c r="C2160" s="48">
        <f t="shared" ca="1" si="136"/>
        <v>0.38483296568434788</v>
      </c>
      <c r="D2160" s="48">
        <f t="shared" ca="1" si="133"/>
        <v>0.69020120423194153</v>
      </c>
      <c r="E2160" s="48">
        <f t="shared" ca="1" si="134"/>
        <v>0</v>
      </c>
      <c r="F2160" s="17">
        <f t="shared" ca="1" si="135"/>
        <v>0</v>
      </c>
      <c r="H2160" s="17">
        <v>2145</v>
      </c>
      <c r="I2160" s="43">
        <v>0.66831301029120826</v>
      </c>
      <c r="J2160" s="43">
        <v>1.8672530694075883E-2</v>
      </c>
      <c r="K2160" s="43"/>
      <c r="L2160" s="43">
        <v>0.24740000000000001</v>
      </c>
      <c r="O2160" s="50"/>
    </row>
    <row r="2161" spans="2:15" x14ac:dyDescent="0.2">
      <c r="B2161">
        <v>2146</v>
      </c>
      <c r="C2161" s="48">
        <f t="shared" ca="1" si="136"/>
        <v>-1.0915381421610439</v>
      </c>
      <c r="D2161" s="48">
        <f t="shared" ca="1" si="133"/>
        <v>0.59671013740347212</v>
      </c>
      <c r="E2161" s="48">
        <f t="shared" ca="1" si="134"/>
        <v>0</v>
      </c>
      <c r="F2161" s="17">
        <f t="shared" ca="1" si="135"/>
        <v>0</v>
      </c>
      <c r="H2161" s="17">
        <v>2146</v>
      </c>
      <c r="I2161" s="43">
        <v>0.67001894123654082</v>
      </c>
      <c r="J2161" s="43">
        <v>2.0537325926530833E-2</v>
      </c>
      <c r="K2161" s="43"/>
      <c r="L2161" s="43">
        <v>0.25580000000000003</v>
      </c>
      <c r="O2161" s="50"/>
    </row>
    <row r="2162" spans="2:15" x14ac:dyDescent="0.2">
      <c r="B2162">
        <v>2147</v>
      </c>
      <c r="C2162" s="48">
        <f t="shared" ca="1" si="136"/>
        <v>2.1521847547351958</v>
      </c>
      <c r="D2162" s="48">
        <f t="shared" ca="1" si="133"/>
        <v>0.82157390461896307</v>
      </c>
      <c r="E2162" s="48">
        <f t="shared" ca="1" si="134"/>
        <v>3.3373904618963057E-2</v>
      </c>
      <c r="F2162" s="17">
        <f t="shared" ca="1" si="135"/>
        <v>1</v>
      </c>
      <c r="H2162" s="17">
        <v>2147</v>
      </c>
      <c r="I2162" s="43">
        <v>0.66814525364380228</v>
      </c>
      <c r="J2162" s="43">
        <v>1.8794743775820546E-2</v>
      </c>
      <c r="K2162" s="43"/>
      <c r="L2162" s="43">
        <v>0.24440000000000001</v>
      </c>
      <c r="O2162" s="50"/>
    </row>
    <row r="2163" spans="2:15" x14ac:dyDescent="0.2">
      <c r="B2163">
        <v>2148</v>
      </c>
      <c r="C2163" s="48">
        <f t="shared" ca="1" si="136"/>
        <v>0.8071254684918584</v>
      </c>
      <c r="D2163" s="48">
        <f t="shared" ca="1" si="133"/>
        <v>0.71954272405321662</v>
      </c>
      <c r="E2163" s="48">
        <f t="shared" ca="1" si="134"/>
        <v>0</v>
      </c>
      <c r="F2163" s="17">
        <f t="shared" ca="1" si="135"/>
        <v>0</v>
      </c>
      <c r="H2163" s="17">
        <v>2148</v>
      </c>
      <c r="I2163" s="43">
        <v>0.66809506085639792</v>
      </c>
      <c r="J2163" s="43">
        <v>1.835087136385637E-2</v>
      </c>
      <c r="K2163" s="43"/>
      <c r="L2163" s="43">
        <v>0.24660000000000001</v>
      </c>
      <c r="O2163" s="50"/>
    </row>
    <row r="2164" spans="2:15" x14ac:dyDescent="0.2">
      <c r="B2164">
        <v>2149</v>
      </c>
      <c r="C2164" s="48">
        <f t="shared" ca="1" si="136"/>
        <v>-0.58835139797136071</v>
      </c>
      <c r="D2164" s="48">
        <f t="shared" ca="1" si="133"/>
        <v>0.62705820760151054</v>
      </c>
      <c r="E2164" s="48">
        <f t="shared" ca="1" si="134"/>
        <v>0</v>
      </c>
      <c r="F2164" s="17">
        <f t="shared" ca="1" si="135"/>
        <v>0</v>
      </c>
      <c r="H2164" s="17">
        <v>2149</v>
      </c>
      <c r="I2164" s="43">
        <v>0.67003727108426703</v>
      </c>
      <c r="J2164" s="43">
        <v>2.0427305315782882E-2</v>
      </c>
      <c r="K2164" s="43"/>
      <c r="L2164" s="43">
        <v>0.26340000000000002</v>
      </c>
      <c r="O2164" s="50"/>
    </row>
    <row r="2165" spans="2:15" x14ac:dyDescent="0.2">
      <c r="B2165">
        <v>2150</v>
      </c>
      <c r="C2165" s="48">
        <f t="shared" ca="1" si="136"/>
        <v>-1.151144622148458</v>
      </c>
      <c r="D2165" s="48">
        <f t="shared" ca="1" si="133"/>
        <v>0.59321388174849643</v>
      </c>
      <c r="E2165" s="48">
        <f t="shared" ca="1" si="134"/>
        <v>0</v>
      </c>
      <c r="F2165" s="17">
        <f t="shared" ca="1" si="135"/>
        <v>0</v>
      </c>
      <c r="H2165" s="17">
        <v>2150</v>
      </c>
      <c r="I2165" s="43">
        <v>0.66872117448498736</v>
      </c>
      <c r="J2165" s="43">
        <v>1.9367728421548394E-2</v>
      </c>
      <c r="K2165" s="43"/>
      <c r="L2165" s="43">
        <v>0.25659999999999999</v>
      </c>
      <c r="O2165" s="50"/>
    </row>
    <row r="2166" spans="2:15" x14ac:dyDescent="0.2">
      <c r="B2166">
        <v>2151</v>
      </c>
      <c r="C2166" s="48">
        <f t="shared" ca="1" si="136"/>
        <v>0.59800132527097982</v>
      </c>
      <c r="D2166" s="48">
        <f t="shared" ca="1" si="133"/>
        <v>0.70485977662227339</v>
      </c>
      <c r="E2166" s="48">
        <f t="shared" ca="1" si="134"/>
        <v>0</v>
      </c>
      <c r="F2166" s="17">
        <f t="shared" ca="1" si="135"/>
        <v>0</v>
      </c>
      <c r="H2166" s="17">
        <v>2151</v>
      </c>
      <c r="I2166" s="43">
        <v>0.66942602522176875</v>
      </c>
      <c r="J2166" s="43">
        <v>1.9748333801523386E-2</v>
      </c>
      <c r="K2166" s="43"/>
      <c r="L2166" s="43">
        <v>0.252</v>
      </c>
      <c r="O2166" s="50"/>
    </row>
    <row r="2167" spans="2:15" x14ac:dyDescent="0.2">
      <c r="B2167">
        <v>2152</v>
      </c>
      <c r="C2167" s="48">
        <f t="shared" ca="1" si="136"/>
        <v>-0.22377944850229409</v>
      </c>
      <c r="D2167" s="48">
        <f t="shared" ca="1" si="133"/>
        <v>0.65000600249292306</v>
      </c>
      <c r="E2167" s="48">
        <f t="shared" ca="1" si="134"/>
        <v>0</v>
      </c>
      <c r="F2167" s="17">
        <f t="shared" ca="1" si="135"/>
        <v>0</v>
      </c>
      <c r="H2167" s="17">
        <v>2152</v>
      </c>
      <c r="I2167" s="43">
        <v>0.66848475581020184</v>
      </c>
      <c r="J2167" s="43">
        <v>1.9069944825593342E-2</v>
      </c>
      <c r="K2167" s="43"/>
      <c r="L2167" s="43">
        <v>0.25059999999999999</v>
      </c>
      <c r="O2167" s="50"/>
    </row>
    <row r="2168" spans="2:15" x14ac:dyDescent="0.2">
      <c r="B2168">
        <v>2153</v>
      </c>
      <c r="C2168" s="48">
        <f t="shared" ca="1" si="136"/>
        <v>-3.2239439790377307E-2</v>
      </c>
      <c r="D2168" s="48">
        <f t="shared" ca="1" si="133"/>
        <v>0.66239697892895344</v>
      </c>
      <c r="E2168" s="48">
        <f t="shared" ca="1" si="134"/>
        <v>0</v>
      </c>
      <c r="F2168" s="17">
        <f t="shared" ca="1" si="135"/>
        <v>0</v>
      </c>
      <c r="H2168" s="17">
        <v>2153</v>
      </c>
      <c r="I2168" s="43">
        <v>0.66948546261101061</v>
      </c>
      <c r="J2168" s="43">
        <v>1.9709447471518815E-2</v>
      </c>
      <c r="K2168" s="43"/>
      <c r="L2168" s="43">
        <v>0.25159999999999999</v>
      </c>
      <c r="O2168" s="50"/>
    </row>
    <row r="2169" spans="2:15" x14ac:dyDescent="0.2">
      <c r="B2169">
        <v>2154</v>
      </c>
      <c r="C2169" s="48">
        <f t="shared" ca="1" si="136"/>
        <v>8.3218352597100601E-2</v>
      </c>
      <c r="D2169" s="48">
        <f t="shared" ca="1" si="133"/>
        <v>0.66997991470175144</v>
      </c>
      <c r="E2169" s="48">
        <f t="shared" ca="1" si="134"/>
        <v>0</v>
      </c>
      <c r="F2169" s="17">
        <f t="shared" ca="1" si="135"/>
        <v>0</v>
      </c>
      <c r="H2169" s="17">
        <v>2154</v>
      </c>
      <c r="I2169" s="43">
        <v>0.66932160735271451</v>
      </c>
      <c r="J2169" s="43">
        <v>1.9699656262638851E-2</v>
      </c>
      <c r="K2169" s="43"/>
      <c r="L2169" s="43">
        <v>0.255</v>
      </c>
      <c r="O2169" s="50"/>
    </row>
    <row r="2170" spans="2:15" x14ac:dyDescent="0.2">
      <c r="B2170">
        <v>2155</v>
      </c>
      <c r="C2170" s="48">
        <f t="shared" ca="1" si="136"/>
        <v>-0.50776986004030689</v>
      </c>
      <c r="D2170" s="48">
        <f t="shared" ca="1" si="133"/>
        <v>0.63205960496087976</v>
      </c>
      <c r="E2170" s="48">
        <f t="shared" ca="1" si="134"/>
        <v>0</v>
      </c>
      <c r="F2170" s="17">
        <f t="shared" ca="1" si="135"/>
        <v>0</v>
      </c>
      <c r="H2170" s="17">
        <v>2155</v>
      </c>
      <c r="I2170" s="43">
        <v>0.66991433104149922</v>
      </c>
      <c r="J2170" s="43">
        <v>2.0036772202682344E-2</v>
      </c>
      <c r="K2170" s="43"/>
      <c r="L2170" s="43">
        <v>0.24859999999999999</v>
      </c>
      <c r="O2170" s="50"/>
    </row>
    <row r="2171" spans="2:15" x14ac:dyDescent="0.2">
      <c r="B2171">
        <v>2156</v>
      </c>
      <c r="C2171" s="48">
        <f t="shared" ca="1" si="136"/>
        <v>0.13061208368059074</v>
      </c>
      <c r="D2171" s="48">
        <f t="shared" ca="1" si="133"/>
        <v>0.67311767239919451</v>
      </c>
      <c r="E2171" s="48">
        <f t="shared" ca="1" si="134"/>
        <v>0</v>
      </c>
      <c r="F2171" s="17">
        <f t="shared" ca="1" si="135"/>
        <v>0</v>
      </c>
      <c r="H2171" s="17">
        <v>2156</v>
      </c>
      <c r="I2171" s="43">
        <v>0.66813743928308389</v>
      </c>
      <c r="J2171" s="43">
        <v>1.8824393148092561E-2</v>
      </c>
      <c r="K2171" s="43"/>
      <c r="L2171" s="43">
        <v>0.25140000000000001</v>
      </c>
      <c r="O2171" s="50"/>
    </row>
    <row r="2172" spans="2:15" x14ac:dyDescent="0.2">
      <c r="B2172">
        <v>2157</v>
      </c>
      <c r="C2172" s="48">
        <f t="shared" ca="1" si="136"/>
        <v>0.75116859508410561</v>
      </c>
      <c r="D2172" s="48">
        <f t="shared" ca="1" si="133"/>
        <v>0.71558419011254681</v>
      </c>
      <c r="E2172" s="48">
        <f t="shared" ca="1" si="134"/>
        <v>0</v>
      </c>
      <c r="F2172" s="17">
        <f t="shared" ca="1" si="135"/>
        <v>0</v>
      </c>
      <c r="H2172" s="17">
        <v>2157</v>
      </c>
      <c r="I2172" s="43">
        <v>0.66890165741830221</v>
      </c>
      <c r="J2172" s="43">
        <v>1.943448170335571E-2</v>
      </c>
      <c r="K2172" s="43"/>
      <c r="L2172" s="43">
        <v>0.24740000000000001</v>
      </c>
      <c r="O2172" s="50"/>
    </row>
    <row r="2173" spans="2:15" x14ac:dyDescent="0.2">
      <c r="B2173">
        <v>2158</v>
      </c>
      <c r="C2173" s="48">
        <f t="shared" ca="1" si="136"/>
        <v>1.1179957844807624</v>
      </c>
      <c r="D2173" s="48">
        <f t="shared" ca="1" si="133"/>
        <v>0.74193662067201149</v>
      </c>
      <c r="E2173" s="48">
        <f t="shared" ca="1" si="134"/>
        <v>0</v>
      </c>
      <c r="F2173" s="17">
        <f t="shared" ca="1" si="135"/>
        <v>0</v>
      </c>
      <c r="H2173" s="17">
        <v>2158</v>
      </c>
      <c r="I2173" s="43">
        <v>0.67001066580811508</v>
      </c>
      <c r="J2173" s="43">
        <v>2.0236963471735193E-2</v>
      </c>
      <c r="K2173" s="43"/>
      <c r="L2173" s="43">
        <v>0.26</v>
      </c>
      <c r="O2173" s="50"/>
    </row>
    <row r="2174" spans="2:15" x14ac:dyDescent="0.2">
      <c r="B2174">
        <v>2159</v>
      </c>
      <c r="C2174" s="48">
        <f t="shared" ca="1" si="136"/>
        <v>0.76679431584612501</v>
      </c>
      <c r="D2174" s="48">
        <f t="shared" ca="1" si="133"/>
        <v>0.71668739727995201</v>
      </c>
      <c r="E2174" s="48">
        <f t="shared" ca="1" si="134"/>
        <v>0</v>
      </c>
      <c r="F2174" s="17">
        <f t="shared" ca="1" si="135"/>
        <v>0</v>
      </c>
      <c r="H2174" s="17">
        <v>2159</v>
      </c>
      <c r="I2174" s="43">
        <v>0.66777827980647797</v>
      </c>
      <c r="J2174" s="43">
        <v>1.8330373543373569E-2</v>
      </c>
      <c r="K2174" s="43"/>
      <c r="L2174" s="43">
        <v>0.2382</v>
      </c>
      <c r="O2174" s="50"/>
    </row>
    <row r="2175" spans="2:15" x14ac:dyDescent="0.2">
      <c r="B2175">
        <v>2160</v>
      </c>
      <c r="C2175" s="48">
        <f t="shared" ca="1" si="136"/>
        <v>-0.65562657402240265</v>
      </c>
      <c r="D2175" s="48">
        <f t="shared" ca="1" si="133"/>
        <v>0.62291301237405428</v>
      </c>
      <c r="E2175" s="48">
        <f t="shared" ca="1" si="134"/>
        <v>0</v>
      </c>
      <c r="F2175" s="17">
        <f t="shared" ca="1" si="135"/>
        <v>0</v>
      </c>
      <c r="H2175" s="17">
        <v>2160</v>
      </c>
      <c r="I2175" s="43">
        <v>0.66893348047892776</v>
      </c>
      <c r="J2175" s="43">
        <v>1.9240818743007749E-2</v>
      </c>
      <c r="K2175" s="43"/>
      <c r="L2175" s="43">
        <v>0.24260000000000001</v>
      </c>
      <c r="O2175" s="50"/>
    </row>
    <row r="2176" spans="2:15" x14ac:dyDescent="0.2">
      <c r="B2176">
        <v>2161</v>
      </c>
      <c r="C2176" s="48">
        <f t="shared" ca="1" si="136"/>
        <v>0.77296396857006178</v>
      </c>
      <c r="D2176" s="48">
        <f t="shared" ca="1" si="133"/>
        <v>0.71712345531555399</v>
      </c>
      <c r="E2176" s="48">
        <f t="shared" ca="1" si="134"/>
        <v>0</v>
      </c>
      <c r="F2176" s="17">
        <f t="shared" ca="1" si="135"/>
        <v>0</v>
      </c>
      <c r="H2176" s="17">
        <v>2161</v>
      </c>
      <c r="I2176" s="43">
        <v>0.66920431841010652</v>
      </c>
      <c r="J2176" s="43">
        <v>1.9494433309969843E-2</v>
      </c>
      <c r="K2176" s="43"/>
      <c r="L2176" s="43">
        <v>0.24959999999999999</v>
      </c>
      <c r="O2176" s="50"/>
    </row>
    <row r="2177" spans="2:15" x14ac:dyDescent="0.2">
      <c r="B2177">
        <v>2162</v>
      </c>
      <c r="C2177" s="48">
        <f t="shared" ca="1" si="136"/>
        <v>0.39076614226075651</v>
      </c>
      <c r="D2177" s="48">
        <f t="shared" ca="1" si="133"/>
        <v>0.69060504646098597</v>
      </c>
      <c r="E2177" s="48">
        <f t="shared" ca="1" si="134"/>
        <v>0</v>
      </c>
      <c r="F2177" s="17">
        <f t="shared" ca="1" si="135"/>
        <v>0</v>
      </c>
      <c r="H2177" s="17">
        <v>2162</v>
      </c>
      <c r="I2177" s="43">
        <v>0.66907698686862005</v>
      </c>
      <c r="J2177" s="43">
        <v>1.9471088099654133E-2</v>
      </c>
      <c r="K2177" s="43"/>
      <c r="L2177" s="43">
        <v>0.2472</v>
      </c>
      <c r="O2177" s="50"/>
    </row>
    <row r="2178" spans="2:15" x14ac:dyDescent="0.2">
      <c r="B2178">
        <v>2163</v>
      </c>
      <c r="C2178" s="48">
        <f t="shared" ca="1" si="136"/>
        <v>1.405531479216144</v>
      </c>
      <c r="D2178" s="48">
        <f t="shared" ca="1" si="133"/>
        <v>0.76326954526989554</v>
      </c>
      <c r="E2178" s="48">
        <f t="shared" ca="1" si="134"/>
        <v>0</v>
      </c>
      <c r="F2178" s="17">
        <f t="shared" ca="1" si="135"/>
        <v>0</v>
      </c>
      <c r="H2178" s="17">
        <v>2163</v>
      </c>
      <c r="I2178" s="43">
        <v>0.66864497021415514</v>
      </c>
      <c r="J2178" s="43">
        <v>1.8992032272753607E-2</v>
      </c>
      <c r="K2178" s="43"/>
      <c r="L2178" s="43">
        <v>0.24940000000000001</v>
      </c>
      <c r="O2178" s="50"/>
    </row>
    <row r="2179" spans="2:15" x14ac:dyDescent="0.2">
      <c r="B2179">
        <v>2164</v>
      </c>
      <c r="C2179" s="48">
        <f t="shared" ca="1" si="136"/>
        <v>-0.24273061555906925</v>
      </c>
      <c r="D2179" s="48">
        <f t="shared" ca="1" si="133"/>
        <v>0.64879269912162618</v>
      </c>
      <c r="E2179" s="48">
        <f t="shared" ca="1" si="134"/>
        <v>0</v>
      </c>
      <c r="F2179" s="17">
        <f t="shared" ca="1" si="135"/>
        <v>0</v>
      </c>
      <c r="H2179" s="17">
        <v>2164</v>
      </c>
      <c r="I2179" s="43">
        <v>0.66766490821455049</v>
      </c>
      <c r="J2179" s="43">
        <v>1.8442556403052365E-2</v>
      </c>
      <c r="K2179" s="43"/>
      <c r="L2179" s="43">
        <v>0.2432</v>
      </c>
      <c r="O2179" s="50"/>
    </row>
    <row r="2180" spans="2:15" x14ac:dyDescent="0.2">
      <c r="B2180">
        <v>2165</v>
      </c>
      <c r="C2180" s="48">
        <f t="shared" ca="1" si="136"/>
        <v>-0.587340067936578</v>
      </c>
      <c r="D2180" s="48">
        <f t="shared" ca="1" si="133"/>
        <v>0.62712073122415013</v>
      </c>
      <c r="E2180" s="48">
        <f t="shared" ca="1" si="134"/>
        <v>0</v>
      </c>
      <c r="F2180" s="17">
        <f t="shared" ca="1" si="135"/>
        <v>0</v>
      </c>
      <c r="H2180" s="17">
        <v>2165</v>
      </c>
      <c r="I2180" s="43">
        <v>0.66900949621026662</v>
      </c>
      <c r="J2180" s="43">
        <v>1.9531209558431597E-2</v>
      </c>
      <c r="K2180" s="43"/>
      <c r="L2180" s="43">
        <v>0.25280000000000002</v>
      </c>
      <c r="O2180" s="50"/>
    </row>
    <row r="2181" spans="2:15" x14ac:dyDescent="0.2">
      <c r="B2181">
        <v>2166</v>
      </c>
      <c r="C2181" s="48">
        <f t="shared" ca="1" si="136"/>
        <v>1.6439883458220419</v>
      </c>
      <c r="D2181" s="48">
        <f t="shared" ca="1" si="133"/>
        <v>0.78142572078280714</v>
      </c>
      <c r="E2181" s="48">
        <f t="shared" ca="1" si="134"/>
        <v>0</v>
      </c>
      <c r="F2181" s="17">
        <f t="shared" ca="1" si="135"/>
        <v>0</v>
      </c>
      <c r="H2181" s="17">
        <v>2166</v>
      </c>
      <c r="I2181" s="43">
        <v>0.67042931356898972</v>
      </c>
      <c r="J2181" s="43">
        <v>2.0544548542034018E-2</v>
      </c>
      <c r="K2181" s="43"/>
      <c r="L2181" s="43">
        <v>0.2576</v>
      </c>
      <c r="O2181" s="50"/>
    </row>
    <row r="2182" spans="2:15" x14ac:dyDescent="0.2">
      <c r="B2182">
        <v>2167</v>
      </c>
      <c r="C2182" s="48">
        <f t="shared" ca="1" si="136"/>
        <v>1.6212153643153808</v>
      </c>
      <c r="D2182" s="48">
        <f t="shared" ca="1" si="133"/>
        <v>0.77967328592442053</v>
      </c>
      <c r="E2182" s="48">
        <f t="shared" ca="1" si="134"/>
        <v>0</v>
      </c>
      <c r="F2182" s="17">
        <f t="shared" ca="1" si="135"/>
        <v>0</v>
      </c>
      <c r="H2182" s="17">
        <v>2167</v>
      </c>
      <c r="I2182" s="43">
        <v>0.66840263608115569</v>
      </c>
      <c r="J2182" s="43">
        <v>1.8655720553458457E-2</v>
      </c>
      <c r="K2182" s="43"/>
      <c r="L2182" s="43">
        <v>0.2402</v>
      </c>
      <c r="O2182" s="50"/>
    </row>
    <row r="2183" spans="2:15" x14ac:dyDescent="0.2">
      <c r="B2183">
        <v>2168</v>
      </c>
      <c r="C2183" s="48">
        <f t="shared" ca="1" si="136"/>
        <v>-1.6538993609053219</v>
      </c>
      <c r="D2183" s="48">
        <f t="shared" ca="1" si="133"/>
        <v>0.56452783633317094</v>
      </c>
      <c r="E2183" s="48">
        <f t="shared" ca="1" si="134"/>
        <v>0</v>
      </c>
      <c r="F2183" s="17">
        <f t="shared" ca="1" si="135"/>
        <v>0</v>
      </c>
      <c r="H2183" s="17">
        <v>2168</v>
      </c>
      <c r="I2183" s="43">
        <v>0.66902553783931673</v>
      </c>
      <c r="J2183" s="43">
        <v>1.9352012535391122E-2</v>
      </c>
      <c r="K2183" s="43"/>
      <c r="L2183" s="43">
        <v>0.24479999999999999</v>
      </c>
      <c r="O2183" s="50"/>
    </row>
    <row r="2184" spans="2:15" x14ac:dyDescent="0.2">
      <c r="B2184">
        <v>2169</v>
      </c>
      <c r="C2184" s="48">
        <f t="shared" ca="1" si="136"/>
        <v>3.7112075684649123E-2</v>
      </c>
      <c r="D2184" s="48">
        <f t="shared" ca="1" si="133"/>
        <v>0.66694143115578064</v>
      </c>
      <c r="E2184" s="48">
        <f t="shared" ca="1" si="134"/>
        <v>0</v>
      </c>
      <c r="F2184" s="17">
        <f t="shared" ca="1" si="135"/>
        <v>0</v>
      </c>
      <c r="H2184" s="17">
        <v>2169</v>
      </c>
      <c r="I2184" s="43">
        <v>0.66846300077528231</v>
      </c>
      <c r="J2184" s="43">
        <v>1.8874690586245475E-2</v>
      </c>
      <c r="K2184" s="43"/>
      <c r="L2184" s="43">
        <v>0.24940000000000001</v>
      </c>
      <c r="O2184" s="50"/>
    </row>
    <row r="2185" spans="2:15" x14ac:dyDescent="0.2">
      <c r="B2185">
        <v>2170</v>
      </c>
      <c r="C2185" s="48">
        <f t="shared" ca="1" si="136"/>
        <v>1.1141750707589939</v>
      </c>
      <c r="D2185" s="48">
        <f t="shared" ca="1" si="133"/>
        <v>0.74165720469528496</v>
      </c>
      <c r="E2185" s="48">
        <f t="shared" ca="1" si="134"/>
        <v>0</v>
      </c>
      <c r="F2185" s="17">
        <f t="shared" ca="1" si="135"/>
        <v>0</v>
      </c>
      <c r="H2185" s="17">
        <v>2170</v>
      </c>
      <c r="I2185" s="43">
        <v>0.67083267004624236</v>
      </c>
      <c r="J2185" s="43">
        <v>2.0790840279395074E-2</v>
      </c>
      <c r="K2185" s="43"/>
      <c r="L2185" s="43">
        <v>0.26519999999999999</v>
      </c>
      <c r="O2185" s="50"/>
    </row>
    <row r="2186" spans="2:15" x14ac:dyDescent="0.2">
      <c r="B2186">
        <v>2171</v>
      </c>
      <c r="C2186" s="48">
        <f t="shared" ca="1" si="136"/>
        <v>0.98651060866373208</v>
      </c>
      <c r="D2186" s="48">
        <f t="shared" ca="1" si="133"/>
        <v>0.73238111826990915</v>
      </c>
      <c r="E2186" s="48">
        <f t="shared" ca="1" si="134"/>
        <v>0</v>
      </c>
      <c r="F2186" s="17">
        <f t="shared" ca="1" si="135"/>
        <v>0</v>
      </c>
      <c r="H2186" s="17">
        <v>2171</v>
      </c>
      <c r="I2186" s="43">
        <v>0.66996131573741236</v>
      </c>
      <c r="J2186" s="43">
        <v>2.0472227582531095E-2</v>
      </c>
      <c r="K2186" s="43"/>
      <c r="L2186" s="43">
        <v>0.25679999999999997</v>
      </c>
      <c r="O2186" s="50"/>
    </row>
    <row r="2187" spans="2:15" x14ac:dyDescent="0.2">
      <c r="B2187">
        <v>2172</v>
      </c>
      <c r="C2187" s="48">
        <f t="shared" ca="1" si="136"/>
        <v>-4.1275967832228887E-2</v>
      </c>
      <c r="D2187" s="48">
        <f t="shared" ca="1" si="133"/>
        <v>0.66180711990941099</v>
      </c>
      <c r="E2187" s="48">
        <f t="shared" ca="1" si="134"/>
        <v>0</v>
      </c>
      <c r="F2187" s="17">
        <f t="shared" ca="1" si="135"/>
        <v>0</v>
      </c>
      <c r="H2187" s="17">
        <v>2172</v>
      </c>
      <c r="I2187" s="43">
        <v>0.66816603842781619</v>
      </c>
      <c r="J2187" s="43">
        <v>1.8533400959999259E-2</v>
      </c>
      <c r="K2187" s="43"/>
      <c r="L2187" s="43">
        <v>0.24679999999999999</v>
      </c>
      <c r="O2187" s="50"/>
    </row>
    <row r="2188" spans="2:15" x14ac:dyDescent="0.2">
      <c r="B2188">
        <v>2173</v>
      </c>
      <c r="C2188" s="48">
        <f t="shared" ca="1" si="136"/>
        <v>2.6658210908229066E-2</v>
      </c>
      <c r="D2188" s="48">
        <f t="shared" ca="1" si="133"/>
        <v>0.66625442200994034</v>
      </c>
      <c r="E2188" s="48">
        <f t="shared" ca="1" si="134"/>
        <v>0</v>
      </c>
      <c r="F2188" s="17">
        <f t="shared" ca="1" si="135"/>
        <v>0</v>
      </c>
      <c r="H2188" s="17">
        <v>2173</v>
      </c>
      <c r="I2188" s="43">
        <v>0.66965181926375217</v>
      </c>
      <c r="J2188" s="43">
        <v>1.9788581375870088E-2</v>
      </c>
      <c r="K2188" s="43"/>
      <c r="L2188" s="43">
        <v>0.2482</v>
      </c>
      <c r="O2188" s="50"/>
    </row>
    <row r="2189" spans="2:15" x14ac:dyDescent="0.2">
      <c r="B2189">
        <v>2174</v>
      </c>
      <c r="C2189" s="48">
        <f t="shared" ca="1" si="136"/>
        <v>0.4553659098039663</v>
      </c>
      <c r="D2189" s="48">
        <f t="shared" ca="1" si="133"/>
        <v>0.69501735738986736</v>
      </c>
      <c r="E2189" s="48">
        <f t="shared" ca="1" si="134"/>
        <v>0</v>
      </c>
      <c r="F2189" s="17">
        <f t="shared" ca="1" si="135"/>
        <v>0</v>
      </c>
      <c r="H2189" s="17">
        <v>2174</v>
      </c>
      <c r="I2189" s="43">
        <v>0.66944363259329809</v>
      </c>
      <c r="J2189" s="43">
        <v>1.9902627411014395E-2</v>
      </c>
      <c r="K2189" s="43"/>
      <c r="L2189" s="43">
        <v>0.25740000000000002</v>
      </c>
      <c r="O2189" s="50"/>
    </row>
    <row r="2190" spans="2:15" x14ac:dyDescent="0.2">
      <c r="B2190">
        <v>2175</v>
      </c>
      <c r="C2190" s="48">
        <f t="shared" ca="1" si="136"/>
        <v>0.72778617856914884</v>
      </c>
      <c r="D2190" s="48">
        <f t="shared" ca="1" si="133"/>
        <v>0.71393651578406947</v>
      </c>
      <c r="E2190" s="48">
        <f t="shared" ca="1" si="134"/>
        <v>0</v>
      </c>
      <c r="F2190" s="17">
        <f t="shared" ca="1" si="135"/>
        <v>0</v>
      </c>
      <c r="H2190" s="17">
        <v>2175</v>
      </c>
      <c r="I2190" s="43">
        <v>0.66800978246249176</v>
      </c>
      <c r="J2190" s="43">
        <v>1.892294953692852E-2</v>
      </c>
      <c r="K2190" s="43"/>
      <c r="L2190" s="43">
        <v>0.247</v>
      </c>
      <c r="O2190" s="50"/>
    </row>
    <row r="2191" spans="2:15" x14ac:dyDescent="0.2">
      <c r="B2191">
        <v>2176</v>
      </c>
      <c r="C2191" s="48">
        <f t="shared" ca="1" si="136"/>
        <v>0.55529500094685802</v>
      </c>
      <c r="D2191" s="48">
        <f t="shared" ca="1" si="133"/>
        <v>0.70189833820298564</v>
      </c>
      <c r="E2191" s="48">
        <f t="shared" ca="1" si="134"/>
        <v>0</v>
      </c>
      <c r="F2191" s="17">
        <f t="shared" ca="1" si="135"/>
        <v>0</v>
      </c>
      <c r="H2191" s="17">
        <v>2176</v>
      </c>
      <c r="I2191" s="43">
        <v>0.66825242486183101</v>
      </c>
      <c r="J2191" s="43">
        <v>1.8936784306269293E-2</v>
      </c>
      <c r="K2191" s="43"/>
      <c r="L2191" s="43">
        <v>0.2492</v>
      </c>
      <c r="O2191" s="50"/>
    </row>
    <row r="2192" spans="2:15" x14ac:dyDescent="0.2">
      <c r="B2192">
        <v>2177</v>
      </c>
      <c r="C2192" s="48">
        <f t="shared" ca="1" si="136"/>
        <v>-1.8578996893353497</v>
      </c>
      <c r="D2192" s="48">
        <f t="shared" ref="D2192:D2255" ca="1" si="137">S0*EXP((μ-0.5*σ*σ)*T+σ*SQRT(T)*$C2192)</f>
        <v>0.55328753304544565</v>
      </c>
      <c r="E2192" s="48">
        <f t="shared" ref="E2192:E2255" ca="1" si="138">MAX(0,CP*(D2192-K))</f>
        <v>0</v>
      </c>
      <c r="F2192" s="17">
        <f t="shared" ref="F2192:F2255" ca="1" si="139">(CP*(D2192-K)&gt;0)*1</f>
        <v>0</v>
      </c>
      <c r="H2192" s="17">
        <v>2177</v>
      </c>
      <c r="I2192" s="43">
        <v>0.66740296587299996</v>
      </c>
      <c r="J2192" s="43">
        <v>1.8118282358728716E-2</v>
      </c>
      <c r="K2192" s="43"/>
      <c r="L2192" s="43">
        <v>0.24199999999999999</v>
      </c>
      <c r="O2192" s="50"/>
    </row>
    <row r="2193" spans="2:15" x14ac:dyDescent="0.2">
      <c r="B2193">
        <v>2178</v>
      </c>
      <c r="C2193" s="48">
        <f t="shared" ref="C2193:C2256" ca="1" si="140">_xlfn.NORM.S.INV(RAND())</f>
        <v>-0.17912726462999728</v>
      </c>
      <c r="D2193" s="48">
        <f t="shared" ca="1" si="137"/>
        <v>0.65287373115273595</v>
      </c>
      <c r="E2193" s="48">
        <f t="shared" ca="1" si="138"/>
        <v>0</v>
      </c>
      <c r="F2193" s="17">
        <f t="shared" ca="1" si="139"/>
        <v>0</v>
      </c>
      <c r="H2193" s="17">
        <v>2178</v>
      </c>
      <c r="I2193" s="43">
        <v>0.66961003951082076</v>
      </c>
      <c r="J2193" s="43">
        <v>1.9993149892231891E-2</v>
      </c>
      <c r="K2193" s="43"/>
      <c r="L2193" s="43">
        <v>0.252</v>
      </c>
      <c r="O2193" s="50"/>
    </row>
    <row r="2194" spans="2:15" x14ac:dyDescent="0.2">
      <c r="B2194">
        <v>2179</v>
      </c>
      <c r="C2194" s="48">
        <f t="shared" ca="1" si="140"/>
        <v>0.94890895022097543</v>
      </c>
      <c r="D2194" s="48">
        <f t="shared" ca="1" si="137"/>
        <v>0.72967116917905883</v>
      </c>
      <c r="E2194" s="48">
        <f t="shared" ca="1" si="138"/>
        <v>0</v>
      </c>
      <c r="F2194" s="17">
        <f t="shared" ca="1" si="139"/>
        <v>0</v>
      </c>
      <c r="H2194" s="17">
        <v>2179</v>
      </c>
      <c r="I2194" s="43">
        <v>0.66937685703157279</v>
      </c>
      <c r="J2194" s="43">
        <v>1.9724844850831987E-2</v>
      </c>
      <c r="K2194" s="43"/>
      <c r="L2194" s="43">
        <v>0.25380000000000003</v>
      </c>
      <c r="O2194" s="50"/>
    </row>
    <row r="2195" spans="2:15" x14ac:dyDescent="0.2">
      <c r="B2195">
        <v>2180</v>
      </c>
      <c r="C2195" s="48">
        <f t="shared" ca="1" si="140"/>
        <v>-1.435458823623261</v>
      </c>
      <c r="D2195" s="48">
        <f t="shared" ca="1" si="137"/>
        <v>0.5768170780018268</v>
      </c>
      <c r="E2195" s="48">
        <f t="shared" ca="1" si="138"/>
        <v>0</v>
      </c>
      <c r="F2195" s="17">
        <f t="shared" ca="1" si="139"/>
        <v>0</v>
      </c>
      <c r="H2195" s="17">
        <v>2180</v>
      </c>
      <c r="I2195" s="43">
        <v>0.66977380891607186</v>
      </c>
      <c r="J2195" s="43">
        <v>2.0037159654656134E-2</v>
      </c>
      <c r="K2195" s="43"/>
      <c r="L2195" s="43">
        <v>0.25140000000000001</v>
      </c>
      <c r="O2195" s="50"/>
    </row>
    <row r="2196" spans="2:15" x14ac:dyDescent="0.2">
      <c r="B2196">
        <v>2181</v>
      </c>
      <c r="C2196" s="48">
        <f t="shared" ca="1" si="140"/>
        <v>0.70244759044044314</v>
      </c>
      <c r="D2196" s="48">
        <f t="shared" ca="1" si="137"/>
        <v>0.71215528007614137</v>
      </c>
      <c r="E2196" s="48">
        <f t="shared" ca="1" si="138"/>
        <v>0</v>
      </c>
      <c r="F2196" s="17">
        <f t="shared" ca="1" si="139"/>
        <v>0</v>
      </c>
      <c r="H2196" s="17">
        <v>2181</v>
      </c>
      <c r="I2196" s="43">
        <v>0.66824723417791942</v>
      </c>
      <c r="J2196" s="43">
        <v>1.8925339625978643E-2</v>
      </c>
      <c r="K2196" s="43"/>
      <c r="L2196" s="43">
        <v>0.25340000000000001</v>
      </c>
      <c r="O2196" s="50"/>
    </row>
    <row r="2197" spans="2:15" x14ac:dyDescent="0.2">
      <c r="B2197">
        <v>2182</v>
      </c>
      <c r="C2197" s="48">
        <f t="shared" ca="1" si="140"/>
        <v>-0.6105025001847586</v>
      </c>
      <c r="D2197" s="48">
        <f t="shared" ca="1" si="137"/>
        <v>0.62569031880061654</v>
      </c>
      <c r="E2197" s="48">
        <f t="shared" ca="1" si="138"/>
        <v>0</v>
      </c>
      <c r="F2197" s="17">
        <f t="shared" ca="1" si="139"/>
        <v>0</v>
      </c>
      <c r="H2197" s="17">
        <v>2182</v>
      </c>
      <c r="I2197" s="43">
        <v>0.66920281754017252</v>
      </c>
      <c r="J2197" s="43">
        <v>1.9257660750419767E-2</v>
      </c>
      <c r="K2197" s="43"/>
      <c r="L2197" s="43">
        <v>0.246</v>
      </c>
      <c r="O2197" s="50"/>
    </row>
    <row r="2198" spans="2:15" x14ac:dyDescent="0.2">
      <c r="B2198">
        <v>2183</v>
      </c>
      <c r="C2198" s="48">
        <f t="shared" ca="1" si="140"/>
        <v>-0.71896625433274453</v>
      </c>
      <c r="D2198" s="48">
        <f t="shared" ca="1" si="137"/>
        <v>0.61903535242758179</v>
      </c>
      <c r="E2198" s="48">
        <f t="shared" ca="1" si="138"/>
        <v>0</v>
      </c>
      <c r="F2198" s="17">
        <f t="shared" ca="1" si="139"/>
        <v>0</v>
      </c>
      <c r="H2198" s="17">
        <v>2183</v>
      </c>
      <c r="I2198" s="43">
        <v>0.66813655014363305</v>
      </c>
      <c r="J2198" s="43">
        <v>1.8805021185658615E-2</v>
      </c>
      <c r="K2198" s="43"/>
      <c r="L2198" s="43">
        <v>0.24740000000000001</v>
      </c>
      <c r="O2198" s="50"/>
    </row>
    <row r="2199" spans="2:15" x14ac:dyDescent="0.2">
      <c r="B2199">
        <v>2184</v>
      </c>
      <c r="C2199" s="48">
        <f t="shared" ca="1" si="140"/>
        <v>-0.69312355903190637</v>
      </c>
      <c r="D2199" s="48">
        <f t="shared" ca="1" si="137"/>
        <v>0.62061452043582133</v>
      </c>
      <c r="E2199" s="48">
        <f t="shared" ca="1" si="138"/>
        <v>0</v>
      </c>
      <c r="F2199" s="17">
        <f t="shared" ca="1" si="139"/>
        <v>0</v>
      </c>
      <c r="H2199" s="17">
        <v>2184</v>
      </c>
      <c r="I2199" s="43">
        <v>0.66857148556894841</v>
      </c>
      <c r="J2199" s="43">
        <v>1.9205040708156648E-2</v>
      </c>
      <c r="K2199" s="43"/>
      <c r="L2199" s="43">
        <v>0.2462</v>
      </c>
      <c r="O2199" s="50"/>
    </row>
    <row r="2200" spans="2:15" x14ac:dyDescent="0.2">
      <c r="B2200">
        <v>2185</v>
      </c>
      <c r="C2200" s="48">
        <f t="shared" ca="1" si="140"/>
        <v>-1.3250109451705481</v>
      </c>
      <c r="D2200" s="48">
        <f t="shared" ca="1" si="137"/>
        <v>0.583132230207145</v>
      </c>
      <c r="E2200" s="48">
        <f t="shared" ca="1" si="138"/>
        <v>0</v>
      </c>
      <c r="F2200" s="17">
        <f t="shared" ca="1" si="139"/>
        <v>0</v>
      </c>
      <c r="H2200" s="17">
        <v>2185</v>
      </c>
      <c r="I2200" s="43">
        <v>0.66893160665806672</v>
      </c>
      <c r="J2200" s="43">
        <v>1.9482435787131696E-2</v>
      </c>
      <c r="K2200" s="43"/>
      <c r="L2200" s="43">
        <v>0.24879999999999999</v>
      </c>
      <c r="O2200" s="50"/>
    </row>
    <row r="2201" spans="2:15" x14ac:dyDescent="0.2">
      <c r="B2201">
        <v>2186</v>
      </c>
      <c r="C2201" s="48">
        <f t="shared" ca="1" si="140"/>
        <v>-1.6174064541546136</v>
      </c>
      <c r="D2201" s="48">
        <f t="shared" ca="1" si="137"/>
        <v>0.56656252053771794</v>
      </c>
      <c r="E2201" s="48">
        <f t="shared" ca="1" si="138"/>
        <v>0</v>
      </c>
      <c r="F2201" s="17">
        <f t="shared" ca="1" si="139"/>
        <v>0</v>
      </c>
      <c r="H2201" s="17">
        <v>2186</v>
      </c>
      <c r="I2201" s="43">
        <v>0.6695096509045505</v>
      </c>
      <c r="J2201" s="43">
        <v>1.9967044202821995E-2</v>
      </c>
      <c r="K2201" s="43"/>
      <c r="L2201" s="43">
        <v>0.24859999999999999</v>
      </c>
      <c r="O2201" s="50"/>
    </row>
    <row r="2202" spans="2:15" x14ac:dyDescent="0.2">
      <c r="B2202">
        <v>2187</v>
      </c>
      <c r="C2202" s="48">
        <f t="shared" ca="1" si="140"/>
        <v>1.0222593240851947</v>
      </c>
      <c r="D2202" s="48">
        <f t="shared" ca="1" si="137"/>
        <v>0.73496685814904306</v>
      </c>
      <c r="E2202" s="48">
        <f t="shared" ca="1" si="138"/>
        <v>0</v>
      </c>
      <c r="F2202" s="17">
        <f t="shared" ca="1" si="139"/>
        <v>0</v>
      </c>
      <c r="H2202" s="17">
        <v>2187</v>
      </c>
      <c r="I2202" s="43">
        <v>0.66903911518252113</v>
      </c>
      <c r="J2202" s="43">
        <v>1.9542192942366449E-2</v>
      </c>
      <c r="K2202" s="43"/>
      <c r="L2202" s="43">
        <v>0.25040000000000001</v>
      </c>
      <c r="O2202" s="50"/>
    </row>
    <row r="2203" spans="2:15" x14ac:dyDescent="0.2">
      <c r="B2203">
        <v>2188</v>
      </c>
      <c r="C2203" s="48">
        <f t="shared" ca="1" si="140"/>
        <v>0.49773079836625961</v>
      </c>
      <c r="D2203" s="48">
        <f t="shared" ca="1" si="137"/>
        <v>0.69792627019074938</v>
      </c>
      <c r="E2203" s="48">
        <f t="shared" ca="1" si="138"/>
        <v>0</v>
      </c>
      <c r="F2203" s="17">
        <f t="shared" ca="1" si="139"/>
        <v>0</v>
      </c>
      <c r="H2203" s="17">
        <v>2188</v>
      </c>
      <c r="I2203" s="43">
        <v>0.66925610589486351</v>
      </c>
      <c r="J2203" s="43">
        <v>1.9577247252353353E-2</v>
      </c>
      <c r="K2203" s="43"/>
      <c r="L2203" s="43">
        <v>0.248</v>
      </c>
      <c r="O2203" s="50"/>
    </row>
    <row r="2204" spans="2:15" x14ac:dyDescent="0.2">
      <c r="B2204">
        <v>2189</v>
      </c>
      <c r="C2204" s="48">
        <f t="shared" ca="1" si="140"/>
        <v>-0.81727675627641805</v>
      </c>
      <c r="D2204" s="48">
        <f t="shared" ca="1" si="137"/>
        <v>0.6130645300092098</v>
      </c>
      <c r="E2204" s="48">
        <f t="shared" ca="1" si="138"/>
        <v>0</v>
      </c>
      <c r="F2204" s="17">
        <f t="shared" ca="1" si="139"/>
        <v>0</v>
      </c>
      <c r="H2204" s="17">
        <v>2189</v>
      </c>
      <c r="I2204" s="43">
        <v>0.66814605926297876</v>
      </c>
      <c r="J2204" s="43">
        <v>1.8848457418504098E-2</v>
      </c>
      <c r="K2204" s="43"/>
      <c r="L2204" s="43">
        <v>0.24979999999999999</v>
      </c>
      <c r="O2204" s="50"/>
    </row>
    <row r="2205" spans="2:15" x14ac:dyDescent="0.2">
      <c r="B2205">
        <v>2190</v>
      </c>
      <c r="C2205" s="48">
        <f t="shared" ca="1" si="140"/>
        <v>0.12750650140845904</v>
      </c>
      <c r="D2205" s="48">
        <f t="shared" ca="1" si="137"/>
        <v>0.67291161449904968</v>
      </c>
      <c r="E2205" s="48">
        <f t="shared" ca="1" si="138"/>
        <v>0</v>
      </c>
      <c r="F2205" s="17">
        <f t="shared" ca="1" si="139"/>
        <v>0</v>
      </c>
      <c r="H2205" s="17">
        <v>2190</v>
      </c>
      <c r="I2205" s="43">
        <v>0.6691137578862637</v>
      </c>
      <c r="J2205" s="43">
        <v>1.9691071903140941E-2</v>
      </c>
      <c r="K2205" s="43"/>
      <c r="L2205" s="43">
        <v>0.24979999999999999</v>
      </c>
      <c r="O2205" s="50"/>
    </row>
    <row r="2206" spans="2:15" x14ac:dyDescent="0.2">
      <c r="B2206">
        <v>2191</v>
      </c>
      <c r="C2206" s="48">
        <f t="shared" ca="1" si="140"/>
        <v>0.37606893683942832</v>
      </c>
      <c r="D2206" s="48">
        <f t="shared" ca="1" si="137"/>
        <v>0.68960511177706163</v>
      </c>
      <c r="E2206" s="48">
        <f t="shared" ca="1" si="138"/>
        <v>0</v>
      </c>
      <c r="F2206" s="17">
        <f t="shared" ca="1" si="139"/>
        <v>0</v>
      </c>
      <c r="H2206" s="17">
        <v>2191</v>
      </c>
      <c r="I2206" s="43">
        <v>0.66974390190232491</v>
      </c>
      <c r="J2206" s="43">
        <v>1.9573938346373998E-2</v>
      </c>
      <c r="K2206" s="43"/>
      <c r="L2206" s="43">
        <v>0.2424</v>
      </c>
      <c r="O2206" s="50"/>
    </row>
    <row r="2207" spans="2:15" x14ac:dyDescent="0.2">
      <c r="B2207">
        <v>2192</v>
      </c>
      <c r="C2207" s="48">
        <f t="shared" ca="1" si="140"/>
        <v>-1.290738946541508</v>
      </c>
      <c r="D2207" s="48">
        <f t="shared" ca="1" si="137"/>
        <v>0.58510584367299967</v>
      </c>
      <c r="E2207" s="48">
        <f t="shared" ca="1" si="138"/>
        <v>0</v>
      </c>
      <c r="F2207" s="17">
        <f t="shared" ca="1" si="139"/>
        <v>0</v>
      </c>
      <c r="H2207" s="17">
        <v>2192</v>
      </c>
      <c r="I2207" s="43">
        <v>0.66971677031053545</v>
      </c>
      <c r="J2207" s="43">
        <v>2.0101883124935868E-2</v>
      </c>
      <c r="K2207" s="43"/>
      <c r="L2207" s="43">
        <v>0.25580000000000003</v>
      </c>
      <c r="O2207" s="50"/>
    </row>
    <row r="2208" spans="2:15" x14ac:dyDescent="0.2">
      <c r="B2208">
        <v>2193</v>
      </c>
      <c r="C2208" s="48">
        <f t="shared" ca="1" si="140"/>
        <v>0.28213801067365352</v>
      </c>
      <c r="D2208" s="48">
        <f t="shared" ca="1" si="137"/>
        <v>0.68324856165250991</v>
      </c>
      <c r="E2208" s="48">
        <f t="shared" ca="1" si="138"/>
        <v>0</v>
      </c>
      <c r="F2208" s="17">
        <f t="shared" ca="1" si="139"/>
        <v>0</v>
      </c>
      <c r="H2208" s="17">
        <v>2193</v>
      </c>
      <c r="I2208" s="43">
        <v>0.66941857909396629</v>
      </c>
      <c r="J2208" s="43">
        <v>1.973412258935419E-2</v>
      </c>
      <c r="K2208" s="43"/>
      <c r="L2208" s="43">
        <v>0.25340000000000001</v>
      </c>
      <c r="O2208" s="50"/>
    </row>
    <row r="2209" spans="2:15" x14ac:dyDescent="0.2">
      <c r="B2209">
        <v>2194</v>
      </c>
      <c r="C2209" s="48">
        <f t="shared" ca="1" si="140"/>
        <v>1.3683401453096309</v>
      </c>
      <c r="D2209" s="48">
        <f t="shared" ca="1" si="137"/>
        <v>0.76047606594667549</v>
      </c>
      <c r="E2209" s="48">
        <f t="shared" ca="1" si="138"/>
        <v>0</v>
      </c>
      <c r="F2209" s="17">
        <f t="shared" ca="1" si="139"/>
        <v>0</v>
      </c>
      <c r="H2209" s="17">
        <v>2194</v>
      </c>
      <c r="I2209" s="43">
        <v>0.66913263848815063</v>
      </c>
      <c r="J2209" s="43">
        <v>1.9629928032447744E-2</v>
      </c>
      <c r="K2209" s="43"/>
      <c r="L2209" s="43">
        <v>0.25559999999999999</v>
      </c>
      <c r="O2209" s="50"/>
    </row>
    <row r="2210" spans="2:15" x14ac:dyDescent="0.2">
      <c r="B2210">
        <v>2195</v>
      </c>
      <c r="C2210" s="48">
        <f t="shared" ca="1" si="140"/>
        <v>1.5682698104694595</v>
      </c>
      <c r="D2210" s="48">
        <f t="shared" ca="1" si="137"/>
        <v>0.775614175134555</v>
      </c>
      <c r="E2210" s="48">
        <f t="shared" ca="1" si="138"/>
        <v>0</v>
      </c>
      <c r="F2210" s="17">
        <f t="shared" ca="1" si="139"/>
        <v>0</v>
      </c>
      <c r="H2210" s="17">
        <v>2195</v>
      </c>
      <c r="I2210" s="43">
        <v>0.66915151512615989</v>
      </c>
      <c r="J2210" s="43">
        <v>1.9269370658431994E-2</v>
      </c>
      <c r="K2210" s="43"/>
      <c r="L2210" s="43">
        <v>0.2422</v>
      </c>
      <c r="O2210" s="50"/>
    </row>
    <row r="2211" spans="2:15" x14ac:dyDescent="0.2">
      <c r="B2211">
        <v>2196</v>
      </c>
      <c r="C2211" s="48">
        <f t="shared" ca="1" si="140"/>
        <v>0.50608210756744909</v>
      </c>
      <c r="D2211" s="48">
        <f t="shared" ca="1" si="137"/>
        <v>0.69850113354772869</v>
      </c>
      <c r="E2211" s="48">
        <f t="shared" ca="1" si="138"/>
        <v>0</v>
      </c>
      <c r="F2211" s="17">
        <f t="shared" ca="1" si="139"/>
        <v>0</v>
      </c>
      <c r="H2211" s="17">
        <v>2196</v>
      </c>
      <c r="I2211" s="43">
        <v>0.66750158906019197</v>
      </c>
      <c r="J2211" s="43">
        <v>1.8457829107119524E-2</v>
      </c>
      <c r="K2211" s="43"/>
      <c r="L2211" s="43">
        <v>0.245</v>
      </c>
      <c r="O2211" s="50"/>
    </row>
    <row r="2212" spans="2:15" x14ac:dyDescent="0.2">
      <c r="B2212">
        <v>2197</v>
      </c>
      <c r="C2212" s="48">
        <f t="shared" ca="1" si="140"/>
        <v>-1.0795309476020916</v>
      </c>
      <c r="D2212" s="48">
        <f t="shared" ca="1" si="137"/>
        <v>0.59741691660297236</v>
      </c>
      <c r="E2212" s="48">
        <f t="shared" ca="1" si="138"/>
        <v>0</v>
      </c>
      <c r="F2212" s="17">
        <f t="shared" ca="1" si="139"/>
        <v>0</v>
      </c>
      <c r="H2212" s="17">
        <v>2197</v>
      </c>
      <c r="I2212" s="43">
        <v>0.66906701503650712</v>
      </c>
      <c r="J2212" s="43">
        <v>1.918416709101799E-2</v>
      </c>
      <c r="K2212" s="43"/>
      <c r="L2212" s="43">
        <v>0.2492</v>
      </c>
      <c r="O2212" s="50"/>
    </row>
    <row r="2213" spans="2:15" x14ac:dyDescent="0.2">
      <c r="B2213">
        <v>2198</v>
      </c>
      <c r="C2213" s="48">
        <f t="shared" ca="1" si="140"/>
        <v>9.0056230177375171E-2</v>
      </c>
      <c r="D2213" s="48">
        <f t="shared" ca="1" si="137"/>
        <v>0.670431719894925</v>
      </c>
      <c r="E2213" s="48">
        <f t="shared" ca="1" si="138"/>
        <v>0</v>
      </c>
      <c r="F2213" s="17">
        <f t="shared" ca="1" si="139"/>
        <v>0</v>
      </c>
      <c r="H2213" s="17">
        <v>2198</v>
      </c>
      <c r="I2213" s="43">
        <v>0.66846472777234434</v>
      </c>
      <c r="J2213" s="43">
        <v>1.9141248596651603E-2</v>
      </c>
      <c r="K2213" s="43"/>
      <c r="L2213" s="43">
        <v>0.24</v>
      </c>
      <c r="O2213" s="50"/>
    </row>
    <row r="2214" spans="2:15" x14ac:dyDescent="0.2">
      <c r="B2214">
        <v>2199</v>
      </c>
      <c r="C2214" s="48">
        <f t="shared" ca="1" si="140"/>
        <v>-0.80361022319212017</v>
      </c>
      <c r="D2214" s="48">
        <f t="shared" ca="1" si="137"/>
        <v>0.61389109855280477</v>
      </c>
      <c r="E2214" s="48">
        <f t="shared" ca="1" si="138"/>
        <v>0</v>
      </c>
      <c r="F2214" s="17">
        <f t="shared" ca="1" si="139"/>
        <v>0</v>
      </c>
      <c r="H2214" s="17">
        <v>2199</v>
      </c>
      <c r="I2214" s="43">
        <v>0.66985771692327101</v>
      </c>
      <c r="J2214" s="43">
        <v>2.0111285189202049E-2</v>
      </c>
      <c r="K2214" s="43"/>
      <c r="L2214" s="43">
        <v>0.25580000000000003</v>
      </c>
      <c r="O2214" s="50"/>
    </row>
    <row r="2215" spans="2:15" x14ac:dyDescent="0.2">
      <c r="B2215">
        <v>2200</v>
      </c>
      <c r="C2215" s="48">
        <f t="shared" ca="1" si="140"/>
        <v>-1.2766431267128748</v>
      </c>
      <c r="D2215" s="48">
        <f t="shared" ca="1" si="137"/>
        <v>0.58591951365518535</v>
      </c>
      <c r="E2215" s="48">
        <f t="shared" ca="1" si="138"/>
        <v>0</v>
      </c>
      <c r="F2215" s="17">
        <f t="shared" ca="1" si="139"/>
        <v>0</v>
      </c>
      <c r="H2215" s="17">
        <v>2200</v>
      </c>
      <c r="I2215" s="43">
        <v>0.66870621452703716</v>
      </c>
      <c r="J2215" s="43">
        <v>1.9068770339631138E-2</v>
      </c>
      <c r="K2215" s="43"/>
      <c r="L2215" s="43">
        <v>0.24579999999999999</v>
      </c>
      <c r="O2215" s="50"/>
    </row>
    <row r="2216" spans="2:15" x14ac:dyDescent="0.2">
      <c r="B2216">
        <v>2201</v>
      </c>
      <c r="C2216" s="48">
        <f t="shared" ca="1" si="140"/>
        <v>2.3805293673419805</v>
      </c>
      <c r="D2216" s="48">
        <f t="shared" ca="1" si="137"/>
        <v>0.84027886092338122</v>
      </c>
      <c r="E2216" s="48">
        <f t="shared" ca="1" si="138"/>
        <v>5.2078860923381209E-2</v>
      </c>
      <c r="F2216" s="17">
        <f t="shared" ca="1" si="139"/>
        <v>1</v>
      </c>
      <c r="H2216" s="17">
        <v>2201</v>
      </c>
      <c r="I2216" s="43">
        <v>0.66921104081598226</v>
      </c>
      <c r="J2216" s="43">
        <v>1.9514747819412877E-2</v>
      </c>
      <c r="K2216" s="43"/>
      <c r="L2216" s="43">
        <v>0.25240000000000001</v>
      </c>
      <c r="O2216" s="50"/>
    </row>
    <row r="2217" spans="2:15" x14ac:dyDescent="0.2">
      <c r="B2217">
        <v>2202</v>
      </c>
      <c r="C2217" s="48">
        <f t="shared" ca="1" si="140"/>
        <v>-0.79546748754402652</v>
      </c>
      <c r="D2217" s="48">
        <f t="shared" ca="1" si="137"/>
        <v>0.61438411081793542</v>
      </c>
      <c r="E2217" s="48">
        <f t="shared" ca="1" si="138"/>
        <v>0</v>
      </c>
      <c r="F2217" s="17">
        <f t="shared" ca="1" si="139"/>
        <v>0</v>
      </c>
      <c r="H2217" s="17">
        <v>2202</v>
      </c>
      <c r="I2217" s="43">
        <v>0.66973635605895065</v>
      </c>
      <c r="J2217" s="43">
        <v>1.9887112902335868E-2</v>
      </c>
      <c r="K2217" s="43"/>
      <c r="L2217" s="43">
        <v>0.25380000000000003</v>
      </c>
      <c r="O2217" s="50"/>
    </row>
    <row r="2218" spans="2:15" x14ac:dyDescent="0.2">
      <c r="B2218">
        <v>2203</v>
      </c>
      <c r="C2218" s="48">
        <f t="shared" ca="1" si="140"/>
        <v>0.71463284867475774</v>
      </c>
      <c r="D2218" s="48">
        <f t="shared" ca="1" si="137"/>
        <v>0.71301131610679513</v>
      </c>
      <c r="E2218" s="48">
        <f t="shared" ca="1" si="138"/>
        <v>0</v>
      </c>
      <c r="F2218" s="17">
        <f t="shared" ca="1" si="139"/>
        <v>0</v>
      </c>
      <c r="H2218" s="17">
        <v>2203</v>
      </c>
      <c r="I2218" s="43">
        <v>0.66925872612294257</v>
      </c>
      <c r="J2218" s="43">
        <v>1.9661538746980099E-2</v>
      </c>
      <c r="K2218" s="43"/>
      <c r="L2218" s="43">
        <v>0.253</v>
      </c>
      <c r="O2218" s="50"/>
    </row>
    <row r="2219" spans="2:15" x14ac:dyDescent="0.2">
      <c r="B2219">
        <v>2204</v>
      </c>
      <c r="C2219" s="48">
        <f t="shared" ca="1" si="140"/>
        <v>-1.5363856852582531</v>
      </c>
      <c r="D2219" s="48">
        <f t="shared" ca="1" si="137"/>
        <v>0.57110613600570082</v>
      </c>
      <c r="E2219" s="48">
        <f t="shared" ca="1" si="138"/>
        <v>0</v>
      </c>
      <c r="F2219" s="17">
        <f t="shared" ca="1" si="139"/>
        <v>0</v>
      </c>
      <c r="H2219" s="17">
        <v>2204</v>
      </c>
      <c r="I2219" s="43">
        <v>0.66830688490206835</v>
      </c>
      <c r="J2219" s="43">
        <v>1.8540847540199749E-2</v>
      </c>
      <c r="K2219" s="43"/>
      <c r="L2219" s="43">
        <v>0.2462</v>
      </c>
      <c r="O2219" s="50"/>
    </row>
    <row r="2220" spans="2:15" x14ac:dyDescent="0.2">
      <c r="B2220">
        <v>2205</v>
      </c>
      <c r="C2220" s="48">
        <f t="shared" ca="1" si="140"/>
        <v>3.8017323641643473E-2</v>
      </c>
      <c r="D2220" s="48">
        <f t="shared" ca="1" si="137"/>
        <v>0.66700095573728369</v>
      </c>
      <c r="E2220" s="48">
        <f t="shared" ca="1" si="138"/>
        <v>0</v>
      </c>
      <c r="F2220" s="17">
        <f t="shared" ca="1" si="139"/>
        <v>0</v>
      </c>
      <c r="H2220" s="17">
        <v>2205</v>
      </c>
      <c r="I2220" s="43">
        <v>0.66830571952893136</v>
      </c>
      <c r="J2220" s="43">
        <v>1.884286422787923E-2</v>
      </c>
      <c r="K2220" s="43"/>
      <c r="L2220" s="43">
        <v>0.25059999999999999</v>
      </c>
      <c r="O2220" s="50"/>
    </row>
    <row r="2221" spans="2:15" x14ac:dyDescent="0.2">
      <c r="B2221">
        <v>2206</v>
      </c>
      <c r="C2221" s="48">
        <f t="shared" ca="1" si="140"/>
        <v>7.8523968995677734E-2</v>
      </c>
      <c r="D2221" s="48">
        <f t="shared" ca="1" si="137"/>
        <v>0.66966991477918969</v>
      </c>
      <c r="E2221" s="48">
        <f t="shared" ca="1" si="138"/>
        <v>0</v>
      </c>
      <c r="F2221" s="17">
        <f t="shared" ca="1" si="139"/>
        <v>0</v>
      </c>
      <c r="H2221" s="17">
        <v>2206</v>
      </c>
      <c r="I2221" s="43">
        <v>0.66880889868375148</v>
      </c>
      <c r="J2221" s="43">
        <v>1.9462524954572867E-2</v>
      </c>
      <c r="K2221" s="43"/>
      <c r="L2221" s="43">
        <v>0.248</v>
      </c>
      <c r="O2221" s="50"/>
    </row>
    <row r="2222" spans="2:15" x14ac:dyDescent="0.2">
      <c r="B2222">
        <v>2207</v>
      </c>
      <c r="C2222" s="48">
        <f t="shared" ca="1" si="140"/>
        <v>1.3810284051116215</v>
      </c>
      <c r="D2222" s="48">
        <f t="shared" ca="1" si="137"/>
        <v>0.76142794329468122</v>
      </c>
      <c r="E2222" s="48">
        <f t="shared" ca="1" si="138"/>
        <v>0</v>
      </c>
      <c r="F2222" s="17">
        <f t="shared" ca="1" si="139"/>
        <v>0</v>
      </c>
      <c r="H2222" s="17">
        <v>2207</v>
      </c>
      <c r="I2222" s="43">
        <v>0.66827384844954851</v>
      </c>
      <c r="J2222" s="43">
        <v>1.8690798705332027E-2</v>
      </c>
      <c r="K2222" s="43"/>
      <c r="L2222" s="43">
        <v>0.24360000000000001</v>
      </c>
      <c r="O2222" s="50"/>
    </row>
    <row r="2223" spans="2:15" x14ac:dyDescent="0.2">
      <c r="B2223">
        <v>2208</v>
      </c>
      <c r="C2223" s="48">
        <f t="shared" ca="1" si="140"/>
        <v>-0.97442549879103846</v>
      </c>
      <c r="D2223" s="48">
        <f t="shared" ca="1" si="137"/>
        <v>0.60363958284307229</v>
      </c>
      <c r="E2223" s="48">
        <f t="shared" ca="1" si="138"/>
        <v>0</v>
      </c>
      <c r="F2223" s="17">
        <f t="shared" ca="1" si="139"/>
        <v>0</v>
      </c>
      <c r="H2223" s="17">
        <v>2208</v>
      </c>
      <c r="I2223" s="43">
        <v>0.66841621454142475</v>
      </c>
      <c r="J2223" s="43">
        <v>1.8935939892357562E-2</v>
      </c>
      <c r="K2223" s="43"/>
      <c r="L2223" s="43">
        <v>0.24379999999999999</v>
      </c>
      <c r="O2223" s="50"/>
    </row>
    <row r="2224" spans="2:15" x14ac:dyDescent="0.2">
      <c r="B2224">
        <v>2209</v>
      </c>
      <c r="C2224" s="48">
        <f t="shared" ca="1" si="140"/>
        <v>-0.87715094633103463</v>
      </c>
      <c r="D2224" s="48">
        <f t="shared" ca="1" si="137"/>
        <v>0.60945636487100252</v>
      </c>
      <c r="E2224" s="48">
        <f t="shared" ca="1" si="138"/>
        <v>0</v>
      </c>
      <c r="F2224" s="17">
        <f t="shared" ca="1" si="139"/>
        <v>0</v>
      </c>
      <c r="H2224" s="17">
        <v>2209</v>
      </c>
      <c r="I2224" s="43">
        <v>0.6680921396906484</v>
      </c>
      <c r="J2224" s="43">
        <v>1.8646506098197176E-2</v>
      </c>
      <c r="K2224" s="43"/>
      <c r="L2224" s="43">
        <v>0.25080000000000002</v>
      </c>
      <c r="O2224" s="50"/>
    </row>
    <row r="2225" spans="2:15" x14ac:dyDescent="0.2">
      <c r="B2225">
        <v>2210</v>
      </c>
      <c r="C2225" s="48">
        <f t="shared" ca="1" si="140"/>
        <v>1.5894856200467133</v>
      </c>
      <c r="D2225" s="48">
        <f t="shared" ca="1" si="137"/>
        <v>0.77723815759378112</v>
      </c>
      <c r="E2225" s="48">
        <f t="shared" ca="1" si="138"/>
        <v>0</v>
      </c>
      <c r="F2225" s="17">
        <f t="shared" ca="1" si="139"/>
        <v>0</v>
      </c>
      <c r="H2225" s="17">
        <v>2210</v>
      </c>
      <c r="I2225" s="43">
        <v>0.66928482101576858</v>
      </c>
      <c r="J2225" s="43">
        <v>1.9574322290147574E-2</v>
      </c>
      <c r="K2225" s="43"/>
      <c r="L2225" s="43">
        <v>0.252</v>
      </c>
      <c r="O2225" s="50"/>
    </row>
    <row r="2226" spans="2:15" x14ac:dyDescent="0.2">
      <c r="B2226">
        <v>2211</v>
      </c>
      <c r="C2226" s="48">
        <f t="shared" ca="1" si="140"/>
        <v>0.10256610630348778</v>
      </c>
      <c r="D2226" s="48">
        <f t="shared" ca="1" si="137"/>
        <v>0.67125908485202701</v>
      </c>
      <c r="E2226" s="48">
        <f t="shared" ca="1" si="138"/>
        <v>0</v>
      </c>
      <c r="F2226" s="17">
        <f t="shared" ca="1" si="139"/>
        <v>0</v>
      </c>
      <c r="H2226" s="17">
        <v>2211</v>
      </c>
      <c r="I2226" s="43">
        <v>0.66950236982816091</v>
      </c>
      <c r="J2226" s="43">
        <v>1.9454066517973712E-2</v>
      </c>
      <c r="K2226" s="43"/>
      <c r="L2226" s="43">
        <v>0.252</v>
      </c>
      <c r="O2226" s="50"/>
    </row>
    <row r="2227" spans="2:15" x14ac:dyDescent="0.2">
      <c r="B2227">
        <v>2212</v>
      </c>
      <c r="C2227" s="48">
        <f t="shared" ca="1" si="140"/>
        <v>1.4884275662787612</v>
      </c>
      <c r="D2227" s="48">
        <f t="shared" ca="1" si="137"/>
        <v>0.76953293640983267</v>
      </c>
      <c r="E2227" s="48">
        <f t="shared" ca="1" si="138"/>
        <v>0</v>
      </c>
      <c r="F2227" s="17">
        <f t="shared" ca="1" si="139"/>
        <v>0</v>
      </c>
      <c r="H2227" s="17">
        <v>2212</v>
      </c>
      <c r="I2227" s="43">
        <v>0.66848532276201533</v>
      </c>
      <c r="J2227" s="43">
        <v>1.9075010528568803E-2</v>
      </c>
      <c r="K2227" s="43"/>
      <c r="L2227" s="43">
        <v>0.24560000000000001</v>
      </c>
      <c r="O2227" s="50"/>
    </row>
    <row r="2228" spans="2:15" x14ac:dyDescent="0.2">
      <c r="B2228">
        <v>2213</v>
      </c>
      <c r="C2228" s="48">
        <f t="shared" ca="1" si="140"/>
        <v>0.49279538188711219</v>
      </c>
      <c r="D2228" s="48">
        <f t="shared" ca="1" si="137"/>
        <v>0.69758676265378705</v>
      </c>
      <c r="E2228" s="48">
        <f t="shared" ca="1" si="138"/>
        <v>0</v>
      </c>
      <c r="F2228" s="17">
        <f t="shared" ca="1" si="139"/>
        <v>0</v>
      </c>
      <c r="H2228" s="17">
        <v>2213</v>
      </c>
      <c r="I2228" s="43">
        <v>0.66826018230825635</v>
      </c>
      <c r="J2228" s="43">
        <v>1.8800482349367424E-2</v>
      </c>
      <c r="K2228" s="43"/>
      <c r="L2228" s="43">
        <v>0.24460000000000001</v>
      </c>
      <c r="O2228" s="50"/>
    </row>
    <row r="2229" spans="2:15" x14ac:dyDescent="0.2">
      <c r="B2229">
        <v>2214</v>
      </c>
      <c r="C2229" s="48">
        <f t="shared" ca="1" si="140"/>
        <v>-1.6012180786093542</v>
      </c>
      <c r="D2229" s="48">
        <f t="shared" ca="1" si="137"/>
        <v>0.56746745981759661</v>
      </c>
      <c r="E2229" s="48">
        <f t="shared" ca="1" si="138"/>
        <v>0</v>
      </c>
      <c r="F2229" s="17">
        <f t="shared" ca="1" si="139"/>
        <v>0</v>
      </c>
      <c r="H2229" s="17">
        <v>2214</v>
      </c>
      <c r="I2229" s="43">
        <v>0.6692386689359352</v>
      </c>
      <c r="J2229" s="43">
        <v>1.9612054196163051E-2</v>
      </c>
      <c r="K2229" s="43"/>
      <c r="L2229" s="43">
        <v>0.25259999999999999</v>
      </c>
      <c r="O2229" s="50"/>
    </row>
    <row r="2230" spans="2:15" x14ac:dyDescent="0.2">
      <c r="B2230">
        <v>2215</v>
      </c>
      <c r="C2230" s="48">
        <f t="shared" ca="1" si="140"/>
        <v>0.3220372152919358</v>
      </c>
      <c r="D2230" s="48">
        <f t="shared" ca="1" si="137"/>
        <v>0.68594145483546831</v>
      </c>
      <c r="E2230" s="48">
        <f t="shared" ca="1" si="138"/>
        <v>0</v>
      </c>
      <c r="F2230" s="17">
        <f t="shared" ca="1" si="139"/>
        <v>0</v>
      </c>
      <c r="H2230" s="17">
        <v>2215</v>
      </c>
      <c r="I2230" s="43">
        <v>0.66901009763813091</v>
      </c>
      <c r="J2230" s="43">
        <v>1.9435212255409152E-2</v>
      </c>
      <c r="K2230" s="43"/>
      <c r="L2230" s="43">
        <v>0.24759999999999999</v>
      </c>
      <c r="O2230" s="50"/>
    </row>
    <row r="2231" spans="2:15" x14ac:dyDescent="0.2">
      <c r="B2231">
        <v>2216</v>
      </c>
      <c r="C2231" s="48">
        <f t="shared" ca="1" si="140"/>
        <v>0.11120974698366694</v>
      </c>
      <c r="D2231" s="48">
        <f t="shared" ca="1" si="137"/>
        <v>0.67183134520448784</v>
      </c>
      <c r="E2231" s="48">
        <f t="shared" ca="1" si="138"/>
        <v>0</v>
      </c>
      <c r="F2231" s="17">
        <f t="shared" ca="1" si="139"/>
        <v>0</v>
      </c>
      <c r="H2231" s="17">
        <v>2216</v>
      </c>
      <c r="I2231" s="43">
        <v>0.66925075865375461</v>
      </c>
      <c r="J2231" s="43">
        <v>1.9573059787824417E-2</v>
      </c>
      <c r="K2231" s="43"/>
      <c r="L2231" s="43">
        <v>0.24959999999999999</v>
      </c>
      <c r="O2231" s="50"/>
    </row>
    <row r="2232" spans="2:15" x14ac:dyDescent="0.2">
      <c r="B2232">
        <v>2217</v>
      </c>
      <c r="C2232" s="48">
        <f t="shared" ca="1" si="140"/>
        <v>-1.839707763916953</v>
      </c>
      <c r="D2232" s="48">
        <f t="shared" ca="1" si="137"/>
        <v>0.55428074235786784</v>
      </c>
      <c r="E2232" s="48">
        <f t="shared" ca="1" si="138"/>
        <v>0</v>
      </c>
      <c r="F2232" s="17">
        <f t="shared" ca="1" si="139"/>
        <v>0</v>
      </c>
      <c r="H2232" s="17">
        <v>2217</v>
      </c>
      <c r="I2232" s="43">
        <v>0.67013713814385978</v>
      </c>
      <c r="J2232" s="43">
        <v>2.0218456655392122E-2</v>
      </c>
      <c r="K2232" s="43"/>
      <c r="L2232" s="43">
        <v>0.251</v>
      </c>
      <c r="O2232" s="50"/>
    </row>
    <row r="2233" spans="2:15" x14ac:dyDescent="0.2">
      <c r="B2233">
        <v>2218</v>
      </c>
      <c r="C2233" s="48">
        <f t="shared" ca="1" si="140"/>
        <v>0.36597454250503697</v>
      </c>
      <c r="D2233" s="48">
        <f t="shared" ca="1" si="137"/>
        <v>0.68891917138695113</v>
      </c>
      <c r="E2233" s="48">
        <f t="shared" ca="1" si="138"/>
        <v>0</v>
      </c>
      <c r="F2233" s="17">
        <f t="shared" ca="1" si="139"/>
        <v>0</v>
      </c>
      <c r="H2233" s="17">
        <v>2218</v>
      </c>
      <c r="I2233" s="43">
        <v>0.66889717146924876</v>
      </c>
      <c r="J2233" s="43">
        <v>1.9359610541608122E-2</v>
      </c>
      <c r="K2233" s="43"/>
      <c r="L2233" s="43">
        <v>0.25080000000000002</v>
      </c>
      <c r="O2233" s="50"/>
    </row>
    <row r="2234" spans="2:15" x14ac:dyDescent="0.2">
      <c r="B2234">
        <v>2219</v>
      </c>
      <c r="C2234" s="48">
        <f t="shared" ca="1" si="140"/>
        <v>0.85742575313481162</v>
      </c>
      <c r="D2234" s="48">
        <f t="shared" ca="1" si="137"/>
        <v>0.72311978238696162</v>
      </c>
      <c r="E2234" s="48">
        <f t="shared" ca="1" si="138"/>
        <v>0</v>
      </c>
      <c r="F2234" s="17">
        <f t="shared" ca="1" si="139"/>
        <v>0</v>
      </c>
      <c r="H2234" s="17">
        <v>2219</v>
      </c>
      <c r="I2234" s="43">
        <v>0.66754135790733293</v>
      </c>
      <c r="J2234" s="43">
        <v>1.8466113875432549E-2</v>
      </c>
      <c r="K2234" s="43"/>
      <c r="L2234" s="43">
        <v>0.248</v>
      </c>
      <c r="O2234" s="50"/>
    </row>
    <row r="2235" spans="2:15" x14ac:dyDescent="0.2">
      <c r="B2235">
        <v>2220</v>
      </c>
      <c r="C2235" s="48">
        <f t="shared" ca="1" si="140"/>
        <v>1.1138085988338751</v>
      </c>
      <c r="D2235" s="48">
        <f t="shared" ca="1" si="137"/>
        <v>0.74163040944582115</v>
      </c>
      <c r="E2235" s="48">
        <f t="shared" ca="1" si="138"/>
        <v>0</v>
      </c>
      <c r="F2235" s="17">
        <f t="shared" ca="1" si="139"/>
        <v>0</v>
      </c>
      <c r="H2235" s="17">
        <v>2220</v>
      </c>
      <c r="I2235" s="43">
        <v>0.66889317125109216</v>
      </c>
      <c r="J2235" s="43">
        <v>1.9454914323812435E-2</v>
      </c>
      <c r="K2235" s="43"/>
      <c r="L2235" s="43">
        <v>0.25180000000000002</v>
      </c>
      <c r="O2235" s="50"/>
    </row>
    <row r="2236" spans="2:15" x14ac:dyDescent="0.2">
      <c r="B2236">
        <v>2221</v>
      </c>
      <c r="C2236" s="48">
        <f t="shared" ca="1" si="140"/>
        <v>-1.1707359344161801</v>
      </c>
      <c r="D2236" s="48">
        <f t="shared" ca="1" si="137"/>
        <v>0.59206921989593098</v>
      </c>
      <c r="E2236" s="48">
        <f t="shared" ca="1" si="138"/>
        <v>0</v>
      </c>
      <c r="F2236" s="17">
        <f t="shared" ca="1" si="139"/>
        <v>0</v>
      </c>
      <c r="H2236" s="17">
        <v>2221</v>
      </c>
      <c r="I2236" s="43">
        <v>0.66815628667809079</v>
      </c>
      <c r="J2236" s="43">
        <v>1.8934196138869375E-2</v>
      </c>
      <c r="K2236" s="43"/>
      <c r="L2236" s="43">
        <v>0.25</v>
      </c>
      <c r="O2236" s="50"/>
    </row>
    <row r="2237" spans="2:15" x14ac:dyDescent="0.2">
      <c r="B2237">
        <v>2222</v>
      </c>
      <c r="C2237" s="48">
        <f t="shared" ca="1" si="140"/>
        <v>1.5263499617757486</v>
      </c>
      <c r="D2237" s="48">
        <f t="shared" ca="1" si="137"/>
        <v>0.77241535328578648</v>
      </c>
      <c r="E2237" s="48">
        <f t="shared" ca="1" si="138"/>
        <v>0</v>
      </c>
      <c r="F2237" s="17">
        <f t="shared" ca="1" si="139"/>
        <v>0</v>
      </c>
      <c r="H2237" s="17">
        <v>2222</v>
      </c>
      <c r="I2237" s="43">
        <v>0.66928129697593386</v>
      </c>
      <c r="J2237" s="43">
        <v>1.9598082146992515E-2</v>
      </c>
      <c r="K2237" s="43"/>
      <c r="L2237" s="43">
        <v>0.25159999999999999</v>
      </c>
      <c r="O2237" s="50"/>
    </row>
    <row r="2238" spans="2:15" x14ac:dyDescent="0.2">
      <c r="B2238">
        <v>2223</v>
      </c>
      <c r="C2238" s="48">
        <f t="shared" ca="1" si="140"/>
        <v>-0.76259513656606193</v>
      </c>
      <c r="D2238" s="48">
        <f t="shared" ca="1" si="137"/>
        <v>0.61637843788013491</v>
      </c>
      <c r="E2238" s="48">
        <f t="shared" ca="1" si="138"/>
        <v>0</v>
      </c>
      <c r="F2238" s="17">
        <f t="shared" ca="1" si="139"/>
        <v>0</v>
      </c>
      <c r="H2238" s="17">
        <v>2223</v>
      </c>
      <c r="I2238" s="43">
        <v>0.66755811021847111</v>
      </c>
      <c r="J2238" s="43">
        <v>1.8281426892195658E-2</v>
      </c>
      <c r="K2238" s="43"/>
      <c r="L2238" s="43">
        <v>0.248</v>
      </c>
      <c r="O2238" s="50"/>
    </row>
    <row r="2239" spans="2:15" x14ac:dyDescent="0.2">
      <c r="B2239">
        <v>2224</v>
      </c>
      <c r="C2239" s="48">
        <f t="shared" ca="1" si="140"/>
        <v>0.32152322429597313</v>
      </c>
      <c r="D2239" s="48">
        <f t="shared" ca="1" si="137"/>
        <v>0.68590669695555417</v>
      </c>
      <c r="E2239" s="48">
        <f t="shared" ca="1" si="138"/>
        <v>0</v>
      </c>
      <c r="F2239" s="17">
        <f t="shared" ca="1" si="139"/>
        <v>0</v>
      </c>
      <c r="H2239" s="17">
        <v>2224</v>
      </c>
      <c r="I2239" s="43">
        <v>0.66826031100606431</v>
      </c>
      <c r="J2239" s="43">
        <v>1.863259421258728E-2</v>
      </c>
      <c r="K2239" s="43"/>
      <c r="L2239" s="43">
        <v>0.25319999999999998</v>
      </c>
      <c r="O2239" s="50"/>
    </row>
    <row r="2240" spans="2:15" x14ac:dyDescent="0.2">
      <c r="B2240">
        <v>2225</v>
      </c>
      <c r="C2240" s="48">
        <f t="shared" ca="1" si="140"/>
        <v>0.57851983204276658</v>
      </c>
      <c r="D2240" s="48">
        <f t="shared" ca="1" si="137"/>
        <v>0.70350730021700081</v>
      </c>
      <c r="E2240" s="48">
        <f t="shared" ca="1" si="138"/>
        <v>0</v>
      </c>
      <c r="F2240" s="17">
        <f t="shared" ca="1" si="139"/>
        <v>0</v>
      </c>
      <c r="H2240" s="17">
        <v>2225</v>
      </c>
      <c r="I2240" s="43">
        <v>0.6693878253924197</v>
      </c>
      <c r="J2240" s="43">
        <v>1.9684917013898018E-2</v>
      </c>
      <c r="K2240" s="43"/>
      <c r="L2240" s="43">
        <v>0.25119999999999998</v>
      </c>
      <c r="O2240" s="50"/>
    </row>
    <row r="2241" spans="2:15" x14ac:dyDescent="0.2">
      <c r="B2241">
        <v>2226</v>
      </c>
      <c r="C2241" s="48">
        <f t="shared" ca="1" si="140"/>
        <v>4.898676896179302E-2</v>
      </c>
      <c r="D2241" s="48">
        <f t="shared" ca="1" si="137"/>
        <v>0.66772267400727081</v>
      </c>
      <c r="E2241" s="48">
        <f t="shared" ca="1" si="138"/>
        <v>0</v>
      </c>
      <c r="F2241" s="17">
        <f t="shared" ca="1" si="139"/>
        <v>0</v>
      </c>
      <c r="H2241" s="17">
        <v>2226</v>
      </c>
      <c r="I2241" s="43">
        <v>0.6693634491428565</v>
      </c>
      <c r="J2241" s="43">
        <v>1.9909109588027243E-2</v>
      </c>
      <c r="K2241" s="43"/>
      <c r="L2241" s="43">
        <v>0.26300000000000001</v>
      </c>
      <c r="O2241" s="50"/>
    </row>
    <row r="2242" spans="2:15" x14ac:dyDescent="0.2">
      <c r="B2242">
        <v>2227</v>
      </c>
      <c r="C2242" s="48">
        <f t="shared" ca="1" si="140"/>
        <v>-0.78484500230482801</v>
      </c>
      <c r="D2242" s="48">
        <f t="shared" ca="1" si="137"/>
        <v>0.61502785787739067</v>
      </c>
      <c r="E2242" s="48">
        <f t="shared" ca="1" si="138"/>
        <v>0</v>
      </c>
      <c r="F2242" s="17">
        <f t="shared" ca="1" si="139"/>
        <v>0</v>
      </c>
      <c r="H2242" s="17">
        <v>2227</v>
      </c>
      <c r="I2242" s="43">
        <v>0.66795077963097005</v>
      </c>
      <c r="J2242" s="43">
        <v>1.8619226442194676E-2</v>
      </c>
      <c r="K2242" s="43"/>
      <c r="L2242" s="43">
        <v>0.25219999999999998</v>
      </c>
      <c r="O2242" s="50"/>
    </row>
    <row r="2243" spans="2:15" x14ac:dyDescent="0.2">
      <c r="B2243">
        <v>2228</v>
      </c>
      <c r="C2243" s="48">
        <f t="shared" ca="1" si="140"/>
        <v>0.42975868443648019</v>
      </c>
      <c r="D2243" s="48">
        <f t="shared" ca="1" si="137"/>
        <v>0.69326496317423203</v>
      </c>
      <c r="E2243" s="48">
        <f t="shared" ca="1" si="138"/>
        <v>0</v>
      </c>
      <c r="F2243" s="17">
        <f t="shared" ca="1" si="139"/>
        <v>0</v>
      </c>
      <c r="H2243" s="17">
        <v>2228</v>
      </c>
      <c r="I2243" s="43">
        <v>0.66836923319122932</v>
      </c>
      <c r="J2243" s="43">
        <v>1.9187330149534155E-2</v>
      </c>
      <c r="K2243" s="43"/>
      <c r="L2243" s="43">
        <v>0.25040000000000001</v>
      </c>
      <c r="O2243" s="50"/>
    </row>
    <row r="2244" spans="2:15" x14ac:dyDescent="0.2">
      <c r="B2244">
        <v>2229</v>
      </c>
      <c r="C2244" s="48">
        <f t="shared" ca="1" si="140"/>
        <v>-0.73996036060547765</v>
      </c>
      <c r="D2244" s="48">
        <f t="shared" ca="1" si="137"/>
        <v>0.61775542543109674</v>
      </c>
      <c r="E2244" s="48">
        <f t="shared" ca="1" si="138"/>
        <v>0</v>
      </c>
      <c r="F2244" s="17">
        <f t="shared" ca="1" si="139"/>
        <v>0</v>
      </c>
      <c r="H2244" s="17">
        <v>2229</v>
      </c>
      <c r="I2244" s="43">
        <v>0.66855758225823647</v>
      </c>
      <c r="J2244" s="43">
        <v>1.8991085897269437E-2</v>
      </c>
      <c r="K2244" s="43"/>
      <c r="L2244" s="43">
        <v>0.25180000000000002</v>
      </c>
      <c r="O2244" s="50"/>
    </row>
    <row r="2245" spans="2:15" x14ac:dyDescent="0.2">
      <c r="B2245">
        <v>2230</v>
      </c>
      <c r="C2245" s="48">
        <f t="shared" ca="1" si="140"/>
        <v>0.5183744768072398</v>
      </c>
      <c r="D2245" s="48">
        <f t="shared" ca="1" si="137"/>
        <v>0.69934814174718962</v>
      </c>
      <c r="E2245" s="48">
        <f t="shared" ca="1" si="138"/>
        <v>0</v>
      </c>
      <c r="F2245" s="17">
        <f t="shared" ca="1" si="139"/>
        <v>0</v>
      </c>
      <c r="H2245" s="17">
        <v>2230</v>
      </c>
      <c r="I2245" s="43">
        <v>0.66835580277314954</v>
      </c>
      <c r="J2245" s="43">
        <v>1.9048404778724409E-2</v>
      </c>
      <c r="K2245" s="43"/>
      <c r="L2245" s="43">
        <v>0.24879999999999999</v>
      </c>
      <c r="O2245" s="50"/>
    </row>
    <row r="2246" spans="2:15" x14ac:dyDescent="0.2">
      <c r="B2246">
        <v>2231</v>
      </c>
      <c r="C2246" s="48">
        <f t="shared" ca="1" si="140"/>
        <v>4.5806600546647695E-2</v>
      </c>
      <c r="D2246" s="48">
        <f t="shared" ca="1" si="137"/>
        <v>0.66751335923228505</v>
      </c>
      <c r="E2246" s="48">
        <f t="shared" ca="1" si="138"/>
        <v>0</v>
      </c>
      <c r="F2246" s="17">
        <f t="shared" ca="1" si="139"/>
        <v>0</v>
      </c>
      <c r="H2246" s="17">
        <v>2231</v>
      </c>
      <c r="I2246" s="43">
        <v>0.66895849233726457</v>
      </c>
      <c r="J2246" s="43">
        <v>1.9530960199285075E-2</v>
      </c>
      <c r="K2246" s="43"/>
      <c r="L2246" s="43">
        <v>0.24779999999999999</v>
      </c>
      <c r="O2246" s="50"/>
    </row>
    <row r="2247" spans="2:15" x14ac:dyDescent="0.2">
      <c r="B2247">
        <v>2232</v>
      </c>
      <c r="C2247" s="48">
        <f t="shared" ca="1" si="140"/>
        <v>-1.5778241038199223</v>
      </c>
      <c r="D2247" s="48">
        <f t="shared" ca="1" si="137"/>
        <v>0.56877775038741785</v>
      </c>
      <c r="E2247" s="48">
        <f t="shared" ca="1" si="138"/>
        <v>0</v>
      </c>
      <c r="F2247" s="17">
        <f t="shared" ca="1" si="139"/>
        <v>0</v>
      </c>
      <c r="H2247" s="17">
        <v>2232</v>
      </c>
      <c r="I2247" s="43">
        <v>0.67020811610215647</v>
      </c>
      <c r="J2247" s="43">
        <v>2.0353388923437403E-2</v>
      </c>
      <c r="K2247" s="43"/>
      <c r="L2247" s="43">
        <v>0.25640000000000002</v>
      </c>
      <c r="O2247" s="50"/>
    </row>
    <row r="2248" spans="2:15" x14ac:dyDescent="0.2">
      <c r="B2248">
        <v>2233</v>
      </c>
      <c r="C2248" s="48">
        <f t="shared" ca="1" si="140"/>
        <v>-0.23268163967515434</v>
      </c>
      <c r="D2248" s="48">
        <f t="shared" ca="1" si="137"/>
        <v>0.64943577856153412</v>
      </c>
      <c r="E2248" s="48">
        <f t="shared" ca="1" si="138"/>
        <v>0</v>
      </c>
      <c r="F2248" s="17">
        <f t="shared" ca="1" si="139"/>
        <v>0</v>
      </c>
      <c r="H2248" s="17">
        <v>2233</v>
      </c>
      <c r="I2248" s="43">
        <v>0.66860079132756722</v>
      </c>
      <c r="J2248" s="43">
        <v>1.9071979337047254E-2</v>
      </c>
      <c r="K2248" s="43"/>
      <c r="L2248" s="43">
        <v>0.24840000000000001</v>
      </c>
      <c r="O2248" s="50"/>
    </row>
    <row r="2249" spans="2:15" x14ac:dyDescent="0.2">
      <c r="B2249">
        <v>2234</v>
      </c>
      <c r="C2249" s="48">
        <f t="shared" ca="1" si="140"/>
        <v>-0.99067837491668354</v>
      </c>
      <c r="D2249" s="48">
        <f t="shared" ca="1" si="137"/>
        <v>0.60267312756746128</v>
      </c>
      <c r="E2249" s="48">
        <f t="shared" ca="1" si="138"/>
        <v>0</v>
      </c>
      <c r="F2249" s="17">
        <f t="shared" ca="1" si="139"/>
        <v>0</v>
      </c>
      <c r="H2249" s="17">
        <v>2234</v>
      </c>
      <c r="I2249" s="43">
        <v>0.66884206031607418</v>
      </c>
      <c r="J2249" s="43">
        <v>1.9259855388111747E-2</v>
      </c>
      <c r="K2249" s="43"/>
      <c r="L2249" s="43">
        <v>0.246</v>
      </c>
      <c r="O2249" s="50"/>
    </row>
    <row r="2250" spans="2:15" x14ac:dyDescent="0.2">
      <c r="B2250">
        <v>2235</v>
      </c>
      <c r="C2250" s="48">
        <f t="shared" ca="1" si="140"/>
        <v>1.6528671996401834</v>
      </c>
      <c r="D2250" s="48">
        <f t="shared" ca="1" si="137"/>
        <v>0.78211003635161036</v>
      </c>
      <c r="E2250" s="48">
        <f t="shared" ca="1" si="138"/>
        <v>0</v>
      </c>
      <c r="F2250" s="17">
        <f t="shared" ca="1" si="139"/>
        <v>0</v>
      </c>
      <c r="H2250" s="17">
        <v>2235</v>
      </c>
      <c r="I2250" s="43">
        <v>0.66848817495313673</v>
      </c>
      <c r="J2250" s="43">
        <v>1.9082299371035224E-2</v>
      </c>
      <c r="K2250" s="43"/>
      <c r="L2250" s="43">
        <v>0.24840000000000001</v>
      </c>
      <c r="O2250" s="50"/>
    </row>
    <row r="2251" spans="2:15" x14ac:dyDescent="0.2">
      <c r="B2251">
        <v>2236</v>
      </c>
      <c r="C2251" s="48">
        <f t="shared" ca="1" si="140"/>
        <v>1.4670001852506283</v>
      </c>
      <c r="D2251" s="48">
        <f t="shared" ca="1" si="137"/>
        <v>0.76790903600896143</v>
      </c>
      <c r="E2251" s="48">
        <f t="shared" ca="1" si="138"/>
        <v>0</v>
      </c>
      <c r="F2251" s="17">
        <f t="shared" ca="1" si="139"/>
        <v>0</v>
      </c>
      <c r="H2251" s="17">
        <v>2236</v>
      </c>
      <c r="I2251" s="43">
        <v>0.66759566757015332</v>
      </c>
      <c r="J2251" s="43">
        <v>1.8359393154882983E-2</v>
      </c>
      <c r="K2251" s="43"/>
      <c r="L2251" s="43">
        <v>0.2432</v>
      </c>
      <c r="O2251" s="50"/>
    </row>
    <row r="2252" spans="2:15" x14ac:dyDescent="0.2">
      <c r="B2252">
        <v>2237</v>
      </c>
      <c r="C2252" s="48">
        <f t="shared" ca="1" si="140"/>
        <v>-2.050923334352535</v>
      </c>
      <c r="D2252" s="48">
        <f t="shared" ca="1" si="137"/>
        <v>0.5428581787544926</v>
      </c>
      <c r="E2252" s="48">
        <f t="shared" ca="1" si="138"/>
        <v>0</v>
      </c>
      <c r="F2252" s="17">
        <f t="shared" ca="1" si="139"/>
        <v>0</v>
      </c>
      <c r="H2252" s="17">
        <v>2237</v>
      </c>
      <c r="I2252" s="43">
        <v>0.66923222008325101</v>
      </c>
      <c r="J2252" s="43">
        <v>1.9566426941744364E-2</v>
      </c>
      <c r="K2252" s="43"/>
      <c r="L2252" s="43">
        <v>0.24779999999999999</v>
      </c>
      <c r="O2252" s="50"/>
    </row>
    <row r="2253" spans="2:15" x14ac:dyDescent="0.2">
      <c r="B2253">
        <v>2238</v>
      </c>
      <c r="C2253" s="48">
        <f t="shared" ca="1" si="140"/>
        <v>1.7657605913261061</v>
      </c>
      <c r="D2253" s="48">
        <f t="shared" ca="1" si="137"/>
        <v>0.79086344418543186</v>
      </c>
      <c r="E2253" s="48">
        <f t="shared" ca="1" si="138"/>
        <v>2.6634441854318514E-3</v>
      </c>
      <c r="F2253" s="17">
        <f t="shared" ca="1" si="139"/>
        <v>1</v>
      </c>
      <c r="H2253" s="17">
        <v>2238</v>
      </c>
      <c r="I2253" s="43">
        <v>0.66713583244464003</v>
      </c>
      <c r="J2253" s="43">
        <v>1.8117424435394606E-2</v>
      </c>
      <c r="K2253" s="43"/>
      <c r="L2253" s="43">
        <v>0.24779999999999999</v>
      </c>
      <c r="O2253" s="50"/>
    </row>
    <row r="2254" spans="2:15" x14ac:dyDescent="0.2">
      <c r="B2254">
        <v>2239</v>
      </c>
      <c r="C2254" s="48">
        <f t="shared" ca="1" si="140"/>
        <v>0.2695229078069189</v>
      </c>
      <c r="D2254" s="48">
        <f t="shared" ca="1" si="137"/>
        <v>0.68239933971064004</v>
      </c>
      <c r="E2254" s="48">
        <f t="shared" ca="1" si="138"/>
        <v>0</v>
      </c>
      <c r="F2254" s="17">
        <f t="shared" ca="1" si="139"/>
        <v>0</v>
      </c>
      <c r="H2254" s="17">
        <v>2239</v>
      </c>
      <c r="I2254" s="43">
        <v>0.66964411353957098</v>
      </c>
      <c r="J2254" s="43">
        <v>1.9988410473770469E-2</v>
      </c>
      <c r="K2254" s="43"/>
      <c r="L2254" s="43">
        <v>0.25440000000000002</v>
      </c>
      <c r="O2254" s="50"/>
    </row>
    <row r="2255" spans="2:15" x14ac:dyDescent="0.2">
      <c r="B2255">
        <v>2240</v>
      </c>
      <c r="C2255" s="48">
        <f t="shared" ca="1" si="140"/>
        <v>-7.1302006324897027E-2</v>
      </c>
      <c r="D2255" s="48">
        <f t="shared" ca="1" si="137"/>
        <v>0.65985094108259856</v>
      </c>
      <c r="E2255" s="48">
        <f t="shared" ca="1" si="138"/>
        <v>0</v>
      </c>
      <c r="F2255" s="17">
        <f t="shared" ca="1" si="139"/>
        <v>0</v>
      </c>
      <c r="H2255" s="17">
        <v>2240</v>
      </c>
      <c r="I2255" s="43">
        <v>0.66853464493701475</v>
      </c>
      <c r="J2255" s="43">
        <v>1.9126048599598829E-2</v>
      </c>
      <c r="K2255" s="43"/>
      <c r="L2255" s="43">
        <v>0.24660000000000001</v>
      </c>
      <c r="O2255" s="50"/>
    </row>
    <row r="2256" spans="2:15" x14ac:dyDescent="0.2">
      <c r="B2256">
        <v>2241</v>
      </c>
      <c r="C2256" s="48">
        <f t="shared" ca="1" si="140"/>
        <v>-3.0542064129128454</v>
      </c>
      <c r="D2256" s="48">
        <f t="shared" ref="D2256:D2319" ca="1" si="141">S0*EXP((μ-0.5*σ*σ)*T+σ*SQRT(T)*$C2256)</f>
        <v>0.49173353032367695</v>
      </c>
      <c r="E2256" s="48">
        <f t="shared" ref="E2256:E2319" ca="1" si="142">MAX(0,CP*(D2256-K))</f>
        <v>0</v>
      </c>
      <c r="F2256" s="17">
        <f t="shared" ref="F2256:F2319" ca="1" si="143">(CP*(D2256-K)&gt;0)*1</f>
        <v>0</v>
      </c>
      <c r="H2256" s="17">
        <v>2241</v>
      </c>
      <c r="I2256" s="43">
        <v>0.66905732279639274</v>
      </c>
      <c r="J2256" s="43">
        <v>1.9230153083634852E-2</v>
      </c>
      <c r="K2256" s="43"/>
      <c r="L2256" s="43">
        <v>0.249</v>
      </c>
      <c r="O2256" s="50"/>
    </row>
    <row r="2257" spans="2:15" x14ac:dyDescent="0.2">
      <c r="B2257">
        <v>2242</v>
      </c>
      <c r="C2257" s="48">
        <f t="shared" ref="C2257:C2320" ca="1" si="144">_xlfn.NORM.S.INV(RAND())</f>
        <v>-5.396100109840813E-2</v>
      </c>
      <c r="D2257" s="48">
        <f t="shared" ca="1" si="141"/>
        <v>0.6609799909372478</v>
      </c>
      <c r="E2257" s="48">
        <f t="shared" ca="1" si="142"/>
        <v>0</v>
      </c>
      <c r="F2257" s="17">
        <f t="shared" ca="1" si="143"/>
        <v>0</v>
      </c>
      <c r="H2257" s="17">
        <v>2242</v>
      </c>
      <c r="I2257" s="43">
        <v>0.66874275507230085</v>
      </c>
      <c r="J2257" s="43">
        <v>1.9287392431501384E-2</v>
      </c>
      <c r="K2257" s="43"/>
      <c r="L2257" s="43">
        <v>0.25640000000000002</v>
      </c>
      <c r="O2257" s="50"/>
    </row>
    <row r="2258" spans="2:15" x14ac:dyDescent="0.2">
      <c r="B2258">
        <v>2243</v>
      </c>
      <c r="C2258" s="48">
        <f t="shared" ca="1" si="144"/>
        <v>-0.43382623468919845</v>
      </c>
      <c r="D2258" s="48">
        <f t="shared" ca="1" si="141"/>
        <v>0.636684101322461</v>
      </c>
      <c r="E2258" s="48">
        <f t="shared" ca="1" si="142"/>
        <v>0</v>
      </c>
      <c r="F2258" s="17">
        <f t="shared" ca="1" si="143"/>
        <v>0</v>
      </c>
      <c r="H2258" s="17">
        <v>2243</v>
      </c>
      <c r="I2258" s="43">
        <v>0.66915902304086594</v>
      </c>
      <c r="J2258" s="43">
        <v>1.9671218577379374E-2</v>
      </c>
      <c r="K2258" s="43"/>
      <c r="L2258" s="43">
        <v>0.253</v>
      </c>
      <c r="O2258" s="50"/>
    </row>
    <row r="2259" spans="2:15" x14ac:dyDescent="0.2">
      <c r="B2259">
        <v>2244</v>
      </c>
      <c r="C2259" s="48">
        <f t="shared" ca="1" si="144"/>
        <v>0.17981497917543404</v>
      </c>
      <c r="D2259" s="48">
        <f t="shared" ca="1" si="141"/>
        <v>0.67639075628214973</v>
      </c>
      <c r="E2259" s="48">
        <f t="shared" ca="1" si="142"/>
        <v>0</v>
      </c>
      <c r="F2259" s="17">
        <f t="shared" ca="1" si="143"/>
        <v>0</v>
      </c>
      <c r="H2259" s="17">
        <v>2244</v>
      </c>
      <c r="I2259" s="43">
        <v>0.66794441797278525</v>
      </c>
      <c r="J2259" s="43">
        <v>1.8697473890422974E-2</v>
      </c>
      <c r="K2259" s="43"/>
      <c r="L2259" s="43">
        <v>0.25140000000000001</v>
      </c>
      <c r="O2259" s="50"/>
    </row>
    <row r="2260" spans="2:15" x14ac:dyDescent="0.2">
      <c r="B2260">
        <v>2245</v>
      </c>
      <c r="C2260" s="48">
        <f t="shared" ca="1" si="144"/>
        <v>-0.9091277225953811</v>
      </c>
      <c r="D2260" s="48">
        <f t="shared" ca="1" si="141"/>
        <v>0.60753807321881181</v>
      </c>
      <c r="E2260" s="48">
        <f t="shared" ca="1" si="142"/>
        <v>0</v>
      </c>
      <c r="F2260" s="17">
        <f t="shared" ca="1" si="143"/>
        <v>0</v>
      </c>
      <c r="H2260" s="17">
        <v>2245</v>
      </c>
      <c r="I2260" s="43">
        <v>0.66911768454295029</v>
      </c>
      <c r="J2260" s="43">
        <v>1.953887567760992E-2</v>
      </c>
      <c r="K2260" s="43"/>
      <c r="L2260" s="43">
        <v>0.253</v>
      </c>
      <c r="O2260" s="50"/>
    </row>
    <row r="2261" spans="2:15" x14ac:dyDescent="0.2">
      <c r="B2261">
        <v>2246</v>
      </c>
      <c r="C2261" s="48">
        <f t="shared" ca="1" si="144"/>
        <v>-0.35722988901003111</v>
      </c>
      <c r="D2261" s="48">
        <f t="shared" ca="1" si="141"/>
        <v>0.64151018205227262</v>
      </c>
      <c r="E2261" s="48">
        <f t="shared" ca="1" si="142"/>
        <v>0</v>
      </c>
      <c r="F2261" s="17">
        <f t="shared" ca="1" si="143"/>
        <v>0</v>
      </c>
      <c r="H2261" s="17">
        <v>2246</v>
      </c>
      <c r="I2261" s="43">
        <v>0.6689774623229916</v>
      </c>
      <c r="J2261" s="43">
        <v>1.9350675291755326E-2</v>
      </c>
      <c r="K2261" s="43"/>
      <c r="L2261" s="43">
        <v>0.25059999999999999</v>
      </c>
      <c r="O2261" s="50"/>
    </row>
    <row r="2262" spans="2:15" x14ac:dyDescent="0.2">
      <c r="B2262">
        <v>2247</v>
      </c>
      <c r="C2262" s="48">
        <f t="shared" ca="1" si="144"/>
        <v>-1.8317429006329329</v>
      </c>
      <c r="D2262" s="48">
        <f t="shared" ca="1" si="141"/>
        <v>0.55471615432271859</v>
      </c>
      <c r="E2262" s="48">
        <f t="shared" ca="1" si="142"/>
        <v>0</v>
      </c>
      <c r="F2262" s="17">
        <f t="shared" ca="1" si="143"/>
        <v>0</v>
      </c>
      <c r="H2262" s="17">
        <v>2247</v>
      </c>
      <c r="I2262" s="43">
        <v>0.66960072551913086</v>
      </c>
      <c r="J2262" s="43">
        <v>1.9797874166065724E-2</v>
      </c>
      <c r="K2262" s="43"/>
      <c r="L2262" s="43">
        <v>0.25119999999999998</v>
      </c>
      <c r="O2262" s="50"/>
    </row>
    <row r="2263" spans="2:15" x14ac:dyDescent="0.2">
      <c r="B2263">
        <v>2248</v>
      </c>
      <c r="C2263" s="48">
        <f t="shared" ca="1" si="144"/>
        <v>-0.49861275643641273</v>
      </c>
      <c r="D2263" s="48">
        <f t="shared" ca="1" si="141"/>
        <v>0.63263047064011391</v>
      </c>
      <c r="E2263" s="48">
        <f t="shared" ca="1" si="142"/>
        <v>0</v>
      </c>
      <c r="F2263" s="17">
        <f t="shared" ca="1" si="143"/>
        <v>0</v>
      </c>
      <c r="H2263" s="17">
        <v>2248</v>
      </c>
      <c r="I2263" s="43">
        <v>0.66841890344973787</v>
      </c>
      <c r="J2263" s="43">
        <v>1.9061604382880144E-2</v>
      </c>
      <c r="K2263" s="43"/>
      <c r="L2263" s="43">
        <v>0.2432</v>
      </c>
      <c r="O2263" s="50"/>
    </row>
    <row r="2264" spans="2:15" x14ac:dyDescent="0.2">
      <c r="B2264">
        <v>2249</v>
      </c>
      <c r="C2264" s="48">
        <f t="shared" ca="1" si="144"/>
        <v>0.2986401331692381</v>
      </c>
      <c r="D2264" s="48">
        <f t="shared" ca="1" si="141"/>
        <v>0.68436104515282292</v>
      </c>
      <c r="E2264" s="48">
        <f t="shared" ca="1" si="142"/>
        <v>0</v>
      </c>
      <c r="F2264" s="17">
        <f t="shared" ca="1" si="143"/>
        <v>0</v>
      </c>
      <c r="H2264" s="17">
        <v>2249</v>
      </c>
      <c r="I2264" s="43">
        <v>0.66869711870481729</v>
      </c>
      <c r="J2264" s="43">
        <v>1.9348574936699937E-2</v>
      </c>
      <c r="K2264" s="43"/>
      <c r="L2264" s="43">
        <v>0.25080000000000002</v>
      </c>
      <c r="O2264" s="50"/>
    </row>
    <row r="2265" spans="2:15" x14ac:dyDescent="0.2">
      <c r="B2265">
        <v>2250</v>
      </c>
      <c r="C2265" s="48">
        <f t="shared" ca="1" si="144"/>
        <v>2.7853176778125772</v>
      </c>
      <c r="D2265" s="48">
        <f t="shared" ca="1" si="141"/>
        <v>0.87449000879574412</v>
      </c>
      <c r="E2265" s="48">
        <f t="shared" ca="1" si="142"/>
        <v>8.6290008795744111E-2</v>
      </c>
      <c r="F2265" s="17">
        <f t="shared" ca="1" si="143"/>
        <v>1</v>
      </c>
      <c r="H2265" s="17">
        <v>2250</v>
      </c>
      <c r="I2265" s="43">
        <v>0.66860268170500059</v>
      </c>
      <c r="J2265" s="43">
        <v>1.8995500093010348E-2</v>
      </c>
      <c r="K2265" s="43"/>
      <c r="L2265" s="43">
        <v>0.24879999999999999</v>
      </c>
      <c r="O2265" s="50"/>
    </row>
    <row r="2266" spans="2:15" x14ac:dyDescent="0.2">
      <c r="B2266">
        <v>2251</v>
      </c>
      <c r="C2266" s="48">
        <f t="shared" ca="1" si="144"/>
        <v>1.6520176910337403</v>
      </c>
      <c r="D2266" s="48">
        <f t="shared" ca="1" si="141"/>
        <v>0.7820445366718789</v>
      </c>
      <c r="E2266" s="48">
        <f t="shared" ca="1" si="142"/>
        <v>0</v>
      </c>
      <c r="F2266" s="17">
        <f t="shared" ca="1" si="143"/>
        <v>0</v>
      </c>
      <c r="H2266" s="17">
        <v>2251</v>
      </c>
      <c r="I2266" s="43">
        <v>0.66930963499515328</v>
      </c>
      <c r="J2266" s="43">
        <v>1.9687128023063792E-2</v>
      </c>
      <c r="K2266" s="43"/>
      <c r="L2266" s="43">
        <v>0.24779999999999999</v>
      </c>
      <c r="O2266" s="50"/>
    </row>
    <row r="2267" spans="2:15" x14ac:dyDescent="0.2">
      <c r="B2267">
        <v>2252</v>
      </c>
      <c r="C2267" s="48">
        <f t="shared" ca="1" si="144"/>
        <v>1.0696367500877648</v>
      </c>
      <c r="D2267" s="48">
        <f t="shared" ca="1" si="141"/>
        <v>0.73840778617842406</v>
      </c>
      <c r="E2267" s="48">
        <f t="shared" ca="1" si="142"/>
        <v>0</v>
      </c>
      <c r="F2267" s="17">
        <f t="shared" ca="1" si="143"/>
        <v>0</v>
      </c>
      <c r="H2267" s="17">
        <v>2252</v>
      </c>
      <c r="I2267" s="43">
        <v>0.66895926994372834</v>
      </c>
      <c r="J2267" s="43">
        <v>1.9227255175956134E-2</v>
      </c>
      <c r="K2267" s="43"/>
      <c r="L2267" s="43">
        <v>0.25019999999999998</v>
      </c>
      <c r="O2267" s="50"/>
    </row>
    <row r="2268" spans="2:15" x14ac:dyDescent="0.2">
      <c r="B2268">
        <v>2253</v>
      </c>
      <c r="C2268" s="48">
        <f t="shared" ca="1" si="144"/>
        <v>-1.1593827432602912</v>
      </c>
      <c r="D2268" s="48">
        <f t="shared" ca="1" si="141"/>
        <v>0.59273228355568042</v>
      </c>
      <c r="E2268" s="48">
        <f t="shared" ca="1" si="142"/>
        <v>0</v>
      </c>
      <c r="F2268" s="17">
        <f t="shared" ca="1" si="143"/>
        <v>0</v>
      </c>
      <c r="H2268" s="17">
        <v>2253</v>
      </c>
      <c r="I2268" s="43">
        <v>0.6692227608506065</v>
      </c>
      <c r="J2268" s="43">
        <v>1.9604511470074977E-2</v>
      </c>
      <c r="K2268" s="43"/>
      <c r="L2268" s="43">
        <v>0.2576</v>
      </c>
      <c r="O2268" s="50"/>
    </row>
    <row r="2269" spans="2:15" x14ac:dyDescent="0.2">
      <c r="B2269">
        <v>2254</v>
      </c>
      <c r="C2269" s="48">
        <f t="shared" ca="1" si="144"/>
        <v>0.73800733773969407</v>
      </c>
      <c r="D2269" s="48">
        <f t="shared" ca="1" si="141"/>
        <v>0.7146562966546659</v>
      </c>
      <c r="E2269" s="48">
        <f t="shared" ca="1" si="142"/>
        <v>0</v>
      </c>
      <c r="F2269" s="17">
        <f t="shared" ca="1" si="143"/>
        <v>0</v>
      </c>
      <c r="H2269" s="17">
        <v>2254</v>
      </c>
      <c r="I2269" s="43">
        <v>0.66848305588531853</v>
      </c>
      <c r="J2269" s="43">
        <v>1.8769890423566433E-2</v>
      </c>
      <c r="K2269" s="43"/>
      <c r="L2269" s="43">
        <v>0.2422</v>
      </c>
      <c r="O2269" s="50"/>
    </row>
    <row r="2270" spans="2:15" x14ac:dyDescent="0.2">
      <c r="B2270">
        <v>2255</v>
      </c>
      <c r="C2270" s="48">
        <f t="shared" ca="1" si="144"/>
        <v>0.44963845163031813</v>
      </c>
      <c r="D2270" s="48">
        <f t="shared" ca="1" si="141"/>
        <v>0.69462502271779858</v>
      </c>
      <c r="E2270" s="48">
        <f t="shared" ca="1" si="142"/>
        <v>0</v>
      </c>
      <c r="F2270" s="17">
        <f t="shared" ca="1" si="143"/>
        <v>0</v>
      </c>
      <c r="H2270" s="17">
        <v>2255</v>
      </c>
      <c r="I2270" s="43">
        <v>0.67013208289628279</v>
      </c>
      <c r="J2270" s="43">
        <v>1.974260313997073E-2</v>
      </c>
      <c r="K2270" s="43"/>
      <c r="L2270" s="43">
        <v>0.25380000000000003</v>
      </c>
      <c r="O2270" s="50"/>
    </row>
    <row r="2271" spans="2:15" x14ac:dyDescent="0.2">
      <c r="B2271">
        <v>2256</v>
      </c>
      <c r="C2271" s="48">
        <f t="shared" ca="1" si="144"/>
        <v>-0.84736365654571755</v>
      </c>
      <c r="D2271" s="48">
        <f t="shared" ca="1" si="141"/>
        <v>0.61124875758662156</v>
      </c>
      <c r="E2271" s="48">
        <f t="shared" ca="1" si="142"/>
        <v>0</v>
      </c>
      <c r="F2271" s="17">
        <f t="shared" ca="1" si="143"/>
        <v>0</v>
      </c>
      <c r="H2271" s="17">
        <v>2256</v>
      </c>
      <c r="I2271" s="43">
        <v>0.66929611739324657</v>
      </c>
      <c r="J2271" s="43">
        <v>1.9307478202048204E-2</v>
      </c>
      <c r="K2271" s="43"/>
      <c r="L2271" s="43">
        <v>0.25140000000000001</v>
      </c>
      <c r="O2271" s="50"/>
    </row>
    <row r="2272" spans="2:15" x14ac:dyDescent="0.2">
      <c r="B2272">
        <v>2257</v>
      </c>
      <c r="C2272" s="48">
        <f t="shared" ca="1" si="144"/>
        <v>1.4223383371870635</v>
      </c>
      <c r="D2272" s="48">
        <f t="shared" ca="1" si="141"/>
        <v>0.76453528973109863</v>
      </c>
      <c r="E2272" s="48">
        <f t="shared" ca="1" si="142"/>
        <v>0</v>
      </c>
      <c r="F2272" s="17">
        <f t="shared" ca="1" si="143"/>
        <v>0</v>
      </c>
      <c r="H2272" s="17">
        <v>2257</v>
      </c>
      <c r="I2272" s="43">
        <v>0.66905762878123443</v>
      </c>
      <c r="J2272" s="43">
        <v>1.929831967245586E-2</v>
      </c>
      <c r="K2272" s="43"/>
      <c r="L2272" s="43">
        <v>0.2492</v>
      </c>
      <c r="O2272" s="50"/>
    </row>
    <row r="2273" spans="2:15" x14ac:dyDescent="0.2">
      <c r="B2273">
        <v>2258</v>
      </c>
      <c r="C2273" s="48">
        <f t="shared" ca="1" si="144"/>
        <v>1.1774434562602281</v>
      </c>
      <c r="D2273" s="48">
        <f t="shared" ca="1" si="141"/>
        <v>0.7462977268039418</v>
      </c>
      <c r="E2273" s="48">
        <f t="shared" ca="1" si="142"/>
        <v>0</v>
      </c>
      <c r="F2273" s="17">
        <f t="shared" ca="1" si="143"/>
        <v>0</v>
      </c>
      <c r="H2273" s="17">
        <v>2258</v>
      </c>
      <c r="I2273" s="43">
        <v>0.66879300948581244</v>
      </c>
      <c r="J2273" s="43">
        <v>1.9133737750733643E-2</v>
      </c>
      <c r="K2273" s="43"/>
      <c r="L2273" s="43">
        <v>0.24660000000000001</v>
      </c>
      <c r="O2273" s="50"/>
    </row>
    <row r="2274" spans="2:15" x14ac:dyDescent="0.2">
      <c r="B2274">
        <v>2259</v>
      </c>
      <c r="C2274" s="48">
        <f t="shared" ca="1" si="144"/>
        <v>0.96308883413961821</v>
      </c>
      <c r="D2274" s="48">
        <f t="shared" ca="1" si="141"/>
        <v>0.73069193279368783</v>
      </c>
      <c r="E2274" s="48">
        <f t="shared" ca="1" si="142"/>
        <v>0</v>
      </c>
      <c r="F2274" s="17">
        <f t="shared" ca="1" si="143"/>
        <v>0</v>
      </c>
      <c r="H2274" s="17">
        <v>2259</v>
      </c>
      <c r="I2274" s="43">
        <v>0.66920669560419088</v>
      </c>
      <c r="J2274" s="43">
        <v>1.982097712533883E-2</v>
      </c>
      <c r="K2274" s="43"/>
      <c r="L2274" s="43">
        <v>0.26079999999999998</v>
      </c>
      <c r="O2274" s="50"/>
    </row>
    <row r="2275" spans="2:15" x14ac:dyDescent="0.2">
      <c r="B2275">
        <v>2260</v>
      </c>
      <c r="C2275" s="48">
        <f t="shared" ca="1" si="144"/>
        <v>-0.87568715453720847</v>
      </c>
      <c r="D2275" s="48">
        <f t="shared" ca="1" si="141"/>
        <v>0.60954432279750659</v>
      </c>
      <c r="E2275" s="48">
        <f t="shared" ca="1" si="142"/>
        <v>0</v>
      </c>
      <c r="F2275" s="17">
        <f t="shared" ca="1" si="143"/>
        <v>0</v>
      </c>
      <c r="H2275" s="17">
        <v>2260</v>
      </c>
      <c r="I2275" s="43">
        <v>0.6690766757779385</v>
      </c>
      <c r="J2275" s="43">
        <v>1.9433949682409763E-2</v>
      </c>
      <c r="K2275" s="43"/>
      <c r="L2275" s="43">
        <v>0.24660000000000001</v>
      </c>
      <c r="O2275" s="50"/>
    </row>
    <row r="2276" spans="2:15" x14ac:dyDescent="0.2">
      <c r="B2276">
        <v>2261</v>
      </c>
      <c r="C2276" s="48">
        <f t="shared" ca="1" si="144"/>
        <v>1.2626256119451007</v>
      </c>
      <c r="D2276" s="48">
        <f t="shared" ca="1" si="141"/>
        <v>0.75259144540607614</v>
      </c>
      <c r="E2276" s="48">
        <f t="shared" ca="1" si="142"/>
        <v>0</v>
      </c>
      <c r="F2276" s="17">
        <f t="shared" ca="1" si="143"/>
        <v>0</v>
      </c>
      <c r="H2276" s="17">
        <v>2261</v>
      </c>
      <c r="I2276" s="43">
        <v>0.66869412008901241</v>
      </c>
      <c r="J2276" s="43">
        <v>1.918787092019358E-2</v>
      </c>
      <c r="K2276" s="43"/>
      <c r="L2276" s="43">
        <v>0.251</v>
      </c>
      <c r="O2276" s="50"/>
    </row>
    <row r="2277" spans="2:15" x14ac:dyDescent="0.2">
      <c r="B2277">
        <v>2262</v>
      </c>
      <c r="C2277" s="48">
        <f t="shared" ca="1" si="144"/>
        <v>2.5153362175895015</v>
      </c>
      <c r="D2277" s="48">
        <f t="shared" ca="1" si="141"/>
        <v>0.8515209302992417</v>
      </c>
      <c r="E2277" s="48">
        <f t="shared" ca="1" si="142"/>
        <v>6.3320930299241684E-2</v>
      </c>
      <c r="F2277" s="17">
        <f t="shared" ca="1" si="143"/>
        <v>1</v>
      </c>
      <c r="H2277" s="17">
        <v>2262</v>
      </c>
      <c r="I2277" s="43">
        <v>0.6697328632696482</v>
      </c>
      <c r="J2277" s="43">
        <v>2.0098025461290917E-2</v>
      </c>
      <c r="K2277" s="43"/>
      <c r="L2277" s="43">
        <v>0.25940000000000002</v>
      </c>
      <c r="O2277" s="50"/>
    </row>
    <row r="2278" spans="2:15" x14ac:dyDescent="0.2">
      <c r="B2278">
        <v>2263</v>
      </c>
      <c r="C2278" s="48">
        <f t="shared" ca="1" si="144"/>
        <v>-1.4708661609862042</v>
      </c>
      <c r="D2278" s="48">
        <f t="shared" ca="1" si="141"/>
        <v>0.5748070814145696</v>
      </c>
      <c r="E2278" s="48">
        <f t="shared" ca="1" si="142"/>
        <v>0</v>
      </c>
      <c r="F2278" s="17">
        <f t="shared" ca="1" si="143"/>
        <v>0</v>
      </c>
      <c r="H2278" s="17">
        <v>2263</v>
      </c>
      <c r="I2278" s="43">
        <v>0.6692867117796002</v>
      </c>
      <c r="J2278" s="43">
        <v>1.9609679359454138E-2</v>
      </c>
      <c r="K2278" s="43"/>
      <c r="L2278" s="43">
        <v>0.25679999999999997</v>
      </c>
      <c r="O2278" s="50"/>
    </row>
    <row r="2279" spans="2:15" x14ac:dyDescent="0.2">
      <c r="B2279">
        <v>2264</v>
      </c>
      <c r="C2279" s="48">
        <f t="shared" ca="1" si="144"/>
        <v>-0.68454189719490011</v>
      </c>
      <c r="D2279" s="48">
        <f t="shared" ca="1" si="141"/>
        <v>0.62113981000770158</v>
      </c>
      <c r="E2279" s="48">
        <f t="shared" ca="1" si="142"/>
        <v>0</v>
      </c>
      <c r="F2279" s="17">
        <f t="shared" ca="1" si="143"/>
        <v>0</v>
      </c>
      <c r="H2279" s="17">
        <v>2264</v>
      </c>
      <c r="I2279" s="43">
        <v>0.66919423993764593</v>
      </c>
      <c r="J2279" s="43">
        <v>1.9381397340527972E-2</v>
      </c>
      <c r="K2279" s="43"/>
      <c r="L2279" s="43">
        <v>0.248</v>
      </c>
      <c r="O2279" s="50"/>
    </row>
    <row r="2280" spans="2:15" x14ac:dyDescent="0.2">
      <c r="B2280">
        <v>2265</v>
      </c>
      <c r="C2280" s="48">
        <f t="shared" ca="1" si="144"/>
        <v>5.7801391566815519E-2</v>
      </c>
      <c r="D2280" s="48">
        <f t="shared" ca="1" si="141"/>
        <v>0.6683031847812263</v>
      </c>
      <c r="E2280" s="48">
        <f t="shared" ca="1" si="142"/>
        <v>0</v>
      </c>
      <c r="F2280" s="17">
        <f t="shared" ca="1" si="143"/>
        <v>0</v>
      </c>
      <c r="H2280" s="17">
        <v>2265</v>
      </c>
      <c r="I2280" s="43">
        <v>0.66907441165867998</v>
      </c>
      <c r="J2280" s="43">
        <v>1.9536580004238042E-2</v>
      </c>
      <c r="K2280" s="43"/>
      <c r="L2280" s="43">
        <v>0.25640000000000002</v>
      </c>
      <c r="O2280" s="50"/>
    </row>
    <row r="2281" spans="2:15" x14ac:dyDescent="0.2">
      <c r="B2281">
        <v>2266</v>
      </c>
      <c r="C2281" s="48">
        <f t="shared" ca="1" si="144"/>
        <v>-0.42289346146608936</v>
      </c>
      <c r="D2281" s="48">
        <f t="shared" ca="1" si="141"/>
        <v>0.63737071133970691</v>
      </c>
      <c r="E2281" s="48">
        <f t="shared" ca="1" si="142"/>
        <v>0</v>
      </c>
      <c r="F2281" s="17">
        <f t="shared" ca="1" si="143"/>
        <v>0</v>
      </c>
      <c r="H2281" s="17">
        <v>2266</v>
      </c>
      <c r="I2281" s="43">
        <v>0.66919167458296502</v>
      </c>
      <c r="J2281" s="43">
        <v>1.9540461328079978E-2</v>
      </c>
      <c r="K2281" s="43"/>
      <c r="L2281" s="43">
        <v>0.255</v>
      </c>
      <c r="O2281" s="50"/>
    </row>
    <row r="2282" spans="2:15" x14ac:dyDescent="0.2">
      <c r="B2282">
        <v>2267</v>
      </c>
      <c r="C2282" s="48">
        <f t="shared" ca="1" si="144"/>
        <v>-6.1220314219928434E-2</v>
      </c>
      <c r="D2282" s="48">
        <f t="shared" ca="1" si="141"/>
        <v>0.66050711178819377</v>
      </c>
      <c r="E2282" s="48">
        <f t="shared" ca="1" si="142"/>
        <v>0</v>
      </c>
      <c r="F2282" s="17">
        <f t="shared" ca="1" si="143"/>
        <v>0</v>
      </c>
      <c r="H2282" s="17">
        <v>2267</v>
      </c>
      <c r="I2282" s="43">
        <v>0.66803661903904044</v>
      </c>
      <c r="J2282" s="43">
        <v>1.9045379614678826E-2</v>
      </c>
      <c r="K2282" s="43"/>
      <c r="L2282" s="43">
        <v>0.246</v>
      </c>
      <c r="O2282" s="50"/>
    </row>
    <row r="2283" spans="2:15" x14ac:dyDescent="0.2">
      <c r="B2283">
        <v>2268</v>
      </c>
      <c r="C2283" s="48">
        <f t="shared" ca="1" si="144"/>
        <v>-1.0024848219804945</v>
      </c>
      <c r="D2283" s="48">
        <f t="shared" ca="1" si="141"/>
        <v>0.60197204358631884</v>
      </c>
      <c r="E2283" s="48">
        <f t="shared" ca="1" si="142"/>
        <v>0</v>
      </c>
      <c r="F2283" s="17">
        <f t="shared" ca="1" si="143"/>
        <v>0</v>
      </c>
      <c r="H2283" s="17">
        <v>2268</v>
      </c>
      <c r="I2283" s="43">
        <v>0.66907160875518268</v>
      </c>
      <c r="J2283" s="43">
        <v>1.9487318902244692E-2</v>
      </c>
      <c r="K2283" s="43"/>
      <c r="L2283" s="43">
        <v>0.254</v>
      </c>
      <c r="O2283" s="50"/>
    </row>
    <row r="2284" spans="2:15" x14ac:dyDescent="0.2">
      <c r="B2284">
        <v>2269</v>
      </c>
      <c r="C2284" s="48">
        <f t="shared" ca="1" si="144"/>
        <v>-0.61012238643152683</v>
      </c>
      <c r="D2284" s="48">
        <f t="shared" ca="1" si="141"/>
        <v>0.62571376664249689</v>
      </c>
      <c r="E2284" s="48">
        <f t="shared" ca="1" si="142"/>
        <v>0</v>
      </c>
      <c r="F2284" s="17">
        <f t="shared" ca="1" si="143"/>
        <v>0</v>
      </c>
      <c r="H2284" s="17">
        <v>2269</v>
      </c>
      <c r="I2284" s="43">
        <v>0.6687684144928463</v>
      </c>
      <c r="J2284" s="43">
        <v>1.9298908083046698E-2</v>
      </c>
      <c r="K2284" s="43"/>
      <c r="L2284" s="43">
        <v>0.2492</v>
      </c>
      <c r="O2284" s="50"/>
    </row>
    <row r="2285" spans="2:15" x14ac:dyDescent="0.2">
      <c r="B2285">
        <v>2270</v>
      </c>
      <c r="C2285" s="48">
        <f t="shared" ca="1" si="144"/>
        <v>-0.80458545581702046</v>
      </c>
      <c r="D2285" s="48">
        <f t="shared" ca="1" si="141"/>
        <v>0.61383207839034948</v>
      </c>
      <c r="E2285" s="48">
        <f t="shared" ca="1" si="142"/>
        <v>0</v>
      </c>
      <c r="F2285" s="17">
        <f t="shared" ca="1" si="143"/>
        <v>0</v>
      </c>
      <c r="H2285" s="17">
        <v>2270</v>
      </c>
      <c r="I2285" s="43">
        <v>0.66861476941903275</v>
      </c>
      <c r="J2285" s="43">
        <v>1.9034753882582463E-2</v>
      </c>
      <c r="K2285" s="43"/>
      <c r="L2285" s="43">
        <v>0.25319999999999998</v>
      </c>
      <c r="O2285" s="50"/>
    </row>
    <row r="2286" spans="2:15" x14ac:dyDescent="0.2">
      <c r="B2286">
        <v>2271</v>
      </c>
      <c r="C2286" s="48">
        <f t="shared" ca="1" si="144"/>
        <v>0.58094164247397417</v>
      </c>
      <c r="D2286" s="48">
        <f t="shared" ca="1" si="141"/>
        <v>0.70367528978820848</v>
      </c>
      <c r="E2286" s="48">
        <f t="shared" ca="1" si="142"/>
        <v>0</v>
      </c>
      <c r="F2286" s="17">
        <f t="shared" ca="1" si="143"/>
        <v>0</v>
      </c>
      <c r="H2286" s="17">
        <v>2271</v>
      </c>
      <c r="I2286" s="43">
        <v>0.6683020232069059</v>
      </c>
      <c r="J2286" s="43">
        <v>1.8991166950949719E-2</v>
      </c>
      <c r="K2286" s="43"/>
      <c r="L2286" s="43">
        <v>0.248</v>
      </c>
      <c r="O2286" s="50"/>
    </row>
    <row r="2287" spans="2:15" x14ac:dyDescent="0.2">
      <c r="B2287">
        <v>2272</v>
      </c>
      <c r="C2287" s="48">
        <f t="shared" ca="1" si="144"/>
        <v>-0.89996973031716576</v>
      </c>
      <c r="D2287" s="48">
        <f t="shared" ca="1" si="141"/>
        <v>0.60808684473590346</v>
      </c>
      <c r="E2287" s="48">
        <f t="shared" ca="1" si="142"/>
        <v>0</v>
      </c>
      <c r="F2287" s="17">
        <f t="shared" ca="1" si="143"/>
        <v>0</v>
      </c>
      <c r="H2287" s="17">
        <v>2272</v>
      </c>
      <c r="I2287" s="43">
        <v>0.67050235081491893</v>
      </c>
      <c r="J2287" s="43">
        <v>2.0364921912564747E-2</v>
      </c>
      <c r="K2287" s="43"/>
      <c r="L2287" s="43">
        <v>0.25940000000000002</v>
      </c>
      <c r="O2287" s="50"/>
    </row>
    <row r="2288" spans="2:15" x14ac:dyDescent="0.2">
      <c r="B2288">
        <v>2273</v>
      </c>
      <c r="C2288" s="48">
        <f t="shared" ca="1" si="144"/>
        <v>0.3610201636008159</v>
      </c>
      <c r="D2288" s="48">
        <f t="shared" ca="1" si="141"/>
        <v>0.6885827580926055</v>
      </c>
      <c r="E2288" s="48">
        <f t="shared" ca="1" si="142"/>
        <v>0</v>
      </c>
      <c r="F2288" s="17">
        <f t="shared" ca="1" si="143"/>
        <v>0</v>
      </c>
      <c r="H2288" s="17">
        <v>2273</v>
      </c>
      <c r="I2288" s="43">
        <v>0.66839791234491164</v>
      </c>
      <c r="J2288" s="43">
        <v>1.8881883619005238E-2</v>
      </c>
      <c r="K2288" s="43"/>
      <c r="L2288" s="43">
        <v>0.25140000000000001</v>
      </c>
      <c r="O2288" s="50"/>
    </row>
    <row r="2289" spans="2:15" x14ac:dyDescent="0.2">
      <c r="B2289">
        <v>2274</v>
      </c>
      <c r="C2289" s="48">
        <f t="shared" ca="1" si="144"/>
        <v>0.60486529374225351</v>
      </c>
      <c r="D2289" s="48">
        <f t="shared" ca="1" si="141"/>
        <v>0.70533691756087324</v>
      </c>
      <c r="E2289" s="48">
        <f t="shared" ca="1" si="142"/>
        <v>0</v>
      </c>
      <c r="F2289" s="17">
        <f t="shared" ca="1" si="143"/>
        <v>0</v>
      </c>
      <c r="H2289" s="17">
        <v>2274</v>
      </c>
      <c r="I2289" s="43">
        <v>0.66841396477444714</v>
      </c>
      <c r="J2289" s="43">
        <v>1.8576471068443227E-2</v>
      </c>
      <c r="K2289" s="43"/>
      <c r="L2289" s="43">
        <v>0.24</v>
      </c>
      <c r="O2289" s="50"/>
    </row>
    <row r="2290" spans="2:15" x14ac:dyDescent="0.2">
      <c r="B2290">
        <v>2275</v>
      </c>
      <c r="C2290" s="48">
        <f t="shared" ca="1" si="144"/>
        <v>1.8169161287309654</v>
      </c>
      <c r="D2290" s="48">
        <f t="shared" ca="1" si="141"/>
        <v>0.79486207650188268</v>
      </c>
      <c r="E2290" s="48">
        <f t="shared" ca="1" si="142"/>
        <v>6.6620765018826633E-3</v>
      </c>
      <c r="F2290" s="17">
        <f t="shared" ca="1" si="143"/>
        <v>1</v>
      </c>
      <c r="H2290" s="17">
        <v>2275</v>
      </c>
      <c r="I2290" s="43">
        <v>0.66910347638073031</v>
      </c>
      <c r="J2290" s="43">
        <v>1.9472078440585971E-2</v>
      </c>
      <c r="K2290" s="43"/>
      <c r="L2290" s="43">
        <v>0.2472</v>
      </c>
      <c r="O2290" s="50"/>
    </row>
    <row r="2291" spans="2:15" x14ac:dyDescent="0.2">
      <c r="B2291">
        <v>2276</v>
      </c>
      <c r="C2291" s="48">
        <f t="shared" ca="1" si="144"/>
        <v>-3.1284804605270757E-2</v>
      </c>
      <c r="D2291" s="48">
        <f t="shared" ca="1" si="141"/>
        <v>0.66245932339901992</v>
      </c>
      <c r="E2291" s="48">
        <f t="shared" ca="1" si="142"/>
        <v>0</v>
      </c>
      <c r="F2291" s="17">
        <f t="shared" ca="1" si="143"/>
        <v>0</v>
      </c>
      <c r="H2291" s="17">
        <v>2276</v>
      </c>
      <c r="I2291" s="43">
        <v>0.66899160787727019</v>
      </c>
      <c r="J2291" s="43">
        <v>1.9244452381631985E-2</v>
      </c>
      <c r="K2291" s="43"/>
      <c r="L2291" s="43">
        <v>0.24579999999999999</v>
      </c>
      <c r="O2291" s="50"/>
    </row>
    <row r="2292" spans="2:15" x14ac:dyDescent="0.2">
      <c r="B2292">
        <v>2277</v>
      </c>
      <c r="C2292" s="48">
        <f t="shared" ca="1" si="144"/>
        <v>-1.1052401039572637</v>
      </c>
      <c r="D2292" s="48">
        <f t="shared" ca="1" si="141"/>
        <v>0.59590462062613203</v>
      </c>
      <c r="E2292" s="48">
        <f t="shared" ca="1" si="142"/>
        <v>0</v>
      </c>
      <c r="F2292" s="17">
        <f t="shared" ca="1" si="143"/>
        <v>0</v>
      </c>
      <c r="H2292" s="17">
        <v>2277</v>
      </c>
      <c r="I2292" s="43">
        <v>0.66898181443188232</v>
      </c>
      <c r="J2292" s="43">
        <v>1.9566190484123131E-2</v>
      </c>
      <c r="K2292" s="43"/>
      <c r="L2292" s="43">
        <v>0.25219999999999998</v>
      </c>
      <c r="O2292" s="50"/>
    </row>
    <row r="2293" spans="2:15" x14ac:dyDescent="0.2">
      <c r="B2293">
        <v>2278</v>
      </c>
      <c r="C2293" s="48">
        <f t="shared" ca="1" si="144"/>
        <v>0.448723640482801</v>
      </c>
      <c r="D2293" s="48">
        <f t="shared" ca="1" si="141"/>
        <v>0.69456237806471577</v>
      </c>
      <c r="E2293" s="48">
        <f t="shared" ca="1" si="142"/>
        <v>0</v>
      </c>
      <c r="F2293" s="17">
        <f t="shared" ca="1" si="143"/>
        <v>0</v>
      </c>
      <c r="H2293" s="17">
        <v>2278</v>
      </c>
      <c r="I2293" s="43">
        <v>0.66916704682742612</v>
      </c>
      <c r="J2293" s="43">
        <v>1.91562990355514E-2</v>
      </c>
      <c r="K2293" s="43"/>
      <c r="L2293" s="43">
        <v>0.24079999999999999</v>
      </c>
      <c r="O2293" s="50"/>
    </row>
    <row r="2294" spans="2:15" x14ac:dyDescent="0.2">
      <c r="B2294">
        <v>2279</v>
      </c>
      <c r="C2294" s="48">
        <f t="shared" ca="1" si="144"/>
        <v>0.8512938045307662</v>
      </c>
      <c r="D2294" s="48">
        <f t="shared" ca="1" si="141"/>
        <v>0.72268276450969049</v>
      </c>
      <c r="E2294" s="48">
        <f t="shared" ca="1" si="142"/>
        <v>0</v>
      </c>
      <c r="F2294" s="17">
        <f t="shared" ca="1" si="143"/>
        <v>0</v>
      </c>
      <c r="H2294" s="17">
        <v>2279</v>
      </c>
      <c r="I2294" s="43">
        <v>0.66917705174517328</v>
      </c>
      <c r="J2294" s="43">
        <v>1.9571634362860992E-2</v>
      </c>
      <c r="K2294" s="43"/>
      <c r="L2294" s="43">
        <v>0.25259999999999999</v>
      </c>
      <c r="O2294" s="50"/>
    </row>
    <row r="2295" spans="2:15" x14ac:dyDescent="0.2">
      <c r="B2295">
        <v>2280</v>
      </c>
      <c r="C2295" s="48">
        <f t="shared" ca="1" si="144"/>
        <v>-0.91593458241391656</v>
      </c>
      <c r="D2295" s="48">
        <f t="shared" ca="1" si="141"/>
        <v>0.60713050875164498</v>
      </c>
      <c r="E2295" s="48">
        <f t="shared" ca="1" si="142"/>
        <v>0</v>
      </c>
      <c r="F2295" s="17">
        <f t="shared" ca="1" si="143"/>
        <v>0</v>
      </c>
      <c r="H2295" s="17">
        <v>2280</v>
      </c>
      <c r="I2295" s="43">
        <v>0.66817891486997449</v>
      </c>
      <c r="J2295" s="43">
        <v>1.8833907331832513E-2</v>
      </c>
      <c r="K2295" s="43"/>
      <c r="L2295" s="43">
        <v>0.2452</v>
      </c>
      <c r="O2295" s="50"/>
    </row>
    <row r="2296" spans="2:15" x14ac:dyDescent="0.2">
      <c r="B2296">
        <v>2281</v>
      </c>
      <c r="C2296" s="48">
        <f t="shared" ca="1" si="144"/>
        <v>-0.18254826752031672</v>
      </c>
      <c r="D2296" s="48">
        <f t="shared" ca="1" si="141"/>
        <v>0.65265357485073905</v>
      </c>
      <c r="E2296" s="48">
        <f t="shared" ca="1" si="142"/>
        <v>0</v>
      </c>
      <c r="F2296" s="17">
        <f t="shared" ca="1" si="143"/>
        <v>0</v>
      </c>
      <c r="H2296" s="17">
        <v>2281</v>
      </c>
      <c r="I2296" s="43">
        <v>0.66976409586504893</v>
      </c>
      <c r="J2296" s="43">
        <v>2.0110779402983735E-2</v>
      </c>
      <c r="K2296" s="43"/>
      <c r="L2296" s="43">
        <v>0.26340000000000002</v>
      </c>
      <c r="O2296" s="50"/>
    </row>
    <row r="2297" spans="2:15" x14ac:dyDescent="0.2">
      <c r="B2297">
        <v>2282</v>
      </c>
      <c r="C2297" s="48">
        <f t="shared" ca="1" si="144"/>
        <v>0.48892386534766008</v>
      </c>
      <c r="D2297" s="48">
        <f t="shared" ca="1" si="141"/>
        <v>0.69732055643814783</v>
      </c>
      <c r="E2297" s="48">
        <f t="shared" ca="1" si="142"/>
        <v>0</v>
      </c>
      <c r="F2297" s="17">
        <f t="shared" ca="1" si="143"/>
        <v>0</v>
      </c>
      <c r="H2297" s="17">
        <v>2282</v>
      </c>
      <c r="I2297" s="43">
        <v>0.66800716734330001</v>
      </c>
      <c r="J2297" s="43">
        <v>1.8847091860661375E-2</v>
      </c>
      <c r="K2297" s="43"/>
      <c r="L2297" s="43">
        <v>0.24840000000000001</v>
      </c>
      <c r="O2297" s="50"/>
    </row>
    <row r="2298" spans="2:15" x14ac:dyDescent="0.2">
      <c r="B2298">
        <v>2283</v>
      </c>
      <c r="C2298" s="48">
        <f t="shared" ca="1" si="144"/>
        <v>0.31674005973550906</v>
      </c>
      <c r="D2298" s="48">
        <f t="shared" ca="1" si="141"/>
        <v>0.68558332698103919</v>
      </c>
      <c r="E2298" s="48">
        <f t="shared" ca="1" si="142"/>
        <v>0</v>
      </c>
      <c r="F2298" s="17">
        <f t="shared" ca="1" si="143"/>
        <v>0</v>
      </c>
      <c r="H2298" s="17">
        <v>2283</v>
      </c>
      <c r="I2298" s="43">
        <v>0.66841711257999037</v>
      </c>
      <c r="J2298" s="43">
        <v>1.9115534235879972E-2</v>
      </c>
      <c r="K2298" s="43"/>
      <c r="L2298" s="43">
        <v>0.25019999999999998</v>
      </c>
      <c r="O2298" s="50"/>
    </row>
    <row r="2299" spans="2:15" x14ac:dyDescent="0.2">
      <c r="B2299">
        <v>2284</v>
      </c>
      <c r="C2299" s="48">
        <f t="shared" ca="1" si="144"/>
        <v>-1.1984851111337243E-2</v>
      </c>
      <c r="D2299" s="48">
        <f t="shared" ca="1" si="141"/>
        <v>0.66372100694295388</v>
      </c>
      <c r="E2299" s="48">
        <f t="shared" ca="1" si="142"/>
        <v>0</v>
      </c>
      <c r="F2299" s="17">
        <f t="shared" ca="1" si="143"/>
        <v>0</v>
      </c>
      <c r="H2299" s="17">
        <v>2284</v>
      </c>
      <c r="I2299" s="43">
        <v>0.66835974738852155</v>
      </c>
      <c r="J2299" s="43">
        <v>1.8760691228619484E-2</v>
      </c>
      <c r="K2299" s="43"/>
      <c r="L2299" s="43">
        <v>0.24940000000000001</v>
      </c>
      <c r="O2299" s="50"/>
    </row>
    <row r="2300" spans="2:15" x14ac:dyDescent="0.2">
      <c r="B2300">
        <v>2285</v>
      </c>
      <c r="C2300" s="48">
        <f t="shared" ca="1" si="144"/>
        <v>-0.91715786033743629</v>
      </c>
      <c r="D2300" s="48">
        <f t="shared" ca="1" si="141"/>
        <v>0.6070572933029913</v>
      </c>
      <c r="E2300" s="48">
        <f t="shared" ca="1" si="142"/>
        <v>0</v>
      </c>
      <c r="F2300" s="17">
        <f t="shared" ca="1" si="143"/>
        <v>0</v>
      </c>
      <c r="H2300" s="17">
        <v>2285</v>
      </c>
      <c r="I2300" s="43">
        <v>0.66885528184429266</v>
      </c>
      <c r="J2300" s="43">
        <v>1.9497362641131125E-2</v>
      </c>
      <c r="K2300" s="43"/>
      <c r="L2300" s="43">
        <v>0.254</v>
      </c>
      <c r="O2300" s="50"/>
    </row>
    <row r="2301" spans="2:15" x14ac:dyDescent="0.2">
      <c r="B2301">
        <v>2286</v>
      </c>
      <c r="C2301" s="48">
        <f t="shared" ca="1" si="144"/>
        <v>-0.79805820203714584</v>
      </c>
      <c r="D2301" s="48">
        <f t="shared" ca="1" si="141"/>
        <v>0.61422720978964729</v>
      </c>
      <c r="E2301" s="48">
        <f t="shared" ca="1" si="142"/>
        <v>0</v>
      </c>
      <c r="F2301" s="17">
        <f t="shared" ca="1" si="143"/>
        <v>0</v>
      </c>
      <c r="H2301" s="17">
        <v>2286</v>
      </c>
      <c r="I2301" s="43">
        <v>0.66871379813658638</v>
      </c>
      <c r="J2301" s="43">
        <v>1.902505410274986E-2</v>
      </c>
      <c r="K2301" s="43"/>
      <c r="L2301" s="43">
        <v>0.251</v>
      </c>
      <c r="O2301" s="50"/>
    </row>
    <row r="2302" spans="2:15" x14ac:dyDescent="0.2">
      <c r="B2302">
        <v>2287</v>
      </c>
      <c r="C2302" s="48">
        <f t="shared" ca="1" si="144"/>
        <v>-0.80681523734365823</v>
      </c>
      <c r="D2302" s="48">
        <f t="shared" ca="1" si="141"/>
        <v>0.61369715542427195</v>
      </c>
      <c r="E2302" s="48">
        <f t="shared" ca="1" si="142"/>
        <v>0</v>
      </c>
      <c r="F2302" s="17">
        <f t="shared" ca="1" si="143"/>
        <v>0</v>
      </c>
      <c r="H2302" s="17">
        <v>2287</v>
      </c>
      <c r="I2302" s="43">
        <v>0.66856150934493097</v>
      </c>
      <c r="J2302" s="43">
        <v>1.8961962936720582E-2</v>
      </c>
      <c r="K2302" s="43"/>
      <c r="L2302" s="43">
        <v>0.251</v>
      </c>
      <c r="O2302" s="50"/>
    </row>
    <row r="2303" spans="2:15" x14ac:dyDescent="0.2">
      <c r="B2303">
        <v>2288</v>
      </c>
      <c r="C2303" s="48">
        <f t="shared" ca="1" si="144"/>
        <v>0.29349689687590919</v>
      </c>
      <c r="D2303" s="48">
        <f t="shared" ca="1" si="141"/>
        <v>0.68401412192612387</v>
      </c>
      <c r="E2303" s="48">
        <f t="shared" ca="1" si="142"/>
        <v>0</v>
      </c>
      <c r="F2303" s="17">
        <f t="shared" ca="1" si="143"/>
        <v>0</v>
      </c>
      <c r="H2303" s="17">
        <v>2288</v>
      </c>
      <c r="I2303" s="43">
        <v>0.66884639182818661</v>
      </c>
      <c r="J2303" s="43">
        <v>1.9324272140998178E-2</v>
      </c>
      <c r="K2303" s="43"/>
      <c r="L2303" s="43">
        <v>0.25540000000000002</v>
      </c>
      <c r="O2303" s="50"/>
    </row>
    <row r="2304" spans="2:15" x14ac:dyDescent="0.2">
      <c r="B2304">
        <v>2289</v>
      </c>
      <c r="C2304" s="48">
        <f t="shared" ca="1" si="144"/>
        <v>-0.70602219302502678</v>
      </c>
      <c r="D2304" s="48">
        <f t="shared" ca="1" si="141"/>
        <v>0.61982582147621346</v>
      </c>
      <c r="E2304" s="48">
        <f t="shared" ca="1" si="142"/>
        <v>0</v>
      </c>
      <c r="F2304" s="17">
        <f t="shared" ca="1" si="143"/>
        <v>0</v>
      </c>
      <c r="H2304" s="17">
        <v>2289</v>
      </c>
      <c r="I2304" s="43">
        <v>0.66945350348067734</v>
      </c>
      <c r="J2304" s="43">
        <v>1.966718991700828E-2</v>
      </c>
      <c r="K2304" s="43"/>
      <c r="L2304" s="43">
        <v>0.25540000000000002</v>
      </c>
      <c r="O2304" s="50"/>
    </row>
    <row r="2305" spans="2:15" x14ac:dyDescent="0.2">
      <c r="B2305">
        <v>2290</v>
      </c>
      <c r="C2305" s="48">
        <f t="shared" ca="1" si="144"/>
        <v>0.34852589697006697</v>
      </c>
      <c r="D2305" s="48">
        <f t="shared" ca="1" si="141"/>
        <v>0.68773509907923402</v>
      </c>
      <c r="E2305" s="48">
        <f t="shared" ca="1" si="142"/>
        <v>0</v>
      </c>
      <c r="F2305" s="17">
        <f t="shared" ca="1" si="143"/>
        <v>0</v>
      </c>
      <c r="H2305" s="17">
        <v>2290</v>
      </c>
      <c r="I2305" s="43">
        <v>0.66800193555161758</v>
      </c>
      <c r="J2305" s="43">
        <v>1.8726327364509042E-2</v>
      </c>
      <c r="K2305" s="43"/>
      <c r="L2305" s="43">
        <v>0.24399999999999999</v>
      </c>
      <c r="O2305" s="50"/>
    </row>
    <row r="2306" spans="2:15" x14ac:dyDescent="0.2">
      <c r="B2306">
        <v>2291</v>
      </c>
      <c r="C2306" s="48">
        <f t="shared" ca="1" si="144"/>
        <v>-0.49606406543777165</v>
      </c>
      <c r="D2306" s="48">
        <f t="shared" ca="1" si="141"/>
        <v>0.63278945103634732</v>
      </c>
      <c r="E2306" s="48">
        <f t="shared" ca="1" si="142"/>
        <v>0</v>
      </c>
      <c r="F2306" s="17">
        <f t="shared" ca="1" si="143"/>
        <v>0</v>
      </c>
      <c r="H2306" s="17">
        <v>2291</v>
      </c>
      <c r="I2306" s="43">
        <v>0.66823462305834191</v>
      </c>
      <c r="J2306" s="43">
        <v>1.9036254849720727E-2</v>
      </c>
      <c r="K2306" s="43"/>
      <c r="L2306" s="43">
        <v>0.2492</v>
      </c>
      <c r="O2306" s="50"/>
    </row>
    <row r="2307" spans="2:15" x14ac:dyDescent="0.2">
      <c r="B2307">
        <v>2292</v>
      </c>
      <c r="C2307" s="48">
        <f t="shared" ca="1" si="144"/>
        <v>-0.33476789121457318</v>
      </c>
      <c r="D2307" s="48">
        <f t="shared" ca="1" si="141"/>
        <v>0.64293236219289651</v>
      </c>
      <c r="E2307" s="48">
        <f t="shared" ca="1" si="142"/>
        <v>0</v>
      </c>
      <c r="F2307" s="17">
        <f t="shared" ca="1" si="143"/>
        <v>0</v>
      </c>
      <c r="H2307" s="17">
        <v>2292</v>
      </c>
      <c r="I2307" s="43">
        <v>0.66993153147225026</v>
      </c>
      <c r="J2307" s="43">
        <v>2.0267904300429292E-2</v>
      </c>
      <c r="K2307" s="43"/>
      <c r="L2307" s="43">
        <v>0.25719999999999998</v>
      </c>
      <c r="O2307" s="50"/>
    </row>
    <row r="2308" spans="2:15" x14ac:dyDescent="0.2">
      <c r="B2308">
        <v>2293</v>
      </c>
      <c r="C2308" s="48">
        <f t="shared" ca="1" si="144"/>
        <v>1.3482259656899109</v>
      </c>
      <c r="D2308" s="48">
        <f t="shared" ca="1" si="141"/>
        <v>0.75896953151541224</v>
      </c>
      <c r="E2308" s="48">
        <f t="shared" ca="1" si="142"/>
        <v>0</v>
      </c>
      <c r="F2308" s="17">
        <f t="shared" ca="1" si="143"/>
        <v>0</v>
      </c>
      <c r="H2308" s="17">
        <v>2293</v>
      </c>
      <c r="I2308" s="43">
        <v>0.66863966184217538</v>
      </c>
      <c r="J2308" s="43">
        <v>1.8998433246263862E-2</v>
      </c>
      <c r="K2308" s="43"/>
      <c r="L2308" s="43">
        <v>0.2482</v>
      </c>
      <c r="O2308" s="50"/>
    </row>
    <row r="2309" spans="2:15" x14ac:dyDescent="0.2">
      <c r="B2309">
        <v>2294</v>
      </c>
      <c r="C2309" s="48">
        <f t="shared" ca="1" si="144"/>
        <v>0.25635777734074722</v>
      </c>
      <c r="D2309" s="48">
        <f t="shared" ca="1" si="141"/>
        <v>0.68151421660643441</v>
      </c>
      <c r="E2309" s="48">
        <f t="shared" ca="1" si="142"/>
        <v>0</v>
      </c>
      <c r="F2309" s="17">
        <f t="shared" ca="1" si="143"/>
        <v>0</v>
      </c>
      <c r="H2309" s="17">
        <v>2294</v>
      </c>
      <c r="I2309" s="43">
        <v>0.66908550249496357</v>
      </c>
      <c r="J2309" s="43">
        <v>1.9523219184430861E-2</v>
      </c>
      <c r="K2309" s="43"/>
      <c r="L2309" s="43">
        <v>0.25519999999999998</v>
      </c>
      <c r="O2309" s="50"/>
    </row>
    <row r="2310" spans="2:15" x14ac:dyDescent="0.2">
      <c r="B2310">
        <v>2295</v>
      </c>
      <c r="C2310" s="48">
        <f t="shared" ca="1" si="144"/>
        <v>-0.25764880759684838</v>
      </c>
      <c r="D2310" s="48">
        <f t="shared" ca="1" si="141"/>
        <v>0.64783919068816276</v>
      </c>
      <c r="E2310" s="48">
        <f t="shared" ca="1" si="142"/>
        <v>0</v>
      </c>
      <c r="F2310" s="17">
        <f t="shared" ca="1" si="143"/>
        <v>0</v>
      </c>
      <c r="H2310" s="17">
        <v>2295</v>
      </c>
      <c r="I2310" s="43">
        <v>0.66886166509535527</v>
      </c>
      <c r="J2310" s="43">
        <v>1.9518048579134539E-2</v>
      </c>
      <c r="K2310" s="43"/>
      <c r="L2310" s="43">
        <v>0.253</v>
      </c>
      <c r="O2310" s="50"/>
    </row>
    <row r="2311" spans="2:15" x14ac:dyDescent="0.2">
      <c r="B2311">
        <v>2296</v>
      </c>
      <c r="C2311" s="48">
        <f t="shared" ca="1" si="144"/>
        <v>0.20614346402079833</v>
      </c>
      <c r="D2311" s="48">
        <f t="shared" ca="1" si="141"/>
        <v>0.67814871638057073</v>
      </c>
      <c r="E2311" s="48">
        <f t="shared" ca="1" si="142"/>
        <v>0</v>
      </c>
      <c r="F2311" s="17">
        <f t="shared" ca="1" si="143"/>
        <v>0</v>
      </c>
      <c r="H2311" s="17">
        <v>2296</v>
      </c>
      <c r="I2311" s="43">
        <v>0.66808920323514298</v>
      </c>
      <c r="J2311" s="43">
        <v>1.8780239600023875E-2</v>
      </c>
      <c r="K2311" s="43"/>
      <c r="L2311" s="43">
        <v>0.2482</v>
      </c>
      <c r="O2311" s="50"/>
    </row>
    <row r="2312" spans="2:15" x14ac:dyDescent="0.2">
      <c r="B2312">
        <v>2297</v>
      </c>
      <c r="C2312" s="48">
        <f t="shared" ca="1" si="144"/>
        <v>-5.6584760495054648E-2</v>
      </c>
      <c r="D2312" s="48">
        <f t="shared" ca="1" si="141"/>
        <v>0.66080903748630304</v>
      </c>
      <c r="E2312" s="48">
        <f t="shared" ca="1" si="142"/>
        <v>0</v>
      </c>
      <c r="F2312" s="17">
        <f t="shared" ca="1" si="143"/>
        <v>0</v>
      </c>
      <c r="H2312" s="17">
        <v>2297</v>
      </c>
      <c r="I2312" s="43">
        <v>0.67010831190247855</v>
      </c>
      <c r="J2312" s="43">
        <v>2.037654248615425E-2</v>
      </c>
      <c r="K2312" s="43"/>
      <c r="L2312" s="43">
        <v>0.25519999999999998</v>
      </c>
      <c r="O2312" s="50"/>
    </row>
    <row r="2313" spans="2:15" x14ac:dyDescent="0.2">
      <c r="B2313">
        <v>2298</v>
      </c>
      <c r="C2313" s="48">
        <f t="shared" ca="1" si="144"/>
        <v>0.79023284276426287</v>
      </c>
      <c r="D2313" s="48">
        <f t="shared" ca="1" si="141"/>
        <v>0.71834539401132513</v>
      </c>
      <c r="E2313" s="48">
        <f t="shared" ca="1" si="142"/>
        <v>0</v>
      </c>
      <c r="F2313" s="17">
        <f t="shared" ca="1" si="143"/>
        <v>0</v>
      </c>
      <c r="H2313" s="17">
        <v>2298</v>
      </c>
      <c r="I2313" s="43">
        <v>0.66935604491201806</v>
      </c>
      <c r="J2313" s="43">
        <v>1.9574946661971678E-2</v>
      </c>
      <c r="K2313" s="43"/>
      <c r="L2313" s="43">
        <v>0.24060000000000001</v>
      </c>
      <c r="O2313" s="50"/>
    </row>
    <row r="2314" spans="2:15" x14ac:dyDescent="0.2">
      <c r="B2314">
        <v>2299</v>
      </c>
      <c r="C2314" s="48">
        <f t="shared" ca="1" si="144"/>
        <v>0.26309409587362853</v>
      </c>
      <c r="D2314" s="48">
        <f t="shared" ca="1" si="141"/>
        <v>0.68196697183499555</v>
      </c>
      <c r="E2314" s="48">
        <f t="shared" ca="1" si="142"/>
        <v>0</v>
      </c>
      <c r="F2314" s="17">
        <f t="shared" ca="1" si="143"/>
        <v>0</v>
      </c>
      <c r="H2314" s="17">
        <v>2299</v>
      </c>
      <c r="I2314" s="43">
        <v>0.66865291427338691</v>
      </c>
      <c r="J2314" s="43">
        <v>1.9031972126314342E-2</v>
      </c>
      <c r="K2314" s="43"/>
      <c r="L2314" s="43">
        <v>0.24840000000000001</v>
      </c>
      <c r="O2314" s="50"/>
    </row>
    <row r="2315" spans="2:15" x14ac:dyDescent="0.2">
      <c r="B2315">
        <v>2300</v>
      </c>
      <c r="C2315" s="48">
        <f t="shared" ca="1" si="144"/>
        <v>8.796824919416428E-2</v>
      </c>
      <c r="D2315" s="48">
        <f t="shared" ca="1" si="141"/>
        <v>0.67029372655874087</v>
      </c>
      <c r="E2315" s="48">
        <f t="shared" ca="1" si="142"/>
        <v>0</v>
      </c>
      <c r="F2315" s="17">
        <f t="shared" ca="1" si="143"/>
        <v>0</v>
      </c>
      <c r="H2315" s="17">
        <v>2300</v>
      </c>
      <c r="I2315" s="43">
        <v>0.66835975410665616</v>
      </c>
      <c r="J2315" s="43">
        <v>1.893276634173767E-2</v>
      </c>
      <c r="K2315" s="43"/>
      <c r="L2315" s="43">
        <v>0.25119999999999998</v>
      </c>
      <c r="O2315" s="50"/>
    </row>
    <row r="2316" spans="2:15" x14ac:dyDescent="0.2">
      <c r="B2316">
        <v>2301</v>
      </c>
      <c r="C2316" s="48">
        <f t="shared" ca="1" si="144"/>
        <v>-1.8999142405848792</v>
      </c>
      <c r="D2316" s="48">
        <f t="shared" ca="1" si="141"/>
        <v>0.55100049600993539</v>
      </c>
      <c r="E2316" s="48">
        <f t="shared" ca="1" si="142"/>
        <v>0</v>
      </c>
      <c r="F2316" s="17">
        <f t="shared" ca="1" si="143"/>
        <v>0</v>
      </c>
      <c r="H2316" s="17">
        <v>2301</v>
      </c>
      <c r="I2316" s="43">
        <v>0.67020860399556081</v>
      </c>
      <c r="J2316" s="43">
        <v>2.0511826690196237E-2</v>
      </c>
      <c r="K2316" s="43"/>
      <c r="L2316" s="43">
        <v>0.25619999999999998</v>
      </c>
      <c r="O2316" s="50"/>
    </row>
    <row r="2317" spans="2:15" x14ac:dyDescent="0.2">
      <c r="B2317">
        <v>2302</v>
      </c>
      <c r="C2317" s="48">
        <f t="shared" ca="1" si="144"/>
        <v>-0.46068909710809536</v>
      </c>
      <c r="D2317" s="48">
        <f t="shared" ca="1" si="141"/>
        <v>0.63500017509817352</v>
      </c>
      <c r="E2317" s="48">
        <f t="shared" ca="1" si="142"/>
        <v>0</v>
      </c>
      <c r="F2317" s="17">
        <f t="shared" ca="1" si="143"/>
        <v>0</v>
      </c>
      <c r="H2317" s="17">
        <v>2302</v>
      </c>
      <c r="I2317" s="43">
        <v>0.66802272356386916</v>
      </c>
      <c r="J2317" s="43">
        <v>1.8730722047852932E-2</v>
      </c>
      <c r="K2317" s="43"/>
      <c r="L2317" s="43">
        <v>0.24940000000000001</v>
      </c>
      <c r="O2317" s="50"/>
    </row>
    <row r="2318" spans="2:15" x14ac:dyDescent="0.2">
      <c r="B2318">
        <v>2303</v>
      </c>
      <c r="C2318" s="48">
        <f t="shared" ca="1" si="144"/>
        <v>1.7121218627011996</v>
      </c>
      <c r="D2318" s="48">
        <f t="shared" ca="1" si="141"/>
        <v>0.78669231245229609</v>
      </c>
      <c r="E2318" s="48">
        <f t="shared" ca="1" si="142"/>
        <v>0</v>
      </c>
      <c r="F2318" s="17">
        <f t="shared" ca="1" si="143"/>
        <v>0</v>
      </c>
      <c r="H2318" s="17">
        <v>2303</v>
      </c>
      <c r="I2318" s="43">
        <v>0.6685933267033386</v>
      </c>
      <c r="J2318" s="43">
        <v>1.9057143677756197E-2</v>
      </c>
      <c r="K2318" s="43"/>
      <c r="L2318" s="43">
        <v>0.25180000000000002</v>
      </c>
      <c r="O2318" s="50"/>
    </row>
    <row r="2319" spans="2:15" x14ac:dyDescent="0.2">
      <c r="B2319">
        <v>2304</v>
      </c>
      <c r="C2319" s="48">
        <f t="shared" ca="1" si="144"/>
        <v>-0.32446027533201754</v>
      </c>
      <c r="D2319" s="48">
        <f t="shared" ca="1" si="141"/>
        <v>0.6435860432763516</v>
      </c>
      <c r="E2319" s="48">
        <f t="shared" ca="1" si="142"/>
        <v>0</v>
      </c>
      <c r="F2319" s="17">
        <f t="shared" ca="1" si="143"/>
        <v>0</v>
      </c>
      <c r="H2319" s="17">
        <v>2304</v>
      </c>
      <c r="I2319" s="43">
        <v>0.66865799875570764</v>
      </c>
      <c r="J2319" s="43">
        <v>1.8911516649285458E-2</v>
      </c>
      <c r="K2319" s="43"/>
      <c r="L2319" s="43">
        <v>0.24579999999999999</v>
      </c>
      <c r="O2319" s="50"/>
    </row>
    <row r="2320" spans="2:15" x14ac:dyDescent="0.2">
      <c r="B2320">
        <v>2305</v>
      </c>
      <c r="C2320" s="48">
        <f t="shared" ca="1" si="144"/>
        <v>0.18097766835886456</v>
      </c>
      <c r="D2320" s="48">
        <f t="shared" ref="D2320:D2383" ca="1" si="145">S0*EXP((μ-0.5*σ*σ)*T+σ*SQRT(T)*$C2320)</f>
        <v>0.67646829308826428</v>
      </c>
      <c r="E2320" s="48">
        <f t="shared" ref="E2320:E2383" ca="1" si="146">MAX(0,CP*(D2320-K))</f>
        <v>0</v>
      </c>
      <c r="F2320" s="17">
        <f t="shared" ref="F2320:F2383" ca="1" si="147">(CP*(D2320-K)&gt;0)*1</f>
        <v>0</v>
      </c>
      <c r="H2320" s="17">
        <v>2305</v>
      </c>
      <c r="I2320" s="43">
        <v>0.66780737754516117</v>
      </c>
      <c r="J2320" s="43">
        <v>1.8709832552052899E-2</v>
      </c>
      <c r="K2320" s="43"/>
      <c r="L2320" s="43">
        <v>0.24879999999999999</v>
      </c>
      <c r="O2320" s="50"/>
    </row>
    <row r="2321" spans="2:15" x14ac:dyDescent="0.2">
      <c r="B2321">
        <v>2306</v>
      </c>
      <c r="C2321" s="48">
        <f t="shared" ref="C2321:C2384" ca="1" si="148">_xlfn.NORM.S.INV(RAND())</f>
        <v>1.2374269679549996</v>
      </c>
      <c r="D2321" s="48">
        <f t="shared" ca="1" si="145"/>
        <v>0.7507241250654435</v>
      </c>
      <c r="E2321" s="48">
        <f t="shared" ca="1" si="146"/>
        <v>0</v>
      </c>
      <c r="F2321" s="17">
        <f t="shared" ca="1" si="147"/>
        <v>0</v>
      </c>
      <c r="H2321" s="17">
        <v>2306</v>
      </c>
      <c r="I2321" s="43">
        <v>0.66922608405993556</v>
      </c>
      <c r="J2321" s="43">
        <v>1.9503160620718211E-2</v>
      </c>
      <c r="K2321" s="43"/>
      <c r="L2321" s="43">
        <v>0.2412</v>
      </c>
      <c r="O2321" s="50"/>
    </row>
    <row r="2322" spans="2:15" x14ac:dyDescent="0.2">
      <c r="B2322">
        <v>2307</v>
      </c>
      <c r="C2322" s="48">
        <f t="shared" ca="1" si="148"/>
        <v>-2.2446280046985954</v>
      </c>
      <c r="D2322" s="48">
        <f t="shared" ca="1" si="145"/>
        <v>0.53258965604053699</v>
      </c>
      <c r="E2322" s="48">
        <f t="shared" ca="1" si="146"/>
        <v>0</v>
      </c>
      <c r="F2322" s="17">
        <f t="shared" ca="1" si="147"/>
        <v>0</v>
      </c>
      <c r="H2322" s="17">
        <v>2307</v>
      </c>
      <c r="I2322" s="43">
        <v>0.66978638329568541</v>
      </c>
      <c r="J2322" s="43">
        <v>1.9726788155874798E-2</v>
      </c>
      <c r="K2322" s="43"/>
      <c r="L2322" s="43">
        <v>0.25119999999999998</v>
      </c>
      <c r="O2322" s="50"/>
    </row>
    <row r="2323" spans="2:15" x14ac:dyDescent="0.2">
      <c r="B2323">
        <v>2308</v>
      </c>
      <c r="C2323" s="48">
        <f t="shared" ca="1" si="148"/>
        <v>-0.70385138266755254</v>
      </c>
      <c r="D2323" s="48">
        <f t="shared" ca="1" si="145"/>
        <v>0.61995848750945293</v>
      </c>
      <c r="E2323" s="48">
        <f t="shared" ca="1" si="146"/>
        <v>0</v>
      </c>
      <c r="F2323" s="17">
        <f t="shared" ca="1" si="147"/>
        <v>0</v>
      </c>
      <c r="H2323" s="17">
        <v>2308</v>
      </c>
      <c r="I2323" s="43">
        <v>0.66857010150403007</v>
      </c>
      <c r="J2323" s="43">
        <v>1.9195169062124238E-2</v>
      </c>
      <c r="K2323" s="43"/>
      <c r="L2323" s="43">
        <v>0.24979999999999999</v>
      </c>
      <c r="O2323" s="50"/>
    </row>
    <row r="2324" spans="2:15" x14ac:dyDescent="0.2">
      <c r="B2324">
        <v>2309</v>
      </c>
      <c r="C2324" s="48">
        <f t="shared" ca="1" si="148"/>
        <v>0.83261857814237739</v>
      </c>
      <c r="D2324" s="48">
        <f t="shared" ca="1" si="145"/>
        <v>0.72135342609464437</v>
      </c>
      <c r="E2324" s="48">
        <f t="shared" ca="1" si="146"/>
        <v>0</v>
      </c>
      <c r="F2324" s="17">
        <f t="shared" ca="1" si="147"/>
        <v>0</v>
      </c>
      <c r="H2324" s="17">
        <v>2309</v>
      </c>
      <c r="I2324" s="43">
        <v>0.66861486916910584</v>
      </c>
      <c r="J2324" s="43">
        <v>1.8970080963974661E-2</v>
      </c>
      <c r="K2324" s="43"/>
      <c r="L2324" s="43">
        <v>0.24660000000000001</v>
      </c>
      <c r="O2324" s="50"/>
    </row>
    <row r="2325" spans="2:15" x14ac:dyDescent="0.2">
      <c r="B2325">
        <v>2310</v>
      </c>
      <c r="C2325" s="48">
        <f t="shared" ca="1" si="148"/>
        <v>-1.384924365016311</v>
      </c>
      <c r="D2325" s="48">
        <f t="shared" ca="1" si="145"/>
        <v>0.57969798831804209</v>
      </c>
      <c r="E2325" s="48">
        <f t="shared" ca="1" si="146"/>
        <v>0</v>
      </c>
      <c r="F2325" s="17">
        <f t="shared" ca="1" si="147"/>
        <v>0</v>
      </c>
      <c r="H2325" s="17">
        <v>2310</v>
      </c>
      <c r="I2325" s="43">
        <v>0.66776328686986774</v>
      </c>
      <c r="J2325" s="43">
        <v>1.8819005101818172E-2</v>
      </c>
      <c r="K2325" s="43"/>
      <c r="L2325" s="43">
        <v>0.25280000000000002</v>
      </c>
      <c r="O2325" s="50"/>
    </row>
    <row r="2326" spans="2:15" x14ac:dyDescent="0.2">
      <c r="B2326">
        <v>2311</v>
      </c>
      <c r="C2326" s="48">
        <f t="shared" ca="1" si="148"/>
        <v>0.55087361522030986</v>
      </c>
      <c r="D2326" s="48">
        <f t="shared" ca="1" si="145"/>
        <v>0.7015924521398107</v>
      </c>
      <c r="E2326" s="48">
        <f t="shared" ca="1" si="146"/>
        <v>0</v>
      </c>
      <c r="F2326" s="17">
        <f t="shared" ca="1" si="147"/>
        <v>0</v>
      </c>
      <c r="H2326" s="17">
        <v>2311</v>
      </c>
      <c r="I2326" s="43">
        <v>0.66940802724303883</v>
      </c>
      <c r="J2326" s="43">
        <v>1.9715055953709138E-2</v>
      </c>
      <c r="K2326" s="43"/>
      <c r="L2326" s="43">
        <v>0.25240000000000001</v>
      </c>
      <c r="O2326" s="50"/>
    </row>
    <row r="2327" spans="2:15" x14ac:dyDescent="0.2">
      <c r="B2327">
        <v>2312</v>
      </c>
      <c r="C2327" s="48">
        <f t="shared" ca="1" si="148"/>
        <v>0.78364389032196213</v>
      </c>
      <c r="D2327" s="48">
        <f t="shared" ca="1" si="145"/>
        <v>0.71787891688150762</v>
      </c>
      <c r="E2327" s="48">
        <f t="shared" ca="1" si="146"/>
        <v>0</v>
      </c>
      <c r="F2327" s="17">
        <f t="shared" ca="1" si="147"/>
        <v>0</v>
      </c>
      <c r="H2327" s="17">
        <v>2312</v>
      </c>
      <c r="I2327" s="43">
        <v>0.66975273893715137</v>
      </c>
      <c r="J2327" s="43">
        <v>1.9695307569685291E-2</v>
      </c>
      <c r="K2327" s="43"/>
      <c r="L2327" s="43">
        <v>0.25019999999999998</v>
      </c>
      <c r="O2327" s="50"/>
    </row>
    <row r="2328" spans="2:15" x14ac:dyDescent="0.2">
      <c r="B2328">
        <v>2313</v>
      </c>
      <c r="C2328" s="48">
        <f t="shared" ca="1" si="148"/>
        <v>1.6857599931576077</v>
      </c>
      <c r="D2328" s="48">
        <f t="shared" ca="1" si="145"/>
        <v>0.78465039302687833</v>
      </c>
      <c r="E2328" s="48">
        <f t="shared" ca="1" si="146"/>
        <v>0</v>
      </c>
      <c r="F2328" s="17">
        <f t="shared" ca="1" si="147"/>
        <v>0</v>
      </c>
      <c r="H2328" s="17">
        <v>2313</v>
      </c>
      <c r="I2328" s="43">
        <v>0.66877312574170533</v>
      </c>
      <c r="J2328" s="43">
        <v>1.945955471268581E-2</v>
      </c>
      <c r="K2328" s="43"/>
      <c r="L2328" s="43">
        <v>0.24940000000000001</v>
      </c>
      <c r="O2328" s="50"/>
    </row>
    <row r="2329" spans="2:15" x14ac:dyDescent="0.2">
      <c r="B2329">
        <v>2314</v>
      </c>
      <c r="C2329" s="48">
        <f t="shared" ca="1" si="148"/>
        <v>0.40752823216641354</v>
      </c>
      <c r="D2329" s="48">
        <f t="shared" ca="1" si="145"/>
        <v>0.69174723691453566</v>
      </c>
      <c r="E2329" s="48">
        <f t="shared" ca="1" si="146"/>
        <v>0</v>
      </c>
      <c r="F2329" s="17">
        <f t="shared" ca="1" si="147"/>
        <v>0</v>
      </c>
      <c r="H2329" s="17">
        <v>2314</v>
      </c>
      <c r="I2329" s="43">
        <v>0.6682876328739773</v>
      </c>
      <c r="J2329" s="43">
        <v>1.8921779805421344E-2</v>
      </c>
      <c r="K2329" s="43"/>
      <c r="L2329" s="43">
        <v>0.251</v>
      </c>
      <c r="O2329" s="50"/>
    </row>
    <row r="2330" spans="2:15" x14ac:dyDescent="0.2">
      <c r="B2330">
        <v>2315</v>
      </c>
      <c r="C2330" s="48">
        <f t="shared" ca="1" si="148"/>
        <v>-2.3527365104846512</v>
      </c>
      <c r="D2330" s="48">
        <f t="shared" ca="1" si="145"/>
        <v>0.5269433816230279</v>
      </c>
      <c r="E2330" s="48">
        <f t="shared" ca="1" si="146"/>
        <v>0</v>
      </c>
      <c r="F2330" s="17">
        <f t="shared" ca="1" si="147"/>
        <v>0</v>
      </c>
      <c r="H2330" s="17">
        <v>2315</v>
      </c>
      <c r="I2330" s="43">
        <v>0.66974507957186247</v>
      </c>
      <c r="J2330" s="43">
        <v>1.9954665607110955E-2</v>
      </c>
      <c r="K2330" s="43"/>
      <c r="L2330" s="43">
        <v>0.255</v>
      </c>
      <c r="O2330" s="50"/>
    </row>
    <row r="2331" spans="2:15" x14ac:dyDescent="0.2">
      <c r="B2331">
        <v>2316</v>
      </c>
      <c r="C2331" s="48">
        <f t="shared" ca="1" si="148"/>
        <v>-0.53635357835657171</v>
      </c>
      <c r="D2331" s="48">
        <f t="shared" ca="1" si="145"/>
        <v>0.63028097049849507</v>
      </c>
      <c r="E2331" s="48">
        <f t="shared" ca="1" si="146"/>
        <v>0</v>
      </c>
      <c r="F2331" s="17">
        <f t="shared" ca="1" si="147"/>
        <v>0</v>
      </c>
      <c r="H2331" s="17">
        <v>2316</v>
      </c>
      <c r="I2331" s="43">
        <v>0.66963860066363134</v>
      </c>
      <c r="J2331" s="43">
        <v>2.0039632514829958E-2</v>
      </c>
      <c r="K2331" s="43"/>
      <c r="L2331" s="43">
        <v>0.25700000000000001</v>
      </c>
      <c r="O2331" s="50"/>
    </row>
    <row r="2332" spans="2:15" x14ac:dyDescent="0.2">
      <c r="B2332">
        <v>2317</v>
      </c>
      <c r="C2332" s="48">
        <f t="shared" ca="1" si="148"/>
        <v>-1.4648082678709229</v>
      </c>
      <c r="D2332" s="48">
        <f t="shared" ca="1" si="145"/>
        <v>0.5751504773343884</v>
      </c>
      <c r="E2332" s="48">
        <f t="shared" ca="1" si="146"/>
        <v>0</v>
      </c>
      <c r="F2332" s="17">
        <f t="shared" ca="1" si="147"/>
        <v>0</v>
      </c>
      <c r="H2332" s="17">
        <v>2317</v>
      </c>
      <c r="I2332" s="43">
        <v>0.66932364904847641</v>
      </c>
      <c r="J2332" s="43">
        <v>1.9993383789660504E-2</v>
      </c>
      <c r="K2332" s="43"/>
      <c r="L2332" s="43">
        <v>0.26019999999999999</v>
      </c>
      <c r="O2332" s="50"/>
    </row>
    <row r="2333" spans="2:15" x14ac:dyDescent="0.2">
      <c r="B2333">
        <v>2318</v>
      </c>
      <c r="C2333" s="48">
        <f t="shared" ca="1" si="148"/>
        <v>-0.24588800249035256</v>
      </c>
      <c r="D2333" s="48">
        <f t="shared" ca="1" si="145"/>
        <v>0.64859077514517627</v>
      </c>
      <c r="E2333" s="48">
        <f t="shared" ca="1" si="146"/>
        <v>0</v>
      </c>
      <c r="F2333" s="17">
        <f t="shared" ca="1" si="147"/>
        <v>0</v>
      </c>
      <c r="H2333" s="17">
        <v>2318</v>
      </c>
      <c r="I2333" s="43">
        <v>0.66940757970903741</v>
      </c>
      <c r="J2333" s="43">
        <v>1.9776106526578435E-2</v>
      </c>
      <c r="K2333" s="43"/>
      <c r="L2333" s="43">
        <v>0.25340000000000001</v>
      </c>
      <c r="O2333" s="50"/>
    </row>
    <row r="2334" spans="2:15" x14ac:dyDescent="0.2">
      <c r="B2334">
        <v>2319</v>
      </c>
      <c r="C2334" s="48">
        <f t="shared" ca="1" si="148"/>
        <v>1.121554822655596</v>
      </c>
      <c r="D2334" s="48">
        <f t="shared" ca="1" si="145"/>
        <v>0.74219699452429555</v>
      </c>
      <c r="E2334" s="48">
        <f t="shared" ca="1" si="146"/>
        <v>0</v>
      </c>
      <c r="F2334" s="17">
        <f t="shared" ca="1" si="147"/>
        <v>0</v>
      </c>
      <c r="H2334" s="17">
        <v>2319</v>
      </c>
      <c r="I2334" s="43">
        <v>0.66999046997989886</v>
      </c>
      <c r="J2334" s="43">
        <v>2.0305327664900504E-2</v>
      </c>
      <c r="K2334" s="43"/>
      <c r="L2334" s="43">
        <v>0.2482</v>
      </c>
      <c r="O2334" s="50"/>
    </row>
    <row r="2335" spans="2:15" x14ac:dyDescent="0.2">
      <c r="B2335">
        <v>2320</v>
      </c>
      <c r="C2335" s="48">
        <f t="shared" ca="1" si="148"/>
        <v>-0.54260455521426565</v>
      </c>
      <c r="D2335" s="48">
        <f t="shared" ca="1" si="145"/>
        <v>0.62989266817195932</v>
      </c>
      <c r="E2335" s="48">
        <f t="shared" ca="1" si="146"/>
        <v>0</v>
      </c>
      <c r="F2335" s="17">
        <f t="shared" ca="1" si="147"/>
        <v>0</v>
      </c>
      <c r="H2335" s="17">
        <v>2320</v>
      </c>
      <c r="I2335" s="43">
        <v>0.66964524721330176</v>
      </c>
      <c r="J2335" s="43">
        <v>2.0129093467753646E-2</v>
      </c>
      <c r="K2335" s="43"/>
      <c r="L2335" s="43">
        <v>0.26119999999999999</v>
      </c>
      <c r="O2335" s="50"/>
    </row>
    <row r="2336" spans="2:15" x14ac:dyDescent="0.2">
      <c r="B2336">
        <v>2321</v>
      </c>
      <c r="C2336" s="48">
        <f t="shared" ca="1" si="148"/>
        <v>-0.8451863519067877</v>
      </c>
      <c r="D2336" s="48">
        <f t="shared" ca="1" si="145"/>
        <v>0.61137997924449017</v>
      </c>
      <c r="E2336" s="48">
        <f t="shared" ca="1" si="146"/>
        <v>0</v>
      </c>
      <c r="F2336" s="17">
        <f t="shared" ca="1" si="147"/>
        <v>0</v>
      </c>
      <c r="H2336" s="17">
        <v>2321</v>
      </c>
      <c r="I2336" s="43">
        <v>0.66889238452770183</v>
      </c>
      <c r="J2336" s="43">
        <v>1.9277746239367777E-2</v>
      </c>
      <c r="K2336" s="43"/>
      <c r="L2336" s="43">
        <v>0.24779999999999999</v>
      </c>
      <c r="O2336" s="50"/>
    </row>
    <row r="2337" spans="2:15" x14ac:dyDescent="0.2">
      <c r="B2337">
        <v>2322</v>
      </c>
      <c r="C2337" s="48">
        <f t="shared" ca="1" si="148"/>
        <v>0.41363722177089218</v>
      </c>
      <c r="D2337" s="48">
        <f t="shared" ca="1" si="145"/>
        <v>0.69216398088735065</v>
      </c>
      <c r="E2337" s="48">
        <f t="shared" ca="1" si="146"/>
        <v>0</v>
      </c>
      <c r="F2337" s="17">
        <f t="shared" ca="1" si="147"/>
        <v>0</v>
      </c>
      <c r="H2337" s="17">
        <v>2322</v>
      </c>
      <c r="I2337" s="43">
        <v>0.66913556449894462</v>
      </c>
      <c r="J2337" s="43">
        <v>1.9275051423373293E-2</v>
      </c>
      <c r="K2337" s="43"/>
      <c r="L2337" s="43">
        <v>0.24640000000000001</v>
      </c>
      <c r="O2337" s="50"/>
    </row>
    <row r="2338" spans="2:15" x14ac:dyDescent="0.2">
      <c r="B2338">
        <v>2323</v>
      </c>
      <c r="C2338" s="48">
        <f t="shared" ca="1" si="148"/>
        <v>0.25296110801812127</v>
      </c>
      <c r="D2338" s="48">
        <f t="shared" ca="1" si="145"/>
        <v>0.68128603680632072</v>
      </c>
      <c r="E2338" s="48">
        <f t="shared" ca="1" si="146"/>
        <v>0</v>
      </c>
      <c r="F2338" s="17">
        <f t="shared" ca="1" si="147"/>
        <v>0</v>
      </c>
      <c r="H2338" s="17">
        <v>2323</v>
      </c>
      <c r="I2338" s="43">
        <v>0.6682500968152062</v>
      </c>
      <c r="J2338" s="43">
        <v>1.8714742844401267E-2</v>
      </c>
      <c r="K2338" s="43"/>
      <c r="L2338" s="43">
        <v>0.24199999999999999</v>
      </c>
      <c r="O2338" s="50"/>
    </row>
    <row r="2339" spans="2:15" x14ac:dyDescent="0.2">
      <c r="B2339">
        <v>2324</v>
      </c>
      <c r="C2339" s="48">
        <f t="shared" ca="1" si="148"/>
        <v>-0.70335086482221998</v>
      </c>
      <c r="D2339" s="48">
        <f t="shared" ca="1" si="145"/>
        <v>0.61998907998432939</v>
      </c>
      <c r="E2339" s="48">
        <f t="shared" ca="1" si="146"/>
        <v>0</v>
      </c>
      <c r="F2339" s="17">
        <f t="shared" ca="1" si="147"/>
        <v>0</v>
      </c>
      <c r="H2339" s="17">
        <v>2324</v>
      </c>
      <c r="I2339" s="43">
        <v>0.66840360546683719</v>
      </c>
      <c r="J2339" s="43">
        <v>1.8898207116252438E-2</v>
      </c>
      <c r="K2339" s="43"/>
      <c r="L2339" s="43">
        <v>0.248</v>
      </c>
      <c r="O2339" s="50"/>
    </row>
    <row r="2340" spans="2:15" x14ac:dyDescent="0.2">
      <c r="B2340">
        <v>2325</v>
      </c>
      <c r="C2340" s="48">
        <f t="shared" ca="1" si="148"/>
        <v>-1.0992254299728372</v>
      </c>
      <c r="D2340" s="48">
        <f t="shared" ca="1" si="145"/>
        <v>0.59625807986186474</v>
      </c>
      <c r="E2340" s="48">
        <f t="shared" ca="1" si="146"/>
        <v>0</v>
      </c>
      <c r="F2340" s="17">
        <f t="shared" ca="1" si="147"/>
        <v>0</v>
      </c>
      <c r="H2340" s="17">
        <v>2325</v>
      </c>
      <c r="I2340" s="43">
        <v>0.66880765234915518</v>
      </c>
      <c r="J2340" s="43">
        <v>1.930723809598928E-2</v>
      </c>
      <c r="K2340" s="43"/>
      <c r="L2340" s="43">
        <v>0.25180000000000002</v>
      </c>
      <c r="O2340" s="50"/>
    </row>
    <row r="2341" spans="2:15" x14ac:dyDescent="0.2">
      <c r="B2341">
        <v>2326</v>
      </c>
      <c r="C2341" s="48">
        <f t="shared" ca="1" si="148"/>
        <v>-0.40166754517095882</v>
      </c>
      <c r="D2341" s="48">
        <f t="shared" ca="1" si="145"/>
        <v>0.63870587577070126</v>
      </c>
      <c r="E2341" s="48">
        <f t="shared" ca="1" si="146"/>
        <v>0</v>
      </c>
      <c r="F2341" s="17">
        <f t="shared" ca="1" si="147"/>
        <v>0</v>
      </c>
      <c r="H2341" s="17">
        <v>2326</v>
      </c>
      <c r="I2341" s="43">
        <v>0.66979510340269477</v>
      </c>
      <c r="J2341" s="43">
        <v>1.9878194652074872E-2</v>
      </c>
      <c r="K2341" s="43"/>
      <c r="L2341" s="43">
        <v>0.25240000000000001</v>
      </c>
      <c r="O2341" s="50"/>
    </row>
    <row r="2342" spans="2:15" x14ac:dyDescent="0.2">
      <c r="B2342">
        <v>2327</v>
      </c>
      <c r="C2342" s="48">
        <f t="shared" ca="1" si="148"/>
        <v>-1.6288596406503659</v>
      </c>
      <c r="D2342" s="48">
        <f t="shared" ca="1" si="145"/>
        <v>0.56592315278565153</v>
      </c>
      <c r="E2342" s="48">
        <f t="shared" ca="1" si="146"/>
        <v>0</v>
      </c>
      <c r="F2342" s="17">
        <f t="shared" ca="1" si="147"/>
        <v>0</v>
      </c>
      <c r="H2342" s="17">
        <v>2327</v>
      </c>
      <c r="I2342" s="43">
        <v>0.66906351366727213</v>
      </c>
      <c r="J2342" s="43">
        <v>1.9395278533903479E-2</v>
      </c>
      <c r="K2342" s="43"/>
      <c r="L2342" s="43">
        <v>0.25159999999999999</v>
      </c>
      <c r="O2342" s="50"/>
    </row>
    <row r="2343" spans="2:15" x14ac:dyDescent="0.2">
      <c r="B2343">
        <v>2328</v>
      </c>
      <c r="C2343" s="48">
        <f t="shared" ca="1" si="148"/>
        <v>-0.81262358966726189</v>
      </c>
      <c r="D2343" s="48">
        <f t="shared" ca="1" si="145"/>
        <v>0.6133458341546727</v>
      </c>
      <c r="E2343" s="48">
        <f t="shared" ca="1" si="146"/>
        <v>0</v>
      </c>
      <c r="F2343" s="17">
        <f t="shared" ca="1" si="147"/>
        <v>0</v>
      </c>
      <c r="H2343" s="17">
        <v>2328</v>
      </c>
      <c r="I2343" s="43">
        <v>0.66911724658415594</v>
      </c>
      <c r="J2343" s="43">
        <v>1.9418614197633643E-2</v>
      </c>
      <c r="K2343" s="43"/>
      <c r="L2343" s="43">
        <v>0.24879999999999999</v>
      </c>
      <c r="O2343" s="50"/>
    </row>
    <row r="2344" spans="2:15" x14ac:dyDescent="0.2">
      <c r="B2344">
        <v>2329</v>
      </c>
      <c r="C2344" s="48">
        <f t="shared" ca="1" si="148"/>
        <v>0.4157277219450301</v>
      </c>
      <c r="D2344" s="48">
        <f t="shared" ca="1" si="145"/>
        <v>0.69230664859342106</v>
      </c>
      <c r="E2344" s="48">
        <f t="shared" ca="1" si="146"/>
        <v>0</v>
      </c>
      <c r="F2344" s="17">
        <f t="shared" ca="1" si="147"/>
        <v>0</v>
      </c>
      <c r="H2344" s="17">
        <v>2329</v>
      </c>
      <c r="I2344" s="43">
        <v>0.66862584474107001</v>
      </c>
      <c r="J2344" s="43">
        <v>1.9158039407536666E-2</v>
      </c>
      <c r="K2344" s="43"/>
      <c r="L2344" s="43">
        <v>0.2482</v>
      </c>
      <c r="O2344" s="50"/>
    </row>
    <row r="2345" spans="2:15" x14ac:dyDescent="0.2">
      <c r="B2345">
        <v>2330</v>
      </c>
      <c r="C2345" s="48">
        <f t="shared" ca="1" si="148"/>
        <v>0.55006038519372091</v>
      </c>
      <c r="D2345" s="48">
        <f t="shared" ca="1" si="145"/>
        <v>0.70153620471747047</v>
      </c>
      <c r="E2345" s="48">
        <f t="shared" ca="1" si="146"/>
        <v>0</v>
      </c>
      <c r="F2345" s="17">
        <f t="shared" ca="1" si="147"/>
        <v>0</v>
      </c>
      <c r="H2345" s="17">
        <v>2330</v>
      </c>
      <c r="I2345" s="43">
        <v>0.66788584892436753</v>
      </c>
      <c r="J2345" s="43">
        <v>1.8525221525406085E-2</v>
      </c>
      <c r="K2345" s="43"/>
      <c r="L2345" s="43">
        <v>0.247</v>
      </c>
      <c r="O2345" s="50"/>
    </row>
    <row r="2346" spans="2:15" x14ac:dyDescent="0.2">
      <c r="B2346">
        <v>2331</v>
      </c>
      <c r="C2346" s="48">
        <f t="shared" ca="1" si="148"/>
        <v>1.3692185306560714</v>
      </c>
      <c r="D2346" s="48">
        <f t="shared" ca="1" si="145"/>
        <v>0.76054192434394974</v>
      </c>
      <c r="E2346" s="48">
        <f t="shared" ca="1" si="146"/>
        <v>0</v>
      </c>
      <c r="F2346" s="17">
        <f t="shared" ca="1" si="147"/>
        <v>0</v>
      </c>
      <c r="H2346" s="17">
        <v>2331</v>
      </c>
      <c r="I2346" s="43">
        <v>0.66821929997139862</v>
      </c>
      <c r="J2346" s="43">
        <v>1.865978866237639E-2</v>
      </c>
      <c r="K2346" s="43"/>
      <c r="L2346" s="43">
        <v>0.255</v>
      </c>
      <c r="O2346" s="50"/>
    </row>
    <row r="2347" spans="2:15" x14ac:dyDescent="0.2">
      <c r="B2347">
        <v>2332</v>
      </c>
      <c r="C2347" s="48">
        <f t="shared" ca="1" si="148"/>
        <v>-8.955147512841885E-2</v>
      </c>
      <c r="D2347" s="48">
        <f t="shared" ca="1" si="145"/>
        <v>0.65866482508696333</v>
      </c>
      <c r="E2347" s="48">
        <f t="shared" ca="1" si="146"/>
        <v>0</v>
      </c>
      <c r="F2347" s="17">
        <f t="shared" ca="1" si="147"/>
        <v>0</v>
      </c>
      <c r="H2347" s="17">
        <v>2332</v>
      </c>
      <c r="I2347" s="43">
        <v>0.66982085623322796</v>
      </c>
      <c r="J2347" s="43">
        <v>1.9588390307672451E-2</v>
      </c>
      <c r="K2347" s="43"/>
      <c r="L2347" s="43">
        <v>0.254</v>
      </c>
      <c r="O2347" s="50"/>
    </row>
    <row r="2348" spans="2:15" x14ac:dyDescent="0.2">
      <c r="B2348">
        <v>2333</v>
      </c>
      <c r="C2348" s="48">
        <f t="shared" ca="1" si="148"/>
        <v>9.990129984437307E-2</v>
      </c>
      <c r="D2348" s="48">
        <f t="shared" ca="1" si="145"/>
        <v>0.67108275716021559</v>
      </c>
      <c r="E2348" s="48">
        <f t="shared" ca="1" si="146"/>
        <v>0</v>
      </c>
      <c r="F2348" s="17">
        <f t="shared" ca="1" si="147"/>
        <v>0</v>
      </c>
      <c r="H2348" s="17">
        <v>2333</v>
      </c>
      <c r="I2348" s="43">
        <v>0.66896719850907238</v>
      </c>
      <c r="J2348" s="43">
        <v>1.9250172962200895E-2</v>
      </c>
      <c r="K2348" s="43"/>
      <c r="L2348" s="43">
        <v>0.24340000000000001</v>
      </c>
      <c r="O2348" s="50"/>
    </row>
    <row r="2349" spans="2:15" x14ac:dyDescent="0.2">
      <c r="B2349">
        <v>2334</v>
      </c>
      <c r="C2349" s="48">
        <f t="shared" ca="1" si="148"/>
        <v>-1.4733559707874151</v>
      </c>
      <c r="D2349" s="48">
        <f t="shared" ca="1" si="145"/>
        <v>0.57466600425668568</v>
      </c>
      <c r="E2349" s="48">
        <f t="shared" ca="1" si="146"/>
        <v>0</v>
      </c>
      <c r="F2349" s="17">
        <f t="shared" ca="1" si="147"/>
        <v>0</v>
      </c>
      <c r="H2349" s="17">
        <v>2334</v>
      </c>
      <c r="I2349" s="43">
        <v>0.66950522258980816</v>
      </c>
      <c r="J2349" s="43">
        <v>1.9829293884274981E-2</v>
      </c>
      <c r="K2349" s="43"/>
      <c r="L2349" s="43">
        <v>0.25159999999999999</v>
      </c>
      <c r="O2349" s="50"/>
    </row>
    <row r="2350" spans="2:15" x14ac:dyDescent="0.2">
      <c r="B2350">
        <v>2335</v>
      </c>
      <c r="C2350" s="48">
        <f t="shared" ca="1" si="148"/>
        <v>1.4889861169720719</v>
      </c>
      <c r="D2350" s="48">
        <f t="shared" ca="1" si="145"/>
        <v>0.76957531275387581</v>
      </c>
      <c r="E2350" s="48">
        <f t="shared" ca="1" si="146"/>
        <v>0</v>
      </c>
      <c r="F2350" s="17">
        <f t="shared" ca="1" si="147"/>
        <v>0</v>
      </c>
      <c r="H2350" s="17">
        <v>2335</v>
      </c>
      <c r="I2350" s="43">
        <v>0.66767896682665773</v>
      </c>
      <c r="J2350" s="43">
        <v>1.8482708419044688E-2</v>
      </c>
      <c r="K2350" s="43"/>
      <c r="L2350" s="43">
        <v>0.2462</v>
      </c>
      <c r="O2350" s="50"/>
    </row>
    <row r="2351" spans="2:15" x14ac:dyDescent="0.2">
      <c r="B2351">
        <v>2336</v>
      </c>
      <c r="C2351" s="48">
        <f t="shared" ca="1" si="148"/>
        <v>-0.55870297209577435</v>
      </c>
      <c r="D2351" s="48">
        <f t="shared" ca="1" si="145"/>
        <v>0.62889375703729566</v>
      </c>
      <c r="E2351" s="48">
        <f t="shared" ca="1" si="146"/>
        <v>0</v>
      </c>
      <c r="F2351" s="17">
        <f t="shared" ca="1" si="147"/>
        <v>0</v>
      </c>
      <c r="H2351" s="17">
        <v>2336</v>
      </c>
      <c r="I2351" s="43">
        <v>0.66827816640580673</v>
      </c>
      <c r="J2351" s="43">
        <v>1.8888565178739762E-2</v>
      </c>
      <c r="K2351" s="43"/>
      <c r="L2351" s="43">
        <v>0.24640000000000001</v>
      </c>
      <c r="O2351" s="50"/>
    </row>
    <row r="2352" spans="2:15" x14ac:dyDescent="0.2">
      <c r="B2352">
        <v>2337</v>
      </c>
      <c r="C2352" s="48">
        <f t="shared" ca="1" si="148"/>
        <v>0.2849240349890918</v>
      </c>
      <c r="D2352" s="48">
        <f t="shared" ca="1" si="145"/>
        <v>0.68343625332043356</v>
      </c>
      <c r="E2352" s="48">
        <f t="shared" ca="1" si="146"/>
        <v>0</v>
      </c>
      <c r="F2352" s="17">
        <f t="shared" ca="1" si="147"/>
        <v>0</v>
      </c>
      <c r="H2352" s="17">
        <v>2337</v>
      </c>
      <c r="I2352" s="43">
        <v>0.66862618905958038</v>
      </c>
      <c r="J2352" s="43">
        <v>1.9308986321730105E-2</v>
      </c>
      <c r="K2352" s="43"/>
      <c r="L2352" s="43">
        <v>0.25319999999999998</v>
      </c>
      <c r="O2352" s="50"/>
    </row>
    <row r="2353" spans="2:15" x14ac:dyDescent="0.2">
      <c r="B2353">
        <v>2338</v>
      </c>
      <c r="C2353" s="48">
        <f t="shared" ca="1" si="148"/>
        <v>0.18438495779163241</v>
      </c>
      <c r="D2353" s="48">
        <f t="shared" ca="1" si="145"/>
        <v>0.67669556781154994</v>
      </c>
      <c r="E2353" s="48">
        <f t="shared" ca="1" si="146"/>
        <v>0</v>
      </c>
      <c r="F2353" s="17">
        <f t="shared" ca="1" si="147"/>
        <v>0</v>
      </c>
      <c r="H2353" s="17">
        <v>2338</v>
      </c>
      <c r="I2353" s="43">
        <v>0.66995620880771711</v>
      </c>
      <c r="J2353" s="43">
        <v>1.9962355114979617E-2</v>
      </c>
      <c r="K2353" s="43"/>
      <c r="L2353" s="43">
        <v>0.25600000000000001</v>
      </c>
      <c r="O2353" s="50"/>
    </row>
    <row r="2354" spans="2:15" x14ac:dyDescent="0.2">
      <c r="B2354">
        <v>2339</v>
      </c>
      <c r="C2354" s="48">
        <f t="shared" ca="1" si="148"/>
        <v>-0.80000830701058723</v>
      </c>
      <c r="D2354" s="48">
        <f t="shared" ca="1" si="145"/>
        <v>0.61410913232628062</v>
      </c>
      <c r="E2354" s="48">
        <f t="shared" ca="1" si="146"/>
        <v>0</v>
      </c>
      <c r="F2354" s="17">
        <f t="shared" ca="1" si="147"/>
        <v>0</v>
      </c>
      <c r="H2354" s="17">
        <v>2339</v>
      </c>
      <c r="I2354" s="43">
        <v>0.66848380366669546</v>
      </c>
      <c r="J2354" s="43">
        <v>1.9271590769625549E-2</v>
      </c>
      <c r="K2354" s="43"/>
      <c r="L2354" s="43">
        <v>0.24940000000000001</v>
      </c>
      <c r="O2354" s="50"/>
    </row>
    <row r="2355" spans="2:15" x14ac:dyDescent="0.2">
      <c r="B2355">
        <v>2340</v>
      </c>
      <c r="C2355" s="48">
        <f t="shared" ca="1" si="148"/>
        <v>-0.44821576799814744</v>
      </c>
      <c r="D2355" s="48">
        <f t="shared" ca="1" si="145"/>
        <v>0.63578152399505306</v>
      </c>
      <c r="E2355" s="48">
        <f t="shared" ca="1" si="146"/>
        <v>0</v>
      </c>
      <c r="F2355" s="17">
        <f t="shared" ca="1" si="147"/>
        <v>0</v>
      </c>
      <c r="H2355" s="17">
        <v>2340</v>
      </c>
      <c r="I2355" s="43">
        <v>0.66876771795945011</v>
      </c>
      <c r="J2355" s="43">
        <v>1.9222560430596891E-2</v>
      </c>
      <c r="K2355" s="43"/>
      <c r="L2355" s="43">
        <v>0.24440000000000001</v>
      </c>
      <c r="O2355" s="50"/>
    </row>
    <row r="2356" spans="2:15" x14ac:dyDescent="0.2">
      <c r="B2356">
        <v>2341</v>
      </c>
      <c r="C2356" s="48">
        <f t="shared" ca="1" si="148"/>
        <v>1.6241495855759236</v>
      </c>
      <c r="D2356" s="48">
        <f t="shared" ca="1" si="145"/>
        <v>0.77989886044944401</v>
      </c>
      <c r="E2356" s="48">
        <f t="shared" ca="1" si="146"/>
        <v>0</v>
      </c>
      <c r="F2356" s="17">
        <f t="shared" ca="1" si="147"/>
        <v>0</v>
      </c>
      <c r="H2356" s="17">
        <v>2341</v>
      </c>
      <c r="I2356" s="43">
        <v>0.66934401101850227</v>
      </c>
      <c r="J2356" s="43">
        <v>1.9754294121705609E-2</v>
      </c>
      <c r="K2356" s="43"/>
      <c r="L2356" s="43">
        <v>0.25800000000000001</v>
      </c>
      <c r="O2356" s="50"/>
    </row>
    <row r="2357" spans="2:15" x14ac:dyDescent="0.2">
      <c r="B2357">
        <v>2342</v>
      </c>
      <c r="C2357" s="48">
        <f t="shared" ca="1" si="148"/>
        <v>0.4655945869644198</v>
      </c>
      <c r="D2357" s="48">
        <f t="shared" ca="1" si="145"/>
        <v>0.69571857988020025</v>
      </c>
      <c r="E2357" s="48">
        <f t="shared" ca="1" si="146"/>
        <v>0</v>
      </c>
      <c r="F2357" s="17">
        <f t="shared" ca="1" si="147"/>
        <v>0</v>
      </c>
      <c r="H2357" s="17">
        <v>2342</v>
      </c>
      <c r="I2357" s="43">
        <v>0.66878353330032492</v>
      </c>
      <c r="J2357" s="43">
        <v>1.9231380430481369E-2</v>
      </c>
      <c r="K2357" s="43"/>
      <c r="L2357" s="43">
        <v>0.24460000000000001</v>
      </c>
      <c r="O2357" s="50"/>
    </row>
    <row r="2358" spans="2:15" x14ac:dyDescent="0.2">
      <c r="B2358">
        <v>2343</v>
      </c>
      <c r="C2358" s="48">
        <f t="shared" ca="1" si="148"/>
        <v>-0.11067944792255351</v>
      </c>
      <c r="D2358" s="48">
        <f t="shared" ca="1" si="145"/>
        <v>0.65729428484544528</v>
      </c>
      <c r="E2358" s="48">
        <f t="shared" ca="1" si="146"/>
        <v>0</v>
      </c>
      <c r="F2358" s="17">
        <f t="shared" ca="1" si="147"/>
        <v>0</v>
      </c>
      <c r="H2358" s="17">
        <v>2343</v>
      </c>
      <c r="I2358" s="43">
        <v>0.66904670306655567</v>
      </c>
      <c r="J2358" s="43">
        <v>1.9484545680590423E-2</v>
      </c>
      <c r="K2358" s="43"/>
      <c r="L2358" s="43">
        <v>0.24979999999999999</v>
      </c>
      <c r="O2358" s="50"/>
    </row>
    <row r="2359" spans="2:15" x14ac:dyDescent="0.2">
      <c r="B2359">
        <v>2344</v>
      </c>
      <c r="C2359" s="48">
        <f t="shared" ca="1" si="148"/>
        <v>0.13815588094243991</v>
      </c>
      <c r="D2359" s="48">
        <f t="shared" ca="1" si="145"/>
        <v>0.67361847229443972</v>
      </c>
      <c r="E2359" s="48">
        <f t="shared" ca="1" si="146"/>
        <v>0</v>
      </c>
      <c r="F2359" s="17">
        <f t="shared" ca="1" si="147"/>
        <v>0</v>
      </c>
      <c r="H2359" s="17">
        <v>2344</v>
      </c>
      <c r="I2359" s="43">
        <v>0.66976969871489622</v>
      </c>
      <c r="J2359" s="43">
        <v>1.9937367340029679E-2</v>
      </c>
      <c r="K2359" s="43"/>
      <c r="L2359" s="43">
        <v>0.25459999999999999</v>
      </c>
      <c r="O2359" s="50"/>
    </row>
    <row r="2360" spans="2:15" x14ac:dyDescent="0.2">
      <c r="B2360">
        <v>2345</v>
      </c>
      <c r="C2360" s="48">
        <f t="shared" ca="1" si="148"/>
        <v>-0.62096120008491418</v>
      </c>
      <c r="D2360" s="48">
        <f t="shared" ca="1" si="145"/>
        <v>0.62504550403050341</v>
      </c>
      <c r="E2360" s="48">
        <f t="shared" ca="1" si="146"/>
        <v>0</v>
      </c>
      <c r="F2360" s="17">
        <f t="shared" ca="1" si="147"/>
        <v>0</v>
      </c>
      <c r="H2360" s="17">
        <v>2345</v>
      </c>
      <c r="I2360" s="43">
        <v>0.66872550679918119</v>
      </c>
      <c r="J2360" s="43">
        <v>1.9252792708933986E-2</v>
      </c>
      <c r="K2360" s="43"/>
      <c r="L2360" s="43">
        <v>0.25419999999999998</v>
      </c>
      <c r="O2360" s="50"/>
    </row>
    <row r="2361" spans="2:15" x14ac:dyDescent="0.2">
      <c r="B2361">
        <v>2346</v>
      </c>
      <c r="C2361" s="48">
        <f t="shared" ca="1" si="148"/>
        <v>-9.4991692921999465E-2</v>
      </c>
      <c r="D2361" s="48">
        <f t="shared" ca="1" si="145"/>
        <v>0.65831165328645402</v>
      </c>
      <c r="E2361" s="48">
        <f t="shared" ca="1" si="146"/>
        <v>0</v>
      </c>
      <c r="F2361" s="17">
        <f t="shared" ca="1" si="147"/>
        <v>0</v>
      </c>
      <c r="H2361" s="17">
        <v>2346</v>
      </c>
      <c r="I2361" s="43">
        <v>0.66802168727602385</v>
      </c>
      <c r="J2361" s="43">
        <v>1.9044970869450319E-2</v>
      </c>
      <c r="K2361" s="43"/>
      <c r="L2361" s="43">
        <v>0.24940000000000001</v>
      </c>
      <c r="O2361" s="50"/>
    </row>
    <row r="2362" spans="2:15" x14ac:dyDescent="0.2">
      <c r="B2362">
        <v>2347</v>
      </c>
      <c r="C2362" s="48">
        <f t="shared" ca="1" si="148"/>
        <v>-1.4120810028452113</v>
      </c>
      <c r="D2362" s="48">
        <f t="shared" ca="1" si="145"/>
        <v>0.57814803622569322</v>
      </c>
      <c r="E2362" s="48">
        <f t="shared" ca="1" si="146"/>
        <v>0</v>
      </c>
      <c r="F2362" s="17">
        <f t="shared" ca="1" si="147"/>
        <v>0</v>
      </c>
      <c r="H2362" s="17">
        <v>2347</v>
      </c>
      <c r="I2362" s="43">
        <v>0.66839351509287848</v>
      </c>
      <c r="J2362" s="43">
        <v>1.895131440514651E-2</v>
      </c>
      <c r="K2362" s="43"/>
      <c r="L2362" s="43">
        <v>0.25059999999999999</v>
      </c>
      <c r="O2362" s="50"/>
    </row>
    <row r="2363" spans="2:15" x14ac:dyDescent="0.2">
      <c r="B2363">
        <v>2348</v>
      </c>
      <c r="C2363" s="48">
        <f t="shared" ca="1" si="148"/>
        <v>-9.2071496532228375E-2</v>
      </c>
      <c r="D2363" s="48">
        <f t="shared" ca="1" si="145"/>
        <v>0.6585012050547574</v>
      </c>
      <c r="E2363" s="48">
        <f t="shared" ca="1" si="146"/>
        <v>0</v>
      </c>
      <c r="F2363" s="17">
        <f t="shared" ca="1" si="147"/>
        <v>0</v>
      </c>
      <c r="H2363" s="17">
        <v>2348</v>
      </c>
      <c r="I2363" s="43">
        <v>0.66958794656961529</v>
      </c>
      <c r="J2363" s="43">
        <v>1.9894584257998681E-2</v>
      </c>
      <c r="K2363" s="43"/>
      <c r="L2363" s="43">
        <v>0.25380000000000003</v>
      </c>
      <c r="O2363" s="50"/>
    </row>
    <row r="2364" spans="2:15" x14ac:dyDescent="0.2">
      <c r="B2364">
        <v>2349</v>
      </c>
      <c r="C2364" s="48">
        <f t="shared" ca="1" si="148"/>
        <v>1.0281610397913989</v>
      </c>
      <c r="D2364" s="48">
        <f t="shared" ca="1" si="145"/>
        <v>0.7353946121807432</v>
      </c>
      <c r="E2364" s="48">
        <f t="shared" ca="1" si="146"/>
        <v>0</v>
      </c>
      <c r="F2364" s="17">
        <f t="shared" ca="1" si="147"/>
        <v>0</v>
      </c>
      <c r="H2364" s="17">
        <v>2349</v>
      </c>
      <c r="I2364" s="43">
        <v>0.668706632608011</v>
      </c>
      <c r="J2364" s="43">
        <v>1.9194141624665696E-2</v>
      </c>
      <c r="K2364" s="43"/>
      <c r="L2364" s="43">
        <v>0.25480000000000003</v>
      </c>
      <c r="O2364" s="50"/>
    </row>
    <row r="2365" spans="2:15" x14ac:dyDescent="0.2">
      <c r="B2365">
        <v>2350</v>
      </c>
      <c r="C2365" s="48">
        <f t="shared" ca="1" si="148"/>
        <v>1.6425152879034632</v>
      </c>
      <c r="D2365" s="48">
        <f t="shared" ca="1" si="145"/>
        <v>0.78131224643096719</v>
      </c>
      <c r="E2365" s="48">
        <f t="shared" ca="1" si="146"/>
        <v>0</v>
      </c>
      <c r="F2365" s="17">
        <f t="shared" ca="1" si="147"/>
        <v>0</v>
      </c>
      <c r="H2365" s="17">
        <v>2350</v>
      </c>
      <c r="I2365" s="43">
        <v>0.66880349802917294</v>
      </c>
      <c r="J2365" s="43">
        <v>1.8957895778657839E-2</v>
      </c>
      <c r="K2365" s="43"/>
      <c r="L2365" s="43">
        <v>0.2482</v>
      </c>
      <c r="O2365" s="50"/>
    </row>
    <row r="2366" spans="2:15" x14ac:dyDescent="0.2">
      <c r="B2366">
        <v>2351</v>
      </c>
      <c r="C2366" s="48">
        <f t="shared" ca="1" si="148"/>
        <v>-1.1581077674986684</v>
      </c>
      <c r="D2366" s="48">
        <f t="shared" ca="1" si="145"/>
        <v>0.59280679269145309</v>
      </c>
      <c r="E2366" s="48">
        <f t="shared" ca="1" si="146"/>
        <v>0</v>
      </c>
      <c r="F2366" s="17">
        <f t="shared" ca="1" si="147"/>
        <v>0</v>
      </c>
      <c r="H2366" s="17">
        <v>2351</v>
      </c>
      <c r="I2366" s="43">
        <v>0.66844385740828804</v>
      </c>
      <c r="J2366" s="43">
        <v>1.8984915653327751E-2</v>
      </c>
      <c r="K2366" s="43"/>
      <c r="L2366" s="43">
        <v>0.2482</v>
      </c>
      <c r="O2366" s="50"/>
    </row>
    <row r="2367" spans="2:15" x14ac:dyDescent="0.2">
      <c r="B2367">
        <v>2352</v>
      </c>
      <c r="C2367" s="48">
        <f t="shared" ca="1" si="148"/>
        <v>1.0592447921371928</v>
      </c>
      <c r="D2367" s="48">
        <f t="shared" ca="1" si="145"/>
        <v>0.73765166236360957</v>
      </c>
      <c r="E2367" s="48">
        <f t="shared" ca="1" si="146"/>
        <v>0</v>
      </c>
      <c r="F2367" s="17">
        <f t="shared" ca="1" si="147"/>
        <v>0</v>
      </c>
      <c r="H2367" s="17">
        <v>2352</v>
      </c>
      <c r="I2367" s="43">
        <v>0.66900606840054155</v>
      </c>
      <c r="J2367" s="43">
        <v>1.9582687557884306E-2</v>
      </c>
      <c r="K2367" s="43"/>
      <c r="L2367" s="43">
        <v>0.25219999999999998</v>
      </c>
      <c r="O2367" s="50"/>
    </row>
    <row r="2368" spans="2:15" x14ac:dyDescent="0.2">
      <c r="B2368">
        <v>2353</v>
      </c>
      <c r="C2368" s="48">
        <f t="shared" ca="1" si="148"/>
        <v>0.16835005154512542</v>
      </c>
      <c r="D2368" s="48">
        <f t="shared" ca="1" si="145"/>
        <v>0.67562666493075552</v>
      </c>
      <c r="E2368" s="48">
        <f t="shared" ca="1" si="146"/>
        <v>0</v>
      </c>
      <c r="F2368" s="17">
        <f t="shared" ca="1" si="147"/>
        <v>0</v>
      </c>
      <c r="H2368" s="17">
        <v>2353</v>
      </c>
      <c r="I2368" s="43">
        <v>0.66844675603251869</v>
      </c>
      <c r="J2368" s="43">
        <v>1.9248810184807258E-2</v>
      </c>
      <c r="K2368" s="43"/>
      <c r="L2368" s="43">
        <v>0.25580000000000003</v>
      </c>
      <c r="O2368" s="50"/>
    </row>
    <row r="2369" spans="2:15" x14ac:dyDescent="0.2">
      <c r="B2369">
        <v>2354</v>
      </c>
      <c r="C2369" s="48">
        <f t="shared" ca="1" si="148"/>
        <v>0.38763534645221187</v>
      </c>
      <c r="D2369" s="48">
        <f t="shared" ca="1" si="145"/>
        <v>0.69039191910879716</v>
      </c>
      <c r="E2369" s="48">
        <f t="shared" ca="1" si="146"/>
        <v>0</v>
      </c>
      <c r="F2369" s="17">
        <f t="shared" ca="1" si="147"/>
        <v>0</v>
      </c>
      <c r="H2369" s="17">
        <v>2354</v>
      </c>
      <c r="I2369" s="43">
        <v>0.6689960246167288</v>
      </c>
      <c r="J2369" s="43">
        <v>1.9397566243254456E-2</v>
      </c>
      <c r="K2369" s="43"/>
      <c r="L2369" s="43">
        <v>0.24660000000000001</v>
      </c>
      <c r="O2369" s="50"/>
    </row>
    <row r="2370" spans="2:15" x14ac:dyDescent="0.2">
      <c r="B2370">
        <v>2355</v>
      </c>
      <c r="C2370" s="48">
        <f t="shared" ca="1" si="148"/>
        <v>-0.65048952914360725</v>
      </c>
      <c r="D2370" s="48">
        <f t="shared" ca="1" si="145"/>
        <v>0.6232285654820735</v>
      </c>
      <c r="E2370" s="48">
        <f t="shared" ca="1" si="146"/>
        <v>0</v>
      </c>
      <c r="F2370" s="17">
        <f t="shared" ca="1" si="147"/>
        <v>0</v>
      </c>
      <c r="H2370" s="17">
        <v>2355</v>
      </c>
      <c r="I2370" s="43">
        <v>0.66864860665966053</v>
      </c>
      <c r="J2370" s="43">
        <v>1.9123941005393642E-2</v>
      </c>
      <c r="K2370" s="43"/>
      <c r="L2370" s="43">
        <v>0.248</v>
      </c>
      <c r="O2370" s="50"/>
    </row>
    <row r="2371" spans="2:15" x14ac:dyDescent="0.2">
      <c r="B2371">
        <v>2356</v>
      </c>
      <c r="C2371" s="48">
        <f t="shared" ca="1" si="148"/>
        <v>0.11938765224457018</v>
      </c>
      <c r="D2371" s="48">
        <f t="shared" ca="1" si="145"/>
        <v>0.67237322023903301</v>
      </c>
      <c r="E2371" s="48">
        <f t="shared" ca="1" si="146"/>
        <v>0</v>
      </c>
      <c r="F2371" s="17">
        <f t="shared" ca="1" si="147"/>
        <v>0</v>
      </c>
      <c r="H2371" s="17">
        <v>2356</v>
      </c>
      <c r="I2371" s="43">
        <v>0.66894537968374579</v>
      </c>
      <c r="J2371" s="43">
        <v>1.9433693685553376E-2</v>
      </c>
      <c r="K2371" s="43"/>
      <c r="L2371" s="43">
        <v>0.24879999999999999</v>
      </c>
      <c r="O2371" s="50"/>
    </row>
    <row r="2372" spans="2:15" x14ac:dyDescent="0.2">
      <c r="B2372">
        <v>2357</v>
      </c>
      <c r="C2372" s="48">
        <f t="shared" ca="1" si="148"/>
        <v>-0.7562976323930759</v>
      </c>
      <c r="D2372" s="48">
        <f t="shared" ca="1" si="145"/>
        <v>0.6167612383359784</v>
      </c>
      <c r="E2372" s="48">
        <f t="shared" ca="1" si="146"/>
        <v>0</v>
      </c>
      <c r="F2372" s="17">
        <f t="shared" ca="1" si="147"/>
        <v>0</v>
      </c>
      <c r="H2372" s="17">
        <v>2357</v>
      </c>
      <c r="I2372" s="43">
        <v>0.66987923138196348</v>
      </c>
      <c r="J2372" s="43">
        <v>2.024978014851312E-2</v>
      </c>
      <c r="K2372" s="43"/>
      <c r="L2372" s="43">
        <v>0.25459999999999999</v>
      </c>
      <c r="O2372" s="50"/>
    </row>
    <row r="2373" spans="2:15" x14ac:dyDescent="0.2">
      <c r="B2373">
        <v>2358</v>
      </c>
      <c r="C2373" s="48">
        <f t="shared" ca="1" si="148"/>
        <v>1.3197782390501458</v>
      </c>
      <c r="D2373" s="48">
        <f t="shared" ca="1" si="145"/>
        <v>0.75684391575347942</v>
      </c>
      <c r="E2373" s="48">
        <f t="shared" ca="1" si="146"/>
        <v>0</v>
      </c>
      <c r="F2373" s="17">
        <f t="shared" ca="1" si="147"/>
        <v>0</v>
      </c>
      <c r="H2373" s="17">
        <v>2358</v>
      </c>
      <c r="I2373" s="43">
        <v>0.6686021260194126</v>
      </c>
      <c r="J2373" s="43">
        <v>1.9138351529647293E-2</v>
      </c>
      <c r="K2373" s="43"/>
      <c r="L2373" s="43">
        <v>0.25</v>
      </c>
      <c r="O2373" s="50"/>
    </row>
    <row r="2374" spans="2:15" x14ac:dyDescent="0.2">
      <c r="B2374">
        <v>2359</v>
      </c>
      <c r="C2374" s="48">
        <f t="shared" ca="1" si="148"/>
        <v>1.0796923354526797</v>
      </c>
      <c r="D2374" s="48">
        <f t="shared" ca="1" si="145"/>
        <v>0.73914017318867176</v>
      </c>
      <c r="E2374" s="48">
        <f t="shared" ca="1" si="146"/>
        <v>0</v>
      </c>
      <c r="F2374" s="17">
        <f t="shared" ca="1" si="147"/>
        <v>0</v>
      </c>
      <c r="H2374" s="17">
        <v>2359</v>
      </c>
      <c r="I2374" s="43">
        <v>0.66912198795445299</v>
      </c>
      <c r="J2374" s="43">
        <v>1.9500158715682777E-2</v>
      </c>
      <c r="K2374" s="43"/>
      <c r="L2374" s="43">
        <v>0.24940000000000001</v>
      </c>
      <c r="O2374" s="50"/>
    </row>
    <row r="2375" spans="2:15" x14ac:dyDescent="0.2">
      <c r="B2375">
        <v>2360</v>
      </c>
      <c r="C2375" s="48">
        <f t="shared" ca="1" si="148"/>
        <v>2.0559955665656267</v>
      </c>
      <c r="D2375" s="48">
        <f t="shared" ca="1" si="145"/>
        <v>0.8138197041290518</v>
      </c>
      <c r="E2375" s="48">
        <f t="shared" ca="1" si="146"/>
        <v>2.561970412905179E-2</v>
      </c>
      <c r="F2375" s="17">
        <f t="shared" ca="1" si="147"/>
        <v>1</v>
      </c>
      <c r="H2375" s="17">
        <v>2360</v>
      </c>
      <c r="I2375" s="43">
        <v>0.66843777085852552</v>
      </c>
      <c r="J2375" s="43">
        <v>1.8964191045302298E-2</v>
      </c>
      <c r="K2375" s="43"/>
      <c r="L2375" s="43">
        <v>0.2424</v>
      </c>
      <c r="O2375" s="50"/>
    </row>
    <row r="2376" spans="2:15" x14ac:dyDescent="0.2">
      <c r="B2376">
        <v>2361</v>
      </c>
      <c r="C2376" s="48">
        <f t="shared" ca="1" si="148"/>
        <v>1.0313816453134301</v>
      </c>
      <c r="D2376" s="48">
        <f t="shared" ca="1" si="145"/>
        <v>0.73562814538920041</v>
      </c>
      <c r="E2376" s="48">
        <f t="shared" ca="1" si="146"/>
        <v>0</v>
      </c>
      <c r="F2376" s="17">
        <f t="shared" ca="1" si="147"/>
        <v>0</v>
      </c>
      <c r="H2376" s="17">
        <v>2361</v>
      </c>
      <c r="I2376" s="43">
        <v>0.66862792959359729</v>
      </c>
      <c r="J2376" s="43">
        <v>1.9019065118969617E-2</v>
      </c>
      <c r="K2376" s="43"/>
      <c r="L2376" s="43">
        <v>0.25419999999999998</v>
      </c>
      <c r="O2376" s="50"/>
    </row>
    <row r="2377" spans="2:15" x14ac:dyDescent="0.2">
      <c r="B2377">
        <v>2362</v>
      </c>
      <c r="C2377" s="48">
        <f t="shared" ca="1" si="148"/>
        <v>-3.7414160419806497E-2</v>
      </c>
      <c r="D2377" s="48">
        <f t="shared" ca="1" si="145"/>
        <v>0.6620591349400341</v>
      </c>
      <c r="E2377" s="48">
        <f t="shared" ca="1" si="146"/>
        <v>0</v>
      </c>
      <c r="F2377" s="17">
        <f t="shared" ca="1" si="147"/>
        <v>0</v>
      </c>
      <c r="H2377" s="17">
        <v>2362</v>
      </c>
      <c r="I2377" s="43">
        <v>0.66849005891984103</v>
      </c>
      <c r="J2377" s="43">
        <v>1.8716711245949199E-2</v>
      </c>
      <c r="K2377" s="43"/>
      <c r="L2377" s="43">
        <v>0.24079999999999999</v>
      </c>
      <c r="O2377" s="50"/>
    </row>
    <row r="2378" spans="2:15" x14ac:dyDescent="0.2">
      <c r="B2378">
        <v>2363</v>
      </c>
      <c r="C2378" s="48">
        <f t="shared" ca="1" si="148"/>
        <v>-1.6493343466689883</v>
      </c>
      <c r="D2378" s="48">
        <f t="shared" ca="1" si="145"/>
        <v>0.56478196107457668</v>
      </c>
      <c r="E2378" s="48">
        <f t="shared" ca="1" si="146"/>
        <v>0</v>
      </c>
      <c r="F2378" s="17">
        <f t="shared" ca="1" si="147"/>
        <v>0</v>
      </c>
      <c r="H2378" s="17">
        <v>2363</v>
      </c>
      <c r="I2378" s="43">
        <v>0.66820839968410906</v>
      </c>
      <c r="J2378" s="43">
        <v>1.9124059524834112E-2</v>
      </c>
      <c r="K2378" s="43"/>
      <c r="L2378" s="43">
        <v>0.246</v>
      </c>
      <c r="O2378" s="50"/>
    </row>
    <row r="2379" spans="2:15" x14ac:dyDescent="0.2">
      <c r="B2379">
        <v>2364</v>
      </c>
      <c r="C2379" s="48">
        <f t="shared" ca="1" si="148"/>
        <v>1.603837238661616</v>
      </c>
      <c r="D2379" s="48">
        <f t="shared" ca="1" si="145"/>
        <v>0.77833864225732763</v>
      </c>
      <c r="E2379" s="48">
        <f t="shared" ca="1" si="146"/>
        <v>0</v>
      </c>
      <c r="F2379" s="17">
        <f t="shared" ca="1" si="147"/>
        <v>0</v>
      </c>
      <c r="H2379" s="17">
        <v>2364</v>
      </c>
      <c r="I2379" s="43">
        <v>0.66729052502755215</v>
      </c>
      <c r="J2379" s="43">
        <v>1.8398638339831904E-2</v>
      </c>
      <c r="K2379" s="43"/>
      <c r="L2379" s="43">
        <v>0.24979999999999999</v>
      </c>
      <c r="O2379" s="50"/>
    </row>
    <row r="2380" spans="2:15" x14ac:dyDescent="0.2">
      <c r="B2380">
        <v>2365</v>
      </c>
      <c r="C2380" s="48">
        <f t="shared" ca="1" si="148"/>
        <v>-7.9733793060330835E-2</v>
      </c>
      <c r="D2380" s="48">
        <f t="shared" ca="1" si="145"/>
        <v>0.65930265568537727</v>
      </c>
      <c r="E2380" s="48">
        <f t="shared" ca="1" si="146"/>
        <v>0</v>
      </c>
      <c r="F2380" s="17">
        <f t="shared" ca="1" si="147"/>
        <v>0</v>
      </c>
      <c r="H2380" s="17">
        <v>2365</v>
      </c>
      <c r="I2380" s="43">
        <v>0.66827900956766739</v>
      </c>
      <c r="J2380" s="43">
        <v>1.8679371659612861E-2</v>
      </c>
      <c r="K2380" s="43"/>
      <c r="L2380" s="43">
        <v>0.25040000000000001</v>
      </c>
      <c r="O2380" s="50"/>
    </row>
    <row r="2381" spans="2:15" x14ac:dyDescent="0.2">
      <c r="B2381">
        <v>2366</v>
      </c>
      <c r="C2381" s="48">
        <f t="shared" ca="1" si="148"/>
        <v>1.0277306581894767</v>
      </c>
      <c r="D2381" s="48">
        <f t="shared" ca="1" si="145"/>
        <v>0.73536340987785076</v>
      </c>
      <c r="E2381" s="48">
        <f t="shared" ca="1" si="146"/>
        <v>0</v>
      </c>
      <c r="F2381" s="17">
        <f t="shared" ca="1" si="147"/>
        <v>0</v>
      </c>
      <c r="H2381" s="17">
        <v>2366</v>
      </c>
      <c r="I2381" s="43">
        <v>0.66933802385971353</v>
      </c>
      <c r="J2381" s="43">
        <v>1.9734441649235986E-2</v>
      </c>
      <c r="K2381" s="43"/>
      <c r="L2381" s="43">
        <v>0.2482</v>
      </c>
      <c r="O2381" s="50"/>
    </row>
    <row r="2382" spans="2:15" x14ac:dyDescent="0.2">
      <c r="B2382">
        <v>2367</v>
      </c>
      <c r="C2382" s="48">
        <f t="shared" ca="1" si="148"/>
        <v>-0.69142984603819702</v>
      </c>
      <c r="D2382" s="48">
        <f t="shared" ca="1" si="145"/>
        <v>0.62071815860488899</v>
      </c>
      <c r="E2382" s="48">
        <f t="shared" ca="1" si="146"/>
        <v>0</v>
      </c>
      <c r="F2382" s="17">
        <f t="shared" ca="1" si="147"/>
        <v>0</v>
      </c>
      <c r="H2382" s="17">
        <v>2367</v>
      </c>
      <c r="I2382" s="43">
        <v>0.66943796722280313</v>
      </c>
      <c r="J2382" s="43">
        <v>1.9481500095206009E-2</v>
      </c>
      <c r="K2382" s="43"/>
      <c r="L2382" s="43">
        <v>0.25</v>
      </c>
      <c r="O2382" s="50"/>
    </row>
    <row r="2383" spans="2:15" x14ac:dyDescent="0.2">
      <c r="B2383">
        <v>2368</v>
      </c>
      <c r="C2383" s="48">
        <f t="shared" ca="1" si="148"/>
        <v>-1.0143792926880582</v>
      </c>
      <c r="D2383" s="48">
        <f t="shared" ca="1" si="145"/>
        <v>0.60126655733872825</v>
      </c>
      <c r="E2383" s="48">
        <f t="shared" ca="1" si="146"/>
        <v>0</v>
      </c>
      <c r="F2383" s="17">
        <f t="shared" ca="1" si="147"/>
        <v>0</v>
      </c>
      <c r="H2383" s="17">
        <v>2368</v>
      </c>
      <c r="I2383" s="43">
        <v>0.66846567171207871</v>
      </c>
      <c r="J2383" s="43">
        <v>1.9139371541128471E-2</v>
      </c>
      <c r="K2383" s="43"/>
      <c r="L2383" s="43">
        <v>0.2492</v>
      </c>
      <c r="O2383" s="50"/>
    </row>
    <row r="2384" spans="2:15" x14ac:dyDescent="0.2">
      <c r="B2384">
        <v>2369</v>
      </c>
      <c r="C2384" s="48">
        <f t="shared" ca="1" si="148"/>
        <v>-1.7339691313648746</v>
      </c>
      <c r="D2384" s="48">
        <f t="shared" ref="D2384:D2447" ca="1" si="149">S0*EXP((μ-0.5*σ*σ)*T+σ*SQRT(T)*$C2384)</f>
        <v>0.5600890661540352</v>
      </c>
      <c r="E2384" s="48">
        <f t="shared" ref="E2384:E2447" ca="1" si="150">MAX(0,CP*(D2384-K))</f>
        <v>0</v>
      </c>
      <c r="F2384" s="17">
        <f t="shared" ref="F2384:F2447" ca="1" si="151">(CP*(D2384-K)&gt;0)*1</f>
        <v>0</v>
      </c>
      <c r="H2384" s="17">
        <v>2369</v>
      </c>
      <c r="I2384" s="43">
        <v>0.66906394676456271</v>
      </c>
      <c r="J2384" s="43">
        <v>1.965314036404538E-2</v>
      </c>
      <c r="K2384" s="43"/>
      <c r="L2384" s="43">
        <v>0.253</v>
      </c>
      <c r="O2384" s="50"/>
    </row>
    <row r="2385" spans="2:15" x14ac:dyDescent="0.2">
      <c r="B2385">
        <v>2370</v>
      </c>
      <c r="C2385" s="48">
        <f t="shared" ref="C2385:C2448" ca="1" si="152">_xlfn.NORM.S.INV(RAND())</f>
        <v>-1.1360384043363332</v>
      </c>
      <c r="D2385" s="48">
        <f t="shared" ca="1" si="149"/>
        <v>0.59409800375834387</v>
      </c>
      <c r="E2385" s="48">
        <f t="shared" ca="1" si="150"/>
        <v>0</v>
      </c>
      <c r="F2385" s="17">
        <f t="shared" ca="1" si="151"/>
        <v>0</v>
      </c>
      <c r="H2385" s="17">
        <v>2370</v>
      </c>
      <c r="I2385" s="43">
        <v>0.66795128352268884</v>
      </c>
      <c r="J2385" s="43">
        <v>1.8793526429475762E-2</v>
      </c>
      <c r="K2385" s="43"/>
      <c r="L2385" s="43">
        <v>0.248</v>
      </c>
      <c r="O2385" s="50"/>
    </row>
    <row r="2386" spans="2:15" x14ac:dyDescent="0.2">
      <c r="B2386">
        <v>2371</v>
      </c>
      <c r="C2386" s="48">
        <f t="shared" ca="1" si="152"/>
        <v>0.53607427494547855</v>
      </c>
      <c r="D2386" s="48">
        <f t="shared" ca="1" si="149"/>
        <v>0.70056955444747027</v>
      </c>
      <c r="E2386" s="48">
        <f t="shared" ca="1" si="150"/>
        <v>0</v>
      </c>
      <c r="F2386" s="17">
        <f t="shared" ca="1" si="151"/>
        <v>0</v>
      </c>
      <c r="H2386" s="17">
        <v>2371</v>
      </c>
      <c r="I2386" s="43">
        <v>0.6692209437214679</v>
      </c>
      <c r="J2386" s="43">
        <v>1.962014684106039E-2</v>
      </c>
      <c r="K2386" s="43"/>
      <c r="L2386" s="43">
        <v>0.25700000000000001</v>
      </c>
      <c r="O2386" s="50"/>
    </row>
    <row r="2387" spans="2:15" x14ac:dyDescent="0.2">
      <c r="B2387">
        <v>2372</v>
      </c>
      <c r="C2387" s="48">
        <f t="shared" ca="1" si="152"/>
        <v>0.13439829448297774</v>
      </c>
      <c r="D2387" s="48">
        <f t="shared" ca="1" si="149"/>
        <v>0.67336897591318601</v>
      </c>
      <c r="E2387" s="48">
        <f t="shared" ca="1" si="150"/>
        <v>0</v>
      </c>
      <c r="F2387" s="17">
        <f t="shared" ca="1" si="151"/>
        <v>0</v>
      </c>
      <c r="H2387" s="17">
        <v>2372</v>
      </c>
      <c r="I2387" s="43">
        <v>0.66826488042862242</v>
      </c>
      <c r="J2387" s="43">
        <v>1.8710833464849051E-2</v>
      </c>
      <c r="K2387" s="43"/>
      <c r="L2387" s="43">
        <v>0.24060000000000001</v>
      </c>
      <c r="O2387" s="50"/>
    </row>
    <row r="2388" spans="2:15" x14ac:dyDescent="0.2">
      <c r="B2388">
        <v>2373</v>
      </c>
      <c r="C2388" s="48">
        <f t="shared" ca="1" si="152"/>
        <v>-0.21267899986555897</v>
      </c>
      <c r="D2388" s="48">
        <f t="shared" ca="1" si="149"/>
        <v>0.65071773578253056</v>
      </c>
      <c r="E2388" s="48">
        <f t="shared" ca="1" si="150"/>
        <v>0</v>
      </c>
      <c r="F2388" s="17">
        <f t="shared" ca="1" si="151"/>
        <v>0</v>
      </c>
      <c r="H2388" s="17">
        <v>2373</v>
      </c>
      <c r="I2388" s="43">
        <v>0.67099169397988634</v>
      </c>
      <c r="J2388" s="43">
        <v>2.1084295217968146E-2</v>
      </c>
      <c r="K2388" s="43"/>
      <c r="L2388" s="43">
        <v>0.25679999999999997</v>
      </c>
      <c r="O2388" s="50"/>
    </row>
    <row r="2389" spans="2:15" x14ac:dyDescent="0.2">
      <c r="B2389">
        <v>2374</v>
      </c>
      <c r="C2389" s="48">
        <f t="shared" ca="1" si="152"/>
        <v>-2.1504467056734748</v>
      </c>
      <c r="D2389" s="48">
        <f t="shared" ca="1" si="149"/>
        <v>0.5375578314075723</v>
      </c>
      <c r="E2389" s="48">
        <f t="shared" ca="1" si="150"/>
        <v>0</v>
      </c>
      <c r="F2389" s="17">
        <f t="shared" ca="1" si="151"/>
        <v>0</v>
      </c>
      <c r="H2389" s="17">
        <v>2374</v>
      </c>
      <c r="I2389" s="43">
        <v>0.66838902273881773</v>
      </c>
      <c r="J2389" s="43">
        <v>1.8967993515242806E-2</v>
      </c>
      <c r="K2389" s="43"/>
      <c r="L2389" s="43">
        <v>0.2462</v>
      </c>
      <c r="O2389" s="50"/>
    </row>
    <row r="2390" spans="2:15" x14ac:dyDescent="0.2">
      <c r="B2390">
        <v>2375</v>
      </c>
      <c r="C2390" s="48">
        <f t="shared" ca="1" si="152"/>
        <v>0.48601765402185781</v>
      </c>
      <c r="D2390" s="48">
        <f t="shared" ca="1" si="149"/>
        <v>0.69712079154613937</v>
      </c>
      <c r="E2390" s="48">
        <f t="shared" ca="1" si="150"/>
        <v>0</v>
      </c>
      <c r="F2390" s="17">
        <f t="shared" ca="1" si="151"/>
        <v>0</v>
      </c>
      <c r="H2390" s="17">
        <v>2375</v>
      </c>
      <c r="I2390" s="43">
        <v>0.66849840293268548</v>
      </c>
      <c r="J2390" s="43">
        <v>1.9098046483707973E-2</v>
      </c>
      <c r="K2390" s="43"/>
      <c r="L2390" s="43">
        <v>0.25119999999999998</v>
      </c>
      <c r="O2390" s="50"/>
    </row>
    <row r="2391" spans="2:15" x14ac:dyDescent="0.2">
      <c r="B2391">
        <v>2376</v>
      </c>
      <c r="C2391" s="48">
        <f t="shared" ca="1" si="152"/>
        <v>0.36121876972808853</v>
      </c>
      <c r="D2391" s="48">
        <f t="shared" ca="1" si="149"/>
        <v>0.68859624072703551</v>
      </c>
      <c r="E2391" s="48">
        <f t="shared" ca="1" si="150"/>
        <v>0</v>
      </c>
      <c r="F2391" s="17">
        <f t="shared" ca="1" si="151"/>
        <v>0</v>
      </c>
      <c r="H2391" s="17">
        <v>2376</v>
      </c>
      <c r="I2391" s="43">
        <v>0.66837020249832491</v>
      </c>
      <c r="J2391" s="43">
        <v>1.8877736709145825E-2</v>
      </c>
      <c r="K2391" s="43"/>
      <c r="L2391" s="43">
        <v>0.24460000000000001</v>
      </c>
      <c r="O2391" s="50"/>
    </row>
    <row r="2392" spans="2:15" x14ac:dyDescent="0.2">
      <c r="B2392">
        <v>2377</v>
      </c>
      <c r="C2392" s="48">
        <f t="shared" ca="1" si="152"/>
        <v>-1.6028283981177438</v>
      </c>
      <c r="D2392" s="48">
        <f t="shared" ca="1" si="149"/>
        <v>0.56737737735200677</v>
      </c>
      <c r="E2392" s="48">
        <f t="shared" ca="1" si="150"/>
        <v>0</v>
      </c>
      <c r="F2392" s="17">
        <f t="shared" ca="1" si="151"/>
        <v>0</v>
      </c>
      <c r="H2392" s="17">
        <v>2377</v>
      </c>
      <c r="I2392" s="43">
        <v>0.67014254682672514</v>
      </c>
      <c r="J2392" s="43">
        <v>2.0069711745329143E-2</v>
      </c>
      <c r="K2392" s="43"/>
      <c r="L2392" s="43">
        <v>0.25059999999999999</v>
      </c>
      <c r="O2392" s="50"/>
    </row>
    <row r="2393" spans="2:15" x14ac:dyDescent="0.2">
      <c r="B2393">
        <v>2378</v>
      </c>
      <c r="C2393" s="48">
        <f t="shared" ca="1" si="152"/>
        <v>1.3853160757691736</v>
      </c>
      <c r="D2393" s="48">
        <f t="shared" ca="1" si="149"/>
        <v>0.76174987499555402</v>
      </c>
      <c r="E2393" s="48">
        <f t="shared" ca="1" si="150"/>
        <v>0</v>
      </c>
      <c r="F2393" s="17">
        <f t="shared" ca="1" si="151"/>
        <v>0</v>
      </c>
      <c r="H2393" s="17">
        <v>2378</v>
      </c>
      <c r="I2393" s="43">
        <v>0.6686484902870532</v>
      </c>
      <c r="J2393" s="43">
        <v>1.9586436594011828E-2</v>
      </c>
      <c r="K2393" s="43"/>
      <c r="L2393" s="43">
        <v>0.25819999999999999</v>
      </c>
      <c r="O2393" s="50"/>
    </row>
    <row r="2394" spans="2:15" x14ac:dyDescent="0.2">
      <c r="B2394">
        <v>2379</v>
      </c>
      <c r="C2394" s="48">
        <f t="shared" ca="1" si="152"/>
        <v>0.60319396298093919</v>
      </c>
      <c r="D2394" s="48">
        <f t="shared" ca="1" si="149"/>
        <v>0.70522070716963225</v>
      </c>
      <c r="E2394" s="48">
        <f t="shared" ca="1" si="150"/>
        <v>0</v>
      </c>
      <c r="F2394" s="17">
        <f t="shared" ca="1" si="151"/>
        <v>0</v>
      </c>
      <c r="H2394" s="17">
        <v>2379</v>
      </c>
      <c r="I2394" s="43">
        <v>0.66949832213539129</v>
      </c>
      <c r="J2394" s="43">
        <v>1.9728787637066494E-2</v>
      </c>
      <c r="K2394" s="43"/>
      <c r="L2394" s="43">
        <v>0.24560000000000001</v>
      </c>
      <c r="O2394" s="50"/>
    </row>
    <row r="2395" spans="2:15" x14ac:dyDescent="0.2">
      <c r="B2395">
        <v>2380</v>
      </c>
      <c r="C2395" s="48">
        <f t="shared" ca="1" si="152"/>
        <v>-0.99776272275751077</v>
      </c>
      <c r="D2395" s="48">
        <f t="shared" ca="1" si="149"/>
        <v>0.60225235078170258</v>
      </c>
      <c r="E2395" s="48">
        <f t="shared" ca="1" si="150"/>
        <v>0</v>
      </c>
      <c r="F2395" s="17">
        <f t="shared" ca="1" si="151"/>
        <v>0</v>
      </c>
      <c r="H2395" s="17">
        <v>2380</v>
      </c>
      <c r="I2395" s="43">
        <v>0.66926504519876995</v>
      </c>
      <c r="J2395" s="43">
        <v>1.9445782429073875E-2</v>
      </c>
      <c r="K2395" s="43"/>
      <c r="L2395" s="43">
        <v>0.24479999999999999</v>
      </c>
      <c r="O2395" s="50"/>
    </row>
    <row r="2396" spans="2:15" x14ac:dyDescent="0.2">
      <c r="B2396">
        <v>2381</v>
      </c>
      <c r="C2396" s="48">
        <f t="shared" ca="1" si="152"/>
        <v>-0.68136645578388366</v>
      </c>
      <c r="D2396" s="48">
        <f t="shared" ca="1" si="149"/>
        <v>0.62133429369109705</v>
      </c>
      <c r="E2396" s="48">
        <f t="shared" ca="1" si="150"/>
        <v>0</v>
      </c>
      <c r="F2396" s="17">
        <f t="shared" ca="1" si="151"/>
        <v>0</v>
      </c>
      <c r="H2396" s="17">
        <v>2381</v>
      </c>
      <c r="I2396" s="43">
        <v>0.66922503079204287</v>
      </c>
      <c r="J2396" s="43">
        <v>1.9381315565122806E-2</v>
      </c>
      <c r="K2396" s="43"/>
      <c r="L2396" s="43">
        <v>0.24759999999999999</v>
      </c>
      <c r="O2396" s="50"/>
    </row>
    <row r="2397" spans="2:15" x14ac:dyDescent="0.2">
      <c r="B2397">
        <v>2382</v>
      </c>
      <c r="C2397" s="48">
        <f t="shared" ca="1" si="152"/>
        <v>-2.4238447828676546</v>
      </c>
      <c r="D2397" s="48">
        <f t="shared" ca="1" si="149"/>
        <v>0.52326222406922973</v>
      </c>
      <c r="E2397" s="48">
        <f t="shared" ca="1" si="150"/>
        <v>0</v>
      </c>
      <c r="F2397" s="17">
        <f t="shared" ca="1" si="151"/>
        <v>0</v>
      </c>
      <c r="H2397" s="17">
        <v>2382</v>
      </c>
      <c r="I2397" s="43">
        <v>0.66863151052288905</v>
      </c>
      <c r="J2397" s="43">
        <v>1.9154901009579787E-2</v>
      </c>
      <c r="K2397" s="43"/>
      <c r="L2397" s="43">
        <v>0.24879999999999999</v>
      </c>
      <c r="O2397" s="50"/>
    </row>
    <row r="2398" spans="2:15" x14ac:dyDescent="0.2">
      <c r="B2398">
        <v>2383</v>
      </c>
      <c r="C2398" s="48">
        <f t="shared" ca="1" si="152"/>
        <v>1.6355286817682442</v>
      </c>
      <c r="D2398" s="48">
        <f t="shared" ca="1" si="149"/>
        <v>0.78077427024407675</v>
      </c>
      <c r="E2398" s="48">
        <f t="shared" ca="1" si="150"/>
        <v>0</v>
      </c>
      <c r="F2398" s="17">
        <f t="shared" ca="1" si="151"/>
        <v>0</v>
      </c>
      <c r="H2398" s="17">
        <v>2383</v>
      </c>
      <c r="I2398" s="43">
        <v>0.66910224548876862</v>
      </c>
      <c r="J2398" s="43">
        <v>1.93532394642725E-2</v>
      </c>
      <c r="K2398" s="43"/>
      <c r="L2398" s="43">
        <v>0.25259999999999999</v>
      </c>
      <c r="O2398" s="50"/>
    </row>
    <row r="2399" spans="2:15" x14ac:dyDescent="0.2">
      <c r="B2399">
        <v>2384</v>
      </c>
      <c r="C2399" s="48">
        <f t="shared" ca="1" si="152"/>
        <v>-1.93866949548626</v>
      </c>
      <c r="D2399" s="48">
        <f t="shared" ca="1" si="149"/>
        <v>0.54889925968601427</v>
      </c>
      <c r="E2399" s="48">
        <f t="shared" ca="1" si="150"/>
        <v>0</v>
      </c>
      <c r="F2399" s="17">
        <f t="shared" ca="1" si="151"/>
        <v>0</v>
      </c>
      <c r="H2399" s="17">
        <v>2384</v>
      </c>
      <c r="I2399" s="43">
        <v>0.66781776227080059</v>
      </c>
      <c r="J2399" s="43">
        <v>1.8358504409439407E-2</v>
      </c>
      <c r="K2399" s="43"/>
      <c r="L2399" s="43">
        <v>0.24840000000000001</v>
      </c>
      <c r="O2399" s="50"/>
    </row>
    <row r="2400" spans="2:15" x14ac:dyDescent="0.2">
      <c r="B2400">
        <v>2385</v>
      </c>
      <c r="C2400" s="48">
        <f t="shared" ca="1" si="152"/>
        <v>1.3304654869259709</v>
      </c>
      <c r="D2400" s="48">
        <f t="shared" ca="1" si="149"/>
        <v>0.75764176849113629</v>
      </c>
      <c r="E2400" s="48">
        <f t="shared" ca="1" si="150"/>
        <v>0</v>
      </c>
      <c r="F2400" s="17">
        <f t="shared" ca="1" si="151"/>
        <v>0</v>
      </c>
      <c r="H2400" s="17">
        <v>2385</v>
      </c>
      <c r="I2400" s="43">
        <v>0.66908627018563016</v>
      </c>
      <c r="J2400" s="43">
        <v>1.9425662933190865E-2</v>
      </c>
      <c r="K2400" s="43"/>
      <c r="L2400" s="43">
        <v>0.24660000000000001</v>
      </c>
      <c r="O2400" s="50"/>
    </row>
    <row r="2401" spans="2:15" x14ac:dyDescent="0.2">
      <c r="B2401">
        <v>2386</v>
      </c>
      <c r="C2401" s="48">
        <f t="shared" ca="1" si="152"/>
        <v>2.0673432724148952</v>
      </c>
      <c r="D2401" s="48">
        <f t="shared" ca="1" si="149"/>
        <v>0.81473066756404788</v>
      </c>
      <c r="E2401" s="48">
        <f t="shared" ca="1" si="150"/>
        <v>2.6530667564047872E-2</v>
      </c>
      <c r="F2401" s="17">
        <f t="shared" ca="1" si="151"/>
        <v>1</v>
      </c>
      <c r="H2401" s="17">
        <v>2386</v>
      </c>
      <c r="I2401" s="43">
        <v>0.66859098237847059</v>
      </c>
      <c r="J2401" s="43">
        <v>1.9225486852970933E-2</v>
      </c>
      <c r="K2401" s="43"/>
      <c r="L2401" s="43">
        <v>0.2482</v>
      </c>
      <c r="O2401" s="50"/>
    </row>
    <row r="2402" spans="2:15" x14ac:dyDescent="0.2">
      <c r="B2402">
        <v>2387</v>
      </c>
      <c r="C2402" s="48">
        <f t="shared" ca="1" si="152"/>
        <v>1.6126738226335176</v>
      </c>
      <c r="D2402" s="48">
        <f t="shared" ca="1" si="149"/>
        <v>0.77901700800167673</v>
      </c>
      <c r="E2402" s="48">
        <f t="shared" ca="1" si="150"/>
        <v>0</v>
      </c>
      <c r="F2402" s="17">
        <f t="shared" ca="1" si="151"/>
        <v>0</v>
      </c>
      <c r="H2402" s="17">
        <v>2387</v>
      </c>
      <c r="I2402" s="43">
        <v>0.66903083594228197</v>
      </c>
      <c r="J2402" s="43">
        <v>1.9492051564385354E-2</v>
      </c>
      <c r="K2402" s="43"/>
      <c r="L2402" s="43">
        <v>0.255</v>
      </c>
      <c r="O2402" s="50"/>
    </row>
    <row r="2403" spans="2:15" x14ac:dyDescent="0.2">
      <c r="B2403">
        <v>2388</v>
      </c>
      <c r="C2403" s="48">
        <f t="shared" ca="1" si="152"/>
        <v>1.5647547826159112</v>
      </c>
      <c r="D2403" s="48">
        <f t="shared" ca="1" si="149"/>
        <v>0.77534544214628875</v>
      </c>
      <c r="E2403" s="48">
        <f t="shared" ca="1" si="150"/>
        <v>0</v>
      </c>
      <c r="F2403" s="17">
        <f t="shared" ca="1" si="151"/>
        <v>0</v>
      </c>
      <c r="H2403" s="17">
        <v>2388</v>
      </c>
      <c r="I2403" s="43">
        <v>0.66810107495916138</v>
      </c>
      <c r="J2403" s="43">
        <v>1.8804738639699732E-2</v>
      </c>
      <c r="K2403" s="43"/>
      <c r="L2403" s="43">
        <v>0.24740000000000001</v>
      </c>
      <c r="O2403" s="50"/>
    </row>
    <row r="2404" spans="2:15" x14ac:dyDescent="0.2">
      <c r="B2404">
        <v>2389</v>
      </c>
      <c r="C2404" s="48">
        <f t="shared" ca="1" si="152"/>
        <v>-9.8878639627092979E-2</v>
      </c>
      <c r="D2404" s="48">
        <f t="shared" ca="1" si="149"/>
        <v>0.65805943379810028</v>
      </c>
      <c r="E2404" s="48">
        <f t="shared" ca="1" si="150"/>
        <v>0</v>
      </c>
      <c r="F2404" s="17">
        <f t="shared" ca="1" si="151"/>
        <v>0</v>
      </c>
      <c r="H2404" s="17">
        <v>2389</v>
      </c>
      <c r="I2404" s="43">
        <v>0.66985048844374118</v>
      </c>
      <c r="J2404" s="43">
        <v>2.0071385824501728E-2</v>
      </c>
      <c r="K2404" s="43"/>
      <c r="L2404" s="43">
        <v>0.24840000000000001</v>
      </c>
      <c r="O2404" s="50"/>
    </row>
    <row r="2405" spans="2:15" x14ac:dyDescent="0.2">
      <c r="B2405">
        <v>2390</v>
      </c>
      <c r="C2405" s="48">
        <f t="shared" ca="1" si="152"/>
        <v>0.40946133505391691</v>
      </c>
      <c r="D2405" s="48">
        <f t="shared" ca="1" si="149"/>
        <v>0.6918790824740858</v>
      </c>
      <c r="E2405" s="48">
        <f t="shared" ca="1" si="150"/>
        <v>0</v>
      </c>
      <c r="F2405" s="17">
        <f t="shared" ca="1" si="151"/>
        <v>0</v>
      </c>
      <c r="H2405" s="17">
        <v>2390</v>
      </c>
      <c r="I2405" s="43">
        <v>0.6691336650933587</v>
      </c>
      <c r="J2405" s="43">
        <v>1.9168921811537391E-2</v>
      </c>
      <c r="K2405" s="43"/>
      <c r="L2405" s="43">
        <v>0.2424</v>
      </c>
      <c r="O2405" s="50"/>
    </row>
    <row r="2406" spans="2:15" x14ac:dyDescent="0.2">
      <c r="B2406">
        <v>2391</v>
      </c>
      <c r="C2406" s="48">
        <f t="shared" ca="1" si="152"/>
        <v>-2.6218814941311215</v>
      </c>
      <c r="D2406" s="48">
        <f t="shared" ca="1" si="149"/>
        <v>0.51314516845683233</v>
      </c>
      <c r="E2406" s="48">
        <f t="shared" ca="1" si="150"/>
        <v>0</v>
      </c>
      <c r="F2406" s="17">
        <f t="shared" ca="1" si="151"/>
        <v>0</v>
      </c>
      <c r="H2406" s="17">
        <v>2391</v>
      </c>
      <c r="I2406" s="43">
        <v>0.66814818633269923</v>
      </c>
      <c r="J2406" s="43">
        <v>1.8935699843868777E-2</v>
      </c>
      <c r="K2406" s="43"/>
      <c r="L2406" s="43">
        <v>0.24479999999999999</v>
      </c>
      <c r="O2406" s="50"/>
    </row>
    <row r="2407" spans="2:15" x14ac:dyDescent="0.2">
      <c r="B2407">
        <v>2392</v>
      </c>
      <c r="C2407" s="48">
        <f t="shared" ca="1" si="152"/>
        <v>-1.3289467571163047</v>
      </c>
      <c r="D2407" s="48">
        <f t="shared" ca="1" si="149"/>
        <v>0.58290600611665022</v>
      </c>
      <c r="E2407" s="48">
        <f t="shared" ca="1" si="150"/>
        <v>0</v>
      </c>
      <c r="F2407" s="17">
        <f t="shared" ca="1" si="151"/>
        <v>0</v>
      </c>
      <c r="H2407" s="17">
        <v>2392</v>
      </c>
      <c r="I2407" s="43">
        <v>0.66889227874010715</v>
      </c>
      <c r="J2407" s="43">
        <v>1.9060901914033253E-2</v>
      </c>
      <c r="K2407" s="43"/>
      <c r="L2407" s="43">
        <v>0.25040000000000001</v>
      </c>
      <c r="O2407" s="50"/>
    </row>
    <row r="2408" spans="2:15" x14ac:dyDescent="0.2">
      <c r="B2408">
        <v>2393</v>
      </c>
      <c r="C2408" s="48">
        <f t="shared" ca="1" si="152"/>
        <v>-5.4899086971165766E-2</v>
      </c>
      <c r="D2408" s="48">
        <f t="shared" ca="1" si="149"/>
        <v>0.6609188640125897</v>
      </c>
      <c r="E2408" s="48">
        <f t="shared" ca="1" si="150"/>
        <v>0</v>
      </c>
      <c r="F2408" s="17">
        <f t="shared" ca="1" si="151"/>
        <v>0</v>
      </c>
      <c r="H2408" s="17">
        <v>2393</v>
      </c>
      <c r="I2408" s="43">
        <v>0.66953590238497707</v>
      </c>
      <c r="J2408" s="43">
        <v>1.9706017374875526E-2</v>
      </c>
      <c r="K2408" s="43"/>
      <c r="L2408" s="43">
        <v>0.25259999999999999</v>
      </c>
      <c r="O2408" s="50"/>
    </row>
    <row r="2409" spans="2:15" x14ac:dyDescent="0.2">
      <c r="B2409">
        <v>2394</v>
      </c>
      <c r="C2409" s="48">
        <f t="shared" ca="1" si="152"/>
        <v>-0.23786273020761031</v>
      </c>
      <c r="D2409" s="48">
        <f t="shared" ca="1" si="149"/>
        <v>0.6491041375733384</v>
      </c>
      <c r="E2409" s="48">
        <f t="shared" ca="1" si="150"/>
        <v>0</v>
      </c>
      <c r="F2409" s="17">
        <f t="shared" ca="1" si="151"/>
        <v>0</v>
      </c>
      <c r="H2409" s="17">
        <v>2394</v>
      </c>
      <c r="I2409" s="43">
        <v>0.66747892767577599</v>
      </c>
      <c r="J2409" s="43">
        <v>1.836391347414763E-2</v>
      </c>
      <c r="K2409" s="43"/>
      <c r="L2409" s="43">
        <v>0.25059999999999999</v>
      </c>
      <c r="O2409" s="50"/>
    </row>
    <row r="2410" spans="2:15" x14ac:dyDescent="0.2">
      <c r="B2410">
        <v>2395</v>
      </c>
      <c r="C2410" s="48">
        <f t="shared" ca="1" si="152"/>
        <v>0.41694967900364627</v>
      </c>
      <c r="D2410" s="48">
        <f t="shared" ca="1" si="149"/>
        <v>0.69239005556011857</v>
      </c>
      <c r="E2410" s="48">
        <f t="shared" ca="1" si="150"/>
        <v>0</v>
      </c>
      <c r="F2410" s="17">
        <f t="shared" ca="1" si="151"/>
        <v>0</v>
      </c>
      <c r="H2410" s="17">
        <v>2395</v>
      </c>
      <c r="I2410" s="43">
        <v>0.6680054999952254</v>
      </c>
      <c r="J2410" s="43">
        <v>1.8638575297237597E-2</v>
      </c>
      <c r="K2410" s="43"/>
      <c r="L2410" s="43">
        <v>0.24079999999999999</v>
      </c>
      <c r="O2410" s="50"/>
    </row>
    <row r="2411" spans="2:15" x14ac:dyDescent="0.2">
      <c r="B2411">
        <v>2396</v>
      </c>
      <c r="C2411" s="48">
        <f t="shared" ca="1" si="152"/>
        <v>-2.0847853498543416</v>
      </c>
      <c r="D2411" s="48">
        <f t="shared" ca="1" si="149"/>
        <v>0.54104893870058635</v>
      </c>
      <c r="E2411" s="48">
        <f t="shared" ca="1" si="150"/>
        <v>0</v>
      </c>
      <c r="F2411" s="17">
        <f t="shared" ca="1" si="151"/>
        <v>0</v>
      </c>
      <c r="H2411" s="17">
        <v>2396</v>
      </c>
      <c r="I2411" s="43">
        <v>0.66939675845709867</v>
      </c>
      <c r="J2411" s="43">
        <v>1.9823615709409274E-2</v>
      </c>
      <c r="K2411" s="43"/>
      <c r="L2411" s="43">
        <v>0.25240000000000001</v>
      </c>
      <c r="O2411" s="50"/>
    </row>
    <row r="2412" spans="2:15" x14ac:dyDescent="0.2">
      <c r="B2412">
        <v>2397</v>
      </c>
      <c r="C2412" s="48">
        <f t="shared" ca="1" si="152"/>
        <v>-2.6125760820210528</v>
      </c>
      <c r="D2412" s="48">
        <f t="shared" ca="1" si="149"/>
        <v>0.51361614231479935</v>
      </c>
      <c r="E2412" s="48">
        <f t="shared" ca="1" si="150"/>
        <v>0</v>
      </c>
      <c r="F2412" s="17">
        <f t="shared" ca="1" si="151"/>
        <v>0</v>
      </c>
      <c r="H2412" s="17">
        <v>2397</v>
      </c>
      <c r="I2412" s="43">
        <v>0.66860355602112298</v>
      </c>
      <c r="J2412" s="43">
        <v>1.8980970943624196E-2</v>
      </c>
      <c r="K2412" s="43"/>
      <c r="L2412" s="43">
        <v>0.24959999999999999</v>
      </c>
      <c r="O2412" s="50"/>
    </row>
    <row r="2413" spans="2:15" x14ac:dyDescent="0.2">
      <c r="B2413">
        <v>2398</v>
      </c>
      <c r="C2413" s="48">
        <f t="shared" ca="1" si="152"/>
        <v>0.54523336542657475</v>
      </c>
      <c r="D2413" s="48">
        <f t="shared" ca="1" si="149"/>
        <v>0.70120243452126074</v>
      </c>
      <c r="E2413" s="48">
        <f t="shared" ca="1" si="150"/>
        <v>0</v>
      </c>
      <c r="F2413" s="17">
        <f t="shared" ca="1" si="151"/>
        <v>0</v>
      </c>
      <c r="H2413" s="17">
        <v>2398</v>
      </c>
      <c r="I2413" s="43">
        <v>0.66887509716559657</v>
      </c>
      <c r="J2413" s="43">
        <v>1.9401691916911854E-2</v>
      </c>
      <c r="K2413" s="43"/>
      <c r="L2413" s="43">
        <v>0.2414</v>
      </c>
      <c r="O2413" s="50"/>
    </row>
    <row r="2414" spans="2:15" x14ac:dyDescent="0.2">
      <c r="B2414">
        <v>2399</v>
      </c>
      <c r="C2414" s="48">
        <f t="shared" ca="1" si="152"/>
        <v>4.5572924539298905E-2</v>
      </c>
      <c r="D2414" s="48">
        <f t="shared" ca="1" si="149"/>
        <v>0.6674979815528459</v>
      </c>
      <c r="E2414" s="48">
        <f t="shared" ca="1" si="150"/>
        <v>0</v>
      </c>
      <c r="F2414" s="17">
        <f t="shared" ca="1" si="151"/>
        <v>0</v>
      </c>
      <c r="H2414" s="17">
        <v>2399</v>
      </c>
      <c r="I2414" s="43">
        <v>0.66828612328126114</v>
      </c>
      <c r="J2414" s="43">
        <v>1.8756784611788983E-2</v>
      </c>
      <c r="K2414" s="43"/>
      <c r="L2414" s="43">
        <v>0.2424</v>
      </c>
      <c r="O2414" s="50"/>
    </row>
    <row r="2415" spans="2:15" x14ac:dyDescent="0.2">
      <c r="B2415">
        <v>2400</v>
      </c>
      <c r="C2415" s="48">
        <f t="shared" ca="1" si="152"/>
        <v>0.21119184666760249</v>
      </c>
      <c r="D2415" s="48">
        <f t="shared" ca="1" si="149"/>
        <v>0.67848631993473563</v>
      </c>
      <c r="E2415" s="48">
        <f t="shared" ca="1" si="150"/>
        <v>0</v>
      </c>
      <c r="F2415" s="17">
        <f t="shared" ca="1" si="151"/>
        <v>0</v>
      </c>
      <c r="H2415" s="17">
        <v>2400</v>
      </c>
      <c r="I2415" s="43">
        <v>0.66968332713747813</v>
      </c>
      <c r="J2415" s="43">
        <v>1.985026440257753E-2</v>
      </c>
      <c r="K2415" s="43"/>
      <c r="L2415" s="43">
        <v>0.248</v>
      </c>
      <c r="O2415" s="50"/>
    </row>
    <row r="2416" spans="2:15" x14ac:dyDescent="0.2">
      <c r="B2416">
        <v>2401</v>
      </c>
      <c r="C2416" s="48">
        <f t="shared" ca="1" si="152"/>
        <v>-0.39814706522847038</v>
      </c>
      <c r="D2416" s="48">
        <f t="shared" ca="1" si="149"/>
        <v>0.6389275932206312</v>
      </c>
      <c r="E2416" s="48">
        <f t="shared" ca="1" si="150"/>
        <v>0</v>
      </c>
      <c r="F2416" s="17">
        <f t="shared" ca="1" si="151"/>
        <v>0</v>
      </c>
      <c r="H2416" s="17">
        <v>2401</v>
      </c>
      <c r="I2416" s="43">
        <v>0.66894318740393022</v>
      </c>
      <c r="J2416" s="43">
        <v>1.9420239310690184E-2</v>
      </c>
      <c r="K2416" s="43"/>
      <c r="L2416" s="43">
        <v>0.25800000000000001</v>
      </c>
      <c r="O2416" s="50"/>
    </row>
    <row r="2417" spans="2:15" x14ac:dyDescent="0.2">
      <c r="B2417">
        <v>2402</v>
      </c>
      <c r="C2417" s="48">
        <f t="shared" ca="1" si="152"/>
        <v>-0.87134170983880987</v>
      </c>
      <c r="D2417" s="48">
        <f t="shared" ca="1" si="149"/>
        <v>0.60980551142853434</v>
      </c>
      <c r="E2417" s="48">
        <f t="shared" ca="1" si="150"/>
        <v>0</v>
      </c>
      <c r="F2417" s="17">
        <f t="shared" ca="1" si="151"/>
        <v>0</v>
      </c>
      <c r="H2417" s="17">
        <v>2402</v>
      </c>
      <c r="I2417" s="43">
        <v>0.66907116627171515</v>
      </c>
      <c r="J2417" s="43">
        <v>1.9313748879454581E-2</v>
      </c>
      <c r="K2417" s="43"/>
      <c r="L2417" s="43">
        <v>0.2442</v>
      </c>
      <c r="O2417" s="50"/>
    </row>
    <row r="2418" spans="2:15" x14ac:dyDescent="0.2">
      <c r="B2418">
        <v>2403</v>
      </c>
      <c r="C2418" s="48">
        <f t="shared" ca="1" si="152"/>
        <v>1.5944922693974659</v>
      </c>
      <c r="D2418" s="48">
        <f t="shared" ca="1" si="149"/>
        <v>0.77762189151965733</v>
      </c>
      <c r="E2418" s="48">
        <f t="shared" ca="1" si="150"/>
        <v>0</v>
      </c>
      <c r="F2418" s="17">
        <f t="shared" ca="1" si="151"/>
        <v>0</v>
      </c>
      <c r="H2418" s="17">
        <v>2403</v>
      </c>
      <c r="I2418" s="43">
        <v>0.66787671365083578</v>
      </c>
      <c r="J2418" s="43">
        <v>1.8574575474870021E-2</v>
      </c>
      <c r="K2418" s="43"/>
      <c r="L2418" s="43">
        <v>0.25019999999999998</v>
      </c>
      <c r="O2418" s="50"/>
    </row>
    <row r="2419" spans="2:15" x14ac:dyDescent="0.2">
      <c r="B2419">
        <v>2404</v>
      </c>
      <c r="C2419" s="48">
        <f t="shared" ca="1" si="152"/>
        <v>0.7806437150474832</v>
      </c>
      <c r="D2419" s="48">
        <f t="shared" ca="1" si="149"/>
        <v>0.71766661427761058</v>
      </c>
      <c r="E2419" s="48">
        <f t="shared" ca="1" si="150"/>
        <v>0</v>
      </c>
      <c r="F2419" s="17">
        <f t="shared" ca="1" si="151"/>
        <v>0</v>
      </c>
      <c r="H2419" s="17">
        <v>2404</v>
      </c>
      <c r="I2419" s="43">
        <v>0.66934346398428335</v>
      </c>
      <c r="J2419" s="43">
        <v>1.9711442143627012E-2</v>
      </c>
      <c r="K2419" s="43"/>
      <c r="L2419" s="43">
        <v>0.25140000000000001</v>
      </c>
      <c r="O2419" s="50"/>
    </row>
    <row r="2420" spans="2:15" x14ac:dyDescent="0.2">
      <c r="B2420">
        <v>2405</v>
      </c>
      <c r="C2420" s="48">
        <f t="shared" ca="1" si="152"/>
        <v>0.67294278514453143</v>
      </c>
      <c r="D2420" s="48">
        <f t="shared" ca="1" si="149"/>
        <v>0.71008676978216723</v>
      </c>
      <c r="E2420" s="48">
        <f t="shared" ca="1" si="150"/>
        <v>0</v>
      </c>
      <c r="F2420" s="17">
        <f t="shared" ca="1" si="151"/>
        <v>0</v>
      </c>
      <c r="H2420" s="17">
        <v>2405</v>
      </c>
      <c r="I2420" s="43">
        <v>0.66831196462894926</v>
      </c>
      <c r="J2420" s="43">
        <v>1.894569994441744E-2</v>
      </c>
      <c r="K2420" s="43"/>
      <c r="L2420" s="43">
        <v>0.25459999999999999</v>
      </c>
      <c r="O2420" s="50"/>
    </row>
    <row r="2421" spans="2:15" x14ac:dyDescent="0.2">
      <c r="B2421">
        <v>2406</v>
      </c>
      <c r="C2421" s="48">
        <f t="shared" ca="1" si="152"/>
        <v>-1.0407412501790791</v>
      </c>
      <c r="D2421" s="48">
        <f t="shared" ca="1" si="149"/>
        <v>0.59970591929198391</v>
      </c>
      <c r="E2421" s="48">
        <f t="shared" ca="1" si="150"/>
        <v>0</v>
      </c>
      <c r="F2421" s="17">
        <f t="shared" ca="1" si="151"/>
        <v>0</v>
      </c>
      <c r="H2421" s="17">
        <v>2406</v>
      </c>
      <c r="I2421" s="43">
        <v>0.6692468479426199</v>
      </c>
      <c r="J2421" s="43">
        <v>1.9386255642763753E-2</v>
      </c>
      <c r="K2421" s="43"/>
      <c r="L2421" s="43">
        <v>0.24479999999999999</v>
      </c>
      <c r="O2421" s="50"/>
    </row>
    <row r="2422" spans="2:15" x14ac:dyDescent="0.2">
      <c r="B2422">
        <v>2407</v>
      </c>
      <c r="C2422" s="48">
        <f t="shared" ca="1" si="152"/>
        <v>-6.0615924294299774E-2</v>
      </c>
      <c r="D2422" s="48">
        <f t="shared" ca="1" si="149"/>
        <v>0.66054646945765927</v>
      </c>
      <c r="E2422" s="48">
        <f t="shared" ca="1" si="150"/>
        <v>0</v>
      </c>
      <c r="F2422" s="17">
        <f t="shared" ca="1" si="151"/>
        <v>0</v>
      </c>
      <c r="H2422" s="17">
        <v>2407</v>
      </c>
      <c r="I2422" s="43">
        <v>0.66961994903703204</v>
      </c>
      <c r="J2422" s="43">
        <v>1.9944992132568479E-2</v>
      </c>
      <c r="K2422" s="43"/>
      <c r="L2422" s="43">
        <v>0.25080000000000002</v>
      </c>
      <c r="O2422" s="50"/>
    </row>
    <row r="2423" spans="2:15" x14ac:dyDescent="0.2">
      <c r="B2423">
        <v>2408</v>
      </c>
      <c r="C2423" s="48">
        <f t="shared" ca="1" si="152"/>
        <v>-0.63762447975463521</v>
      </c>
      <c r="D2423" s="48">
        <f t="shared" ca="1" si="149"/>
        <v>0.62401952812676409</v>
      </c>
      <c r="E2423" s="48">
        <f t="shared" ca="1" si="150"/>
        <v>0</v>
      </c>
      <c r="F2423" s="17">
        <f t="shared" ca="1" si="151"/>
        <v>0</v>
      </c>
      <c r="H2423" s="17">
        <v>2408</v>
      </c>
      <c r="I2423" s="43">
        <v>0.66995296019459127</v>
      </c>
      <c r="J2423" s="43">
        <v>2.0198807717490518E-2</v>
      </c>
      <c r="K2423" s="43"/>
      <c r="L2423" s="43">
        <v>0.253</v>
      </c>
      <c r="O2423" s="50"/>
    </row>
    <row r="2424" spans="2:15" x14ac:dyDescent="0.2">
      <c r="B2424">
        <v>2409</v>
      </c>
      <c r="C2424" s="48">
        <f t="shared" ca="1" si="152"/>
        <v>1.3947143615371795</v>
      </c>
      <c r="D2424" s="48">
        <f t="shared" ca="1" si="149"/>
        <v>0.76245600387280676</v>
      </c>
      <c r="E2424" s="48">
        <f t="shared" ca="1" si="150"/>
        <v>0</v>
      </c>
      <c r="F2424" s="17">
        <f t="shared" ca="1" si="151"/>
        <v>0</v>
      </c>
      <c r="H2424" s="17">
        <v>2409</v>
      </c>
      <c r="I2424" s="43">
        <v>0.66879577759573827</v>
      </c>
      <c r="J2424" s="43">
        <v>1.940953865363439E-2</v>
      </c>
      <c r="K2424" s="43"/>
      <c r="L2424" s="43">
        <v>0.25340000000000001</v>
      </c>
      <c r="O2424" s="50"/>
    </row>
    <row r="2425" spans="2:15" x14ac:dyDescent="0.2">
      <c r="B2425">
        <v>2410</v>
      </c>
      <c r="C2425" s="48">
        <f t="shared" ca="1" si="152"/>
        <v>-1.8161478167944354</v>
      </c>
      <c r="D2425" s="48">
        <f t="shared" ca="1" si="149"/>
        <v>0.55556967520327205</v>
      </c>
      <c r="E2425" s="48">
        <f t="shared" ca="1" si="150"/>
        <v>0</v>
      </c>
      <c r="F2425" s="17">
        <f t="shared" ca="1" si="151"/>
        <v>0</v>
      </c>
      <c r="H2425" s="17">
        <v>2410</v>
      </c>
      <c r="I2425" s="43">
        <v>0.66925142060717469</v>
      </c>
      <c r="J2425" s="43">
        <v>1.9644551932934077E-2</v>
      </c>
      <c r="K2425" s="43"/>
      <c r="L2425" s="43">
        <v>0.25280000000000002</v>
      </c>
      <c r="O2425" s="50"/>
    </row>
    <row r="2426" spans="2:15" x14ac:dyDescent="0.2">
      <c r="B2426">
        <v>2411</v>
      </c>
      <c r="C2426" s="48">
        <f t="shared" ca="1" si="152"/>
        <v>-0.10487744664955546</v>
      </c>
      <c r="D2426" s="48">
        <f t="shared" ca="1" si="149"/>
        <v>0.65767036776666121</v>
      </c>
      <c r="E2426" s="48">
        <f t="shared" ca="1" si="150"/>
        <v>0</v>
      </c>
      <c r="F2426" s="17">
        <f t="shared" ca="1" si="151"/>
        <v>0</v>
      </c>
      <c r="H2426" s="17">
        <v>2411</v>
      </c>
      <c r="I2426" s="43">
        <v>0.66845464490242434</v>
      </c>
      <c r="J2426" s="43">
        <v>1.8928193361128123E-2</v>
      </c>
      <c r="K2426" s="43"/>
      <c r="L2426" s="43">
        <v>0.247</v>
      </c>
      <c r="O2426" s="50"/>
    </row>
    <row r="2427" spans="2:15" x14ac:dyDescent="0.2">
      <c r="B2427">
        <v>2412</v>
      </c>
      <c r="C2427" s="48">
        <f t="shared" ca="1" si="152"/>
        <v>-0.20927161923736931</v>
      </c>
      <c r="D2427" s="48">
        <f t="shared" ca="1" si="149"/>
        <v>0.6509363648798655</v>
      </c>
      <c r="E2427" s="48">
        <f t="shared" ca="1" si="150"/>
        <v>0</v>
      </c>
      <c r="F2427" s="17">
        <f t="shared" ca="1" si="151"/>
        <v>0</v>
      </c>
      <c r="H2427" s="17">
        <v>2412</v>
      </c>
      <c r="I2427" s="43">
        <v>0.66835338476679484</v>
      </c>
      <c r="J2427" s="43">
        <v>1.8824470074882589E-2</v>
      </c>
      <c r="K2427" s="43"/>
      <c r="L2427" s="43">
        <v>0.2424</v>
      </c>
      <c r="O2427" s="50"/>
    </row>
    <row r="2428" spans="2:15" x14ac:dyDescent="0.2">
      <c r="B2428">
        <v>2413</v>
      </c>
      <c r="C2428" s="48">
        <f t="shared" ca="1" si="152"/>
        <v>0.67941378447807566</v>
      </c>
      <c r="D2428" s="48">
        <f t="shared" ca="1" si="149"/>
        <v>0.71053992087862461</v>
      </c>
      <c r="E2428" s="48">
        <f t="shared" ca="1" si="150"/>
        <v>0</v>
      </c>
      <c r="F2428" s="17">
        <f t="shared" ca="1" si="151"/>
        <v>0</v>
      </c>
      <c r="H2428" s="17">
        <v>2413</v>
      </c>
      <c r="I2428" s="43">
        <v>0.67075352794076359</v>
      </c>
      <c r="J2428" s="43">
        <v>2.0701450835226641E-2</v>
      </c>
      <c r="K2428" s="43"/>
      <c r="L2428" s="43">
        <v>0.25559999999999999</v>
      </c>
      <c r="O2428" s="50"/>
    </row>
    <row r="2429" spans="2:15" x14ac:dyDescent="0.2">
      <c r="B2429">
        <v>2414</v>
      </c>
      <c r="C2429" s="48">
        <f t="shared" ca="1" si="152"/>
        <v>1.5122718645357662</v>
      </c>
      <c r="D2429" s="48">
        <f t="shared" ca="1" si="149"/>
        <v>0.77134404311056914</v>
      </c>
      <c r="E2429" s="48">
        <f t="shared" ca="1" si="150"/>
        <v>0</v>
      </c>
      <c r="F2429" s="17">
        <f t="shared" ca="1" si="151"/>
        <v>0</v>
      </c>
      <c r="H2429" s="17">
        <v>2414</v>
      </c>
      <c r="I2429" s="43">
        <v>0.66960492767199209</v>
      </c>
      <c r="J2429" s="43">
        <v>1.9833050005434449E-2</v>
      </c>
      <c r="K2429" s="43"/>
      <c r="L2429" s="43">
        <v>0.25140000000000001</v>
      </c>
      <c r="O2429" s="50"/>
    </row>
    <row r="2430" spans="2:15" x14ac:dyDescent="0.2">
      <c r="B2430">
        <v>2415</v>
      </c>
      <c r="C2430" s="48">
        <f t="shared" ca="1" si="152"/>
        <v>2.2156570603631698</v>
      </c>
      <c r="D2430" s="48">
        <f t="shared" ca="1" si="149"/>
        <v>0.82673108301666642</v>
      </c>
      <c r="E2430" s="48">
        <f t="shared" ca="1" si="150"/>
        <v>3.8531083016666412E-2</v>
      </c>
      <c r="F2430" s="17">
        <f t="shared" ca="1" si="151"/>
        <v>1</v>
      </c>
      <c r="H2430" s="17">
        <v>2415</v>
      </c>
      <c r="I2430" s="43">
        <v>0.66975468549704842</v>
      </c>
      <c r="J2430" s="43">
        <v>1.9960022360578408E-2</v>
      </c>
      <c r="K2430" s="43"/>
      <c r="L2430" s="43">
        <v>0.25219999999999998</v>
      </c>
      <c r="O2430" s="50"/>
    </row>
    <row r="2431" spans="2:15" x14ac:dyDescent="0.2">
      <c r="B2431">
        <v>2416</v>
      </c>
      <c r="C2431" s="48">
        <f t="shared" ca="1" si="152"/>
        <v>-0.33939755660302773</v>
      </c>
      <c r="D2431" s="48">
        <f t="shared" ca="1" si="149"/>
        <v>0.64263897746537813</v>
      </c>
      <c r="E2431" s="48">
        <f t="shared" ca="1" si="150"/>
        <v>0</v>
      </c>
      <c r="F2431" s="17">
        <f t="shared" ca="1" si="151"/>
        <v>0</v>
      </c>
      <c r="H2431" s="17">
        <v>2416</v>
      </c>
      <c r="I2431" s="43">
        <v>0.66918153463345775</v>
      </c>
      <c r="J2431" s="43">
        <v>1.9314772522101273E-2</v>
      </c>
      <c r="K2431" s="43"/>
      <c r="L2431" s="43">
        <v>0.24560000000000001</v>
      </c>
      <c r="O2431" s="50"/>
    </row>
    <row r="2432" spans="2:15" x14ac:dyDescent="0.2">
      <c r="B2432">
        <v>2417</v>
      </c>
      <c r="C2432" s="48">
        <f t="shared" ca="1" si="152"/>
        <v>0.56097669538545525</v>
      </c>
      <c r="D2432" s="48">
        <f t="shared" ca="1" si="149"/>
        <v>0.70229161239527982</v>
      </c>
      <c r="E2432" s="48">
        <f t="shared" ca="1" si="150"/>
        <v>0</v>
      </c>
      <c r="F2432" s="17">
        <f t="shared" ca="1" si="151"/>
        <v>0</v>
      </c>
      <c r="H2432" s="17">
        <v>2417</v>
      </c>
      <c r="I2432" s="43">
        <v>0.66799541263616824</v>
      </c>
      <c r="J2432" s="43">
        <v>1.8675269905096957E-2</v>
      </c>
      <c r="K2432" s="43"/>
      <c r="L2432" s="43">
        <v>0.24679999999999999</v>
      </c>
      <c r="O2432" s="50"/>
    </row>
    <row r="2433" spans="2:15" x14ac:dyDescent="0.2">
      <c r="B2433">
        <v>2418</v>
      </c>
      <c r="C2433" s="48">
        <f t="shared" ca="1" si="152"/>
        <v>1.6282288079287344</v>
      </c>
      <c r="D2433" s="48">
        <f t="shared" ca="1" si="149"/>
        <v>0.78021256781524351</v>
      </c>
      <c r="E2433" s="48">
        <f t="shared" ca="1" si="150"/>
        <v>0</v>
      </c>
      <c r="F2433" s="17">
        <f t="shared" ca="1" si="151"/>
        <v>0</v>
      </c>
      <c r="H2433" s="17">
        <v>2418</v>
      </c>
      <c r="I2433" s="43">
        <v>0.6683614017767211</v>
      </c>
      <c r="J2433" s="43">
        <v>1.8773343198620413E-2</v>
      </c>
      <c r="K2433" s="43"/>
      <c r="L2433" s="43">
        <v>0.2412</v>
      </c>
      <c r="O2433" s="50"/>
    </row>
    <row r="2434" spans="2:15" x14ac:dyDescent="0.2">
      <c r="B2434">
        <v>2419</v>
      </c>
      <c r="C2434" s="48">
        <f t="shared" ca="1" si="152"/>
        <v>-1.5263877988914478</v>
      </c>
      <c r="D2434" s="48">
        <f t="shared" ca="1" si="149"/>
        <v>0.57166933360578021</v>
      </c>
      <c r="E2434" s="48">
        <f t="shared" ca="1" si="150"/>
        <v>0</v>
      </c>
      <c r="F2434" s="17">
        <f t="shared" ca="1" si="151"/>
        <v>0</v>
      </c>
      <c r="H2434" s="17">
        <v>2419</v>
      </c>
      <c r="I2434" s="43">
        <v>0.66820457027400859</v>
      </c>
      <c r="J2434" s="43">
        <v>1.8772989404451056E-2</v>
      </c>
      <c r="K2434" s="43"/>
      <c r="L2434" s="43">
        <v>0.24479999999999999</v>
      </c>
      <c r="O2434" s="50"/>
    </row>
    <row r="2435" spans="2:15" x14ac:dyDescent="0.2">
      <c r="B2435">
        <v>2420</v>
      </c>
      <c r="C2435" s="48">
        <f t="shared" ca="1" si="152"/>
        <v>-0.41484687296956446</v>
      </c>
      <c r="D2435" s="48">
        <f t="shared" ca="1" si="149"/>
        <v>0.63787653354193097</v>
      </c>
      <c r="E2435" s="48">
        <f t="shared" ca="1" si="150"/>
        <v>0</v>
      </c>
      <c r="F2435" s="17">
        <f t="shared" ca="1" si="151"/>
        <v>0</v>
      </c>
      <c r="H2435" s="17">
        <v>2420</v>
      </c>
      <c r="I2435" s="43">
        <v>0.66898978343046256</v>
      </c>
      <c r="J2435" s="43">
        <v>1.9349427330164724E-2</v>
      </c>
      <c r="K2435" s="43"/>
      <c r="L2435" s="43">
        <v>0.25459999999999999</v>
      </c>
      <c r="O2435" s="50"/>
    </row>
    <row r="2436" spans="2:15" x14ac:dyDescent="0.2">
      <c r="B2436">
        <v>2421</v>
      </c>
      <c r="C2436" s="48">
        <f t="shared" ca="1" si="152"/>
        <v>1.4035361182734027</v>
      </c>
      <c r="D2436" s="48">
        <f t="shared" ca="1" si="149"/>
        <v>0.76311941149450979</v>
      </c>
      <c r="E2436" s="48">
        <f t="shared" ca="1" si="150"/>
        <v>0</v>
      </c>
      <c r="F2436" s="17">
        <f t="shared" ca="1" si="151"/>
        <v>0</v>
      </c>
      <c r="H2436" s="17">
        <v>2421</v>
      </c>
      <c r="I2436" s="43">
        <v>0.66910499155300063</v>
      </c>
      <c r="J2436" s="43">
        <v>1.9597591487253506E-2</v>
      </c>
      <c r="K2436" s="43"/>
      <c r="L2436" s="43">
        <v>0.24679999999999999</v>
      </c>
      <c r="O2436" s="50"/>
    </row>
    <row r="2437" spans="2:15" x14ac:dyDescent="0.2">
      <c r="B2437">
        <v>2422</v>
      </c>
      <c r="C2437" s="48">
        <f t="shared" ca="1" si="152"/>
        <v>0.82093949221483042</v>
      </c>
      <c r="D2437" s="48">
        <f t="shared" ca="1" si="149"/>
        <v>0.72052332942541464</v>
      </c>
      <c r="E2437" s="48">
        <f t="shared" ca="1" si="150"/>
        <v>0</v>
      </c>
      <c r="F2437" s="17">
        <f t="shared" ca="1" si="151"/>
        <v>0</v>
      </c>
      <c r="H2437" s="17">
        <v>2422</v>
      </c>
      <c r="I2437" s="43">
        <v>0.66807776599531443</v>
      </c>
      <c r="J2437" s="43">
        <v>1.8700257558007867E-2</v>
      </c>
      <c r="K2437" s="43"/>
      <c r="L2437" s="43">
        <v>0.246</v>
      </c>
      <c r="O2437" s="50"/>
    </row>
    <row r="2438" spans="2:15" x14ac:dyDescent="0.2">
      <c r="B2438">
        <v>2423</v>
      </c>
      <c r="C2438" s="48">
        <f t="shared" ca="1" si="152"/>
        <v>-1.0796872912102597</v>
      </c>
      <c r="D2438" s="48">
        <f t="shared" ca="1" si="149"/>
        <v>0.59740770837590385</v>
      </c>
      <c r="E2438" s="48">
        <f t="shared" ca="1" si="150"/>
        <v>0</v>
      </c>
      <c r="F2438" s="17">
        <f t="shared" ca="1" si="151"/>
        <v>0</v>
      </c>
      <c r="H2438" s="17">
        <v>2423</v>
      </c>
      <c r="I2438" s="43">
        <v>0.66997624997129301</v>
      </c>
      <c r="J2438" s="43">
        <v>2.0027681916430121E-2</v>
      </c>
      <c r="K2438" s="43"/>
      <c r="L2438" s="43">
        <v>0.25040000000000001</v>
      </c>
      <c r="O2438" s="50"/>
    </row>
    <row r="2439" spans="2:15" x14ac:dyDescent="0.2">
      <c r="B2439">
        <v>2424</v>
      </c>
      <c r="C2439" s="48">
        <f t="shared" ca="1" si="152"/>
        <v>-0.37785905302911438</v>
      </c>
      <c r="D2439" s="48">
        <f t="shared" ca="1" si="149"/>
        <v>0.64020681916918298</v>
      </c>
      <c r="E2439" s="48">
        <f t="shared" ca="1" si="150"/>
        <v>0</v>
      </c>
      <c r="F2439" s="17">
        <f t="shared" ca="1" si="151"/>
        <v>0</v>
      </c>
      <c r="H2439" s="17">
        <v>2424</v>
      </c>
      <c r="I2439" s="43">
        <v>0.67027074251574537</v>
      </c>
      <c r="J2439" s="43">
        <v>2.0561202676033678E-2</v>
      </c>
      <c r="K2439" s="43"/>
      <c r="L2439" s="43">
        <v>0.25619999999999998</v>
      </c>
      <c r="O2439" s="50"/>
    </row>
    <row r="2440" spans="2:15" x14ac:dyDescent="0.2">
      <c r="B2440">
        <v>2425</v>
      </c>
      <c r="C2440" s="48">
        <f t="shared" ca="1" si="152"/>
        <v>0.25243404503934924</v>
      </c>
      <c r="D2440" s="48">
        <f t="shared" ca="1" si="149"/>
        <v>0.68125063687353538</v>
      </c>
      <c r="E2440" s="48">
        <f t="shared" ca="1" si="150"/>
        <v>0</v>
      </c>
      <c r="F2440" s="17">
        <f t="shared" ca="1" si="151"/>
        <v>0</v>
      </c>
      <c r="H2440" s="17">
        <v>2425</v>
      </c>
      <c r="I2440" s="43">
        <v>0.67036623823742303</v>
      </c>
      <c r="J2440" s="43">
        <v>2.0462725484505871E-2</v>
      </c>
      <c r="K2440" s="43"/>
      <c r="L2440" s="43">
        <v>0.26100000000000001</v>
      </c>
      <c r="O2440" s="50"/>
    </row>
    <row r="2441" spans="2:15" x14ac:dyDescent="0.2">
      <c r="B2441">
        <v>2426</v>
      </c>
      <c r="C2441" s="48">
        <f t="shared" ca="1" si="152"/>
        <v>0.35312412293063644</v>
      </c>
      <c r="D2441" s="48">
        <f t="shared" ca="1" si="149"/>
        <v>0.68804693896420133</v>
      </c>
      <c r="E2441" s="48">
        <f t="shared" ca="1" si="150"/>
        <v>0</v>
      </c>
      <c r="F2441" s="17">
        <f t="shared" ca="1" si="151"/>
        <v>0</v>
      </c>
      <c r="H2441" s="17">
        <v>2426</v>
      </c>
      <c r="I2441" s="43">
        <v>0.66896791867741467</v>
      </c>
      <c r="J2441" s="43">
        <v>1.9499063229650174E-2</v>
      </c>
      <c r="K2441" s="43"/>
      <c r="L2441" s="43">
        <v>0.2576</v>
      </c>
      <c r="O2441" s="50"/>
    </row>
    <row r="2442" spans="2:15" x14ac:dyDescent="0.2">
      <c r="B2442">
        <v>2427</v>
      </c>
      <c r="C2442" s="48">
        <f t="shared" ca="1" si="152"/>
        <v>0.19335287891855441</v>
      </c>
      <c r="D2442" s="48">
        <f t="shared" ca="1" si="149"/>
        <v>0.67729411560190322</v>
      </c>
      <c r="E2442" s="48">
        <f t="shared" ca="1" si="150"/>
        <v>0</v>
      </c>
      <c r="F2442" s="17">
        <f t="shared" ca="1" si="151"/>
        <v>0</v>
      </c>
      <c r="H2442" s="17">
        <v>2427</v>
      </c>
      <c r="I2442" s="43">
        <v>0.669324523278512</v>
      </c>
      <c r="J2442" s="43">
        <v>1.947383257623523E-2</v>
      </c>
      <c r="K2442" s="43"/>
      <c r="L2442" s="43">
        <v>0.25040000000000001</v>
      </c>
      <c r="O2442" s="50"/>
    </row>
    <row r="2443" spans="2:15" x14ac:dyDescent="0.2">
      <c r="B2443">
        <v>2428</v>
      </c>
      <c r="C2443" s="48">
        <f t="shared" ca="1" si="152"/>
        <v>-0.93449669388107781</v>
      </c>
      <c r="D2443" s="48">
        <f t="shared" ca="1" si="149"/>
        <v>0.60602048099943751</v>
      </c>
      <c r="E2443" s="48">
        <f t="shared" ca="1" si="150"/>
        <v>0</v>
      </c>
      <c r="F2443" s="17">
        <f t="shared" ca="1" si="151"/>
        <v>0</v>
      </c>
      <c r="H2443" s="17">
        <v>2428</v>
      </c>
      <c r="I2443" s="43">
        <v>0.66873937738846567</v>
      </c>
      <c r="J2443" s="43">
        <v>1.9119870569177671E-2</v>
      </c>
      <c r="K2443" s="43"/>
      <c r="L2443" s="43">
        <v>0.248</v>
      </c>
      <c r="O2443" s="50"/>
    </row>
    <row r="2444" spans="2:15" x14ac:dyDescent="0.2">
      <c r="B2444">
        <v>2429</v>
      </c>
      <c r="C2444" s="48">
        <f t="shared" ca="1" si="152"/>
        <v>0.4845958162514345</v>
      </c>
      <c r="D2444" s="48">
        <f t="shared" ca="1" si="149"/>
        <v>0.6970230792171741</v>
      </c>
      <c r="E2444" s="48">
        <f t="shared" ca="1" si="150"/>
        <v>0</v>
      </c>
      <c r="F2444" s="17">
        <f t="shared" ca="1" si="151"/>
        <v>0</v>
      </c>
      <c r="H2444" s="17">
        <v>2429</v>
      </c>
      <c r="I2444" s="43">
        <v>0.66872488335078051</v>
      </c>
      <c r="J2444" s="43">
        <v>1.9710029404152538E-2</v>
      </c>
      <c r="K2444" s="43"/>
      <c r="L2444" s="43">
        <v>0.25879999999999997</v>
      </c>
      <c r="O2444" s="50"/>
    </row>
    <row r="2445" spans="2:15" x14ac:dyDescent="0.2">
      <c r="B2445">
        <v>2430</v>
      </c>
      <c r="C2445" s="48">
        <f t="shared" ca="1" si="152"/>
        <v>0.83636005737112828</v>
      </c>
      <c r="D2445" s="48">
        <f t="shared" ca="1" si="149"/>
        <v>0.72161955574166814</v>
      </c>
      <c r="E2445" s="48">
        <f t="shared" ca="1" si="150"/>
        <v>0</v>
      </c>
      <c r="F2445" s="17">
        <f t="shared" ca="1" si="151"/>
        <v>0</v>
      </c>
      <c r="H2445" s="17">
        <v>2430</v>
      </c>
      <c r="I2445" s="43">
        <v>0.67081361377450943</v>
      </c>
      <c r="J2445" s="43">
        <v>2.1101086431849516E-2</v>
      </c>
      <c r="K2445" s="43"/>
      <c r="L2445" s="43">
        <v>0.25640000000000002</v>
      </c>
      <c r="O2445" s="50"/>
    </row>
    <row r="2446" spans="2:15" x14ac:dyDescent="0.2">
      <c r="B2446">
        <v>2431</v>
      </c>
      <c r="C2446" s="48">
        <f t="shared" ca="1" si="152"/>
        <v>-0.26855652386624829</v>
      </c>
      <c r="D2446" s="48">
        <f t="shared" ca="1" si="149"/>
        <v>0.64714290209803116</v>
      </c>
      <c r="E2446" s="48">
        <f t="shared" ca="1" si="150"/>
        <v>0</v>
      </c>
      <c r="F2446" s="17">
        <f t="shared" ca="1" si="151"/>
        <v>0</v>
      </c>
      <c r="H2446" s="17">
        <v>2431</v>
      </c>
      <c r="I2446" s="43">
        <v>0.66814963583686016</v>
      </c>
      <c r="J2446" s="43">
        <v>1.8832647646321872E-2</v>
      </c>
      <c r="K2446" s="43"/>
      <c r="L2446" s="43">
        <v>0.25119999999999998</v>
      </c>
      <c r="O2446" s="50"/>
    </row>
    <row r="2447" spans="2:15" x14ac:dyDescent="0.2">
      <c r="B2447">
        <v>2432</v>
      </c>
      <c r="C2447" s="48">
        <f t="shared" ca="1" si="152"/>
        <v>0.74460449277792495</v>
      </c>
      <c r="D2447" s="48">
        <f t="shared" ca="1" si="149"/>
        <v>0.71512125802765703</v>
      </c>
      <c r="E2447" s="48">
        <f t="shared" ca="1" si="150"/>
        <v>0</v>
      </c>
      <c r="F2447" s="17">
        <f t="shared" ca="1" si="151"/>
        <v>0</v>
      </c>
      <c r="H2447" s="17">
        <v>2432</v>
      </c>
      <c r="I2447" s="43">
        <v>0.66855939781700857</v>
      </c>
      <c r="J2447" s="43">
        <v>1.9029800794816684E-2</v>
      </c>
      <c r="K2447" s="43"/>
      <c r="L2447" s="43">
        <v>0.248</v>
      </c>
      <c r="O2447" s="50"/>
    </row>
    <row r="2448" spans="2:15" x14ac:dyDescent="0.2">
      <c r="B2448">
        <v>2433</v>
      </c>
      <c r="C2448" s="48">
        <f t="shared" ca="1" si="152"/>
        <v>-0.43411575971591843</v>
      </c>
      <c r="D2448" s="48">
        <f t="shared" ref="D2448:D2511" ca="1" si="153">S0*EXP((μ-0.5*σ*σ)*T+σ*SQRT(T)*$C2448)</f>
        <v>0.63666592836382907</v>
      </c>
      <c r="E2448" s="48">
        <f t="shared" ref="E2448:E2511" ca="1" si="154">MAX(0,CP*(D2448-K))</f>
        <v>0</v>
      </c>
      <c r="F2448" s="17">
        <f t="shared" ref="F2448:F2511" ca="1" si="155">(CP*(D2448-K)&gt;0)*1</f>
        <v>0</v>
      </c>
      <c r="H2448" s="17">
        <v>2433</v>
      </c>
      <c r="I2448" s="43">
        <v>0.66747766615773418</v>
      </c>
      <c r="J2448" s="43">
        <v>1.8336294608832761E-2</v>
      </c>
      <c r="K2448" s="43"/>
      <c r="L2448" s="43">
        <v>0.24379999999999999</v>
      </c>
      <c r="O2448" s="50"/>
    </row>
    <row r="2449" spans="2:15" x14ac:dyDescent="0.2">
      <c r="B2449">
        <v>2434</v>
      </c>
      <c r="C2449" s="48">
        <f t="shared" ref="C2449:C2512" ca="1" si="156">_xlfn.NORM.S.INV(RAND())</f>
        <v>1.1239222984000778</v>
      </c>
      <c r="D2449" s="48">
        <f t="shared" ca="1" si="153"/>
        <v>0.74237024607641167</v>
      </c>
      <c r="E2449" s="48">
        <f t="shared" ca="1" si="154"/>
        <v>0</v>
      </c>
      <c r="F2449" s="17">
        <f t="shared" ca="1" si="155"/>
        <v>0</v>
      </c>
      <c r="H2449" s="17">
        <v>2434</v>
      </c>
      <c r="I2449" s="43">
        <v>0.66927550620430276</v>
      </c>
      <c r="J2449" s="43">
        <v>1.9875741884326566E-2</v>
      </c>
      <c r="K2449" s="43"/>
      <c r="L2449" s="43">
        <v>0.25219999999999998</v>
      </c>
      <c r="O2449" s="50"/>
    </row>
    <row r="2450" spans="2:15" x14ac:dyDescent="0.2">
      <c r="B2450">
        <v>2435</v>
      </c>
      <c r="C2450" s="48">
        <f t="shared" ca="1" si="156"/>
        <v>1.5664055629301339</v>
      </c>
      <c r="D2450" s="48">
        <f t="shared" ca="1" si="153"/>
        <v>0.77547163698136146</v>
      </c>
      <c r="E2450" s="48">
        <f t="shared" ca="1" si="154"/>
        <v>0</v>
      </c>
      <c r="F2450" s="17">
        <f t="shared" ca="1" si="155"/>
        <v>0</v>
      </c>
      <c r="H2450" s="17">
        <v>2435</v>
      </c>
      <c r="I2450" s="43">
        <v>0.66943397667258453</v>
      </c>
      <c r="J2450" s="43">
        <v>1.9644910891524332E-2</v>
      </c>
      <c r="K2450" s="43"/>
      <c r="L2450" s="43">
        <v>0.25259999999999999</v>
      </c>
      <c r="O2450" s="50"/>
    </row>
    <row r="2451" spans="2:15" x14ac:dyDescent="0.2">
      <c r="B2451">
        <v>2436</v>
      </c>
      <c r="C2451" s="48">
        <f t="shared" ca="1" si="156"/>
        <v>8.5581079777276414E-2</v>
      </c>
      <c r="D2451" s="48">
        <f t="shared" ca="1" si="153"/>
        <v>0.67013599484799713</v>
      </c>
      <c r="E2451" s="48">
        <f t="shared" ca="1" si="154"/>
        <v>0</v>
      </c>
      <c r="F2451" s="17">
        <f t="shared" ca="1" si="155"/>
        <v>0</v>
      </c>
      <c r="H2451" s="17">
        <v>2436</v>
      </c>
      <c r="I2451" s="43">
        <v>0.66854681432668184</v>
      </c>
      <c r="J2451" s="43">
        <v>1.8715731010720077E-2</v>
      </c>
      <c r="K2451" s="43"/>
      <c r="L2451" s="43">
        <v>0.2392</v>
      </c>
      <c r="O2451" s="50"/>
    </row>
    <row r="2452" spans="2:15" x14ac:dyDescent="0.2">
      <c r="B2452">
        <v>2437</v>
      </c>
      <c r="C2452" s="48">
        <f t="shared" ca="1" si="156"/>
        <v>0.98459303230603223</v>
      </c>
      <c r="D2452" s="48">
        <f t="shared" ca="1" si="153"/>
        <v>0.73224267543769495</v>
      </c>
      <c r="E2452" s="48">
        <f t="shared" ca="1" si="154"/>
        <v>0</v>
      </c>
      <c r="F2452" s="17">
        <f t="shared" ca="1" si="155"/>
        <v>0</v>
      </c>
      <c r="H2452" s="17">
        <v>2437</v>
      </c>
      <c r="I2452" s="43">
        <v>0.66911303097538055</v>
      </c>
      <c r="J2452" s="43">
        <v>1.9575086669661599E-2</v>
      </c>
      <c r="K2452" s="43"/>
      <c r="L2452" s="43">
        <v>0.253</v>
      </c>
      <c r="O2452" s="50"/>
    </row>
    <row r="2453" spans="2:15" x14ac:dyDescent="0.2">
      <c r="B2453">
        <v>2438</v>
      </c>
      <c r="C2453" s="48">
        <f t="shared" ca="1" si="156"/>
        <v>0.7192984720204747</v>
      </c>
      <c r="D2453" s="48">
        <f t="shared" ca="1" si="153"/>
        <v>0.71333935678717275</v>
      </c>
      <c r="E2453" s="48">
        <f t="shared" ca="1" si="154"/>
        <v>0</v>
      </c>
      <c r="F2453" s="17">
        <f t="shared" ca="1" si="155"/>
        <v>0</v>
      </c>
      <c r="H2453" s="17">
        <v>2438</v>
      </c>
      <c r="I2453" s="43">
        <v>0.66768474738749339</v>
      </c>
      <c r="J2453" s="43">
        <v>1.8291374519783993E-2</v>
      </c>
      <c r="K2453" s="43"/>
      <c r="L2453" s="43">
        <v>0.24759999999999999</v>
      </c>
      <c r="O2453" s="50"/>
    </row>
    <row r="2454" spans="2:15" x14ac:dyDescent="0.2">
      <c r="B2454">
        <v>2439</v>
      </c>
      <c r="C2454" s="48">
        <f t="shared" ca="1" si="156"/>
        <v>0.52139991607646685</v>
      </c>
      <c r="D2454" s="48">
        <f t="shared" ca="1" si="153"/>
        <v>0.69955676771078434</v>
      </c>
      <c r="E2454" s="48">
        <f t="shared" ca="1" si="154"/>
        <v>0</v>
      </c>
      <c r="F2454" s="17">
        <f t="shared" ca="1" si="155"/>
        <v>0</v>
      </c>
      <c r="H2454" s="17">
        <v>2439</v>
      </c>
      <c r="I2454" s="43">
        <v>0.66904371526771667</v>
      </c>
      <c r="J2454" s="43">
        <v>1.913911826340876E-2</v>
      </c>
      <c r="K2454" s="43"/>
      <c r="L2454" s="43">
        <v>0.24279999999999999</v>
      </c>
      <c r="O2454" s="50"/>
    </row>
    <row r="2455" spans="2:15" x14ac:dyDescent="0.2">
      <c r="B2455">
        <v>2440</v>
      </c>
      <c r="C2455" s="48">
        <f t="shared" ca="1" si="156"/>
        <v>0.80928168470040152</v>
      </c>
      <c r="D2455" s="48">
        <f t="shared" ca="1" si="153"/>
        <v>0.71969569775421327</v>
      </c>
      <c r="E2455" s="48">
        <f t="shared" ca="1" si="154"/>
        <v>0</v>
      </c>
      <c r="F2455" s="17">
        <f t="shared" ca="1" si="155"/>
        <v>0</v>
      </c>
      <c r="H2455" s="17">
        <v>2440</v>
      </c>
      <c r="I2455" s="43">
        <v>0.66860263868319558</v>
      </c>
      <c r="J2455" s="43">
        <v>1.9274355207678225E-2</v>
      </c>
      <c r="K2455" s="43"/>
      <c r="L2455" s="43">
        <v>0.24759999999999999</v>
      </c>
      <c r="O2455" s="50"/>
    </row>
    <row r="2456" spans="2:15" x14ac:dyDescent="0.2">
      <c r="B2456">
        <v>2441</v>
      </c>
      <c r="C2456" s="48">
        <f t="shared" ca="1" si="156"/>
        <v>0.23080654331724262</v>
      </c>
      <c r="D2456" s="48">
        <f t="shared" ca="1" si="153"/>
        <v>0.67979962128596816</v>
      </c>
      <c r="E2456" s="48">
        <f t="shared" ca="1" si="154"/>
        <v>0</v>
      </c>
      <c r="F2456" s="17">
        <f t="shared" ca="1" si="155"/>
        <v>0</v>
      </c>
      <c r="H2456" s="17">
        <v>2441</v>
      </c>
      <c r="I2456" s="43">
        <v>0.66847544047491902</v>
      </c>
      <c r="J2456" s="43">
        <v>1.8996181611496219E-2</v>
      </c>
      <c r="K2456" s="43"/>
      <c r="L2456" s="43">
        <v>0.24940000000000001</v>
      </c>
      <c r="O2456" s="50"/>
    </row>
    <row r="2457" spans="2:15" x14ac:dyDescent="0.2">
      <c r="B2457">
        <v>2442</v>
      </c>
      <c r="C2457" s="48">
        <f t="shared" ca="1" si="156"/>
        <v>0.26411767555523691</v>
      </c>
      <c r="D2457" s="48">
        <f t="shared" ca="1" si="153"/>
        <v>0.6820357940477596</v>
      </c>
      <c r="E2457" s="48">
        <f t="shared" ca="1" si="154"/>
        <v>0</v>
      </c>
      <c r="F2457" s="17">
        <f t="shared" ca="1" si="155"/>
        <v>0</v>
      </c>
      <c r="H2457" s="17">
        <v>2442</v>
      </c>
      <c r="I2457" s="43">
        <v>0.66885377822550185</v>
      </c>
      <c r="J2457" s="43">
        <v>1.9333565308017386E-2</v>
      </c>
      <c r="K2457" s="43"/>
      <c r="L2457" s="43">
        <v>0.25359999999999999</v>
      </c>
      <c r="O2457" s="50"/>
    </row>
    <row r="2458" spans="2:15" x14ac:dyDescent="0.2">
      <c r="B2458">
        <v>2443</v>
      </c>
      <c r="C2458" s="48">
        <f t="shared" ca="1" si="156"/>
        <v>-0.48454726932980219</v>
      </c>
      <c r="D2458" s="48">
        <f t="shared" ca="1" si="153"/>
        <v>0.63350833567608567</v>
      </c>
      <c r="E2458" s="48">
        <f t="shared" ca="1" si="154"/>
        <v>0</v>
      </c>
      <c r="F2458" s="17">
        <f t="shared" ca="1" si="155"/>
        <v>0</v>
      </c>
      <c r="H2458" s="17">
        <v>2443</v>
      </c>
      <c r="I2458" s="43">
        <v>0.66803721634039603</v>
      </c>
      <c r="J2458" s="43">
        <v>1.8860230437757652E-2</v>
      </c>
      <c r="K2458" s="43"/>
      <c r="L2458" s="43">
        <v>0.24940000000000001</v>
      </c>
      <c r="O2458" s="50"/>
    </row>
    <row r="2459" spans="2:15" x14ac:dyDescent="0.2">
      <c r="B2459">
        <v>2444</v>
      </c>
      <c r="C2459" s="48">
        <f t="shared" ca="1" si="156"/>
        <v>-0.66426214322360499</v>
      </c>
      <c r="D2459" s="48">
        <f t="shared" ca="1" si="153"/>
        <v>0.62238291550960945</v>
      </c>
      <c r="E2459" s="48">
        <f t="shared" ca="1" si="154"/>
        <v>0</v>
      </c>
      <c r="F2459" s="17">
        <f t="shared" ca="1" si="155"/>
        <v>0</v>
      </c>
      <c r="H2459" s="17">
        <v>2444</v>
      </c>
      <c r="I2459" s="43">
        <v>0.66919714490409699</v>
      </c>
      <c r="J2459" s="43">
        <v>1.9569473399369507E-2</v>
      </c>
      <c r="K2459" s="43"/>
      <c r="L2459" s="43">
        <v>0.252</v>
      </c>
      <c r="O2459" s="50"/>
    </row>
    <row r="2460" spans="2:15" x14ac:dyDescent="0.2">
      <c r="B2460">
        <v>2445</v>
      </c>
      <c r="C2460" s="48">
        <f t="shared" ca="1" si="156"/>
        <v>-0.27620577960478582</v>
      </c>
      <c r="D2460" s="48">
        <f t="shared" ca="1" si="153"/>
        <v>0.64665506216348856</v>
      </c>
      <c r="E2460" s="48">
        <f t="shared" ca="1" si="154"/>
        <v>0</v>
      </c>
      <c r="F2460" s="17">
        <f t="shared" ca="1" si="155"/>
        <v>0</v>
      </c>
      <c r="H2460" s="17">
        <v>2445</v>
      </c>
      <c r="I2460" s="43">
        <v>0.66977658047375943</v>
      </c>
      <c r="J2460" s="43">
        <v>1.9891384412963255E-2</v>
      </c>
      <c r="K2460" s="43"/>
      <c r="L2460" s="43">
        <v>0.25340000000000001</v>
      </c>
      <c r="O2460" s="50"/>
    </row>
    <row r="2461" spans="2:15" x14ac:dyDescent="0.2">
      <c r="B2461">
        <v>2446</v>
      </c>
      <c r="C2461" s="48">
        <f t="shared" ca="1" si="156"/>
        <v>-0.53999713311899966</v>
      </c>
      <c r="D2461" s="48">
        <f t="shared" ca="1" si="153"/>
        <v>0.63005460865714313</v>
      </c>
      <c r="E2461" s="48">
        <f t="shared" ca="1" si="154"/>
        <v>0</v>
      </c>
      <c r="F2461" s="17">
        <f t="shared" ca="1" si="155"/>
        <v>0</v>
      </c>
      <c r="H2461" s="17">
        <v>2446</v>
      </c>
      <c r="I2461" s="43">
        <v>0.66921823738808572</v>
      </c>
      <c r="J2461" s="43">
        <v>1.9724802510430683E-2</v>
      </c>
      <c r="K2461" s="43"/>
      <c r="L2461" s="43">
        <v>0.25359999999999999</v>
      </c>
      <c r="O2461" s="50"/>
    </row>
    <row r="2462" spans="2:15" x14ac:dyDescent="0.2">
      <c r="B2462">
        <v>2447</v>
      </c>
      <c r="C2462" s="48">
        <f t="shared" ca="1" si="156"/>
        <v>0.2578753426977306</v>
      </c>
      <c r="D2462" s="48">
        <f t="shared" ca="1" si="153"/>
        <v>0.68161618757223874</v>
      </c>
      <c r="E2462" s="48">
        <f t="shared" ca="1" si="154"/>
        <v>0</v>
      </c>
      <c r="F2462" s="17">
        <f t="shared" ca="1" si="155"/>
        <v>0</v>
      </c>
      <c r="H2462" s="17">
        <v>2447</v>
      </c>
      <c r="I2462" s="43">
        <v>0.66831983103701154</v>
      </c>
      <c r="J2462" s="43">
        <v>1.9005670965853465E-2</v>
      </c>
      <c r="K2462" s="43"/>
      <c r="L2462" s="43">
        <v>0.25040000000000001</v>
      </c>
      <c r="O2462" s="50"/>
    </row>
    <row r="2463" spans="2:15" x14ac:dyDescent="0.2">
      <c r="B2463">
        <v>2448</v>
      </c>
      <c r="C2463" s="48">
        <f t="shared" ca="1" si="156"/>
        <v>0.63717631591569279</v>
      </c>
      <c r="D2463" s="48">
        <f t="shared" ca="1" si="153"/>
        <v>0.70758732384197953</v>
      </c>
      <c r="E2463" s="48">
        <f t="shared" ca="1" si="154"/>
        <v>0</v>
      </c>
      <c r="F2463" s="17">
        <f t="shared" ca="1" si="155"/>
        <v>0</v>
      </c>
      <c r="H2463" s="17">
        <v>2448</v>
      </c>
      <c r="I2463" s="43">
        <v>0.66923805460136099</v>
      </c>
      <c r="J2463" s="43">
        <v>1.9561321345090487E-2</v>
      </c>
      <c r="K2463" s="43"/>
      <c r="L2463" s="43">
        <v>0.24779999999999999</v>
      </c>
      <c r="O2463" s="50"/>
    </row>
    <row r="2464" spans="2:15" x14ac:dyDescent="0.2">
      <c r="B2464">
        <v>2449</v>
      </c>
      <c r="C2464" s="48">
        <f t="shared" ca="1" si="156"/>
        <v>-1.7219420817389925</v>
      </c>
      <c r="D2464" s="48">
        <f t="shared" ca="1" si="153"/>
        <v>0.56075356681705435</v>
      </c>
      <c r="E2464" s="48">
        <f t="shared" ca="1" si="154"/>
        <v>0</v>
      </c>
      <c r="F2464" s="17">
        <f t="shared" ca="1" si="155"/>
        <v>0</v>
      </c>
      <c r="H2464" s="17">
        <v>2449</v>
      </c>
      <c r="I2464" s="43">
        <v>0.66948682787982161</v>
      </c>
      <c r="J2464" s="43">
        <v>1.9458733655756E-2</v>
      </c>
      <c r="K2464" s="43"/>
      <c r="L2464" s="43">
        <v>0.25019999999999998</v>
      </c>
      <c r="O2464" s="50"/>
    </row>
    <row r="2465" spans="2:15" x14ac:dyDescent="0.2">
      <c r="B2465">
        <v>2450</v>
      </c>
      <c r="C2465" s="48">
        <f t="shared" ca="1" si="156"/>
        <v>-0.14785922239022795</v>
      </c>
      <c r="D2465" s="48">
        <f t="shared" ca="1" si="153"/>
        <v>0.65488940918837657</v>
      </c>
      <c r="E2465" s="48">
        <f t="shared" ca="1" si="154"/>
        <v>0</v>
      </c>
      <c r="F2465" s="17">
        <f t="shared" ca="1" si="155"/>
        <v>0</v>
      </c>
      <c r="H2465" s="17">
        <v>2450</v>
      </c>
      <c r="I2465" s="43">
        <v>0.6691202509471702</v>
      </c>
      <c r="J2465" s="43">
        <v>1.9614688716729223E-2</v>
      </c>
      <c r="K2465" s="43"/>
      <c r="L2465" s="43">
        <v>0.24660000000000001</v>
      </c>
      <c r="O2465" s="50"/>
    </row>
    <row r="2466" spans="2:15" x14ac:dyDescent="0.2">
      <c r="B2466">
        <v>2451</v>
      </c>
      <c r="C2466" s="48">
        <f t="shared" ca="1" si="156"/>
        <v>-0.62937231403698812</v>
      </c>
      <c r="D2466" s="48">
        <f t="shared" ca="1" si="153"/>
        <v>0.62452741210925111</v>
      </c>
      <c r="E2466" s="48">
        <f t="shared" ca="1" si="154"/>
        <v>0</v>
      </c>
      <c r="F2466" s="17">
        <f t="shared" ca="1" si="155"/>
        <v>0</v>
      </c>
      <c r="H2466" s="17">
        <v>2451</v>
      </c>
      <c r="I2466" s="43">
        <v>0.66901887944152583</v>
      </c>
      <c r="J2466" s="43">
        <v>1.9525633910659541E-2</v>
      </c>
      <c r="K2466" s="43"/>
      <c r="L2466" s="43">
        <v>0.2596</v>
      </c>
      <c r="O2466" s="50"/>
    </row>
    <row r="2467" spans="2:15" x14ac:dyDescent="0.2">
      <c r="B2467">
        <v>2452</v>
      </c>
      <c r="C2467" s="48">
        <f t="shared" ca="1" si="156"/>
        <v>-7.2505024587539504E-3</v>
      </c>
      <c r="D2467" s="48">
        <f t="shared" ca="1" si="153"/>
        <v>0.66403086934158606</v>
      </c>
      <c r="E2467" s="48">
        <f t="shared" ca="1" si="154"/>
        <v>0</v>
      </c>
      <c r="F2467" s="17">
        <f t="shared" ca="1" si="155"/>
        <v>0</v>
      </c>
      <c r="H2467" s="17">
        <v>2452</v>
      </c>
      <c r="I2467" s="43">
        <v>0.66877212981222989</v>
      </c>
      <c r="J2467" s="43">
        <v>1.9204983819915866E-2</v>
      </c>
      <c r="K2467" s="43"/>
      <c r="L2467" s="43">
        <v>0.25600000000000001</v>
      </c>
      <c r="O2467" s="50"/>
    </row>
    <row r="2468" spans="2:15" x14ac:dyDescent="0.2">
      <c r="B2468">
        <v>2453</v>
      </c>
      <c r="C2468" s="48">
        <f t="shared" ca="1" si="156"/>
        <v>0.45798580837930408</v>
      </c>
      <c r="D2468" s="48">
        <f t="shared" ca="1" si="153"/>
        <v>0.69519689603274892</v>
      </c>
      <c r="E2468" s="48">
        <f t="shared" ca="1" si="154"/>
        <v>0</v>
      </c>
      <c r="F2468" s="17">
        <f t="shared" ca="1" si="155"/>
        <v>0</v>
      </c>
      <c r="H2468" s="17">
        <v>2453</v>
      </c>
      <c r="I2468" s="43">
        <v>0.66935780847191284</v>
      </c>
      <c r="J2468" s="43">
        <v>1.9665785613453758E-2</v>
      </c>
      <c r="K2468" s="43"/>
      <c r="L2468" s="43">
        <v>0.25280000000000002</v>
      </c>
      <c r="O2468" s="50"/>
    </row>
    <row r="2469" spans="2:15" x14ac:dyDescent="0.2">
      <c r="B2469">
        <v>2454</v>
      </c>
      <c r="C2469" s="48">
        <f t="shared" ca="1" si="156"/>
        <v>0.57735194204108431</v>
      </c>
      <c r="D2469" s="48">
        <f t="shared" ca="1" si="153"/>
        <v>0.70342630352773672</v>
      </c>
      <c r="E2469" s="48">
        <f t="shared" ca="1" si="154"/>
        <v>0</v>
      </c>
      <c r="F2469" s="17">
        <f t="shared" ca="1" si="155"/>
        <v>0</v>
      </c>
      <c r="H2469" s="17">
        <v>2454</v>
      </c>
      <c r="I2469" s="43">
        <v>0.66980238927333169</v>
      </c>
      <c r="J2469" s="43">
        <v>2.0253230665053665E-2</v>
      </c>
      <c r="K2469" s="43"/>
      <c r="L2469" s="43">
        <v>0.2586</v>
      </c>
      <c r="O2469" s="50"/>
    </row>
    <row r="2470" spans="2:15" x14ac:dyDescent="0.2">
      <c r="B2470">
        <v>2455</v>
      </c>
      <c r="C2470" s="48">
        <f t="shared" ca="1" si="156"/>
        <v>-1.350176856868937</v>
      </c>
      <c r="D2470" s="48">
        <f t="shared" ca="1" si="153"/>
        <v>0.58168724701820018</v>
      </c>
      <c r="E2470" s="48">
        <f t="shared" ca="1" si="154"/>
        <v>0</v>
      </c>
      <c r="F2470" s="17">
        <f t="shared" ca="1" si="155"/>
        <v>0</v>
      </c>
      <c r="H2470" s="17">
        <v>2455</v>
      </c>
      <c r="I2470" s="43">
        <v>0.66838814942929858</v>
      </c>
      <c r="J2470" s="43">
        <v>1.898442345091467E-2</v>
      </c>
      <c r="K2470" s="43"/>
      <c r="L2470" s="43">
        <v>0.25019999999999998</v>
      </c>
      <c r="O2470" s="50"/>
    </row>
    <row r="2471" spans="2:15" x14ac:dyDescent="0.2">
      <c r="B2471">
        <v>2456</v>
      </c>
      <c r="C2471" s="48">
        <f t="shared" ca="1" si="156"/>
        <v>-1.8395754028327631</v>
      </c>
      <c r="D2471" s="48">
        <f t="shared" ca="1" si="153"/>
        <v>0.55428797529449514</v>
      </c>
      <c r="E2471" s="48">
        <f t="shared" ca="1" si="154"/>
        <v>0</v>
      </c>
      <c r="F2471" s="17">
        <f t="shared" ca="1" si="155"/>
        <v>0</v>
      </c>
      <c r="H2471" s="17">
        <v>2456</v>
      </c>
      <c r="I2471" s="43">
        <v>0.6685048001091064</v>
      </c>
      <c r="J2471" s="43">
        <v>1.899233689429549E-2</v>
      </c>
      <c r="K2471" s="43"/>
      <c r="L2471" s="43">
        <v>0.25559999999999999</v>
      </c>
      <c r="O2471" s="50"/>
    </row>
    <row r="2472" spans="2:15" x14ac:dyDescent="0.2">
      <c r="B2472">
        <v>2457</v>
      </c>
      <c r="C2472" s="48">
        <f t="shared" ca="1" si="156"/>
        <v>0.79265473420862131</v>
      </c>
      <c r="D2472" s="48">
        <f t="shared" ca="1" si="153"/>
        <v>0.71851693248989656</v>
      </c>
      <c r="E2472" s="48">
        <f t="shared" ca="1" si="154"/>
        <v>0</v>
      </c>
      <c r="F2472" s="17">
        <f t="shared" ca="1" si="155"/>
        <v>0</v>
      </c>
      <c r="H2472" s="17">
        <v>2457</v>
      </c>
      <c r="I2472" s="43">
        <v>0.66851775435546157</v>
      </c>
      <c r="J2472" s="43">
        <v>1.9112157218104074E-2</v>
      </c>
      <c r="K2472" s="43"/>
      <c r="L2472" s="43">
        <v>0.2492</v>
      </c>
      <c r="O2472" s="50"/>
    </row>
    <row r="2473" spans="2:15" x14ac:dyDescent="0.2">
      <c r="B2473">
        <v>2458</v>
      </c>
      <c r="C2473" s="48">
        <f t="shared" ca="1" si="156"/>
        <v>-0.95829910641911775</v>
      </c>
      <c r="D2473" s="48">
        <f t="shared" ca="1" si="153"/>
        <v>0.60460004870399153</v>
      </c>
      <c r="E2473" s="48">
        <f t="shared" ca="1" si="154"/>
        <v>0</v>
      </c>
      <c r="F2473" s="17">
        <f t="shared" ca="1" si="155"/>
        <v>0</v>
      </c>
      <c r="H2473" s="17">
        <v>2458</v>
      </c>
      <c r="I2473" s="43">
        <v>0.66930573403363103</v>
      </c>
      <c r="J2473" s="43">
        <v>1.955040334477837E-2</v>
      </c>
      <c r="K2473" s="43"/>
      <c r="L2473" s="43">
        <v>0.25640000000000002</v>
      </c>
      <c r="O2473" s="50"/>
    </row>
    <row r="2474" spans="2:15" x14ac:dyDescent="0.2">
      <c r="B2474">
        <v>2459</v>
      </c>
      <c r="C2474" s="48">
        <f t="shared" ca="1" si="156"/>
        <v>-1.0330567635758183</v>
      </c>
      <c r="D2474" s="48">
        <f t="shared" ca="1" si="153"/>
        <v>0.60016042509618772</v>
      </c>
      <c r="E2474" s="48">
        <f t="shared" ca="1" si="154"/>
        <v>0</v>
      </c>
      <c r="F2474" s="17">
        <f t="shared" ca="1" si="155"/>
        <v>0</v>
      </c>
      <c r="H2474" s="17">
        <v>2459</v>
      </c>
      <c r="I2474" s="43">
        <v>0.67080471896291571</v>
      </c>
      <c r="J2474" s="43">
        <v>2.0529953444740717E-2</v>
      </c>
      <c r="K2474" s="43"/>
      <c r="L2474" s="43">
        <v>0.255</v>
      </c>
      <c r="O2474" s="50"/>
    </row>
    <row r="2475" spans="2:15" x14ac:dyDescent="0.2">
      <c r="B2475">
        <v>2460</v>
      </c>
      <c r="C2475" s="48">
        <f t="shared" ca="1" si="156"/>
        <v>0.28964224118468529</v>
      </c>
      <c r="D2475" s="48">
        <f t="shared" ca="1" si="153"/>
        <v>0.68375423175054828</v>
      </c>
      <c r="E2475" s="48">
        <f t="shared" ca="1" si="154"/>
        <v>0</v>
      </c>
      <c r="F2475" s="17">
        <f t="shared" ca="1" si="155"/>
        <v>0</v>
      </c>
      <c r="H2475" s="17">
        <v>2460</v>
      </c>
      <c r="I2475" s="43">
        <v>0.66896427442248441</v>
      </c>
      <c r="J2475" s="43">
        <v>1.9378594566007625E-2</v>
      </c>
      <c r="K2475" s="43"/>
      <c r="L2475" s="43">
        <v>0.25</v>
      </c>
      <c r="O2475" s="50"/>
    </row>
    <row r="2476" spans="2:15" x14ac:dyDescent="0.2">
      <c r="B2476">
        <v>2461</v>
      </c>
      <c r="C2476" s="48">
        <f t="shared" ca="1" si="156"/>
        <v>0.28606632343714672</v>
      </c>
      <c r="D2476" s="48">
        <f t="shared" ca="1" si="153"/>
        <v>0.68351322305204321</v>
      </c>
      <c r="E2476" s="48">
        <f t="shared" ca="1" si="154"/>
        <v>0</v>
      </c>
      <c r="F2476" s="17">
        <f t="shared" ca="1" si="155"/>
        <v>0</v>
      </c>
      <c r="H2476" s="17">
        <v>2461</v>
      </c>
      <c r="I2476" s="43">
        <v>0.66886401875465384</v>
      </c>
      <c r="J2476" s="43">
        <v>1.9414649503440729E-2</v>
      </c>
      <c r="K2476" s="43"/>
      <c r="L2476" s="43">
        <v>0.24959999999999999</v>
      </c>
      <c r="O2476" s="50"/>
    </row>
    <row r="2477" spans="2:15" x14ac:dyDescent="0.2">
      <c r="B2477">
        <v>2462</v>
      </c>
      <c r="C2477" s="48">
        <f t="shared" ca="1" si="156"/>
        <v>3.2172154623365853E-2</v>
      </c>
      <c r="D2477" s="48">
        <f t="shared" ca="1" si="153"/>
        <v>0.66661670021016095</v>
      </c>
      <c r="E2477" s="48">
        <f t="shared" ca="1" si="154"/>
        <v>0</v>
      </c>
      <c r="F2477" s="17">
        <f t="shared" ca="1" si="155"/>
        <v>0</v>
      </c>
      <c r="H2477" s="17">
        <v>2462</v>
      </c>
      <c r="I2477" s="43">
        <v>0.6697070281041545</v>
      </c>
      <c r="J2477" s="43">
        <v>2.0057895564778737E-2</v>
      </c>
      <c r="K2477" s="43"/>
      <c r="L2477" s="43">
        <v>0.25919999999999999</v>
      </c>
      <c r="O2477" s="50"/>
    </row>
    <row r="2478" spans="2:15" x14ac:dyDescent="0.2">
      <c r="B2478">
        <v>2463</v>
      </c>
      <c r="C2478" s="48">
        <f t="shared" ca="1" si="156"/>
        <v>0.4269663697566467</v>
      </c>
      <c r="D2478" s="48">
        <f t="shared" ca="1" si="153"/>
        <v>0.69307414244307797</v>
      </c>
      <c r="E2478" s="48">
        <f t="shared" ca="1" si="154"/>
        <v>0</v>
      </c>
      <c r="F2478" s="17">
        <f t="shared" ca="1" si="155"/>
        <v>0</v>
      </c>
      <c r="H2478" s="17">
        <v>2463</v>
      </c>
      <c r="I2478" s="43">
        <v>0.6685556154123643</v>
      </c>
      <c r="J2478" s="43">
        <v>1.8846066310662324E-2</v>
      </c>
      <c r="K2478" s="43"/>
      <c r="L2478" s="43">
        <v>0.248</v>
      </c>
      <c r="O2478" s="50"/>
    </row>
    <row r="2479" spans="2:15" x14ac:dyDescent="0.2">
      <c r="B2479">
        <v>2464</v>
      </c>
      <c r="C2479" s="48">
        <f t="shared" ca="1" si="156"/>
        <v>0.49336953911640546</v>
      </c>
      <c r="D2479" s="48">
        <f t="shared" ca="1" si="153"/>
        <v>0.69762625046670756</v>
      </c>
      <c r="E2479" s="48">
        <f t="shared" ca="1" si="154"/>
        <v>0</v>
      </c>
      <c r="F2479" s="17">
        <f t="shared" ca="1" si="155"/>
        <v>0</v>
      </c>
      <c r="H2479" s="17">
        <v>2464</v>
      </c>
      <c r="I2479" s="43">
        <v>0.66831399344300157</v>
      </c>
      <c r="J2479" s="43">
        <v>1.9005885864485938E-2</v>
      </c>
      <c r="K2479" s="43"/>
      <c r="L2479" s="43">
        <v>0.2472</v>
      </c>
      <c r="O2479" s="50"/>
    </row>
    <row r="2480" spans="2:15" x14ac:dyDescent="0.2">
      <c r="B2480">
        <v>2465</v>
      </c>
      <c r="C2480" s="48">
        <f t="shared" ca="1" si="156"/>
        <v>0.94162201246729693</v>
      </c>
      <c r="D2480" s="48">
        <f t="shared" ca="1" si="153"/>
        <v>0.72914716110642752</v>
      </c>
      <c r="E2480" s="48">
        <f t="shared" ca="1" si="154"/>
        <v>0</v>
      </c>
      <c r="F2480" s="17">
        <f t="shared" ca="1" si="155"/>
        <v>0</v>
      </c>
      <c r="H2480" s="17">
        <v>2465</v>
      </c>
      <c r="I2480" s="43">
        <v>0.66904829223512197</v>
      </c>
      <c r="J2480" s="43">
        <v>1.9525463635118378E-2</v>
      </c>
      <c r="K2480" s="43"/>
      <c r="L2480" s="43">
        <v>0.25719999999999998</v>
      </c>
      <c r="O2480" s="50"/>
    </row>
    <row r="2481" spans="2:15" x14ac:dyDescent="0.2">
      <c r="B2481">
        <v>2466</v>
      </c>
      <c r="C2481" s="48">
        <f t="shared" ca="1" si="156"/>
        <v>-0.60909161661334243</v>
      </c>
      <c r="D2481" s="48">
        <f t="shared" ca="1" si="153"/>
        <v>0.6257773555247601</v>
      </c>
      <c r="E2481" s="48">
        <f t="shared" ca="1" si="154"/>
        <v>0</v>
      </c>
      <c r="F2481" s="17">
        <f t="shared" ca="1" si="155"/>
        <v>0</v>
      </c>
      <c r="H2481" s="17">
        <v>2466</v>
      </c>
      <c r="I2481" s="43">
        <v>0.66923031945435396</v>
      </c>
      <c r="J2481" s="43">
        <v>1.9570380311937197E-2</v>
      </c>
      <c r="K2481" s="43"/>
      <c r="L2481" s="43">
        <v>0.25380000000000003</v>
      </c>
      <c r="O2481" s="50"/>
    </row>
    <row r="2482" spans="2:15" x14ac:dyDescent="0.2">
      <c r="B2482">
        <v>2467</v>
      </c>
      <c r="C2482" s="48">
        <f t="shared" ca="1" si="156"/>
        <v>3.6005677106926696E-2</v>
      </c>
      <c r="D2482" s="48">
        <f t="shared" ca="1" si="153"/>
        <v>0.66686868712850478</v>
      </c>
      <c r="E2482" s="48">
        <f t="shared" ca="1" si="154"/>
        <v>0</v>
      </c>
      <c r="F2482" s="17">
        <f t="shared" ca="1" si="155"/>
        <v>0</v>
      </c>
      <c r="H2482" s="17">
        <v>2467</v>
      </c>
      <c r="I2482" s="43">
        <v>0.66910781801159791</v>
      </c>
      <c r="J2482" s="43">
        <v>1.940905219116278E-2</v>
      </c>
      <c r="K2482" s="43"/>
      <c r="L2482" s="43">
        <v>0.25380000000000003</v>
      </c>
      <c r="O2482" s="50"/>
    </row>
    <row r="2483" spans="2:15" x14ac:dyDescent="0.2">
      <c r="B2483">
        <v>2468</v>
      </c>
      <c r="C2483" s="48">
        <f t="shared" ca="1" si="156"/>
        <v>1.1293015969467106</v>
      </c>
      <c r="D2483" s="48">
        <f t="shared" ca="1" si="153"/>
        <v>0.74276405276741397</v>
      </c>
      <c r="E2483" s="48">
        <f t="shared" ca="1" si="154"/>
        <v>0</v>
      </c>
      <c r="F2483" s="17">
        <f t="shared" ca="1" si="155"/>
        <v>0</v>
      </c>
      <c r="H2483" s="17">
        <v>2468</v>
      </c>
      <c r="I2483" s="43">
        <v>0.66777528848274348</v>
      </c>
      <c r="J2483" s="43">
        <v>1.8359696999510906E-2</v>
      </c>
      <c r="K2483" s="43"/>
      <c r="L2483" s="43">
        <v>0.24460000000000001</v>
      </c>
      <c r="O2483" s="50"/>
    </row>
    <row r="2484" spans="2:15" x14ac:dyDescent="0.2">
      <c r="B2484">
        <v>2469</v>
      </c>
      <c r="C2484" s="48">
        <f t="shared" ca="1" si="156"/>
        <v>0.89099988862918944</v>
      </c>
      <c r="D2484" s="48">
        <f t="shared" ca="1" si="153"/>
        <v>0.72551726659528737</v>
      </c>
      <c r="E2484" s="48">
        <f t="shared" ca="1" si="154"/>
        <v>0</v>
      </c>
      <c r="F2484" s="17">
        <f t="shared" ca="1" si="155"/>
        <v>0</v>
      </c>
      <c r="H2484" s="17">
        <v>2469</v>
      </c>
      <c r="I2484" s="43">
        <v>0.66956826951582493</v>
      </c>
      <c r="J2484" s="43">
        <v>1.9970762940437696E-2</v>
      </c>
      <c r="K2484" s="43"/>
      <c r="L2484" s="43">
        <v>0.25440000000000002</v>
      </c>
      <c r="O2484" s="50"/>
    </row>
    <row r="2485" spans="2:15" x14ac:dyDescent="0.2">
      <c r="B2485">
        <v>2470</v>
      </c>
      <c r="C2485" s="48">
        <f t="shared" ca="1" si="156"/>
        <v>1.9387001875168708</v>
      </c>
      <c r="D2485" s="48">
        <f t="shared" ca="1" si="153"/>
        <v>0.8044630153342055</v>
      </c>
      <c r="E2485" s="48">
        <f t="shared" ca="1" si="154"/>
        <v>1.6263015334205488E-2</v>
      </c>
      <c r="F2485" s="17">
        <f t="shared" ca="1" si="155"/>
        <v>1</v>
      </c>
      <c r="H2485" s="17">
        <v>2470</v>
      </c>
      <c r="I2485" s="43">
        <v>0.67024132898222943</v>
      </c>
      <c r="J2485" s="43">
        <v>2.0290703799061248E-2</v>
      </c>
      <c r="K2485" s="43"/>
      <c r="L2485" s="43">
        <v>0.255</v>
      </c>
      <c r="O2485" s="50"/>
    </row>
    <row r="2486" spans="2:15" x14ac:dyDescent="0.2">
      <c r="B2486">
        <v>2471</v>
      </c>
      <c r="C2486" s="48">
        <f t="shared" ca="1" si="156"/>
        <v>-1.268422461799591</v>
      </c>
      <c r="D2486" s="48">
        <f t="shared" ca="1" si="153"/>
        <v>0.58639456727163664</v>
      </c>
      <c r="E2486" s="48">
        <f t="shared" ca="1" si="154"/>
        <v>0</v>
      </c>
      <c r="F2486" s="17">
        <f t="shared" ca="1" si="155"/>
        <v>0</v>
      </c>
      <c r="H2486" s="17">
        <v>2471</v>
      </c>
      <c r="I2486" s="43">
        <v>0.66772919663704988</v>
      </c>
      <c r="J2486" s="43">
        <v>1.8307226864971729E-2</v>
      </c>
      <c r="K2486" s="43"/>
      <c r="L2486" s="43">
        <v>0.24460000000000001</v>
      </c>
      <c r="O2486" s="50"/>
    </row>
    <row r="2487" spans="2:15" x14ac:dyDescent="0.2">
      <c r="B2487">
        <v>2472</v>
      </c>
      <c r="C2487" s="48">
        <f t="shared" ca="1" si="156"/>
        <v>1.5607035462353793</v>
      </c>
      <c r="D2487" s="48">
        <f t="shared" ca="1" si="153"/>
        <v>0.77503583012344668</v>
      </c>
      <c r="E2487" s="48">
        <f t="shared" ca="1" si="154"/>
        <v>0</v>
      </c>
      <c r="F2487" s="17">
        <f t="shared" ca="1" si="155"/>
        <v>0</v>
      </c>
      <c r="H2487" s="17">
        <v>2472</v>
      </c>
      <c r="I2487" s="43">
        <v>0.66941216672960802</v>
      </c>
      <c r="J2487" s="43">
        <v>1.981764950303538E-2</v>
      </c>
      <c r="K2487" s="43"/>
      <c r="L2487" s="43">
        <v>0.25459999999999999</v>
      </c>
      <c r="O2487" s="50"/>
    </row>
    <row r="2488" spans="2:15" x14ac:dyDescent="0.2">
      <c r="B2488">
        <v>2473</v>
      </c>
      <c r="C2488" s="48">
        <f t="shared" ca="1" si="156"/>
        <v>0.35367235319822138</v>
      </c>
      <c r="D2488" s="48">
        <f t="shared" ca="1" si="153"/>
        <v>0.68808412796700991</v>
      </c>
      <c r="E2488" s="48">
        <f t="shared" ca="1" si="154"/>
        <v>0</v>
      </c>
      <c r="F2488" s="17">
        <f t="shared" ca="1" si="155"/>
        <v>0</v>
      </c>
      <c r="H2488" s="17">
        <v>2473</v>
      </c>
      <c r="I2488" s="43">
        <v>0.66918925324582579</v>
      </c>
      <c r="J2488" s="43">
        <v>1.9484768080545001E-2</v>
      </c>
      <c r="K2488" s="43"/>
      <c r="L2488" s="43">
        <v>0.25540000000000002</v>
      </c>
      <c r="O2488" s="50"/>
    </row>
    <row r="2489" spans="2:15" x14ac:dyDescent="0.2">
      <c r="B2489">
        <v>2474</v>
      </c>
      <c r="C2489" s="48">
        <f t="shared" ca="1" si="156"/>
        <v>-7.902415350000952E-2</v>
      </c>
      <c r="D2489" s="48">
        <f t="shared" ca="1" si="153"/>
        <v>0.65934878314696088</v>
      </c>
      <c r="E2489" s="48">
        <f t="shared" ca="1" si="154"/>
        <v>0</v>
      </c>
      <c r="F2489" s="17">
        <f t="shared" ca="1" si="155"/>
        <v>0</v>
      </c>
      <c r="H2489" s="17">
        <v>2474</v>
      </c>
      <c r="I2489" s="43">
        <v>0.66853357199686414</v>
      </c>
      <c r="J2489" s="43">
        <v>1.936920811440709E-2</v>
      </c>
      <c r="K2489" s="43"/>
      <c r="L2489" s="43">
        <v>0.25</v>
      </c>
      <c r="O2489" s="50"/>
    </row>
    <row r="2490" spans="2:15" x14ac:dyDescent="0.2">
      <c r="B2490">
        <v>2475</v>
      </c>
      <c r="C2490" s="48">
        <f t="shared" ca="1" si="156"/>
        <v>1.0055792034440874</v>
      </c>
      <c r="D2490" s="48">
        <f t="shared" ca="1" si="153"/>
        <v>0.73375923445683133</v>
      </c>
      <c r="E2490" s="48">
        <f t="shared" ca="1" si="154"/>
        <v>0</v>
      </c>
      <c r="F2490" s="17">
        <f t="shared" ca="1" si="155"/>
        <v>0</v>
      </c>
      <c r="H2490" s="17">
        <v>2475</v>
      </c>
      <c r="I2490" s="43">
        <v>0.66914013043639864</v>
      </c>
      <c r="J2490" s="43">
        <v>1.9542619206018554E-2</v>
      </c>
      <c r="K2490" s="43"/>
      <c r="L2490" s="43">
        <v>0.25979999999999998</v>
      </c>
      <c r="O2490" s="50"/>
    </row>
    <row r="2491" spans="2:15" x14ac:dyDescent="0.2">
      <c r="B2491">
        <v>2476</v>
      </c>
      <c r="C2491" s="48">
        <f t="shared" ca="1" si="156"/>
        <v>0.11654471672169542</v>
      </c>
      <c r="D2491" s="48">
        <f t="shared" ca="1" si="153"/>
        <v>0.67218479534563658</v>
      </c>
      <c r="E2491" s="48">
        <f t="shared" ca="1" si="154"/>
        <v>0</v>
      </c>
      <c r="F2491" s="17">
        <f t="shared" ca="1" si="155"/>
        <v>0</v>
      </c>
      <c r="H2491" s="17">
        <v>2476</v>
      </c>
      <c r="I2491" s="43">
        <v>0.66906288734135022</v>
      </c>
      <c r="J2491" s="43">
        <v>1.8909977855649619E-2</v>
      </c>
      <c r="K2491" s="43"/>
      <c r="L2491" s="43">
        <v>0.2432</v>
      </c>
      <c r="O2491" s="50"/>
    </row>
    <row r="2492" spans="2:15" x14ac:dyDescent="0.2">
      <c r="B2492">
        <v>2477</v>
      </c>
      <c r="C2492" s="48">
        <f t="shared" ca="1" si="156"/>
        <v>-0.26097537810634619</v>
      </c>
      <c r="D2492" s="48">
        <f t="shared" ca="1" si="153"/>
        <v>0.64762676136895414</v>
      </c>
      <c r="E2492" s="48">
        <f t="shared" ca="1" si="154"/>
        <v>0</v>
      </c>
      <c r="F2492" s="17">
        <f t="shared" ca="1" si="155"/>
        <v>0</v>
      </c>
      <c r="H2492" s="17">
        <v>2477</v>
      </c>
      <c r="I2492" s="43">
        <v>0.67012122197855684</v>
      </c>
      <c r="J2492" s="43">
        <v>2.0424254196277119E-2</v>
      </c>
      <c r="K2492" s="43"/>
      <c r="L2492" s="43">
        <v>0.255</v>
      </c>
      <c r="O2492" s="50"/>
    </row>
    <row r="2493" spans="2:15" x14ac:dyDescent="0.2">
      <c r="B2493">
        <v>2478</v>
      </c>
      <c r="C2493" s="48">
        <f t="shared" ca="1" si="156"/>
        <v>0.52286377191077449</v>
      </c>
      <c r="D2493" s="48">
        <f t="shared" ca="1" si="153"/>
        <v>0.69965773351980609</v>
      </c>
      <c r="E2493" s="48">
        <f t="shared" ca="1" si="154"/>
        <v>0</v>
      </c>
      <c r="F2493" s="17">
        <f t="shared" ca="1" si="155"/>
        <v>0</v>
      </c>
      <c r="H2493" s="17">
        <v>2478</v>
      </c>
      <c r="I2493" s="43">
        <v>0.66878132971266735</v>
      </c>
      <c r="J2493" s="43">
        <v>1.9286256682786829E-2</v>
      </c>
      <c r="K2493" s="43"/>
      <c r="L2493" s="43">
        <v>0.25259999999999999</v>
      </c>
      <c r="O2493" s="50"/>
    </row>
    <row r="2494" spans="2:15" x14ac:dyDescent="0.2">
      <c r="B2494">
        <v>2479</v>
      </c>
      <c r="C2494" s="48">
        <f t="shared" ca="1" si="156"/>
        <v>0.19394272533814913</v>
      </c>
      <c r="D2494" s="48">
        <f t="shared" ca="1" si="153"/>
        <v>0.67733350239285761</v>
      </c>
      <c r="E2494" s="48">
        <f t="shared" ca="1" si="154"/>
        <v>0</v>
      </c>
      <c r="F2494" s="17">
        <f t="shared" ca="1" si="155"/>
        <v>0</v>
      </c>
      <c r="H2494" s="17">
        <v>2479</v>
      </c>
      <c r="I2494" s="43">
        <v>0.66798899811838663</v>
      </c>
      <c r="J2494" s="43">
        <v>1.8670492863037111E-2</v>
      </c>
      <c r="K2494" s="43"/>
      <c r="L2494" s="43">
        <v>0.24099999999999999</v>
      </c>
      <c r="O2494" s="50"/>
    </row>
    <row r="2495" spans="2:15" x14ac:dyDescent="0.2">
      <c r="B2495">
        <v>2480</v>
      </c>
      <c r="C2495" s="48">
        <f t="shared" ca="1" si="156"/>
        <v>0.14962733655963917</v>
      </c>
      <c r="D2495" s="48">
        <f t="shared" ca="1" si="153"/>
        <v>0.67438072652227321</v>
      </c>
      <c r="E2495" s="48">
        <f t="shared" ca="1" si="154"/>
        <v>0</v>
      </c>
      <c r="F2495" s="17">
        <f t="shared" ca="1" si="155"/>
        <v>0</v>
      </c>
      <c r="H2495" s="17">
        <v>2480</v>
      </c>
      <c r="I2495" s="43">
        <v>0.66881591275108287</v>
      </c>
      <c r="J2495" s="43">
        <v>1.9134573981181156E-2</v>
      </c>
      <c r="K2495" s="43"/>
      <c r="L2495" s="43">
        <v>0.24740000000000001</v>
      </c>
      <c r="O2495" s="50"/>
    </row>
    <row r="2496" spans="2:15" x14ac:dyDescent="0.2">
      <c r="B2496">
        <v>2481</v>
      </c>
      <c r="C2496" s="48">
        <f t="shared" ca="1" si="156"/>
        <v>-7.7450142485244608E-2</v>
      </c>
      <c r="D2496" s="48">
        <f t="shared" ca="1" si="153"/>
        <v>0.65945110735537527</v>
      </c>
      <c r="E2496" s="48">
        <f t="shared" ca="1" si="154"/>
        <v>0</v>
      </c>
      <c r="F2496" s="17">
        <f t="shared" ca="1" si="155"/>
        <v>0</v>
      </c>
      <c r="H2496" s="17">
        <v>2481</v>
      </c>
      <c r="I2496" s="43">
        <v>0.67056861269933243</v>
      </c>
      <c r="J2496" s="43">
        <v>2.0579105109334313E-2</v>
      </c>
      <c r="K2496" s="43"/>
      <c r="L2496" s="43">
        <v>0.25600000000000001</v>
      </c>
      <c r="O2496" s="50"/>
    </row>
    <row r="2497" spans="2:15" x14ac:dyDescent="0.2">
      <c r="B2497">
        <v>2482</v>
      </c>
      <c r="C2497" s="48">
        <f t="shared" ca="1" si="156"/>
        <v>0.70738388293159926</v>
      </c>
      <c r="D2497" s="48">
        <f t="shared" ca="1" si="153"/>
        <v>0.71250193947908158</v>
      </c>
      <c r="E2497" s="48">
        <f t="shared" ca="1" si="154"/>
        <v>0</v>
      </c>
      <c r="F2497" s="17">
        <f t="shared" ca="1" si="155"/>
        <v>0</v>
      </c>
      <c r="H2497" s="17">
        <v>2482</v>
      </c>
      <c r="I2497" s="43">
        <v>0.66881561450384175</v>
      </c>
      <c r="J2497" s="43">
        <v>1.9266102507499182E-2</v>
      </c>
      <c r="K2497" s="43"/>
      <c r="L2497" s="43">
        <v>0.24379999999999999</v>
      </c>
      <c r="O2497" s="50"/>
    </row>
    <row r="2498" spans="2:15" x14ac:dyDescent="0.2">
      <c r="B2498">
        <v>2483</v>
      </c>
      <c r="C2498" s="48">
        <f t="shared" ca="1" si="156"/>
        <v>0.94610166509602533</v>
      </c>
      <c r="D2498" s="48">
        <f t="shared" ca="1" si="153"/>
        <v>0.72946925104010574</v>
      </c>
      <c r="E2498" s="48">
        <f t="shared" ca="1" si="154"/>
        <v>0</v>
      </c>
      <c r="F2498" s="17">
        <f t="shared" ca="1" si="155"/>
        <v>0</v>
      </c>
      <c r="H2498" s="17">
        <v>2483</v>
      </c>
      <c r="I2498" s="43">
        <v>0.66926149148997405</v>
      </c>
      <c r="J2498" s="43">
        <v>1.9591454395266335E-2</v>
      </c>
      <c r="K2498" s="43"/>
      <c r="L2498" s="43">
        <v>0.25259999999999999</v>
      </c>
      <c r="O2498" s="50"/>
    </row>
    <row r="2499" spans="2:15" x14ac:dyDescent="0.2">
      <c r="B2499">
        <v>2484</v>
      </c>
      <c r="C2499" s="48">
        <f t="shared" ca="1" si="156"/>
        <v>-0.47599001775664801</v>
      </c>
      <c r="D2499" s="48">
        <f t="shared" ca="1" si="153"/>
        <v>0.63404301274753294</v>
      </c>
      <c r="E2499" s="48">
        <f t="shared" ca="1" si="154"/>
        <v>0</v>
      </c>
      <c r="F2499" s="17">
        <f t="shared" ca="1" si="155"/>
        <v>0</v>
      </c>
      <c r="H2499" s="17">
        <v>2484</v>
      </c>
      <c r="I2499" s="43">
        <v>0.66791820957395553</v>
      </c>
      <c r="J2499" s="43">
        <v>1.8519450890022948E-2</v>
      </c>
      <c r="K2499" s="43"/>
      <c r="L2499" s="43">
        <v>0.24579999999999999</v>
      </c>
      <c r="O2499" s="50"/>
    </row>
    <row r="2500" spans="2:15" x14ac:dyDescent="0.2">
      <c r="B2500">
        <v>2485</v>
      </c>
      <c r="C2500" s="48">
        <f t="shared" ca="1" si="156"/>
        <v>1.0577444816892982</v>
      </c>
      <c r="D2500" s="48">
        <f t="shared" ca="1" si="153"/>
        <v>0.73754256303916399</v>
      </c>
      <c r="E2500" s="48">
        <f t="shared" ca="1" si="154"/>
        <v>0</v>
      </c>
      <c r="F2500" s="17">
        <f t="shared" ca="1" si="155"/>
        <v>0</v>
      </c>
      <c r="H2500" s="17">
        <v>2485</v>
      </c>
      <c r="I2500" s="43">
        <v>0.66831262715570627</v>
      </c>
      <c r="J2500" s="43">
        <v>1.8864351969970359E-2</v>
      </c>
      <c r="K2500" s="43"/>
      <c r="L2500" s="43">
        <v>0.25419999999999998</v>
      </c>
      <c r="O2500" s="50"/>
    </row>
    <row r="2501" spans="2:15" x14ac:dyDescent="0.2">
      <c r="B2501">
        <v>2486</v>
      </c>
      <c r="C2501" s="48">
        <f t="shared" ca="1" si="156"/>
        <v>-0.26118923065788308</v>
      </c>
      <c r="D2501" s="48">
        <f t="shared" ca="1" si="153"/>
        <v>0.64761310748004008</v>
      </c>
      <c r="E2501" s="48">
        <f t="shared" ca="1" si="154"/>
        <v>0</v>
      </c>
      <c r="F2501" s="17">
        <f t="shared" ca="1" si="155"/>
        <v>0</v>
      </c>
      <c r="H2501" s="17">
        <v>2486</v>
      </c>
      <c r="I2501" s="43">
        <v>0.6701774777398386</v>
      </c>
      <c r="J2501" s="43">
        <v>2.0320494192731447E-2</v>
      </c>
      <c r="K2501" s="43"/>
      <c r="L2501" s="43">
        <v>0.25280000000000002</v>
      </c>
      <c r="O2501" s="50"/>
    </row>
    <row r="2502" spans="2:15" x14ac:dyDescent="0.2">
      <c r="B2502">
        <v>2487</v>
      </c>
      <c r="C2502" s="48">
        <f t="shared" ca="1" si="156"/>
        <v>0.1109281368101276</v>
      </c>
      <c r="D2502" s="48">
        <f t="shared" ca="1" si="153"/>
        <v>0.67181269325225179</v>
      </c>
      <c r="E2502" s="48">
        <f t="shared" ca="1" si="154"/>
        <v>0</v>
      </c>
      <c r="F2502" s="17">
        <f t="shared" ca="1" si="155"/>
        <v>0</v>
      </c>
      <c r="H2502" s="17">
        <v>2487</v>
      </c>
      <c r="I2502" s="43">
        <v>0.66934082283921981</v>
      </c>
      <c r="J2502" s="43">
        <v>1.9678542782122842E-2</v>
      </c>
      <c r="K2502" s="43"/>
      <c r="L2502" s="43">
        <v>0.253</v>
      </c>
      <c r="O2502" s="50"/>
    </row>
    <row r="2503" spans="2:15" x14ac:dyDescent="0.2">
      <c r="B2503">
        <v>2488</v>
      </c>
      <c r="C2503" s="48">
        <f t="shared" ca="1" si="156"/>
        <v>-0.74938020894104496</v>
      </c>
      <c r="D2503" s="48">
        <f t="shared" ca="1" si="153"/>
        <v>0.61718199523998118</v>
      </c>
      <c r="E2503" s="48">
        <f t="shared" ca="1" si="154"/>
        <v>0</v>
      </c>
      <c r="F2503" s="17">
        <f t="shared" ca="1" si="155"/>
        <v>0</v>
      </c>
      <c r="H2503" s="17">
        <v>2488</v>
      </c>
      <c r="I2503" s="43">
        <v>0.66857135662515721</v>
      </c>
      <c r="J2503" s="43">
        <v>1.9046901129564572E-2</v>
      </c>
      <c r="K2503" s="43"/>
      <c r="L2503" s="43">
        <v>0.24260000000000001</v>
      </c>
      <c r="O2503" s="50"/>
    </row>
    <row r="2504" spans="2:15" x14ac:dyDescent="0.2">
      <c r="B2504">
        <v>2489</v>
      </c>
      <c r="C2504" s="48">
        <f t="shared" ca="1" si="156"/>
        <v>0.6027858031924882</v>
      </c>
      <c r="D2504" s="48">
        <f t="shared" ca="1" si="153"/>
        <v>0.70519233005368276</v>
      </c>
      <c r="E2504" s="48">
        <f t="shared" ca="1" si="154"/>
        <v>0</v>
      </c>
      <c r="F2504" s="17">
        <f t="shared" ca="1" si="155"/>
        <v>0</v>
      </c>
      <c r="H2504" s="17">
        <v>2489</v>
      </c>
      <c r="I2504" s="43">
        <v>0.66843742320513388</v>
      </c>
      <c r="J2504" s="43">
        <v>1.9118815084514944E-2</v>
      </c>
      <c r="K2504" s="43"/>
      <c r="L2504" s="43">
        <v>0.24940000000000001</v>
      </c>
      <c r="O2504" s="50"/>
    </row>
    <row r="2505" spans="2:15" x14ac:dyDescent="0.2">
      <c r="B2505">
        <v>2490</v>
      </c>
      <c r="C2505" s="48">
        <f t="shared" ca="1" si="156"/>
        <v>-0.10454596981420781</v>
      </c>
      <c r="D2505" s="48">
        <f t="shared" ca="1" si="153"/>
        <v>0.65769186043194827</v>
      </c>
      <c r="E2505" s="48">
        <f t="shared" ca="1" si="154"/>
        <v>0</v>
      </c>
      <c r="F2505" s="17">
        <f t="shared" ca="1" si="155"/>
        <v>0</v>
      </c>
      <c r="H2505" s="17">
        <v>2490</v>
      </c>
      <c r="I2505" s="43">
        <v>0.66921636884382307</v>
      </c>
      <c r="J2505" s="43">
        <v>1.9608333741984951E-2</v>
      </c>
      <c r="K2505" s="43"/>
      <c r="L2505" s="43">
        <v>0.2482</v>
      </c>
      <c r="O2505" s="50"/>
    </row>
    <row r="2506" spans="2:15" x14ac:dyDescent="0.2">
      <c r="B2506">
        <v>2491</v>
      </c>
      <c r="C2506" s="48">
        <f t="shared" ca="1" si="156"/>
        <v>2.2464371541951511</v>
      </c>
      <c r="D2506" s="48">
        <f t="shared" ca="1" si="153"/>
        <v>0.82924363486835162</v>
      </c>
      <c r="E2506" s="48">
        <f t="shared" ca="1" si="154"/>
        <v>4.1043634868351608E-2</v>
      </c>
      <c r="F2506" s="17">
        <f t="shared" ca="1" si="155"/>
        <v>1</v>
      </c>
      <c r="H2506" s="17">
        <v>2491</v>
      </c>
      <c r="I2506" s="43">
        <v>0.66929754721442636</v>
      </c>
      <c r="J2506" s="43">
        <v>1.9802934318574363E-2</v>
      </c>
      <c r="K2506" s="43"/>
      <c r="L2506" s="43">
        <v>0.25240000000000001</v>
      </c>
      <c r="O2506" s="50"/>
    </row>
    <row r="2507" spans="2:15" x14ac:dyDescent="0.2">
      <c r="B2507">
        <v>2492</v>
      </c>
      <c r="C2507" s="48">
        <f t="shared" ca="1" si="156"/>
        <v>0.57675377857801058</v>
      </c>
      <c r="D2507" s="48">
        <f t="shared" ca="1" si="153"/>
        <v>0.70338482270122615</v>
      </c>
      <c r="E2507" s="48">
        <f t="shared" ca="1" si="154"/>
        <v>0</v>
      </c>
      <c r="F2507" s="17">
        <f t="shared" ca="1" si="155"/>
        <v>0</v>
      </c>
      <c r="H2507" s="17">
        <v>2492</v>
      </c>
      <c r="I2507" s="43">
        <v>0.67063793859088416</v>
      </c>
      <c r="J2507" s="43">
        <v>2.0399517723372448E-2</v>
      </c>
      <c r="K2507" s="43"/>
      <c r="L2507" s="43">
        <v>0.2576</v>
      </c>
      <c r="O2507" s="50"/>
    </row>
    <row r="2508" spans="2:15" x14ac:dyDescent="0.2">
      <c r="B2508">
        <v>2493</v>
      </c>
      <c r="C2508" s="48">
        <f t="shared" ca="1" si="156"/>
        <v>-0.42735744543363102</v>
      </c>
      <c r="D2508" s="48">
        <f t="shared" ca="1" si="153"/>
        <v>0.6370902707394468</v>
      </c>
      <c r="E2508" s="48">
        <f t="shared" ca="1" si="154"/>
        <v>0</v>
      </c>
      <c r="F2508" s="17">
        <f t="shared" ca="1" si="155"/>
        <v>0</v>
      </c>
      <c r="H2508" s="17">
        <v>2493</v>
      </c>
      <c r="I2508" s="43">
        <v>0.66895446966877303</v>
      </c>
      <c r="J2508" s="43">
        <v>1.9512177983874716E-2</v>
      </c>
      <c r="K2508" s="43"/>
      <c r="L2508" s="43">
        <v>0.25640000000000002</v>
      </c>
      <c r="O2508" s="50"/>
    </row>
    <row r="2509" spans="2:15" x14ac:dyDescent="0.2">
      <c r="B2509">
        <v>2494</v>
      </c>
      <c r="C2509" s="48">
        <f t="shared" ca="1" si="156"/>
        <v>0.36974435525409421</v>
      </c>
      <c r="D2509" s="48">
        <f t="shared" ca="1" si="153"/>
        <v>0.68917526012296648</v>
      </c>
      <c r="E2509" s="48">
        <f t="shared" ca="1" si="154"/>
        <v>0</v>
      </c>
      <c r="F2509" s="17">
        <f t="shared" ca="1" si="155"/>
        <v>0</v>
      </c>
      <c r="H2509" s="17">
        <v>2494</v>
      </c>
      <c r="I2509" s="43">
        <v>0.66846167261236389</v>
      </c>
      <c r="J2509" s="43">
        <v>1.8809653354808508E-2</v>
      </c>
      <c r="K2509" s="43"/>
      <c r="L2509" s="43">
        <v>0.24979999999999999</v>
      </c>
      <c r="O2509" s="50"/>
    </row>
    <row r="2510" spans="2:15" x14ac:dyDescent="0.2">
      <c r="B2510">
        <v>2495</v>
      </c>
      <c r="C2510" s="48">
        <f t="shared" ca="1" si="156"/>
        <v>0.90174039149282637</v>
      </c>
      <c r="D2510" s="48">
        <f t="shared" ca="1" si="153"/>
        <v>0.72628590847136776</v>
      </c>
      <c r="E2510" s="48">
        <f t="shared" ca="1" si="154"/>
        <v>0</v>
      </c>
      <c r="F2510" s="17">
        <f t="shared" ca="1" si="155"/>
        <v>0</v>
      </c>
      <c r="H2510" s="17">
        <v>2495</v>
      </c>
      <c r="I2510" s="43">
        <v>0.66844044369537337</v>
      </c>
      <c r="J2510" s="43">
        <v>1.8848142213288299E-2</v>
      </c>
      <c r="K2510" s="43"/>
      <c r="L2510" s="43">
        <v>0.24160000000000001</v>
      </c>
      <c r="O2510" s="50"/>
    </row>
    <row r="2511" spans="2:15" x14ac:dyDescent="0.2">
      <c r="B2511">
        <v>2496</v>
      </c>
      <c r="C2511" s="48">
        <f t="shared" ca="1" si="156"/>
        <v>2.1473823206713205</v>
      </c>
      <c r="D2511" s="48">
        <f t="shared" ca="1" si="153"/>
        <v>0.82118501445272907</v>
      </c>
      <c r="E2511" s="48">
        <f t="shared" ca="1" si="154"/>
        <v>3.2985014452729056E-2</v>
      </c>
      <c r="F2511" s="17">
        <f t="shared" ca="1" si="155"/>
        <v>1</v>
      </c>
      <c r="H2511" s="17">
        <v>2496</v>
      </c>
      <c r="I2511" s="43">
        <v>0.66770058079202832</v>
      </c>
      <c r="J2511" s="43">
        <v>1.8153356192802277E-2</v>
      </c>
      <c r="K2511" s="43"/>
      <c r="L2511" s="43">
        <v>0.24</v>
      </c>
      <c r="O2511" s="50"/>
    </row>
    <row r="2512" spans="2:15" x14ac:dyDescent="0.2">
      <c r="B2512">
        <v>2497</v>
      </c>
      <c r="C2512" s="48">
        <f t="shared" ca="1" si="156"/>
        <v>2.1247922271009827</v>
      </c>
      <c r="D2512" s="48">
        <f t="shared" ref="D2512:D2575" ca="1" si="157">S0*EXP((μ-0.5*σ*σ)*T+σ*SQRT(T)*$C2512)</f>
        <v>0.81935818818805584</v>
      </c>
      <c r="E2512" s="48">
        <f t="shared" ref="E2512:E2575" ca="1" si="158">MAX(0,CP*(D2512-K))</f>
        <v>3.1158188188055824E-2</v>
      </c>
      <c r="F2512" s="17">
        <f t="shared" ref="F2512:F2575" ca="1" si="159">(CP*(D2512-K)&gt;0)*1</f>
        <v>1</v>
      </c>
      <c r="H2512" s="17">
        <v>2497</v>
      </c>
      <c r="I2512" s="43">
        <v>0.66935967270313435</v>
      </c>
      <c r="J2512" s="43">
        <v>1.9616537812955592E-2</v>
      </c>
      <c r="K2512" s="43"/>
      <c r="L2512" s="43">
        <v>0.25219999999999998</v>
      </c>
      <c r="O2512" s="50"/>
    </row>
    <row r="2513" spans="1:15" x14ac:dyDescent="0.2">
      <c r="B2513">
        <v>2498</v>
      </c>
      <c r="C2513" s="48">
        <f ca="1">_xlfn.NORM.S.INV(RAND())</f>
        <v>-0.6120139471753141</v>
      </c>
      <c r="D2513" s="48">
        <f t="shared" ca="1" si="157"/>
        <v>0.62559709179840239</v>
      </c>
      <c r="E2513" s="48">
        <f t="shared" ca="1" si="158"/>
        <v>0</v>
      </c>
      <c r="F2513" s="17">
        <f t="shared" ca="1" si="159"/>
        <v>0</v>
      </c>
      <c r="H2513" s="17">
        <v>2498</v>
      </c>
      <c r="I2513" s="43">
        <v>0.66824556574885952</v>
      </c>
      <c r="J2513" s="43">
        <v>1.8688108402182872E-2</v>
      </c>
      <c r="K2513" s="43"/>
      <c r="L2513" s="43">
        <v>0.2452</v>
      </c>
      <c r="O2513" s="50"/>
    </row>
    <row r="2514" spans="1:15" x14ac:dyDescent="0.2">
      <c r="B2514">
        <v>2499</v>
      </c>
      <c r="C2514" s="48">
        <f ca="1">_xlfn.NORM.S.INV(RAND())</f>
        <v>-0.60407929906954627</v>
      </c>
      <c r="D2514" s="48">
        <f t="shared" ca="1" si="157"/>
        <v>0.6260866608870288</v>
      </c>
      <c r="E2514" s="48">
        <f t="shared" ca="1" si="158"/>
        <v>0</v>
      </c>
      <c r="F2514" s="17">
        <f t="shared" ca="1" si="159"/>
        <v>0</v>
      </c>
      <c r="H2514" s="17">
        <v>2499</v>
      </c>
      <c r="I2514" s="43">
        <v>0.6689789463251774</v>
      </c>
      <c r="J2514" s="43">
        <v>1.9590649811669424E-2</v>
      </c>
      <c r="K2514" s="43"/>
      <c r="L2514" s="43">
        <v>0.25940000000000002</v>
      </c>
      <c r="O2514" s="50"/>
    </row>
    <row r="2515" spans="1:15" x14ac:dyDescent="0.2">
      <c r="B2515">
        <v>2500</v>
      </c>
      <c r="C2515" s="49">
        <f ca="1">_xlfn.NORM.S.INV(RAND())</f>
        <v>1.7789067197435353</v>
      </c>
      <c r="D2515" s="48">
        <f t="shared" ca="1" si="157"/>
        <v>0.79188910214650166</v>
      </c>
      <c r="E2515" s="48">
        <f t="shared" ca="1" si="158"/>
        <v>3.6891021465016438E-3</v>
      </c>
      <c r="F2515" s="17">
        <f t="shared" ca="1" si="159"/>
        <v>1</v>
      </c>
      <c r="H2515" s="17">
        <v>2500</v>
      </c>
      <c r="I2515" s="43">
        <v>0.67046440511960637</v>
      </c>
      <c r="J2515" s="43">
        <v>2.0027418439270368E-2</v>
      </c>
      <c r="K2515" s="43"/>
      <c r="L2515" s="43">
        <v>0.25</v>
      </c>
      <c r="O2515" s="50"/>
    </row>
    <row r="2516" spans="1:15" x14ac:dyDescent="0.2">
      <c r="A2516" t="s">
        <v>76</v>
      </c>
      <c r="B2516">
        <v>2501</v>
      </c>
      <c r="C2516" s="48" cm="1">
        <f t="array" aca="1" ref="C2516:C5015" ca="1">-1*C16:C2515</f>
        <v>0.76995211627633242</v>
      </c>
      <c r="D2516" s="48">
        <f t="shared" ca="1" si="157"/>
        <v>0.71691055081532118</v>
      </c>
      <c r="E2516" s="48">
        <f t="shared" ca="1" si="158"/>
        <v>0</v>
      </c>
      <c r="F2516" s="17">
        <f t="shared" ca="1" si="159"/>
        <v>0</v>
      </c>
      <c r="H2516" s="17">
        <v>2501</v>
      </c>
      <c r="I2516" s="43">
        <v>0.66900218130965072</v>
      </c>
      <c r="J2516" s="43">
        <v>1.9667122943143118E-2</v>
      </c>
      <c r="K2516" s="43"/>
      <c r="L2516" s="43">
        <v>0.25240000000000001</v>
      </c>
      <c r="O2516" s="50"/>
    </row>
    <row r="2517" spans="1:15" x14ac:dyDescent="0.2">
      <c r="B2517">
        <v>2502</v>
      </c>
      <c r="C2517" s="48">
        <f ca="1"/>
        <v>-0.48910577644306147</v>
      </c>
      <c r="D2517" s="48">
        <f t="shared" ca="1" si="157"/>
        <v>0.63322369359485331</v>
      </c>
      <c r="E2517" s="48">
        <f t="shared" ca="1" si="158"/>
        <v>0</v>
      </c>
      <c r="F2517" s="17">
        <f t="shared" ca="1" si="159"/>
        <v>0</v>
      </c>
      <c r="H2517" s="17">
        <v>2502</v>
      </c>
      <c r="I2517" s="43">
        <v>0.66781404529594424</v>
      </c>
      <c r="J2517" s="43">
        <v>1.859620514908146E-2</v>
      </c>
      <c r="K2517" s="43"/>
      <c r="L2517" s="43">
        <v>0.249</v>
      </c>
      <c r="O2517" s="50"/>
    </row>
    <row r="2518" spans="1:15" x14ac:dyDescent="0.2">
      <c r="B2518">
        <v>2503</v>
      </c>
      <c r="C2518" s="48">
        <f ca="1"/>
        <v>1.1422697992472124</v>
      </c>
      <c r="D2518" s="48">
        <f t="shared" ca="1" si="157"/>
        <v>0.74371428558948949</v>
      </c>
      <c r="E2518" s="48">
        <f t="shared" ca="1" si="158"/>
        <v>0</v>
      </c>
      <c r="F2518" s="17">
        <f t="shared" ca="1" si="159"/>
        <v>0</v>
      </c>
      <c r="H2518" s="17">
        <v>2503</v>
      </c>
      <c r="I2518" s="43">
        <v>0.66909538097733079</v>
      </c>
      <c r="J2518" s="43">
        <v>1.9145883217819251E-2</v>
      </c>
      <c r="K2518" s="43"/>
      <c r="L2518" s="43">
        <v>0.24660000000000001</v>
      </c>
      <c r="O2518" s="50"/>
    </row>
    <row r="2519" spans="1:15" x14ac:dyDescent="0.2">
      <c r="B2519">
        <v>2504</v>
      </c>
      <c r="C2519" s="48">
        <f ca="1"/>
        <v>-0.95470977739889451</v>
      </c>
      <c r="D2519" s="48">
        <f t="shared" ca="1" si="157"/>
        <v>0.60481403206826811</v>
      </c>
      <c r="E2519" s="48">
        <f t="shared" ca="1" si="158"/>
        <v>0</v>
      </c>
      <c r="F2519" s="17">
        <f t="shared" ca="1" si="159"/>
        <v>0</v>
      </c>
      <c r="H2519" s="17">
        <v>2504</v>
      </c>
      <c r="I2519" s="43">
        <v>0.66878247509550637</v>
      </c>
      <c r="J2519" s="43">
        <v>1.9255884749367663E-2</v>
      </c>
      <c r="K2519" s="43"/>
      <c r="L2519" s="43">
        <v>0.249</v>
      </c>
      <c r="O2519" s="50"/>
    </row>
    <row r="2520" spans="1:15" x14ac:dyDescent="0.2">
      <c r="B2520">
        <v>2505</v>
      </c>
      <c r="C2520" s="48">
        <f ca="1"/>
        <v>0.88931308806678877</v>
      </c>
      <c r="D2520" s="48">
        <f t="shared" ca="1" si="157"/>
        <v>0.72539662499209734</v>
      </c>
      <c r="E2520" s="48">
        <f t="shared" ca="1" si="158"/>
        <v>0</v>
      </c>
      <c r="F2520" s="17">
        <f t="shared" ca="1" si="159"/>
        <v>0</v>
      </c>
      <c r="H2520" s="17">
        <v>2505</v>
      </c>
      <c r="I2520" s="43">
        <v>0.66847245237687081</v>
      </c>
      <c r="J2520" s="43">
        <v>1.9091613299743668E-2</v>
      </c>
      <c r="K2520" s="43"/>
      <c r="L2520" s="43">
        <v>0.24879999999999999</v>
      </c>
      <c r="O2520" s="50"/>
    </row>
    <row r="2521" spans="1:15" x14ac:dyDescent="0.2">
      <c r="B2521">
        <v>2506</v>
      </c>
      <c r="C2521" s="48">
        <f ca="1"/>
        <v>0.75390927134999475</v>
      </c>
      <c r="D2521" s="48">
        <f t="shared" ca="1" si="157"/>
        <v>0.71577756446390406</v>
      </c>
      <c r="E2521" s="48">
        <f t="shared" ca="1" si="158"/>
        <v>0</v>
      </c>
      <c r="F2521" s="17">
        <f t="shared" ca="1" si="159"/>
        <v>0</v>
      </c>
      <c r="H2521" s="17">
        <v>2506</v>
      </c>
      <c r="I2521" s="43">
        <v>0.66907438787803808</v>
      </c>
      <c r="J2521" s="43">
        <v>1.9197435424096191E-2</v>
      </c>
      <c r="K2521" s="43"/>
      <c r="L2521" s="43">
        <v>0.252</v>
      </c>
      <c r="O2521" s="50"/>
    </row>
    <row r="2522" spans="1:15" x14ac:dyDescent="0.2">
      <c r="B2522">
        <v>2507</v>
      </c>
      <c r="C2522" s="48">
        <f ca="1"/>
        <v>-1.6984901068465301</v>
      </c>
      <c r="D2522" s="48">
        <f t="shared" ca="1" si="157"/>
        <v>0.56205156875941831</v>
      </c>
      <c r="E2522" s="48">
        <f t="shared" ca="1" si="158"/>
        <v>0</v>
      </c>
      <c r="F2522" s="17">
        <f t="shared" ca="1" si="159"/>
        <v>0</v>
      </c>
      <c r="H2522" s="17">
        <v>2507</v>
      </c>
      <c r="I2522" s="43">
        <v>0.6682026085692151</v>
      </c>
      <c r="J2522" s="43">
        <v>1.9115856449477837E-2</v>
      </c>
      <c r="K2522" s="43"/>
      <c r="L2522" s="43">
        <v>0.25080000000000002</v>
      </c>
      <c r="O2522" s="50"/>
    </row>
    <row r="2523" spans="1:15" x14ac:dyDescent="0.2">
      <c r="B2523">
        <v>2508</v>
      </c>
      <c r="C2523" s="48">
        <f ca="1"/>
        <v>-0.2785705947004492</v>
      </c>
      <c r="D2523" s="48">
        <f t="shared" ca="1" si="157"/>
        <v>0.64650431784028284</v>
      </c>
      <c r="E2523" s="48">
        <f t="shared" ca="1" si="158"/>
        <v>0</v>
      </c>
      <c r="F2523" s="17">
        <f t="shared" ca="1" si="159"/>
        <v>0</v>
      </c>
      <c r="H2523" s="17">
        <v>2508</v>
      </c>
      <c r="I2523" s="43">
        <v>0.66978547784287235</v>
      </c>
      <c r="J2523" s="43">
        <v>1.9880237144351054E-2</v>
      </c>
      <c r="K2523" s="43"/>
      <c r="L2523" s="43">
        <v>0.25619999999999998</v>
      </c>
      <c r="O2523" s="50"/>
    </row>
    <row r="2524" spans="1:15" x14ac:dyDescent="0.2">
      <c r="B2524">
        <v>2509</v>
      </c>
      <c r="C2524" s="48">
        <f ca="1"/>
        <v>0.61101238096116883</v>
      </c>
      <c r="D2524" s="48">
        <f t="shared" ca="1" si="157"/>
        <v>0.70576449946285713</v>
      </c>
      <c r="E2524" s="48">
        <f t="shared" ca="1" si="158"/>
        <v>0</v>
      </c>
      <c r="F2524" s="17">
        <f t="shared" ca="1" si="159"/>
        <v>0</v>
      </c>
      <c r="H2524" s="17">
        <v>2509</v>
      </c>
      <c r="I2524" s="43">
        <v>0.6683744888344233</v>
      </c>
      <c r="J2524" s="43">
        <v>1.9104575922448415E-2</v>
      </c>
      <c r="K2524" s="43"/>
      <c r="L2524" s="43">
        <v>0.25340000000000001</v>
      </c>
      <c r="O2524" s="50"/>
    </row>
    <row r="2525" spans="1:15" x14ac:dyDescent="0.2">
      <c r="B2525">
        <v>2510</v>
      </c>
      <c r="C2525" s="48">
        <f ca="1"/>
        <v>0.45429462035124907</v>
      </c>
      <c r="D2525" s="48">
        <f t="shared" ca="1" si="157"/>
        <v>0.69494395650989416</v>
      </c>
      <c r="E2525" s="48">
        <f t="shared" ca="1" si="158"/>
        <v>0</v>
      </c>
      <c r="F2525" s="17">
        <f t="shared" ca="1" si="159"/>
        <v>0</v>
      </c>
      <c r="H2525" s="17">
        <v>2510</v>
      </c>
      <c r="I2525" s="43">
        <v>0.66888830288479517</v>
      </c>
      <c r="J2525" s="43">
        <v>1.931004011258871E-2</v>
      </c>
      <c r="K2525" s="43"/>
      <c r="L2525" s="43">
        <v>0.25819999999999999</v>
      </c>
      <c r="O2525" s="50"/>
    </row>
    <row r="2526" spans="1:15" x14ac:dyDescent="0.2">
      <c r="B2526">
        <v>2511</v>
      </c>
      <c r="C2526" s="48">
        <f ca="1"/>
        <v>1.2234254316751738</v>
      </c>
      <c r="D2526" s="48">
        <f t="shared" ca="1" si="157"/>
        <v>0.74968855837495563</v>
      </c>
      <c r="E2526" s="48">
        <f t="shared" ca="1" si="158"/>
        <v>0</v>
      </c>
      <c r="F2526" s="17">
        <f t="shared" ca="1" si="159"/>
        <v>0</v>
      </c>
      <c r="H2526" s="17">
        <v>2511</v>
      </c>
      <c r="I2526" s="43">
        <v>0.66900889171491706</v>
      </c>
      <c r="J2526" s="43">
        <v>1.932134564277993E-2</v>
      </c>
      <c r="K2526" s="43"/>
      <c r="L2526" s="43">
        <v>0.25319999999999998</v>
      </c>
      <c r="O2526" s="50"/>
    </row>
    <row r="2527" spans="1:15" x14ac:dyDescent="0.2">
      <c r="B2527">
        <v>2512</v>
      </c>
      <c r="C2527" s="48">
        <f ca="1"/>
        <v>2.4412518722290146</v>
      </c>
      <c r="D2527" s="48">
        <f t="shared" ca="1" si="157"/>
        <v>0.84532425894772267</v>
      </c>
      <c r="E2527" s="48">
        <f t="shared" ca="1" si="158"/>
        <v>5.7124258947722661E-2</v>
      </c>
      <c r="F2527" s="17">
        <f t="shared" ca="1" si="159"/>
        <v>1</v>
      </c>
      <c r="H2527" s="17">
        <v>2512</v>
      </c>
      <c r="I2527" s="43">
        <v>0.66875864517226724</v>
      </c>
      <c r="J2527" s="43">
        <v>1.8929147318179587E-2</v>
      </c>
      <c r="K2527" s="43"/>
      <c r="L2527" s="43">
        <v>0.25159999999999999</v>
      </c>
      <c r="O2527" s="50"/>
    </row>
    <row r="2528" spans="1:15" x14ac:dyDescent="0.2">
      <c r="B2528">
        <v>2513</v>
      </c>
      <c r="C2528" s="48">
        <f ca="1"/>
        <v>0.7033969746909241</v>
      </c>
      <c r="D2528" s="48">
        <f t="shared" ca="1" si="157"/>
        <v>0.71222193907189779</v>
      </c>
      <c r="E2528" s="48">
        <f t="shared" ca="1" si="158"/>
        <v>0</v>
      </c>
      <c r="F2528" s="17">
        <f t="shared" ca="1" si="159"/>
        <v>0</v>
      </c>
      <c r="H2528" s="17">
        <v>2513</v>
      </c>
      <c r="I2528" s="43">
        <v>0.66847176784455664</v>
      </c>
      <c r="J2528" s="43">
        <v>1.8894976728210687E-2</v>
      </c>
      <c r="K2528" s="43"/>
      <c r="L2528" s="43">
        <v>0.2424</v>
      </c>
      <c r="O2528" s="50"/>
    </row>
    <row r="2529" spans="2:15" x14ac:dyDescent="0.2">
      <c r="B2529">
        <v>2514</v>
      </c>
      <c r="C2529" s="48">
        <f ca="1"/>
        <v>-1.5242510135573397</v>
      </c>
      <c r="D2529" s="48">
        <f t="shared" ca="1" si="157"/>
        <v>0.57178977430151934</v>
      </c>
      <c r="E2529" s="48">
        <f t="shared" ca="1" si="158"/>
        <v>0</v>
      </c>
      <c r="F2529" s="17">
        <f t="shared" ca="1" si="159"/>
        <v>0</v>
      </c>
      <c r="H2529" s="17">
        <v>2514</v>
      </c>
      <c r="I2529" s="43">
        <v>0.66942298694939684</v>
      </c>
      <c r="J2529" s="43">
        <v>1.9503217602202933E-2</v>
      </c>
      <c r="K2529" s="43"/>
      <c r="L2529" s="43">
        <v>0.25080000000000002</v>
      </c>
      <c r="O2529" s="50"/>
    </row>
    <row r="2530" spans="2:15" x14ac:dyDescent="0.2">
      <c r="B2530">
        <v>2515</v>
      </c>
      <c r="C2530" s="48">
        <f ca="1"/>
        <v>-0.38089796340601362</v>
      </c>
      <c r="D2530" s="48">
        <f t="shared" ca="1" si="157"/>
        <v>0.640015042905553</v>
      </c>
      <c r="E2530" s="48">
        <f t="shared" ca="1" si="158"/>
        <v>0</v>
      </c>
      <c r="F2530" s="17">
        <f t="shared" ca="1" si="159"/>
        <v>0</v>
      </c>
      <c r="H2530" s="17">
        <v>2515</v>
      </c>
      <c r="I2530" s="43">
        <v>0.66946535082147196</v>
      </c>
      <c r="J2530" s="43">
        <v>1.9442522703862177E-2</v>
      </c>
      <c r="K2530" s="43"/>
      <c r="L2530" s="43">
        <v>0.25240000000000001</v>
      </c>
      <c r="O2530" s="50"/>
    </row>
    <row r="2531" spans="2:15" x14ac:dyDescent="0.2">
      <c r="B2531">
        <v>2516</v>
      </c>
      <c r="C2531" s="48">
        <f ca="1"/>
        <v>-0.35673291011002811</v>
      </c>
      <c r="D2531" s="48">
        <f t="shared" ca="1" si="157"/>
        <v>0.64154161418605704</v>
      </c>
      <c r="E2531" s="48">
        <f t="shared" ca="1" si="158"/>
        <v>0</v>
      </c>
      <c r="F2531" s="17">
        <f t="shared" ca="1" si="159"/>
        <v>0</v>
      </c>
      <c r="H2531" s="17">
        <v>2516</v>
      </c>
      <c r="I2531" s="43">
        <v>0.66853333532188075</v>
      </c>
      <c r="J2531" s="43">
        <v>1.9148588995004535E-2</v>
      </c>
      <c r="K2531" s="43"/>
      <c r="L2531" s="43">
        <v>0.247</v>
      </c>
      <c r="O2531" s="50"/>
    </row>
    <row r="2532" spans="2:15" x14ac:dyDescent="0.2">
      <c r="B2532">
        <v>2517</v>
      </c>
      <c r="C2532" s="48">
        <f ca="1"/>
        <v>-0.44521628757963039</v>
      </c>
      <c r="D2532" s="48">
        <f t="shared" ca="1" si="157"/>
        <v>0.63596955950364931</v>
      </c>
      <c r="E2532" s="48">
        <f t="shared" ca="1" si="158"/>
        <v>0</v>
      </c>
      <c r="F2532" s="17">
        <f t="shared" ca="1" si="159"/>
        <v>0</v>
      </c>
      <c r="H2532" s="17">
        <v>2517</v>
      </c>
      <c r="I2532" s="43">
        <v>0.66865584221848562</v>
      </c>
      <c r="J2532" s="43">
        <v>1.9094721345160985E-2</v>
      </c>
      <c r="K2532" s="43"/>
      <c r="L2532" s="43">
        <v>0.25480000000000003</v>
      </c>
      <c r="O2532" s="50"/>
    </row>
    <row r="2533" spans="2:15" x14ac:dyDescent="0.2">
      <c r="B2533">
        <v>2518</v>
      </c>
      <c r="C2533" s="48">
        <f ca="1"/>
        <v>-0.93225592896698262</v>
      </c>
      <c r="D2533" s="48">
        <f t="shared" ca="1" si="157"/>
        <v>0.60615437258642391</v>
      </c>
      <c r="E2533" s="48">
        <f t="shared" ca="1" si="158"/>
        <v>0</v>
      </c>
      <c r="F2533" s="17">
        <f t="shared" ca="1" si="159"/>
        <v>0</v>
      </c>
      <c r="H2533" s="17">
        <v>2518</v>
      </c>
      <c r="I2533" s="43">
        <v>0.66806876140730709</v>
      </c>
      <c r="J2533" s="43">
        <v>1.8544609864889722E-2</v>
      </c>
      <c r="K2533" s="43"/>
      <c r="L2533" s="43">
        <v>0.247</v>
      </c>
      <c r="O2533" s="50"/>
    </row>
    <row r="2534" spans="2:15" x14ac:dyDescent="0.2">
      <c r="B2534">
        <v>2519</v>
      </c>
      <c r="C2534" s="48">
        <f ca="1"/>
        <v>-0.65307640878910211</v>
      </c>
      <c r="D2534" s="48">
        <f t="shared" ca="1" si="157"/>
        <v>0.62306964132511033</v>
      </c>
      <c r="E2534" s="48">
        <f t="shared" ca="1" si="158"/>
        <v>0</v>
      </c>
      <c r="F2534" s="17">
        <f t="shared" ca="1" si="159"/>
        <v>0</v>
      </c>
      <c r="H2534" s="17">
        <v>2519</v>
      </c>
      <c r="I2534" s="43">
        <v>0.66921399146113092</v>
      </c>
      <c r="J2534" s="43">
        <v>1.9569561988021626E-2</v>
      </c>
      <c r="K2534" s="43"/>
      <c r="L2534" s="43">
        <v>0.25580000000000003</v>
      </c>
      <c r="O2534" s="50"/>
    </row>
    <row r="2535" spans="2:15" x14ac:dyDescent="0.2">
      <c r="B2535">
        <v>2520</v>
      </c>
      <c r="C2535" s="48">
        <f ca="1"/>
        <v>0.48155682047830234</v>
      </c>
      <c r="D2535" s="48">
        <f t="shared" ca="1" si="157"/>
        <v>0.69681427757127923</v>
      </c>
      <c r="E2535" s="48">
        <f t="shared" ca="1" si="158"/>
        <v>0</v>
      </c>
      <c r="F2535" s="17">
        <f t="shared" ca="1" si="159"/>
        <v>0</v>
      </c>
      <c r="H2535" s="17">
        <v>2520</v>
      </c>
      <c r="I2535" s="43">
        <v>0.66775361230329033</v>
      </c>
      <c r="J2535" s="43">
        <v>1.8572204891788523E-2</v>
      </c>
      <c r="K2535" s="43"/>
      <c r="L2535" s="43">
        <v>0.25</v>
      </c>
      <c r="O2535" s="50"/>
    </row>
    <row r="2536" spans="2:15" x14ac:dyDescent="0.2">
      <c r="B2536">
        <v>2521</v>
      </c>
      <c r="C2536" s="48">
        <f ca="1"/>
        <v>-0.90146571603592252</v>
      </c>
      <c r="D2536" s="48">
        <f t="shared" ca="1" si="157"/>
        <v>0.60799716738913856</v>
      </c>
      <c r="E2536" s="48">
        <f t="shared" ca="1" si="158"/>
        <v>0</v>
      </c>
      <c r="F2536" s="17">
        <f t="shared" ca="1" si="159"/>
        <v>0</v>
      </c>
      <c r="H2536" s="17">
        <v>2521</v>
      </c>
      <c r="I2536" s="43">
        <v>0.66849374125869676</v>
      </c>
      <c r="J2536" s="43">
        <v>1.9168693196052151E-2</v>
      </c>
      <c r="K2536" s="43"/>
      <c r="L2536" s="43">
        <v>0.251</v>
      </c>
      <c r="O2536" s="50"/>
    </row>
    <row r="2537" spans="2:15" x14ac:dyDescent="0.2">
      <c r="B2537">
        <v>2522</v>
      </c>
      <c r="C2537" s="48">
        <f ca="1"/>
        <v>-0.10641999793623153</v>
      </c>
      <c r="D2537" s="48">
        <f t="shared" ca="1" si="157"/>
        <v>0.6575703593423099</v>
      </c>
      <c r="E2537" s="48">
        <f t="shared" ca="1" si="158"/>
        <v>0</v>
      </c>
      <c r="F2537" s="17">
        <f t="shared" ca="1" si="159"/>
        <v>0</v>
      </c>
      <c r="H2537" s="17">
        <v>2522</v>
      </c>
      <c r="I2537" s="43">
        <v>0.66879485075619827</v>
      </c>
      <c r="J2537" s="43">
        <v>1.9353941904979258E-2</v>
      </c>
      <c r="K2537" s="43"/>
      <c r="L2537" s="43">
        <v>0.25779999999999997</v>
      </c>
      <c r="O2537" s="50"/>
    </row>
    <row r="2538" spans="2:15" x14ac:dyDescent="0.2">
      <c r="B2538">
        <v>2523</v>
      </c>
      <c r="C2538" s="48">
        <f ca="1"/>
        <v>0.75976336810000644</v>
      </c>
      <c r="D2538" s="48">
        <f t="shared" ca="1" si="157"/>
        <v>0.71619078797961844</v>
      </c>
      <c r="E2538" s="48">
        <f t="shared" ca="1" si="158"/>
        <v>0</v>
      </c>
      <c r="F2538" s="17">
        <f t="shared" ca="1" si="159"/>
        <v>0</v>
      </c>
      <c r="H2538" s="17">
        <v>2523</v>
      </c>
      <c r="I2538" s="43">
        <v>0.66884166582187998</v>
      </c>
      <c r="J2538" s="43">
        <v>1.9251894726719818E-2</v>
      </c>
      <c r="K2538" s="43"/>
      <c r="L2538" s="43">
        <v>0.25140000000000001</v>
      </c>
      <c r="O2538" s="50"/>
    </row>
    <row r="2539" spans="2:15" x14ac:dyDescent="0.2">
      <c r="B2539">
        <v>2524</v>
      </c>
      <c r="C2539" s="48">
        <f ca="1"/>
        <v>0.69400380354887203</v>
      </c>
      <c r="D2539" s="48">
        <f t="shared" ca="1" si="157"/>
        <v>0.71156269196937272</v>
      </c>
      <c r="E2539" s="48">
        <f t="shared" ca="1" si="158"/>
        <v>0</v>
      </c>
      <c r="F2539" s="17">
        <f t="shared" ca="1" si="159"/>
        <v>0</v>
      </c>
      <c r="H2539" s="17">
        <v>2524</v>
      </c>
      <c r="I2539" s="43">
        <v>0.6690511108408792</v>
      </c>
      <c r="J2539" s="43">
        <v>1.9357003994113633E-2</v>
      </c>
      <c r="K2539" s="43"/>
      <c r="L2539" s="43">
        <v>0.25259999999999999</v>
      </c>
      <c r="O2539" s="50"/>
    </row>
    <row r="2540" spans="2:15" x14ac:dyDescent="0.2">
      <c r="B2540">
        <v>2525</v>
      </c>
      <c r="C2540" s="48">
        <f ca="1"/>
        <v>-0.35089179474800891</v>
      </c>
      <c r="D2540" s="48">
        <f t="shared" ca="1" si="157"/>
        <v>0.64191115923602127</v>
      </c>
      <c r="E2540" s="48">
        <f t="shared" ca="1" si="158"/>
        <v>0</v>
      </c>
      <c r="F2540" s="17">
        <f t="shared" ca="1" si="159"/>
        <v>0</v>
      </c>
      <c r="H2540" s="17">
        <v>2525</v>
      </c>
      <c r="I2540" s="43">
        <v>0.66892855032686993</v>
      </c>
      <c r="J2540" s="43">
        <v>1.9654821621319724E-2</v>
      </c>
      <c r="K2540" s="43"/>
      <c r="L2540" s="43">
        <v>0.25540000000000002</v>
      </c>
      <c r="O2540" s="50"/>
    </row>
    <row r="2541" spans="2:15" x14ac:dyDescent="0.2">
      <c r="B2541">
        <v>2526</v>
      </c>
      <c r="C2541" s="48">
        <f ca="1"/>
        <v>-0.31282669555685033</v>
      </c>
      <c r="D2541" s="48">
        <f t="shared" ca="1" si="157"/>
        <v>0.64432461178440048</v>
      </c>
      <c r="E2541" s="48">
        <f t="shared" ca="1" si="158"/>
        <v>0</v>
      </c>
      <c r="F2541" s="17">
        <f t="shared" ca="1" si="159"/>
        <v>0</v>
      </c>
      <c r="H2541" s="17">
        <v>2526</v>
      </c>
      <c r="I2541" s="43">
        <v>0.66959698354291119</v>
      </c>
      <c r="J2541" s="43">
        <v>1.9568162293981752E-2</v>
      </c>
      <c r="K2541" s="43"/>
      <c r="L2541" s="43">
        <v>0.24660000000000001</v>
      </c>
      <c r="O2541" s="50"/>
    </row>
    <row r="2542" spans="2:15" x14ac:dyDescent="0.2">
      <c r="B2542">
        <v>2527</v>
      </c>
      <c r="C2542" s="48">
        <f ca="1"/>
        <v>-0.21158755699714535</v>
      </c>
      <c r="D2542" s="48">
        <f t="shared" ca="1" si="157"/>
        <v>0.6507877584640015</v>
      </c>
      <c r="E2542" s="48">
        <f t="shared" ca="1" si="158"/>
        <v>0</v>
      </c>
      <c r="F2542" s="17">
        <f t="shared" ca="1" si="159"/>
        <v>0</v>
      </c>
      <c r="H2542" s="17">
        <v>2527</v>
      </c>
      <c r="I2542" s="43">
        <v>0.66947237027832662</v>
      </c>
      <c r="J2542" s="43">
        <v>1.9741237512670907E-2</v>
      </c>
      <c r="K2542" s="43"/>
      <c r="L2542" s="43">
        <v>0.25380000000000003</v>
      </c>
      <c r="O2542" s="50"/>
    </row>
    <row r="2543" spans="2:15" x14ac:dyDescent="0.2">
      <c r="B2543">
        <v>2528</v>
      </c>
      <c r="C2543" s="48">
        <f ca="1"/>
        <v>-2.5100150884486703</v>
      </c>
      <c r="D2543" s="48">
        <f t="shared" ca="1" si="157"/>
        <v>0.51883577665992631</v>
      </c>
      <c r="E2543" s="48">
        <f t="shared" ca="1" si="158"/>
        <v>0</v>
      </c>
      <c r="F2543" s="17">
        <f t="shared" ca="1" si="159"/>
        <v>0</v>
      </c>
      <c r="H2543" s="17">
        <v>2528</v>
      </c>
      <c r="I2543" s="43">
        <v>0.67012014073211623</v>
      </c>
      <c r="J2543" s="43">
        <v>2.0334237413973555E-2</v>
      </c>
      <c r="K2543" s="43"/>
      <c r="L2543" s="43">
        <v>0.25740000000000002</v>
      </c>
      <c r="O2543" s="50"/>
    </row>
    <row r="2544" spans="2:15" x14ac:dyDescent="0.2">
      <c r="B2544">
        <v>2529</v>
      </c>
      <c r="C2544" s="48">
        <f ca="1"/>
        <v>0.19795300107949468</v>
      </c>
      <c r="D2544" s="48">
        <f t="shared" ca="1" si="157"/>
        <v>0.67760134790118465</v>
      </c>
      <c r="E2544" s="48">
        <f t="shared" ca="1" si="158"/>
        <v>0</v>
      </c>
      <c r="F2544" s="17">
        <f t="shared" ca="1" si="159"/>
        <v>0</v>
      </c>
      <c r="H2544" s="17">
        <v>2529</v>
      </c>
      <c r="I2544" s="43">
        <v>0.66829615164692424</v>
      </c>
      <c r="J2544" s="43">
        <v>1.8744329753142892E-2</v>
      </c>
      <c r="K2544" s="43"/>
      <c r="L2544" s="43">
        <v>0.24440000000000001</v>
      </c>
      <c r="O2544" s="50"/>
    </row>
    <row r="2545" spans="2:15" x14ac:dyDescent="0.2">
      <c r="B2545">
        <v>2530</v>
      </c>
      <c r="C2545" s="48">
        <f ca="1"/>
        <v>0.55190431177125365</v>
      </c>
      <c r="D2545" s="48">
        <f t="shared" ca="1" si="157"/>
        <v>0.7016637472126086</v>
      </c>
      <c r="E2545" s="48">
        <f t="shared" ca="1" si="158"/>
        <v>0</v>
      </c>
      <c r="F2545" s="17">
        <f t="shared" ca="1" si="159"/>
        <v>0</v>
      </c>
      <c r="H2545" s="17">
        <v>2530</v>
      </c>
      <c r="I2545" s="43">
        <v>0.66839035556951631</v>
      </c>
      <c r="J2545" s="43">
        <v>1.9048107195026389E-2</v>
      </c>
      <c r="K2545" s="43"/>
      <c r="L2545" s="43">
        <v>0.2472</v>
      </c>
      <c r="O2545" s="50"/>
    </row>
    <row r="2546" spans="2:15" x14ac:dyDescent="0.2">
      <c r="B2546">
        <v>2531</v>
      </c>
      <c r="C2546" s="48">
        <f ca="1"/>
        <v>-0.64999086361203051</v>
      </c>
      <c r="D2546" s="48">
        <f t="shared" ca="1" si="157"/>
        <v>0.62325920550579095</v>
      </c>
      <c r="E2546" s="48">
        <f t="shared" ca="1" si="158"/>
        <v>0</v>
      </c>
      <c r="F2546" s="17">
        <f t="shared" ca="1" si="159"/>
        <v>0</v>
      </c>
      <c r="H2546" s="17">
        <v>2531</v>
      </c>
      <c r="I2546" s="43">
        <v>0.66923828022238163</v>
      </c>
      <c r="J2546" s="43">
        <v>1.9714364596126698E-2</v>
      </c>
      <c r="K2546" s="43"/>
      <c r="L2546" s="43">
        <v>0.25459999999999999</v>
      </c>
      <c r="O2546" s="50"/>
    </row>
    <row r="2547" spans="2:15" x14ac:dyDescent="0.2">
      <c r="B2547">
        <v>2532</v>
      </c>
      <c r="C2547" s="48">
        <f ca="1"/>
        <v>-0.93200022527762372</v>
      </c>
      <c r="D2547" s="48">
        <f t="shared" ca="1" si="157"/>
        <v>0.60616965343355933</v>
      </c>
      <c r="E2547" s="48">
        <f t="shared" ca="1" si="158"/>
        <v>0</v>
      </c>
      <c r="F2547" s="17">
        <f t="shared" ca="1" si="159"/>
        <v>0</v>
      </c>
      <c r="H2547" s="17">
        <v>2532</v>
      </c>
      <c r="I2547" s="43">
        <v>0.66852860120821667</v>
      </c>
      <c r="J2547" s="43">
        <v>1.8791960306584522E-2</v>
      </c>
      <c r="K2547" s="43"/>
      <c r="L2547" s="43">
        <v>0.2492</v>
      </c>
      <c r="O2547" s="50"/>
    </row>
    <row r="2548" spans="2:15" x14ac:dyDescent="0.2">
      <c r="B2548">
        <v>2533</v>
      </c>
      <c r="C2548" s="48">
        <f ca="1"/>
        <v>-1.1749681118327464</v>
      </c>
      <c r="D2548" s="48">
        <f t="shared" ca="1" si="157"/>
        <v>0.591822236663331</v>
      </c>
      <c r="E2548" s="48">
        <f t="shared" ca="1" si="158"/>
        <v>0</v>
      </c>
      <c r="F2548" s="17">
        <f t="shared" ca="1" si="159"/>
        <v>0</v>
      </c>
      <c r="H2548" s="17">
        <v>2533</v>
      </c>
      <c r="I2548" s="43">
        <v>0.66847391805359735</v>
      </c>
      <c r="J2548" s="43">
        <v>1.8956678341810421E-2</v>
      </c>
      <c r="K2548" s="43"/>
      <c r="L2548" s="43">
        <v>0.24540000000000001</v>
      </c>
      <c r="O2548" s="50"/>
    </row>
    <row r="2549" spans="2:15" x14ac:dyDescent="0.2">
      <c r="B2549">
        <v>2534</v>
      </c>
      <c r="C2549" s="48">
        <f ca="1"/>
        <v>-0.61341672606088848</v>
      </c>
      <c r="D2549" s="48">
        <f t="shared" ca="1" si="157"/>
        <v>0.62551057994193571</v>
      </c>
      <c r="E2549" s="48">
        <f t="shared" ca="1" si="158"/>
        <v>0</v>
      </c>
      <c r="F2549" s="17">
        <f t="shared" ca="1" si="159"/>
        <v>0</v>
      </c>
      <c r="H2549" s="17">
        <v>2534</v>
      </c>
      <c r="I2549" s="43">
        <v>0.6688498320345666</v>
      </c>
      <c r="J2549" s="43">
        <v>1.9187383390762959E-2</v>
      </c>
      <c r="K2549" s="43"/>
      <c r="L2549" s="43">
        <v>0.24840000000000001</v>
      </c>
      <c r="O2549" s="50"/>
    </row>
    <row r="2550" spans="2:15" x14ac:dyDescent="0.2">
      <c r="B2550">
        <v>2535</v>
      </c>
      <c r="C2550" s="48">
        <f ca="1"/>
        <v>0.48881981225912502</v>
      </c>
      <c r="D2550" s="48">
        <f t="shared" ca="1" si="157"/>
        <v>0.69731340312995416</v>
      </c>
      <c r="E2550" s="48">
        <f t="shared" ca="1" si="158"/>
        <v>0</v>
      </c>
      <c r="F2550" s="17">
        <f t="shared" ca="1" si="159"/>
        <v>0</v>
      </c>
      <c r="H2550" s="17">
        <v>2535</v>
      </c>
      <c r="I2550" s="43">
        <v>0.66866956501371444</v>
      </c>
      <c r="J2550" s="43">
        <v>1.9196927463386578E-2</v>
      </c>
      <c r="K2550" s="43"/>
      <c r="L2550" s="43">
        <v>0.25040000000000001</v>
      </c>
      <c r="O2550" s="50"/>
    </row>
    <row r="2551" spans="2:15" x14ac:dyDescent="0.2">
      <c r="B2551">
        <v>2536</v>
      </c>
      <c r="C2551" s="48">
        <f ca="1"/>
        <v>1.711840384153331</v>
      </c>
      <c r="D2551" s="48">
        <f t="shared" ca="1" si="157"/>
        <v>0.78667048184070343</v>
      </c>
      <c r="E2551" s="48">
        <f t="shared" ca="1" si="158"/>
        <v>0</v>
      </c>
      <c r="F2551" s="17">
        <f t="shared" ca="1" si="159"/>
        <v>0</v>
      </c>
      <c r="H2551" s="17">
        <v>2536</v>
      </c>
      <c r="I2551" s="43">
        <v>0.66931470921165359</v>
      </c>
      <c r="J2551" s="43">
        <v>1.9673499456834203E-2</v>
      </c>
      <c r="K2551" s="43"/>
      <c r="L2551" s="43">
        <v>0.252</v>
      </c>
      <c r="O2551" s="50"/>
    </row>
    <row r="2552" spans="2:15" x14ac:dyDescent="0.2">
      <c r="B2552">
        <v>2537</v>
      </c>
      <c r="C2552" s="48">
        <f ca="1"/>
        <v>-0.82774767482684486</v>
      </c>
      <c r="D2552" s="48">
        <f t="shared" ca="1" si="157"/>
        <v>0.6124319892001181</v>
      </c>
      <c r="E2552" s="48">
        <f t="shared" ca="1" si="158"/>
        <v>0</v>
      </c>
      <c r="F2552" s="17">
        <f t="shared" ca="1" si="159"/>
        <v>0</v>
      </c>
      <c r="H2552" s="17">
        <v>2537</v>
      </c>
      <c r="I2552" s="43">
        <v>0.66880531604745852</v>
      </c>
      <c r="J2552" s="43">
        <v>1.9235241439035621E-2</v>
      </c>
      <c r="K2552" s="43"/>
      <c r="L2552" s="43">
        <v>0.2452</v>
      </c>
      <c r="O2552" s="50"/>
    </row>
    <row r="2553" spans="2:15" x14ac:dyDescent="0.2">
      <c r="B2553">
        <v>2538</v>
      </c>
      <c r="C2553" s="48">
        <f ca="1"/>
        <v>3.0226543179140929E-2</v>
      </c>
      <c r="D2553" s="48">
        <f t="shared" ca="1" si="157"/>
        <v>0.66648884678380726</v>
      </c>
      <c r="E2553" s="48">
        <f t="shared" ca="1" si="158"/>
        <v>0</v>
      </c>
      <c r="F2553" s="17">
        <f t="shared" ca="1" si="159"/>
        <v>0</v>
      </c>
      <c r="H2553" s="17">
        <v>2538</v>
      </c>
      <c r="I2553" s="43">
        <v>0.66852598068792091</v>
      </c>
      <c r="J2553" s="43">
        <v>1.9126447025747711E-2</v>
      </c>
      <c r="K2553" s="43"/>
      <c r="L2553" s="43">
        <v>0.246</v>
      </c>
      <c r="O2553" s="50"/>
    </row>
    <row r="2554" spans="2:15" x14ac:dyDescent="0.2">
      <c r="B2554">
        <v>2539</v>
      </c>
      <c r="C2554" s="48">
        <f ca="1"/>
        <v>0.62726305839612984</v>
      </c>
      <c r="D2554" s="48">
        <f t="shared" ca="1" si="157"/>
        <v>0.70689612031259219</v>
      </c>
      <c r="E2554" s="48">
        <f t="shared" ca="1" si="158"/>
        <v>0</v>
      </c>
      <c r="F2554" s="17">
        <f t="shared" ca="1" si="159"/>
        <v>0</v>
      </c>
      <c r="H2554" s="17">
        <v>2539</v>
      </c>
      <c r="I2554" s="43">
        <v>0.66690241978787035</v>
      </c>
      <c r="J2554" s="43">
        <v>1.7641890555935812E-2</v>
      </c>
      <c r="K2554" s="43"/>
      <c r="L2554" s="43">
        <v>0.24399999999999999</v>
      </c>
      <c r="O2554" s="50"/>
    </row>
    <row r="2555" spans="2:15" x14ac:dyDescent="0.2">
      <c r="B2555">
        <v>2540</v>
      </c>
      <c r="C2555" s="48">
        <f ca="1"/>
        <v>0.2641858052506581</v>
      </c>
      <c r="D2555" s="48">
        <f t="shared" ca="1" si="157"/>
        <v>0.68204037511634674</v>
      </c>
      <c r="E2555" s="48">
        <f t="shared" ca="1" si="158"/>
        <v>0</v>
      </c>
      <c r="F2555" s="17">
        <f t="shared" ca="1" si="159"/>
        <v>0</v>
      </c>
      <c r="H2555" s="17">
        <v>2540</v>
      </c>
      <c r="I2555" s="43">
        <v>0.66868868395144132</v>
      </c>
      <c r="J2555" s="43">
        <v>1.8889483497458202E-2</v>
      </c>
      <c r="K2555" s="43"/>
      <c r="L2555" s="43">
        <v>0.2482</v>
      </c>
      <c r="O2555" s="50"/>
    </row>
    <row r="2556" spans="2:15" x14ac:dyDescent="0.2">
      <c r="B2556">
        <v>2541</v>
      </c>
      <c r="C2556" s="48">
        <f ca="1"/>
        <v>5.8835646868558786E-2</v>
      </c>
      <c r="D2556" s="48">
        <f t="shared" ca="1" si="157"/>
        <v>0.66837133153122719</v>
      </c>
      <c r="E2556" s="48">
        <f t="shared" ca="1" si="158"/>
        <v>0</v>
      </c>
      <c r="F2556" s="17">
        <f t="shared" ca="1" si="159"/>
        <v>0</v>
      </c>
      <c r="H2556" s="17">
        <v>2541</v>
      </c>
      <c r="I2556" s="43">
        <v>0.66901199114313636</v>
      </c>
      <c r="J2556" s="43">
        <v>1.9548295770811807E-2</v>
      </c>
      <c r="K2556" s="43"/>
      <c r="L2556" s="43">
        <v>0.25219999999999998</v>
      </c>
      <c r="O2556" s="50"/>
    </row>
    <row r="2557" spans="2:15" x14ac:dyDescent="0.2">
      <c r="B2557">
        <v>2542</v>
      </c>
      <c r="C2557" s="48">
        <f ca="1"/>
        <v>-0.84774742593532648</v>
      </c>
      <c r="D2557" s="48">
        <f t="shared" ca="1" si="157"/>
        <v>0.61122563151716758</v>
      </c>
      <c r="E2557" s="48">
        <f t="shared" ca="1" si="158"/>
        <v>0</v>
      </c>
      <c r="F2557" s="17">
        <f t="shared" ca="1" si="159"/>
        <v>0</v>
      </c>
      <c r="H2557" s="17">
        <v>2542</v>
      </c>
      <c r="I2557" s="43">
        <v>0.66778138356509309</v>
      </c>
      <c r="J2557" s="43">
        <v>1.8497872454906847E-2</v>
      </c>
      <c r="K2557" s="43"/>
      <c r="L2557" s="43">
        <v>0.2482</v>
      </c>
      <c r="O2557" s="50"/>
    </row>
    <row r="2558" spans="2:15" x14ac:dyDescent="0.2">
      <c r="B2558">
        <v>2543</v>
      </c>
      <c r="C2558" s="48">
        <f ca="1"/>
        <v>-2.7668127978550725</v>
      </c>
      <c r="D2558" s="48">
        <f t="shared" ca="1" si="157"/>
        <v>0.50586527255785996</v>
      </c>
      <c r="E2558" s="48">
        <f t="shared" ca="1" si="158"/>
        <v>0</v>
      </c>
      <c r="F2558" s="17">
        <f t="shared" ca="1" si="159"/>
        <v>0</v>
      </c>
      <c r="H2558" s="17">
        <v>2543</v>
      </c>
      <c r="I2558" s="43">
        <v>0.67020040002760461</v>
      </c>
      <c r="J2558" s="43">
        <v>2.001288846004308E-2</v>
      </c>
      <c r="K2558" s="43"/>
      <c r="L2558" s="43">
        <v>0.24740000000000001</v>
      </c>
      <c r="O2558" s="50"/>
    </row>
    <row r="2559" spans="2:15" x14ac:dyDescent="0.2">
      <c r="B2559">
        <v>2544</v>
      </c>
      <c r="C2559" s="48">
        <f ca="1"/>
        <v>-0.63642408305683129</v>
      </c>
      <c r="D2559" s="48">
        <f t="shared" ca="1" si="157"/>
        <v>0.62409338150940052</v>
      </c>
      <c r="E2559" s="48">
        <f t="shared" ca="1" si="158"/>
        <v>0</v>
      </c>
      <c r="F2559" s="17">
        <f t="shared" ca="1" si="159"/>
        <v>0</v>
      </c>
      <c r="H2559" s="17">
        <v>2544</v>
      </c>
      <c r="I2559" s="43">
        <v>0.66885786091258892</v>
      </c>
      <c r="J2559" s="43">
        <v>1.9410178795504707E-2</v>
      </c>
      <c r="K2559" s="43"/>
      <c r="L2559" s="43">
        <v>0.251</v>
      </c>
      <c r="O2559" s="50"/>
    </row>
    <row r="2560" spans="2:15" x14ac:dyDescent="0.2">
      <c r="B2560">
        <v>2545</v>
      </c>
      <c r="C2560" s="48">
        <f ca="1"/>
        <v>-0.17131107300660789</v>
      </c>
      <c r="D2560" s="48">
        <f t="shared" ca="1" si="157"/>
        <v>0.65337701553437189</v>
      </c>
      <c r="E2560" s="48">
        <f t="shared" ca="1" si="158"/>
        <v>0</v>
      </c>
      <c r="F2560" s="17">
        <f t="shared" ca="1" si="159"/>
        <v>0</v>
      </c>
      <c r="H2560" s="17">
        <v>2545</v>
      </c>
      <c r="I2560" s="43">
        <v>0.66781952779881371</v>
      </c>
      <c r="J2560" s="43">
        <v>1.859641956039312E-2</v>
      </c>
      <c r="K2560" s="43"/>
      <c r="L2560" s="43">
        <v>0.24779999999999999</v>
      </c>
      <c r="O2560" s="50"/>
    </row>
    <row r="2561" spans="2:15" x14ac:dyDescent="0.2">
      <c r="B2561">
        <v>2546</v>
      </c>
      <c r="C2561" s="48">
        <f ca="1"/>
        <v>0.79628437480448533</v>
      </c>
      <c r="D2561" s="48">
        <f t="shared" ca="1" si="157"/>
        <v>0.71877409050028196</v>
      </c>
      <c r="E2561" s="48">
        <f t="shared" ca="1" si="158"/>
        <v>0</v>
      </c>
      <c r="F2561" s="17">
        <f t="shared" ca="1" si="159"/>
        <v>0</v>
      </c>
      <c r="H2561" s="17">
        <v>2546</v>
      </c>
      <c r="I2561" s="43">
        <v>0.66903287776580744</v>
      </c>
      <c r="J2561" s="43">
        <v>1.9522315884437209E-2</v>
      </c>
      <c r="K2561" s="43"/>
      <c r="L2561" s="43">
        <v>0.24959999999999999</v>
      </c>
      <c r="O2561" s="50"/>
    </row>
    <row r="2562" spans="2:15" x14ac:dyDescent="0.2">
      <c r="B2562">
        <v>2547</v>
      </c>
      <c r="C2562" s="48">
        <f ca="1"/>
        <v>-1.9658843165346485E-2</v>
      </c>
      <c r="D2562" s="48">
        <f t="shared" ca="1" si="157"/>
        <v>0.66321905243988355</v>
      </c>
      <c r="E2562" s="48">
        <f t="shared" ca="1" si="158"/>
        <v>0</v>
      </c>
      <c r="F2562" s="17">
        <f t="shared" ca="1" si="159"/>
        <v>0</v>
      </c>
      <c r="H2562" s="17">
        <v>2547</v>
      </c>
      <c r="I2562" s="43">
        <v>0.66879779248755722</v>
      </c>
      <c r="J2562" s="43">
        <v>1.9344153364865935E-2</v>
      </c>
      <c r="K2562" s="43"/>
      <c r="L2562" s="43">
        <v>0.25019999999999998</v>
      </c>
      <c r="O2562" s="50"/>
    </row>
    <row r="2563" spans="2:15" x14ac:dyDescent="0.2">
      <c r="B2563">
        <v>2548</v>
      </c>
      <c r="C2563" s="48">
        <f ca="1"/>
        <v>-0.56562024007656753</v>
      </c>
      <c r="D2563" s="48">
        <f t="shared" ca="1" si="157"/>
        <v>0.6284650254038342</v>
      </c>
      <c r="E2563" s="48">
        <f t="shared" ca="1" si="158"/>
        <v>0</v>
      </c>
      <c r="F2563" s="17">
        <f t="shared" ca="1" si="159"/>
        <v>0</v>
      </c>
      <c r="H2563" s="17">
        <v>2548</v>
      </c>
      <c r="I2563" s="43">
        <v>0.66920743483852219</v>
      </c>
      <c r="J2563" s="43">
        <v>1.9742251547714147E-2</v>
      </c>
      <c r="K2563" s="43"/>
      <c r="L2563" s="43">
        <v>0.25059999999999999</v>
      </c>
      <c r="O2563" s="50"/>
    </row>
    <row r="2564" spans="2:15" x14ac:dyDescent="0.2">
      <c r="B2564">
        <v>2549</v>
      </c>
      <c r="C2564" s="48">
        <f ca="1"/>
        <v>-0.92998745416872208</v>
      </c>
      <c r="D2564" s="48">
        <f t="shared" ca="1" si="157"/>
        <v>0.60628995004418906</v>
      </c>
      <c r="E2564" s="48">
        <f t="shared" ca="1" si="158"/>
        <v>0</v>
      </c>
      <c r="F2564" s="17">
        <f t="shared" ca="1" si="159"/>
        <v>0</v>
      </c>
      <c r="H2564" s="17">
        <v>2549</v>
      </c>
      <c r="I2564" s="43">
        <v>0.6682089308985889</v>
      </c>
      <c r="J2564" s="43">
        <v>1.8895964910390573E-2</v>
      </c>
      <c r="K2564" s="43"/>
      <c r="L2564" s="43">
        <v>0.248</v>
      </c>
      <c r="O2564" s="50"/>
    </row>
    <row r="2565" spans="2:15" x14ac:dyDescent="0.2">
      <c r="B2565">
        <v>2550</v>
      </c>
      <c r="C2565" s="48">
        <f ca="1"/>
        <v>1.7376482616761844</v>
      </c>
      <c r="D2565" s="48">
        <f t="shared" ca="1" si="157"/>
        <v>0.78867458224731102</v>
      </c>
      <c r="E2565" s="48">
        <f t="shared" ca="1" si="158"/>
        <v>4.7458224731100618E-4</v>
      </c>
      <c r="F2565" s="17">
        <f t="shared" ca="1" si="159"/>
        <v>1</v>
      </c>
      <c r="H2565" s="17">
        <v>2550</v>
      </c>
      <c r="I2565" s="43">
        <v>0.66930121290224465</v>
      </c>
      <c r="J2565" s="43">
        <v>1.9649389589918458E-2</v>
      </c>
      <c r="K2565" s="43"/>
      <c r="L2565" s="43">
        <v>0.24959999999999999</v>
      </c>
      <c r="O2565" s="50"/>
    </row>
    <row r="2566" spans="2:15" x14ac:dyDescent="0.2">
      <c r="B2566">
        <v>2551</v>
      </c>
      <c r="C2566" s="48">
        <f ca="1"/>
        <v>-0.91766130990814876</v>
      </c>
      <c r="D2566" s="48">
        <f t="shared" ca="1" si="157"/>
        <v>0.6070271634787141</v>
      </c>
      <c r="E2566" s="48">
        <f t="shared" ca="1" si="158"/>
        <v>0</v>
      </c>
      <c r="F2566" s="17">
        <f t="shared" ca="1" si="159"/>
        <v>0</v>
      </c>
      <c r="H2566" s="17">
        <v>2551</v>
      </c>
      <c r="I2566" s="43">
        <v>0.66802845228493535</v>
      </c>
      <c r="J2566" s="43">
        <v>1.8963763572731496E-2</v>
      </c>
      <c r="K2566" s="43"/>
      <c r="L2566" s="43">
        <v>0.25340000000000001</v>
      </c>
      <c r="O2566" s="50"/>
    </row>
    <row r="2567" spans="2:15" x14ac:dyDescent="0.2">
      <c r="B2567">
        <v>2552</v>
      </c>
      <c r="C2567" s="48">
        <f ca="1"/>
        <v>1.6377082935062828</v>
      </c>
      <c r="D2567" s="48">
        <f t="shared" ca="1" si="157"/>
        <v>0.78094206292522639</v>
      </c>
      <c r="E2567" s="48">
        <f t="shared" ca="1" si="158"/>
        <v>0</v>
      </c>
      <c r="F2567" s="17">
        <f t="shared" ca="1" si="159"/>
        <v>0</v>
      </c>
      <c r="H2567" s="17">
        <v>2552</v>
      </c>
      <c r="I2567" s="43">
        <v>0.66893579168547102</v>
      </c>
      <c r="J2567" s="43">
        <v>1.9412409471184108E-2</v>
      </c>
      <c r="K2567" s="43"/>
      <c r="L2567" s="43">
        <v>0.25319999999999998</v>
      </c>
      <c r="O2567" s="50"/>
    </row>
    <row r="2568" spans="2:15" x14ac:dyDescent="0.2">
      <c r="B2568">
        <v>2553</v>
      </c>
      <c r="C2568" s="48">
        <f ca="1"/>
        <v>-0.70251914654910919</v>
      </c>
      <c r="D2568" s="48">
        <f t="shared" ca="1" si="157"/>
        <v>0.62003991931328128</v>
      </c>
      <c r="E2568" s="48">
        <f t="shared" ca="1" si="158"/>
        <v>0</v>
      </c>
      <c r="F2568" s="17">
        <f t="shared" ca="1" si="159"/>
        <v>0</v>
      </c>
      <c r="H2568" s="17">
        <v>2553</v>
      </c>
      <c r="I2568" s="43">
        <v>0.66919755318539509</v>
      </c>
      <c r="J2568" s="43">
        <v>1.9465235270618702E-2</v>
      </c>
      <c r="K2568" s="43"/>
      <c r="L2568" s="43">
        <v>0.24579999999999999</v>
      </c>
      <c r="O2568" s="50"/>
    </row>
    <row r="2569" spans="2:15" x14ac:dyDescent="0.2">
      <c r="B2569">
        <v>2554</v>
      </c>
      <c r="C2569" s="48">
        <f ca="1"/>
        <v>0.57052809135992766</v>
      </c>
      <c r="D2569" s="48">
        <f t="shared" ca="1" si="157"/>
        <v>0.70295323531961651</v>
      </c>
      <c r="E2569" s="48">
        <f t="shared" ca="1" si="158"/>
        <v>0</v>
      </c>
      <c r="F2569" s="17">
        <f t="shared" ca="1" si="159"/>
        <v>0</v>
      </c>
      <c r="H2569" s="17">
        <v>2554</v>
      </c>
      <c r="I2569" s="43">
        <v>0.66675911435248192</v>
      </c>
      <c r="J2569" s="43">
        <v>1.7794686630866557E-2</v>
      </c>
      <c r="K2569" s="43"/>
      <c r="L2569" s="43">
        <v>0.24460000000000001</v>
      </c>
      <c r="O2569" s="50"/>
    </row>
    <row r="2570" spans="2:15" x14ac:dyDescent="0.2">
      <c r="B2570">
        <v>2555</v>
      </c>
      <c r="C2570" s="48">
        <f ca="1"/>
        <v>0.89506668919446708</v>
      </c>
      <c r="D2570" s="48">
        <f t="shared" ca="1" si="157"/>
        <v>0.72580821060069034</v>
      </c>
      <c r="E2570" s="48">
        <f t="shared" ca="1" si="158"/>
        <v>0</v>
      </c>
      <c r="F2570" s="17">
        <f t="shared" ca="1" si="159"/>
        <v>0</v>
      </c>
      <c r="H2570" s="17">
        <v>2555</v>
      </c>
      <c r="I2570" s="43">
        <v>0.66989997870877738</v>
      </c>
      <c r="J2570" s="43">
        <v>1.9991950660991645E-2</v>
      </c>
      <c r="K2570" s="43"/>
      <c r="L2570" s="43">
        <v>0.24979999999999999</v>
      </c>
      <c r="O2570" s="50"/>
    </row>
    <row r="2571" spans="2:15" x14ac:dyDescent="0.2">
      <c r="B2571">
        <v>2556</v>
      </c>
      <c r="C2571" s="48">
        <f ca="1"/>
        <v>0.44437706917938929</v>
      </c>
      <c r="D2571" s="48">
        <f t="shared" ca="1" si="157"/>
        <v>0.69426480971506188</v>
      </c>
      <c r="E2571" s="48">
        <f t="shared" ca="1" si="158"/>
        <v>0</v>
      </c>
      <c r="F2571" s="17">
        <f t="shared" ca="1" si="159"/>
        <v>0</v>
      </c>
      <c r="H2571" s="17">
        <v>2556</v>
      </c>
      <c r="I2571" s="43">
        <v>0.6674156535092719</v>
      </c>
      <c r="J2571" s="43">
        <v>1.8327457154003794E-2</v>
      </c>
      <c r="K2571" s="43"/>
      <c r="L2571" s="43">
        <v>0.249</v>
      </c>
      <c r="O2571" s="50"/>
    </row>
    <row r="2572" spans="2:15" x14ac:dyDescent="0.2">
      <c r="B2572">
        <v>2557</v>
      </c>
      <c r="C2572" s="48">
        <f ca="1"/>
        <v>1.2906840022093489</v>
      </c>
      <c r="D2572" s="48">
        <f t="shared" ca="1" si="157"/>
        <v>0.75467615018483569</v>
      </c>
      <c r="E2572" s="48">
        <f t="shared" ca="1" si="158"/>
        <v>0</v>
      </c>
      <c r="F2572" s="17">
        <f t="shared" ca="1" si="159"/>
        <v>0</v>
      </c>
      <c r="H2572" s="17">
        <v>2557</v>
      </c>
      <c r="I2572" s="43">
        <v>0.66865197681939748</v>
      </c>
      <c r="J2572" s="43">
        <v>1.8949338377185113E-2</v>
      </c>
      <c r="K2572" s="43"/>
      <c r="L2572" s="43">
        <v>0.2442</v>
      </c>
      <c r="O2572" s="50"/>
    </row>
    <row r="2573" spans="2:15" x14ac:dyDescent="0.2">
      <c r="B2573">
        <v>2558</v>
      </c>
      <c r="C2573" s="48">
        <f ca="1"/>
        <v>0.15343471863711092</v>
      </c>
      <c r="D2573" s="48">
        <f t="shared" ca="1" si="157"/>
        <v>0.67463390969776449</v>
      </c>
      <c r="E2573" s="48">
        <f t="shared" ca="1" si="158"/>
        <v>0</v>
      </c>
      <c r="F2573" s="17">
        <f t="shared" ca="1" si="159"/>
        <v>0</v>
      </c>
      <c r="H2573" s="17">
        <v>2558</v>
      </c>
      <c r="I2573" s="43">
        <v>0.66820000540416102</v>
      </c>
      <c r="J2573" s="43">
        <v>1.8866497644823427E-2</v>
      </c>
      <c r="K2573" s="43"/>
      <c r="L2573" s="43">
        <v>0.24679999999999999</v>
      </c>
      <c r="O2573" s="50"/>
    </row>
    <row r="2574" spans="2:15" x14ac:dyDescent="0.2">
      <c r="B2574">
        <v>2559</v>
      </c>
      <c r="C2574" s="48">
        <f ca="1"/>
        <v>-1.0381343450084219</v>
      </c>
      <c r="D2574" s="48">
        <f t="shared" ca="1" si="157"/>
        <v>0.5998600684295623</v>
      </c>
      <c r="E2574" s="48">
        <f t="shared" ca="1" si="158"/>
        <v>0</v>
      </c>
      <c r="F2574" s="17">
        <f t="shared" ca="1" si="159"/>
        <v>0</v>
      </c>
      <c r="H2574" s="17">
        <v>2559</v>
      </c>
      <c r="I2574" s="43">
        <v>0.66865380951659348</v>
      </c>
      <c r="J2574" s="43">
        <v>1.9131241813463082E-2</v>
      </c>
      <c r="K2574" s="43"/>
      <c r="L2574" s="43">
        <v>0.24940000000000001</v>
      </c>
      <c r="O2574" s="50"/>
    </row>
    <row r="2575" spans="2:15" x14ac:dyDescent="0.2">
      <c r="B2575">
        <v>2560</v>
      </c>
      <c r="C2575" s="48">
        <f ca="1"/>
        <v>-1.048389067051628</v>
      </c>
      <c r="D2575" s="48">
        <f t="shared" ca="1" si="157"/>
        <v>0.59925392409276124</v>
      </c>
      <c r="E2575" s="48">
        <f t="shared" ca="1" si="158"/>
        <v>0</v>
      </c>
      <c r="F2575" s="17">
        <f t="shared" ca="1" si="159"/>
        <v>0</v>
      </c>
      <c r="H2575" s="17">
        <v>2560</v>
      </c>
      <c r="I2575" s="43">
        <v>0.66956762452621577</v>
      </c>
      <c r="J2575" s="43">
        <v>1.9627435467794576E-2</v>
      </c>
      <c r="K2575" s="43"/>
      <c r="L2575" s="43">
        <v>0.24660000000000001</v>
      </c>
      <c r="O2575" s="50"/>
    </row>
    <row r="2576" spans="2:15" x14ac:dyDescent="0.2">
      <c r="B2576">
        <v>2561</v>
      </c>
      <c r="C2576" s="48">
        <f ca="1"/>
        <v>-2.2907019359120828</v>
      </c>
      <c r="D2576" s="48">
        <f t="shared" ref="D2576:D2639" ca="1" si="160">S0*EXP((μ-0.5*σ*σ)*T+σ*SQRT(T)*$C2576)</f>
        <v>0.53017595354070035</v>
      </c>
      <c r="E2576" s="48">
        <f t="shared" ref="E2576:E2639" ca="1" si="161">MAX(0,CP*(D2576-K))</f>
        <v>0</v>
      </c>
      <c r="F2576" s="17">
        <f t="shared" ref="F2576:F2639" ca="1" si="162">(CP*(D2576-K)&gt;0)*1</f>
        <v>0</v>
      </c>
      <c r="H2576" s="17">
        <v>2561</v>
      </c>
      <c r="I2576" s="43">
        <v>0.66963156557351977</v>
      </c>
      <c r="J2576" s="43">
        <v>1.9835500328058281E-2</v>
      </c>
      <c r="K2576" s="43"/>
      <c r="L2576" s="43">
        <v>0.25640000000000002</v>
      </c>
      <c r="O2576" s="50"/>
    </row>
    <row r="2577" spans="2:15" x14ac:dyDescent="0.2">
      <c r="B2577">
        <v>2562</v>
      </c>
      <c r="C2577" s="48">
        <f ca="1"/>
        <v>-1.663323019557315</v>
      </c>
      <c r="D2577" s="48">
        <f t="shared" ca="1" si="160"/>
        <v>0.56400360267344218</v>
      </c>
      <c r="E2577" s="48">
        <f t="shared" ca="1" si="161"/>
        <v>0</v>
      </c>
      <c r="F2577" s="17">
        <f t="shared" ca="1" si="162"/>
        <v>0</v>
      </c>
      <c r="H2577" s="17">
        <v>2562</v>
      </c>
      <c r="I2577" s="43">
        <v>0.66828424776065765</v>
      </c>
      <c r="J2577" s="43">
        <v>1.8940872411669297E-2</v>
      </c>
      <c r="K2577" s="43"/>
      <c r="L2577" s="43">
        <v>0.24440000000000001</v>
      </c>
      <c r="O2577" s="50"/>
    </row>
    <row r="2578" spans="2:15" x14ac:dyDescent="0.2">
      <c r="B2578">
        <v>2563</v>
      </c>
      <c r="C2578" s="48">
        <f ca="1"/>
        <v>5.4846691212215755E-2</v>
      </c>
      <c r="D2578" s="48">
        <f t="shared" ca="1" si="160"/>
        <v>0.66810853879934962</v>
      </c>
      <c r="E2578" s="48">
        <f t="shared" ca="1" si="161"/>
        <v>0</v>
      </c>
      <c r="F2578" s="17">
        <f t="shared" ca="1" si="162"/>
        <v>0</v>
      </c>
      <c r="H2578" s="17">
        <v>2563</v>
      </c>
      <c r="I2578" s="43">
        <v>0.66849656979178673</v>
      </c>
      <c r="J2578" s="43">
        <v>1.8859445489618314E-2</v>
      </c>
      <c r="K2578" s="43"/>
      <c r="L2578" s="43">
        <v>0.24679999999999999</v>
      </c>
      <c r="O2578" s="50"/>
    </row>
    <row r="2579" spans="2:15" x14ac:dyDescent="0.2">
      <c r="B2579">
        <v>2564</v>
      </c>
      <c r="C2579" s="48">
        <f ca="1"/>
        <v>0.80085822808808138</v>
      </c>
      <c r="D2579" s="48">
        <f t="shared" ca="1" si="160"/>
        <v>0.71909827652172809</v>
      </c>
      <c r="E2579" s="48">
        <f t="shared" ca="1" si="161"/>
        <v>0</v>
      </c>
      <c r="F2579" s="17">
        <f t="shared" ca="1" si="162"/>
        <v>0</v>
      </c>
      <c r="H2579" s="17">
        <v>2564</v>
      </c>
      <c r="I2579" s="43">
        <v>0.66892768551517467</v>
      </c>
      <c r="J2579" s="43">
        <v>1.8995370159149469E-2</v>
      </c>
      <c r="K2579" s="43"/>
      <c r="L2579" s="43">
        <v>0.24859999999999999</v>
      </c>
      <c r="O2579" s="50"/>
    </row>
    <row r="2580" spans="2:15" x14ac:dyDescent="0.2">
      <c r="B2580">
        <v>2565</v>
      </c>
      <c r="C2580" s="48">
        <f ca="1"/>
        <v>0.15794577843907051</v>
      </c>
      <c r="D2580" s="48">
        <f t="shared" ca="1" si="160"/>
        <v>0.6749340090431315</v>
      </c>
      <c r="E2580" s="48">
        <f t="shared" ca="1" si="161"/>
        <v>0</v>
      </c>
      <c r="F2580" s="17">
        <f t="shared" ca="1" si="162"/>
        <v>0</v>
      </c>
      <c r="H2580" s="17">
        <v>2565</v>
      </c>
      <c r="I2580" s="43">
        <v>0.66813457179002622</v>
      </c>
      <c r="J2580" s="43">
        <v>1.9202315812142517E-2</v>
      </c>
      <c r="K2580" s="43"/>
      <c r="L2580" s="43">
        <v>0.24859999999999999</v>
      </c>
      <c r="O2580" s="50"/>
    </row>
    <row r="2581" spans="2:15" x14ac:dyDescent="0.2">
      <c r="B2581">
        <v>2566</v>
      </c>
      <c r="C2581" s="48">
        <f ca="1"/>
        <v>-0.13647498204251318</v>
      </c>
      <c r="D2581" s="48">
        <f t="shared" ca="1" si="160"/>
        <v>0.65562483264944904</v>
      </c>
      <c r="E2581" s="48">
        <f t="shared" ca="1" si="161"/>
        <v>0</v>
      </c>
      <c r="F2581" s="17">
        <f t="shared" ca="1" si="162"/>
        <v>0</v>
      </c>
      <c r="H2581" s="17">
        <v>2566</v>
      </c>
      <c r="I2581" s="43">
        <v>0.66907656768591395</v>
      </c>
      <c r="J2581" s="43">
        <v>1.9415935433144529E-2</v>
      </c>
      <c r="K2581" s="43"/>
      <c r="L2581" s="43">
        <v>0.25180000000000002</v>
      </c>
      <c r="O2581" s="50"/>
    </row>
    <row r="2582" spans="2:15" x14ac:dyDescent="0.2">
      <c r="B2582">
        <v>2567</v>
      </c>
      <c r="C2582" s="48">
        <f ca="1"/>
        <v>-0.46784092321267767</v>
      </c>
      <c r="D2582" s="48">
        <f t="shared" ca="1" si="160"/>
        <v>0.63455260669991409</v>
      </c>
      <c r="E2582" s="48">
        <f t="shared" ca="1" si="161"/>
        <v>0</v>
      </c>
      <c r="F2582" s="17">
        <f t="shared" ca="1" si="162"/>
        <v>0</v>
      </c>
      <c r="H2582" s="17">
        <v>2567</v>
      </c>
      <c r="I2582" s="43">
        <v>0.66925948887006581</v>
      </c>
      <c r="J2582" s="43">
        <v>1.9639205073334866E-2</v>
      </c>
      <c r="K2582" s="43"/>
      <c r="L2582" s="43">
        <v>0.25</v>
      </c>
      <c r="O2582" s="50"/>
    </row>
    <row r="2583" spans="2:15" x14ac:dyDescent="0.2">
      <c r="B2583">
        <v>2568</v>
      </c>
      <c r="C2583" s="48">
        <f ca="1"/>
        <v>0.62979900265786359</v>
      </c>
      <c r="D2583" s="48">
        <f t="shared" ca="1" si="160"/>
        <v>0.70707287515193218</v>
      </c>
      <c r="E2583" s="48">
        <f t="shared" ca="1" si="161"/>
        <v>0</v>
      </c>
      <c r="F2583" s="17">
        <f t="shared" ca="1" si="162"/>
        <v>0</v>
      </c>
      <c r="H2583" s="17">
        <v>2568</v>
      </c>
      <c r="I2583" s="43">
        <v>0.66845605763544214</v>
      </c>
      <c r="J2583" s="43">
        <v>1.9361087284934676E-2</v>
      </c>
      <c r="K2583" s="43"/>
      <c r="L2583" s="43">
        <v>0.25440000000000002</v>
      </c>
      <c r="O2583" s="50"/>
    </row>
    <row r="2584" spans="2:15" x14ac:dyDescent="0.2">
      <c r="B2584">
        <v>2569</v>
      </c>
      <c r="C2584" s="48">
        <f ca="1"/>
        <v>-2.2536297261030582</v>
      </c>
      <c r="D2584" s="48">
        <f t="shared" ca="1" si="160"/>
        <v>0.53211721532232747</v>
      </c>
      <c r="E2584" s="48">
        <f t="shared" ca="1" si="161"/>
        <v>0</v>
      </c>
      <c r="F2584" s="17">
        <f t="shared" ca="1" si="162"/>
        <v>0</v>
      </c>
      <c r="H2584" s="17">
        <v>2569</v>
      </c>
      <c r="I2584" s="43">
        <v>0.66790017166109672</v>
      </c>
      <c r="J2584" s="43">
        <v>1.8457129480216911E-2</v>
      </c>
      <c r="K2584" s="43"/>
      <c r="L2584" s="43">
        <v>0.24340000000000001</v>
      </c>
      <c r="O2584" s="50"/>
    </row>
    <row r="2585" spans="2:15" x14ac:dyDescent="0.2">
      <c r="B2585">
        <v>2570</v>
      </c>
      <c r="C2585" s="48">
        <f ca="1"/>
        <v>-1.6987649188941016</v>
      </c>
      <c r="D2585" s="48">
        <f t="shared" ca="1" si="160"/>
        <v>0.56203634128881785</v>
      </c>
      <c r="E2585" s="48">
        <f t="shared" ca="1" si="161"/>
        <v>0</v>
      </c>
      <c r="F2585" s="17">
        <f t="shared" ca="1" si="162"/>
        <v>0</v>
      </c>
      <c r="H2585" s="17">
        <v>2570</v>
      </c>
      <c r="I2585" s="43">
        <v>0.6695905202679171</v>
      </c>
      <c r="J2585" s="43">
        <v>2.0035159984227995E-2</v>
      </c>
      <c r="K2585" s="43"/>
      <c r="L2585" s="43">
        <v>0.26240000000000002</v>
      </c>
      <c r="O2585" s="50"/>
    </row>
    <row r="2586" spans="2:15" x14ac:dyDescent="0.2">
      <c r="B2586">
        <v>2571</v>
      </c>
      <c r="C2586" s="48">
        <f ca="1"/>
        <v>1.1849152092011046</v>
      </c>
      <c r="D2586" s="48">
        <f t="shared" ca="1" si="160"/>
        <v>0.74684766806802805</v>
      </c>
      <c r="E2586" s="48">
        <f t="shared" ca="1" si="161"/>
        <v>0</v>
      </c>
      <c r="F2586" s="17">
        <f t="shared" ca="1" si="162"/>
        <v>0</v>
      </c>
      <c r="H2586" s="17">
        <v>2571</v>
      </c>
      <c r="I2586" s="43">
        <v>0.66912858397216257</v>
      </c>
      <c r="J2586" s="43">
        <v>1.978413280203831E-2</v>
      </c>
      <c r="K2586" s="43"/>
      <c r="L2586" s="43">
        <v>0.24560000000000001</v>
      </c>
      <c r="O2586" s="50"/>
    </row>
    <row r="2587" spans="2:15" x14ac:dyDescent="0.2">
      <c r="B2587">
        <v>2572</v>
      </c>
      <c r="C2587" s="48">
        <f ca="1"/>
        <v>-0.84340984550433984</v>
      </c>
      <c r="D2587" s="48">
        <f t="shared" ca="1" si="160"/>
        <v>0.61148706648866524</v>
      </c>
      <c r="E2587" s="48">
        <f t="shared" ca="1" si="161"/>
        <v>0</v>
      </c>
      <c r="F2587" s="17">
        <f t="shared" ca="1" si="162"/>
        <v>0</v>
      </c>
      <c r="H2587" s="17">
        <v>2572</v>
      </c>
      <c r="I2587" s="43">
        <v>0.66872197830930946</v>
      </c>
      <c r="J2587" s="43">
        <v>1.9257477655271096E-2</v>
      </c>
      <c r="K2587" s="43"/>
      <c r="L2587" s="43">
        <v>0.24579999999999999</v>
      </c>
      <c r="O2587" s="50"/>
    </row>
    <row r="2588" spans="2:15" x14ac:dyDescent="0.2">
      <c r="B2588">
        <v>2573</v>
      </c>
      <c r="C2588" s="48">
        <f ca="1"/>
        <v>-0.56221588764270802</v>
      </c>
      <c r="D2588" s="48">
        <f t="shared" ca="1" si="160"/>
        <v>0.62867599031673826</v>
      </c>
      <c r="E2588" s="48">
        <f t="shared" ca="1" si="161"/>
        <v>0</v>
      </c>
      <c r="F2588" s="17">
        <f t="shared" ca="1" si="162"/>
        <v>0</v>
      </c>
      <c r="H2588" s="17">
        <v>2573</v>
      </c>
      <c r="I2588" s="43">
        <v>0.66950624681259574</v>
      </c>
      <c r="J2588" s="43">
        <v>1.9661322939188517E-2</v>
      </c>
      <c r="K2588" s="43"/>
      <c r="L2588" s="43">
        <v>0.24759999999999999</v>
      </c>
      <c r="O2588" s="50"/>
    </row>
    <row r="2589" spans="2:15" x14ac:dyDescent="0.2">
      <c r="B2589">
        <v>2574</v>
      </c>
      <c r="C2589" s="48">
        <f ca="1"/>
        <v>-0.14663526648843972</v>
      </c>
      <c r="D2589" s="48">
        <f t="shared" ca="1" si="160"/>
        <v>0.65496843731029208</v>
      </c>
      <c r="E2589" s="48">
        <f t="shared" ca="1" si="161"/>
        <v>0</v>
      </c>
      <c r="F2589" s="17">
        <f t="shared" ca="1" si="162"/>
        <v>0</v>
      </c>
      <c r="H2589" s="17">
        <v>2574</v>
      </c>
      <c r="I2589" s="43">
        <v>0.66949753263405987</v>
      </c>
      <c r="J2589" s="43">
        <v>1.9928439336569105E-2</v>
      </c>
      <c r="K2589" s="43"/>
      <c r="L2589" s="43">
        <v>0.24979999999999999</v>
      </c>
      <c r="O2589" s="50"/>
    </row>
    <row r="2590" spans="2:15" x14ac:dyDescent="0.2">
      <c r="B2590">
        <v>2575</v>
      </c>
      <c r="C2590" s="48">
        <f ca="1"/>
        <v>0.40102836561179628</v>
      </c>
      <c r="D2590" s="48">
        <f t="shared" ca="1" si="160"/>
        <v>0.69130410354785321</v>
      </c>
      <c r="E2590" s="48">
        <f t="shared" ca="1" si="161"/>
        <v>0</v>
      </c>
      <c r="F2590" s="17">
        <f t="shared" ca="1" si="162"/>
        <v>0</v>
      </c>
      <c r="H2590" s="17">
        <v>2575</v>
      </c>
      <c r="I2590" s="43">
        <v>0.66778181264859771</v>
      </c>
      <c r="J2590" s="43">
        <v>1.8349544765933531E-2</v>
      </c>
      <c r="K2590" s="43"/>
      <c r="L2590" s="43">
        <v>0.24340000000000001</v>
      </c>
      <c r="O2590" s="50"/>
    </row>
    <row r="2591" spans="2:15" x14ac:dyDescent="0.2">
      <c r="B2591">
        <v>2576</v>
      </c>
      <c r="C2591" s="48">
        <f ca="1"/>
        <v>0.42862613719837056</v>
      </c>
      <c r="D2591" s="48">
        <f t="shared" ca="1" si="160"/>
        <v>0.69318756101919288</v>
      </c>
      <c r="E2591" s="48">
        <f t="shared" ca="1" si="161"/>
        <v>0</v>
      </c>
      <c r="F2591" s="17">
        <f t="shared" ca="1" si="162"/>
        <v>0</v>
      </c>
      <c r="H2591" s="17">
        <v>2576</v>
      </c>
      <c r="I2591" s="43">
        <v>0.66917625883192788</v>
      </c>
      <c r="J2591" s="43">
        <v>1.9439062786737262E-2</v>
      </c>
      <c r="K2591" s="43"/>
      <c r="L2591" s="43">
        <v>0.2492</v>
      </c>
      <c r="O2591" s="50"/>
    </row>
    <row r="2592" spans="2:15" x14ac:dyDescent="0.2">
      <c r="B2592">
        <v>2577</v>
      </c>
      <c r="C2592" s="48">
        <f ca="1"/>
        <v>1.905721275308528</v>
      </c>
      <c r="D2592" s="48">
        <f t="shared" ca="1" si="160"/>
        <v>0.8018517060763839</v>
      </c>
      <c r="E2592" s="48">
        <f t="shared" ca="1" si="161"/>
        <v>1.3651706076383885E-2</v>
      </c>
      <c r="F2592" s="17">
        <f t="shared" ca="1" si="162"/>
        <v>1</v>
      </c>
      <c r="H2592" s="17">
        <v>2577</v>
      </c>
      <c r="I2592" s="43">
        <v>0.66845167512637094</v>
      </c>
      <c r="J2592" s="43">
        <v>1.9121751194437875E-2</v>
      </c>
      <c r="K2592" s="43"/>
      <c r="L2592" s="43">
        <v>0.25240000000000001</v>
      </c>
      <c r="O2592" s="50"/>
    </row>
    <row r="2593" spans="2:15" x14ac:dyDescent="0.2">
      <c r="B2593">
        <v>2578</v>
      </c>
      <c r="C2593" s="48">
        <f ca="1"/>
        <v>0.49912979995947337</v>
      </c>
      <c r="D2593" s="48">
        <f t="shared" ca="1" si="160"/>
        <v>0.6980225376312954</v>
      </c>
      <c r="E2593" s="48">
        <f t="shared" ca="1" si="161"/>
        <v>0</v>
      </c>
      <c r="F2593" s="17">
        <f t="shared" ca="1" si="162"/>
        <v>0</v>
      </c>
      <c r="H2593" s="17">
        <v>2578</v>
      </c>
      <c r="I2593" s="43">
        <v>0.66955178465056919</v>
      </c>
      <c r="J2593" s="43">
        <v>1.9721195626504734E-2</v>
      </c>
      <c r="K2593" s="43"/>
      <c r="L2593" s="43">
        <v>0.25119999999999998</v>
      </c>
      <c r="O2593" s="50"/>
    </row>
    <row r="2594" spans="2:15" x14ac:dyDescent="0.2">
      <c r="B2594">
        <v>2579</v>
      </c>
      <c r="C2594" s="48">
        <f ca="1"/>
        <v>-0.33116495660450823</v>
      </c>
      <c r="D2594" s="48">
        <f t="shared" ca="1" si="160"/>
        <v>0.64316077503687097</v>
      </c>
      <c r="E2594" s="48">
        <f t="shared" ca="1" si="161"/>
        <v>0</v>
      </c>
      <c r="F2594" s="17">
        <f t="shared" ca="1" si="162"/>
        <v>0</v>
      </c>
      <c r="H2594" s="17">
        <v>2579</v>
      </c>
      <c r="I2594" s="43">
        <v>0.66881955271762172</v>
      </c>
      <c r="J2594" s="43">
        <v>1.9308047316961886E-2</v>
      </c>
      <c r="K2594" s="43"/>
      <c r="L2594" s="43">
        <v>0.25080000000000002</v>
      </c>
      <c r="O2594" s="50"/>
    </row>
    <row r="2595" spans="2:15" x14ac:dyDescent="0.2">
      <c r="B2595">
        <v>2580</v>
      </c>
      <c r="C2595" s="48">
        <f ca="1"/>
        <v>1.5159706741782986</v>
      </c>
      <c r="D2595" s="48">
        <f t="shared" ca="1" si="160"/>
        <v>0.77162536985346275</v>
      </c>
      <c r="E2595" s="48">
        <f t="shared" ca="1" si="161"/>
        <v>0</v>
      </c>
      <c r="F2595" s="17">
        <f t="shared" ca="1" si="162"/>
        <v>0</v>
      </c>
      <c r="H2595" s="17">
        <v>2580</v>
      </c>
      <c r="I2595" s="43">
        <v>0.66824166323869161</v>
      </c>
      <c r="J2595" s="43">
        <v>1.8871863613393658E-2</v>
      </c>
      <c r="K2595" s="43"/>
      <c r="L2595" s="43">
        <v>0.2482</v>
      </c>
      <c r="O2595" s="50"/>
    </row>
    <row r="2596" spans="2:15" x14ac:dyDescent="0.2">
      <c r="B2596">
        <v>2581</v>
      </c>
      <c r="C2596" s="48">
        <f ca="1"/>
        <v>2.6966184538492968</v>
      </c>
      <c r="D2596" s="48">
        <f t="shared" ca="1" si="160"/>
        <v>0.86687625369100085</v>
      </c>
      <c r="E2596" s="48">
        <f t="shared" ca="1" si="161"/>
        <v>7.8676253691000841E-2</v>
      </c>
      <c r="F2596" s="17">
        <f t="shared" ca="1" si="162"/>
        <v>1</v>
      </c>
      <c r="H2596" s="17">
        <v>2581</v>
      </c>
      <c r="I2596" s="43">
        <v>0.66911356920823617</v>
      </c>
      <c r="J2596" s="43">
        <v>1.9424334510627733E-2</v>
      </c>
      <c r="K2596" s="43"/>
      <c r="L2596" s="43">
        <v>0.251</v>
      </c>
      <c r="O2596" s="50"/>
    </row>
    <row r="2597" spans="2:15" x14ac:dyDescent="0.2">
      <c r="B2597">
        <v>2582</v>
      </c>
      <c r="C2597" s="48">
        <f ca="1"/>
        <v>-0.51837396165330918</v>
      </c>
      <c r="D2597" s="48">
        <f t="shared" ca="1" si="160"/>
        <v>0.63139917518752797</v>
      </c>
      <c r="E2597" s="48">
        <f t="shared" ca="1" si="161"/>
        <v>0</v>
      </c>
      <c r="F2597" s="17">
        <f t="shared" ca="1" si="162"/>
        <v>0</v>
      </c>
      <c r="H2597" s="17">
        <v>2582</v>
      </c>
      <c r="I2597" s="43">
        <v>0.66874214847789248</v>
      </c>
      <c r="J2597" s="43">
        <v>1.9269034947916864E-2</v>
      </c>
      <c r="K2597" s="43"/>
      <c r="L2597" s="43">
        <v>0.25019999999999998</v>
      </c>
      <c r="O2597" s="50"/>
    </row>
    <row r="2598" spans="2:15" x14ac:dyDescent="0.2">
      <c r="B2598">
        <v>2583</v>
      </c>
      <c r="C2598" s="48">
        <f ca="1"/>
        <v>-0.33045435713706323</v>
      </c>
      <c r="D2598" s="48">
        <f t="shared" ca="1" si="160"/>
        <v>0.64320583401731979</v>
      </c>
      <c r="E2598" s="48">
        <f t="shared" ca="1" si="161"/>
        <v>0</v>
      </c>
      <c r="F2598" s="17">
        <f t="shared" ca="1" si="162"/>
        <v>0</v>
      </c>
      <c r="H2598" s="17">
        <v>2583</v>
      </c>
      <c r="I2598" s="43">
        <v>0.66959739400015827</v>
      </c>
      <c r="J2598" s="43">
        <v>2.0241147887313578E-2</v>
      </c>
      <c r="K2598" s="43"/>
      <c r="L2598" s="43">
        <v>0.25679999999999997</v>
      </c>
      <c r="O2598" s="50"/>
    </row>
    <row r="2599" spans="2:15" x14ac:dyDescent="0.2">
      <c r="B2599">
        <v>2584</v>
      </c>
      <c r="C2599" s="48">
        <f ca="1"/>
        <v>-0.13636673652998887</v>
      </c>
      <c r="D2599" s="48">
        <f t="shared" ca="1" si="160"/>
        <v>0.65563182928630792</v>
      </c>
      <c r="E2599" s="48">
        <f t="shared" ca="1" si="161"/>
        <v>0</v>
      </c>
      <c r="F2599" s="17">
        <f t="shared" ca="1" si="162"/>
        <v>0</v>
      </c>
      <c r="H2599" s="17">
        <v>2584</v>
      </c>
      <c r="I2599" s="43">
        <v>0.66924867794186671</v>
      </c>
      <c r="J2599" s="43">
        <v>1.9723544483510821E-2</v>
      </c>
      <c r="K2599" s="43"/>
      <c r="L2599" s="43">
        <v>0.24740000000000001</v>
      </c>
      <c r="O2599" s="50"/>
    </row>
    <row r="2600" spans="2:15" x14ac:dyDescent="0.2">
      <c r="B2600">
        <v>2585</v>
      </c>
      <c r="C2600" s="48">
        <f ca="1"/>
        <v>-0.17906514504276147</v>
      </c>
      <c r="D2600" s="48">
        <f t="shared" ca="1" si="160"/>
        <v>0.65287772950272349</v>
      </c>
      <c r="E2600" s="48">
        <f t="shared" ca="1" si="161"/>
        <v>0</v>
      </c>
      <c r="F2600" s="17">
        <f t="shared" ca="1" si="162"/>
        <v>0</v>
      </c>
      <c r="H2600" s="17">
        <v>2585</v>
      </c>
      <c r="I2600" s="43">
        <v>0.66761854566862266</v>
      </c>
      <c r="J2600" s="43">
        <v>1.8610243475341591E-2</v>
      </c>
      <c r="K2600" s="43"/>
      <c r="L2600" s="43">
        <v>0.24579999999999999</v>
      </c>
      <c r="O2600" s="50"/>
    </row>
    <row r="2601" spans="2:15" x14ac:dyDescent="0.2">
      <c r="B2601">
        <v>2586</v>
      </c>
      <c r="C2601" s="48">
        <f ca="1"/>
        <v>-0.22156848339979318</v>
      </c>
      <c r="D2601" s="48">
        <f t="shared" ca="1" si="160"/>
        <v>0.65014770198995508</v>
      </c>
      <c r="E2601" s="48">
        <f t="shared" ca="1" si="161"/>
        <v>0</v>
      </c>
      <c r="F2601" s="17">
        <f t="shared" ca="1" si="162"/>
        <v>0</v>
      </c>
      <c r="H2601" s="17">
        <v>2586</v>
      </c>
      <c r="I2601" s="43">
        <v>0.66883416259586959</v>
      </c>
      <c r="J2601" s="43">
        <v>1.9347371285295834E-2</v>
      </c>
      <c r="K2601" s="43"/>
      <c r="L2601" s="43">
        <v>0.254</v>
      </c>
      <c r="O2601" s="50"/>
    </row>
    <row r="2602" spans="2:15" x14ac:dyDescent="0.2">
      <c r="B2602">
        <v>2587</v>
      </c>
      <c r="C2602" s="48">
        <f ca="1"/>
        <v>1.7820225827473379</v>
      </c>
      <c r="D2602" s="48">
        <f t="shared" ca="1" si="160"/>
        <v>0.79213239600583552</v>
      </c>
      <c r="E2602" s="48">
        <f t="shared" ca="1" si="161"/>
        <v>3.9323960058355034E-3</v>
      </c>
      <c r="F2602" s="17">
        <f t="shared" ca="1" si="162"/>
        <v>1</v>
      </c>
      <c r="H2602" s="17">
        <v>2587</v>
      </c>
      <c r="I2602" s="43">
        <v>0.6687662617008977</v>
      </c>
      <c r="J2602" s="43">
        <v>1.9152685033178934E-2</v>
      </c>
      <c r="K2602" s="43"/>
      <c r="L2602" s="43">
        <v>0.2492</v>
      </c>
      <c r="O2602" s="50"/>
    </row>
    <row r="2603" spans="2:15" x14ac:dyDescent="0.2">
      <c r="B2603">
        <v>2588</v>
      </c>
      <c r="C2603" s="48">
        <f ca="1"/>
        <v>3.7051428224391079E-2</v>
      </c>
      <c r="D2603" s="48">
        <f t="shared" ca="1" si="160"/>
        <v>0.6669374434717612</v>
      </c>
      <c r="E2603" s="48">
        <f t="shared" ca="1" si="161"/>
        <v>0</v>
      </c>
      <c r="F2603" s="17">
        <f t="shared" ca="1" si="162"/>
        <v>0</v>
      </c>
      <c r="H2603" s="17">
        <v>2588</v>
      </c>
      <c r="I2603" s="43">
        <v>0.66889430135365624</v>
      </c>
      <c r="J2603" s="43">
        <v>1.9158008281089663E-2</v>
      </c>
      <c r="K2603" s="43"/>
      <c r="L2603" s="43">
        <v>0.24940000000000001</v>
      </c>
      <c r="O2603" s="50"/>
    </row>
    <row r="2604" spans="2:15" x14ac:dyDescent="0.2">
      <c r="B2604">
        <v>2589</v>
      </c>
      <c r="C2604" s="48">
        <f ca="1"/>
        <v>-0.67006981618388095</v>
      </c>
      <c r="D2604" s="48">
        <f t="shared" ca="1" si="160"/>
        <v>0.622026663591704</v>
      </c>
      <c r="E2604" s="48">
        <f t="shared" ca="1" si="161"/>
        <v>0</v>
      </c>
      <c r="F2604" s="17">
        <f t="shared" ca="1" si="162"/>
        <v>0</v>
      </c>
      <c r="H2604" s="17">
        <v>2589</v>
      </c>
      <c r="I2604" s="43">
        <v>0.6690831466515087</v>
      </c>
      <c r="J2604" s="43">
        <v>1.9672394259818531E-2</v>
      </c>
      <c r="K2604" s="43"/>
      <c r="L2604" s="43">
        <v>0.25700000000000001</v>
      </c>
      <c r="O2604" s="50"/>
    </row>
    <row r="2605" spans="2:15" x14ac:dyDescent="0.2">
      <c r="B2605">
        <v>2590</v>
      </c>
      <c r="C2605" s="48">
        <f ca="1"/>
        <v>0.27371130483685324</v>
      </c>
      <c r="D2605" s="48">
        <f t="shared" ca="1" si="160"/>
        <v>0.6826811765953481</v>
      </c>
      <c r="E2605" s="48">
        <f t="shared" ca="1" si="161"/>
        <v>0</v>
      </c>
      <c r="F2605" s="17">
        <f t="shared" ca="1" si="162"/>
        <v>0</v>
      </c>
      <c r="H2605" s="17">
        <v>2590</v>
      </c>
      <c r="I2605" s="43">
        <v>0.66855566688734047</v>
      </c>
      <c r="J2605" s="43">
        <v>1.8542393500396343E-2</v>
      </c>
      <c r="K2605" s="43"/>
      <c r="L2605" s="43">
        <v>0.2394</v>
      </c>
      <c r="O2605" s="50"/>
    </row>
    <row r="2606" spans="2:15" x14ac:dyDescent="0.2">
      <c r="B2606">
        <v>2591</v>
      </c>
      <c r="C2606" s="48">
        <f ca="1"/>
        <v>-0.53133270886382655</v>
      </c>
      <c r="D2606" s="48">
        <f t="shared" ca="1" si="160"/>
        <v>0.63059303354195473</v>
      </c>
      <c r="E2606" s="48">
        <f t="shared" ca="1" si="161"/>
        <v>0</v>
      </c>
      <c r="F2606" s="17">
        <f t="shared" ca="1" si="162"/>
        <v>0</v>
      </c>
      <c r="H2606" s="17">
        <v>2591</v>
      </c>
      <c r="I2606" s="43">
        <v>0.66833295240810253</v>
      </c>
      <c r="J2606" s="43">
        <v>1.8786795250042933E-2</v>
      </c>
      <c r="K2606" s="43"/>
      <c r="L2606" s="43">
        <v>0.2492</v>
      </c>
      <c r="O2606" s="50"/>
    </row>
    <row r="2607" spans="2:15" x14ac:dyDescent="0.2">
      <c r="B2607">
        <v>2592</v>
      </c>
      <c r="C2607" s="48">
        <f ca="1"/>
        <v>1.182718715448186</v>
      </c>
      <c r="D2607" s="48">
        <f t="shared" ca="1" si="160"/>
        <v>0.74668595813375727</v>
      </c>
      <c r="E2607" s="48">
        <f t="shared" ca="1" si="161"/>
        <v>0</v>
      </c>
      <c r="F2607" s="17">
        <f t="shared" ca="1" si="162"/>
        <v>0</v>
      </c>
      <c r="H2607" s="17">
        <v>2592</v>
      </c>
      <c r="I2607" s="43">
        <v>0.67089238559120101</v>
      </c>
      <c r="J2607" s="43">
        <v>2.078129952595039E-2</v>
      </c>
      <c r="K2607" s="43"/>
      <c r="L2607" s="43">
        <v>0.2576</v>
      </c>
      <c r="O2607" s="50"/>
    </row>
    <row r="2608" spans="2:15" x14ac:dyDescent="0.2">
      <c r="B2608">
        <v>2593</v>
      </c>
      <c r="C2608" s="48">
        <f ca="1"/>
        <v>-0.20377805241149488</v>
      </c>
      <c r="D2608" s="48">
        <f t="shared" ca="1" si="160"/>
        <v>0.65128900545262758</v>
      </c>
      <c r="E2608" s="48">
        <f t="shared" ca="1" si="161"/>
        <v>0</v>
      </c>
      <c r="F2608" s="17">
        <f t="shared" ca="1" si="162"/>
        <v>0</v>
      </c>
      <c r="H2608" s="17">
        <v>2593</v>
      </c>
      <c r="I2608" s="43">
        <v>0.66852120873141052</v>
      </c>
      <c r="J2608" s="43">
        <v>1.8878833437746486E-2</v>
      </c>
      <c r="K2608" s="43"/>
      <c r="L2608" s="43">
        <v>0.2462</v>
      </c>
      <c r="O2608" s="50"/>
    </row>
    <row r="2609" spans="2:15" x14ac:dyDescent="0.2">
      <c r="B2609">
        <v>2594</v>
      </c>
      <c r="C2609" s="48">
        <f ca="1"/>
        <v>2.5968950441917282E-2</v>
      </c>
      <c r="D2609" s="48">
        <f t="shared" ca="1" si="160"/>
        <v>0.66620914993091951</v>
      </c>
      <c r="E2609" s="48">
        <f t="shared" ca="1" si="161"/>
        <v>0</v>
      </c>
      <c r="F2609" s="17">
        <f t="shared" ca="1" si="162"/>
        <v>0</v>
      </c>
      <c r="H2609" s="17">
        <v>2594</v>
      </c>
      <c r="I2609" s="43">
        <v>0.66935292454323503</v>
      </c>
      <c r="J2609" s="43">
        <v>1.9478621830510755E-2</v>
      </c>
      <c r="K2609" s="43"/>
      <c r="L2609" s="43">
        <v>0.24479999999999999</v>
      </c>
      <c r="O2609" s="50"/>
    </row>
    <row r="2610" spans="2:15" x14ac:dyDescent="0.2">
      <c r="B2610">
        <v>2595</v>
      </c>
      <c r="C2610" s="48">
        <f ca="1"/>
        <v>-0.79997786964509099</v>
      </c>
      <c r="D2610" s="48">
        <f t="shared" ca="1" si="160"/>
        <v>0.61411097511263335</v>
      </c>
      <c r="E2610" s="48">
        <f t="shared" ca="1" si="161"/>
        <v>0</v>
      </c>
      <c r="F2610" s="17">
        <f t="shared" ca="1" si="162"/>
        <v>0</v>
      </c>
      <c r="H2610" s="17">
        <v>2595</v>
      </c>
      <c r="I2610" s="43">
        <v>0.67005593444089628</v>
      </c>
      <c r="J2610" s="43">
        <v>2.0290761147331471E-2</v>
      </c>
      <c r="K2610" s="43"/>
      <c r="L2610" s="43">
        <v>0.2586</v>
      </c>
      <c r="O2610" s="50"/>
    </row>
    <row r="2611" spans="2:15" x14ac:dyDescent="0.2">
      <c r="B2611">
        <v>2596</v>
      </c>
      <c r="C2611" s="48">
        <f ca="1"/>
        <v>-2.0868861620410799</v>
      </c>
      <c r="D2611" s="48">
        <f t="shared" ca="1" si="160"/>
        <v>0.54093689162533254</v>
      </c>
      <c r="E2611" s="48">
        <f t="shared" ca="1" si="161"/>
        <v>0</v>
      </c>
      <c r="F2611" s="17">
        <f t="shared" ca="1" si="162"/>
        <v>0</v>
      </c>
      <c r="H2611" s="17">
        <v>2596</v>
      </c>
      <c r="I2611" s="43">
        <v>0.66755155821021561</v>
      </c>
      <c r="J2611" s="43">
        <v>1.8548231788175242E-2</v>
      </c>
      <c r="K2611" s="43"/>
      <c r="L2611" s="43">
        <v>0.2492</v>
      </c>
      <c r="O2611" s="50"/>
    </row>
    <row r="2612" spans="2:15" x14ac:dyDescent="0.2">
      <c r="B2612">
        <v>2597</v>
      </c>
      <c r="C2612" s="48">
        <f ca="1"/>
        <v>-0.77897275753001971</v>
      </c>
      <c r="D2612" s="48">
        <f t="shared" ca="1" si="160"/>
        <v>0.61538401889004757</v>
      </c>
      <c r="E2612" s="48">
        <f t="shared" ca="1" si="161"/>
        <v>0</v>
      </c>
      <c r="F2612" s="17">
        <f t="shared" ca="1" si="162"/>
        <v>0</v>
      </c>
      <c r="H2612" s="17">
        <v>2597</v>
      </c>
      <c r="I2612" s="43">
        <v>0.6692606592021294</v>
      </c>
      <c r="J2612" s="43">
        <v>1.9727259092243661E-2</v>
      </c>
      <c r="K2612" s="43"/>
      <c r="L2612" s="43">
        <v>0.25359999999999999</v>
      </c>
      <c r="O2612" s="50"/>
    </row>
    <row r="2613" spans="2:15" x14ac:dyDescent="0.2">
      <c r="B2613">
        <v>2598</v>
      </c>
      <c r="C2613" s="48">
        <f ca="1"/>
        <v>-0.55177699882282227</v>
      </c>
      <c r="D2613" s="48">
        <f t="shared" ca="1" si="160"/>
        <v>0.62932332125219959</v>
      </c>
      <c r="E2613" s="48">
        <f t="shared" ca="1" si="161"/>
        <v>0</v>
      </c>
      <c r="F2613" s="17">
        <f t="shared" ca="1" si="162"/>
        <v>0</v>
      </c>
      <c r="H2613" s="17">
        <v>2598</v>
      </c>
      <c r="I2613" s="43">
        <v>0.66894893689737478</v>
      </c>
      <c r="J2613" s="43">
        <v>1.9331692614926739E-2</v>
      </c>
      <c r="K2613" s="43"/>
      <c r="L2613" s="43">
        <v>0.252</v>
      </c>
      <c r="O2613" s="50"/>
    </row>
    <row r="2614" spans="2:15" x14ac:dyDescent="0.2">
      <c r="B2614">
        <v>2599</v>
      </c>
      <c r="C2614" s="48">
        <f ca="1"/>
        <v>0.98900366072821511</v>
      </c>
      <c r="D2614" s="48">
        <f t="shared" ca="1" si="160"/>
        <v>0.73256114773053393</v>
      </c>
      <c r="E2614" s="48">
        <f t="shared" ca="1" si="161"/>
        <v>0</v>
      </c>
      <c r="F2614" s="17">
        <f t="shared" ca="1" si="162"/>
        <v>0</v>
      </c>
      <c r="H2614" s="17">
        <v>2599</v>
      </c>
      <c r="I2614" s="43">
        <v>0.67024597845210521</v>
      </c>
      <c r="J2614" s="43">
        <v>2.0425298128192652E-2</v>
      </c>
      <c r="K2614" s="43"/>
      <c r="L2614" s="43">
        <v>0.26200000000000001</v>
      </c>
      <c r="O2614" s="50"/>
    </row>
    <row r="2615" spans="2:15" x14ac:dyDescent="0.2">
      <c r="B2615">
        <v>2600</v>
      </c>
      <c r="C2615" s="48">
        <f ca="1"/>
        <v>0.93597448876345379</v>
      </c>
      <c r="D2615" s="48">
        <f t="shared" ca="1" si="160"/>
        <v>0.72874130313938734</v>
      </c>
      <c r="E2615" s="48">
        <f t="shared" ca="1" si="161"/>
        <v>0</v>
      </c>
      <c r="F2615" s="17">
        <f t="shared" ca="1" si="162"/>
        <v>0</v>
      </c>
      <c r="H2615" s="17">
        <v>2600</v>
      </c>
      <c r="I2615" s="43">
        <v>0.66897908269775419</v>
      </c>
      <c r="J2615" s="43">
        <v>1.9522507498016376E-2</v>
      </c>
      <c r="K2615" s="43"/>
      <c r="L2615" s="43">
        <v>0.25640000000000002</v>
      </c>
      <c r="O2615" s="50"/>
    </row>
    <row r="2616" spans="2:15" x14ac:dyDescent="0.2">
      <c r="B2616">
        <v>2601</v>
      </c>
      <c r="C2616" s="48">
        <f ca="1"/>
        <v>-1.5198879913491827</v>
      </c>
      <c r="D2616" s="48">
        <f t="shared" ca="1" si="160"/>
        <v>0.5720357764699926</v>
      </c>
      <c r="E2616" s="48">
        <f t="shared" ca="1" si="161"/>
        <v>0</v>
      </c>
      <c r="F2616" s="17">
        <f t="shared" ca="1" si="162"/>
        <v>0</v>
      </c>
      <c r="H2616" s="17">
        <v>2601</v>
      </c>
      <c r="I2616" s="43">
        <v>0.66908690491610401</v>
      </c>
      <c r="J2616" s="43">
        <v>1.9421287683062668E-2</v>
      </c>
      <c r="K2616" s="43"/>
      <c r="L2616" s="43">
        <v>0.25140000000000001</v>
      </c>
      <c r="O2616" s="50"/>
    </row>
    <row r="2617" spans="2:15" x14ac:dyDescent="0.2">
      <c r="B2617">
        <v>2602</v>
      </c>
      <c r="C2617" s="48">
        <f ca="1"/>
        <v>0.50290493481416898</v>
      </c>
      <c r="D2617" s="48">
        <f t="shared" ca="1" si="160"/>
        <v>0.69828237670325333</v>
      </c>
      <c r="E2617" s="48">
        <f t="shared" ca="1" si="161"/>
        <v>0</v>
      </c>
      <c r="F2617" s="17">
        <f t="shared" ca="1" si="162"/>
        <v>0</v>
      </c>
      <c r="H2617" s="17">
        <v>2602</v>
      </c>
      <c r="I2617" s="43">
        <v>0.66984460184667238</v>
      </c>
      <c r="J2617" s="43">
        <v>2.002237309390157E-2</v>
      </c>
      <c r="K2617" s="43"/>
      <c r="L2617" s="43">
        <v>0.25619999999999998</v>
      </c>
      <c r="O2617" s="50"/>
    </row>
    <row r="2618" spans="2:15" x14ac:dyDescent="0.2">
      <c r="B2618">
        <v>2603</v>
      </c>
      <c r="C2618" s="48">
        <f ca="1"/>
        <v>0.80395091861697621</v>
      </c>
      <c r="D2618" s="48">
        <f t="shared" ca="1" si="160"/>
        <v>0.71931756339884012</v>
      </c>
      <c r="E2618" s="48">
        <f t="shared" ca="1" si="161"/>
        <v>0</v>
      </c>
      <c r="F2618" s="17">
        <f t="shared" ca="1" si="162"/>
        <v>0</v>
      </c>
      <c r="H2618" s="17">
        <v>2603</v>
      </c>
      <c r="I2618" s="43">
        <v>0.66951821502521702</v>
      </c>
      <c r="J2618" s="43">
        <v>2.0008885364118316E-2</v>
      </c>
      <c r="K2618" s="43"/>
      <c r="L2618" s="43">
        <v>0.25259999999999999</v>
      </c>
      <c r="O2618" s="50"/>
    </row>
    <row r="2619" spans="2:15" x14ac:dyDescent="0.2">
      <c r="B2619">
        <v>2604</v>
      </c>
      <c r="C2619" s="48">
        <f ca="1"/>
        <v>0.71595411035863998</v>
      </c>
      <c r="D2619" s="48">
        <f t="shared" ca="1" si="160"/>
        <v>0.71310419890054666</v>
      </c>
      <c r="E2619" s="48">
        <f t="shared" ca="1" si="161"/>
        <v>0</v>
      </c>
      <c r="F2619" s="17">
        <f t="shared" ca="1" si="162"/>
        <v>0</v>
      </c>
      <c r="H2619" s="17">
        <v>2604</v>
      </c>
      <c r="I2619" s="43">
        <v>0.66933943437063081</v>
      </c>
      <c r="J2619" s="43">
        <v>1.9506839043139351E-2</v>
      </c>
      <c r="K2619" s="43"/>
      <c r="L2619" s="43">
        <v>0.249</v>
      </c>
      <c r="O2619" s="50"/>
    </row>
    <row r="2620" spans="2:15" x14ac:dyDescent="0.2">
      <c r="B2620">
        <v>2605</v>
      </c>
      <c r="C2620" s="48">
        <f ca="1"/>
        <v>0.73427783839455063</v>
      </c>
      <c r="D2620" s="48">
        <f t="shared" ca="1" si="160"/>
        <v>0.71439357876818288</v>
      </c>
      <c r="E2620" s="48">
        <f t="shared" ca="1" si="161"/>
        <v>0</v>
      </c>
      <c r="F2620" s="17">
        <f t="shared" ca="1" si="162"/>
        <v>0</v>
      </c>
      <c r="H2620" s="17">
        <v>2605</v>
      </c>
      <c r="I2620" s="43">
        <v>0.6684018595516944</v>
      </c>
      <c r="J2620" s="43">
        <v>1.9041829658151058E-2</v>
      </c>
      <c r="K2620" s="43"/>
      <c r="L2620" s="43">
        <v>0.24940000000000001</v>
      </c>
      <c r="O2620" s="50"/>
    </row>
    <row r="2621" spans="2:15" x14ac:dyDescent="0.2">
      <c r="B2621">
        <v>2606</v>
      </c>
      <c r="C2621" s="48">
        <f ca="1"/>
        <v>0.91438581000225971</v>
      </c>
      <c r="D2621" s="48">
        <f t="shared" ca="1" si="160"/>
        <v>0.72719191908837932</v>
      </c>
      <c r="E2621" s="48">
        <f t="shared" ca="1" si="161"/>
        <v>0</v>
      </c>
      <c r="F2621" s="17">
        <f t="shared" ca="1" si="162"/>
        <v>0</v>
      </c>
      <c r="H2621" s="17">
        <v>2606</v>
      </c>
      <c r="I2621" s="43">
        <v>0.66806157051188197</v>
      </c>
      <c r="J2621" s="43">
        <v>1.8824955257577897E-2</v>
      </c>
      <c r="K2621" s="43"/>
      <c r="L2621" s="43">
        <v>0.254</v>
      </c>
      <c r="O2621" s="50"/>
    </row>
    <row r="2622" spans="2:15" x14ac:dyDescent="0.2">
      <c r="B2622">
        <v>2607</v>
      </c>
      <c r="C2622" s="48">
        <f ca="1"/>
        <v>-1.012159260542288</v>
      </c>
      <c r="D2622" s="48">
        <f t="shared" ca="1" si="160"/>
        <v>0.60139816936024071</v>
      </c>
      <c r="E2622" s="48">
        <f t="shared" ca="1" si="161"/>
        <v>0</v>
      </c>
      <c r="F2622" s="17">
        <f t="shared" ca="1" si="162"/>
        <v>0</v>
      </c>
      <c r="H2622" s="17">
        <v>2607</v>
      </c>
      <c r="I2622" s="43">
        <v>0.66851399811019852</v>
      </c>
      <c r="J2622" s="43">
        <v>1.9168971225779735E-2</v>
      </c>
      <c r="K2622" s="43"/>
      <c r="L2622" s="43">
        <v>0.24979999999999999</v>
      </c>
      <c r="O2622" s="50"/>
    </row>
    <row r="2623" spans="2:15" x14ac:dyDescent="0.2">
      <c r="B2623">
        <v>2608</v>
      </c>
      <c r="C2623" s="48">
        <f ca="1"/>
        <v>0.26014057753073494</v>
      </c>
      <c r="D2623" s="48">
        <f t="shared" ca="1" si="160"/>
        <v>0.68176842566788187</v>
      </c>
      <c r="E2623" s="48">
        <f t="shared" ca="1" si="161"/>
        <v>0</v>
      </c>
      <c r="F2623" s="17">
        <f t="shared" ca="1" si="162"/>
        <v>0</v>
      </c>
      <c r="H2623" s="17">
        <v>2608</v>
      </c>
      <c r="I2623" s="43">
        <v>0.66912667100032486</v>
      </c>
      <c r="J2623" s="43">
        <v>1.9551856009528058E-2</v>
      </c>
      <c r="K2623" s="43"/>
      <c r="L2623" s="43">
        <v>0.25040000000000001</v>
      </c>
      <c r="O2623" s="50"/>
    </row>
    <row r="2624" spans="2:15" x14ac:dyDescent="0.2">
      <c r="B2624">
        <v>2609</v>
      </c>
      <c r="C2624" s="48">
        <f ca="1"/>
        <v>0.96927459698274598</v>
      </c>
      <c r="D2624" s="48">
        <f t="shared" ca="1" si="160"/>
        <v>0.73113767291827214</v>
      </c>
      <c r="E2624" s="48">
        <f t="shared" ca="1" si="161"/>
        <v>0</v>
      </c>
      <c r="F2624" s="17">
        <f t="shared" ca="1" si="162"/>
        <v>0</v>
      </c>
      <c r="H2624" s="17">
        <v>2609</v>
      </c>
      <c r="I2624" s="43">
        <v>0.67018596000152564</v>
      </c>
      <c r="J2624" s="43">
        <v>2.0081641953249085E-2</v>
      </c>
      <c r="K2624" s="43"/>
      <c r="L2624" s="43">
        <v>0.25080000000000002</v>
      </c>
      <c r="O2624" s="50"/>
    </row>
    <row r="2625" spans="2:15" x14ac:dyDescent="0.2">
      <c r="B2625">
        <v>2610</v>
      </c>
      <c r="C2625" s="48">
        <f ca="1"/>
        <v>-0.41903144724152663</v>
      </c>
      <c r="D2625" s="48">
        <f t="shared" ca="1" si="160"/>
        <v>0.63761343402767967</v>
      </c>
      <c r="E2625" s="48">
        <f t="shared" ca="1" si="161"/>
        <v>0</v>
      </c>
      <c r="F2625" s="17">
        <f t="shared" ca="1" si="162"/>
        <v>0</v>
      </c>
      <c r="H2625" s="17">
        <v>2610</v>
      </c>
      <c r="I2625" s="43">
        <v>0.66899758531954223</v>
      </c>
      <c r="J2625" s="43">
        <v>1.9316435173778446E-2</v>
      </c>
      <c r="K2625" s="43"/>
      <c r="L2625" s="43">
        <v>0.2442</v>
      </c>
      <c r="O2625" s="50"/>
    </row>
    <row r="2626" spans="2:15" x14ac:dyDescent="0.2">
      <c r="B2626">
        <v>2611</v>
      </c>
      <c r="C2626" s="48">
        <f ca="1"/>
        <v>0.49882743807572438</v>
      </c>
      <c r="D2626" s="48">
        <f t="shared" ca="1" si="160"/>
        <v>0.69800173052263137</v>
      </c>
      <c r="E2626" s="48">
        <f t="shared" ca="1" si="161"/>
        <v>0</v>
      </c>
      <c r="F2626" s="17">
        <f t="shared" ca="1" si="162"/>
        <v>0</v>
      </c>
      <c r="H2626" s="17">
        <v>2611</v>
      </c>
      <c r="I2626" s="43">
        <v>0.66917824602983367</v>
      </c>
      <c r="J2626" s="43">
        <v>1.9522049990556702E-2</v>
      </c>
      <c r="K2626" s="43"/>
      <c r="L2626" s="43">
        <v>0.2452</v>
      </c>
      <c r="O2626" s="50"/>
    </row>
    <row r="2627" spans="2:15" x14ac:dyDescent="0.2">
      <c r="B2627">
        <v>2612</v>
      </c>
      <c r="C2627" s="48">
        <f ca="1"/>
        <v>0.33669539248655483</v>
      </c>
      <c r="D2627" s="48">
        <f t="shared" ca="1" si="160"/>
        <v>0.68693343406337437</v>
      </c>
      <c r="E2627" s="48">
        <f t="shared" ca="1" si="161"/>
        <v>0</v>
      </c>
      <c r="F2627" s="17">
        <f t="shared" ca="1" si="162"/>
        <v>0</v>
      </c>
      <c r="H2627" s="17">
        <v>2612</v>
      </c>
      <c r="I2627" s="43">
        <v>0.66865054070092556</v>
      </c>
      <c r="J2627" s="43">
        <v>1.9229793040729651E-2</v>
      </c>
      <c r="K2627" s="43"/>
      <c r="L2627" s="43">
        <v>0.25540000000000002</v>
      </c>
      <c r="O2627" s="50"/>
    </row>
    <row r="2628" spans="2:15" x14ac:dyDescent="0.2">
      <c r="B2628">
        <v>2613</v>
      </c>
      <c r="C2628" s="48">
        <f ca="1"/>
        <v>-0.97356811793272624</v>
      </c>
      <c r="D2628" s="48">
        <f t="shared" ca="1" si="160"/>
        <v>0.60369060884828929</v>
      </c>
      <c r="E2628" s="48">
        <f t="shared" ca="1" si="161"/>
        <v>0</v>
      </c>
      <c r="F2628" s="17">
        <f t="shared" ca="1" si="162"/>
        <v>0</v>
      </c>
      <c r="H2628" s="17">
        <v>2613</v>
      </c>
      <c r="I2628" s="43">
        <v>0.6697014225509742</v>
      </c>
      <c r="J2628" s="43">
        <v>2.019801059012255E-2</v>
      </c>
      <c r="K2628" s="43"/>
      <c r="L2628" s="43">
        <v>0.25940000000000002</v>
      </c>
      <c r="O2628" s="50"/>
    </row>
    <row r="2629" spans="2:15" x14ac:dyDescent="0.2">
      <c r="B2629">
        <v>2614</v>
      </c>
      <c r="C2629" s="48">
        <f ca="1"/>
        <v>-0.28221239173935575</v>
      </c>
      <c r="D2629" s="48">
        <f t="shared" ca="1" si="160"/>
        <v>0.64627224146779705</v>
      </c>
      <c r="E2629" s="48">
        <f t="shared" ca="1" si="161"/>
        <v>0</v>
      </c>
      <c r="F2629" s="17">
        <f t="shared" ca="1" si="162"/>
        <v>0</v>
      </c>
      <c r="H2629" s="17">
        <v>2614</v>
      </c>
      <c r="I2629" s="43">
        <v>0.66933506844233903</v>
      </c>
      <c r="J2629" s="43">
        <v>1.9727850595723746E-2</v>
      </c>
      <c r="K2629" s="43"/>
      <c r="L2629" s="43">
        <v>0.25159999999999999</v>
      </c>
      <c r="O2629" s="50"/>
    </row>
    <row r="2630" spans="2:15" x14ac:dyDescent="0.2">
      <c r="B2630">
        <v>2615</v>
      </c>
      <c r="C2630" s="48">
        <f ca="1"/>
        <v>0.87078738947253875</v>
      </c>
      <c r="D2630" s="48">
        <f t="shared" ca="1" si="160"/>
        <v>0.72407296845928992</v>
      </c>
      <c r="E2630" s="48">
        <f t="shared" ca="1" si="161"/>
        <v>0</v>
      </c>
      <c r="F2630" s="17">
        <f t="shared" ca="1" si="162"/>
        <v>0</v>
      </c>
      <c r="H2630" s="17">
        <v>2615</v>
      </c>
      <c r="I2630" s="43">
        <v>0.66881154215406891</v>
      </c>
      <c r="J2630" s="43">
        <v>1.9085790029075751E-2</v>
      </c>
      <c r="K2630" s="43"/>
      <c r="L2630" s="43">
        <v>0.2492</v>
      </c>
      <c r="O2630" s="50"/>
    </row>
    <row r="2631" spans="2:15" x14ac:dyDescent="0.2">
      <c r="B2631">
        <v>2616</v>
      </c>
      <c r="C2631" s="48">
        <f ca="1"/>
        <v>-0.133262744634813</v>
      </c>
      <c r="D2631" s="48">
        <f t="shared" ca="1" si="160"/>
        <v>0.65583249296993151</v>
      </c>
      <c r="E2631" s="48">
        <f t="shared" ca="1" si="161"/>
        <v>0</v>
      </c>
      <c r="F2631" s="17">
        <f t="shared" ca="1" si="162"/>
        <v>0</v>
      </c>
      <c r="H2631" s="17">
        <v>2616</v>
      </c>
      <c r="I2631" s="43">
        <v>0.66918128044305736</v>
      </c>
      <c r="J2631" s="43">
        <v>1.9646356328262719E-2</v>
      </c>
      <c r="K2631" s="43"/>
      <c r="L2631" s="43">
        <v>0.251</v>
      </c>
      <c r="O2631" s="50"/>
    </row>
    <row r="2632" spans="2:15" x14ac:dyDescent="0.2">
      <c r="B2632">
        <v>2617</v>
      </c>
      <c r="C2632" s="48">
        <f ca="1"/>
        <v>0.84093972072923739</v>
      </c>
      <c r="D2632" s="48">
        <f t="shared" ca="1" si="160"/>
        <v>0.72194543867340766</v>
      </c>
      <c r="E2632" s="48">
        <f t="shared" ca="1" si="161"/>
        <v>0</v>
      </c>
      <c r="F2632" s="17">
        <f t="shared" ca="1" si="162"/>
        <v>0</v>
      </c>
      <c r="H2632" s="17">
        <v>2617</v>
      </c>
      <c r="I2632" s="43">
        <v>0.6684337943612646</v>
      </c>
      <c r="J2632" s="43">
        <v>1.8570612942326464E-2</v>
      </c>
      <c r="K2632" s="43"/>
      <c r="L2632" s="43">
        <v>0.2384</v>
      </c>
      <c r="O2632" s="50"/>
    </row>
    <row r="2633" spans="2:15" x14ac:dyDescent="0.2">
      <c r="B2633">
        <v>2618</v>
      </c>
      <c r="C2633" s="48">
        <f ca="1"/>
        <v>0.89402533771171899</v>
      </c>
      <c r="D2633" s="48">
        <f t="shared" ca="1" si="160"/>
        <v>0.72573369990059289</v>
      </c>
      <c r="E2633" s="48">
        <f t="shared" ca="1" si="161"/>
        <v>0</v>
      </c>
      <c r="F2633" s="17">
        <f t="shared" ca="1" si="162"/>
        <v>0</v>
      </c>
      <c r="H2633" s="17">
        <v>2618</v>
      </c>
      <c r="I2633" s="43">
        <v>0.66819223636419511</v>
      </c>
      <c r="J2633" s="43">
        <v>1.8684949937016922E-2</v>
      </c>
      <c r="K2633" s="43"/>
      <c r="L2633" s="43">
        <v>0.251</v>
      </c>
      <c r="O2633" s="50"/>
    </row>
    <row r="2634" spans="2:15" x14ac:dyDescent="0.2">
      <c r="B2634">
        <v>2619</v>
      </c>
      <c r="C2634" s="48">
        <f ca="1"/>
        <v>3.0325550828622767E-2</v>
      </c>
      <c r="D2634" s="48">
        <f t="shared" ca="1" si="160"/>
        <v>0.66649535235563773</v>
      </c>
      <c r="E2634" s="48">
        <f t="shared" ca="1" si="161"/>
        <v>0</v>
      </c>
      <c r="F2634" s="17">
        <f t="shared" ca="1" si="162"/>
        <v>0</v>
      </c>
      <c r="H2634" s="17">
        <v>2619</v>
      </c>
      <c r="I2634" s="43">
        <v>0.66953945825744809</v>
      </c>
      <c r="J2634" s="43">
        <v>1.9933078493054406E-2</v>
      </c>
      <c r="K2634" s="43"/>
      <c r="L2634" s="43">
        <v>0.25619999999999998</v>
      </c>
      <c r="O2634" s="50"/>
    </row>
    <row r="2635" spans="2:15" x14ac:dyDescent="0.2">
      <c r="B2635">
        <v>2620</v>
      </c>
      <c r="C2635" s="48">
        <f ca="1"/>
        <v>0.32845836034771653</v>
      </c>
      <c r="D2635" s="48">
        <f t="shared" ca="1" si="160"/>
        <v>0.68637582373519712</v>
      </c>
      <c r="E2635" s="48">
        <f t="shared" ca="1" si="161"/>
        <v>0</v>
      </c>
      <c r="F2635" s="17">
        <f t="shared" ca="1" si="162"/>
        <v>0</v>
      </c>
      <c r="H2635" s="17">
        <v>2620</v>
      </c>
      <c r="I2635" s="43">
        <v>0.66867765925635736</v>
      </c>
      <c r="J2635" s="43">
        <v>1.9157000525698627E-2</v>
      </c>
      <c r="K2635" s="43"/>
      <c r="L2635" s="43">
        <v>0.24940000000000001</v>
      </c>
      <c r="O2635" s="50"/>
    </row>
    <row r="2636" spans="2:15" x14ac:dyDescent="0.2">
      <c r="B2636">
        <v>2621</v>
      </c>
      <c r="C2636" s="48">
        <f ca="1"/>
        <v>1.0917484782989669E-2</v>
      </c>
      <c r="D2636" s="48">
        <f t="shared" ca="1" si="160"/>
        <v>0.66522130466283813</v>
      </c>
      <c r="E2636" s="48">
        <f t="shared" ca="1" si="161"/>
        <v>0</v>
      </c>
      <c r="F2636" s="17">
        <f t="shared" ca="1" si="162"/>
        <v>0</v>
      </c>
      <c r="H2636" s="17">
        <v>2621</v>
      </c>
      <c r="I2636" s="43">
        <v>0.66890466844403929</v>
      </c>
      <c r="J2636" s="43">
        <v>1.9321759491881616E-2</v>
      </c>
      <c r="K2636" s="43"/>
      <c r="L2636" s="43">
        <v>0.24560000000000001</v>
      </c>
      <c r="O2636" s="50"/>
    </row>
    <row r="2637" spans="2:15" x14ac:dyDescent="0.2">
      <c r="B2637">
        <v>2622</v>
      </c>
      <c r="C2637" s="48">
        <f ca="1"/>
        <v>-0.29504938559037386</v>
      </c>
      <c r="D2637" s="48">
        <f t="shared" ca="1" si="160"/>
        <v>0.645454858147821</v>
      </c>
      <c r="E2637" s="48">
        <f t="shared" ca="1" si="161"/>
        <v>0</v>
      </c>
      <c r="F2637" s="17">
        <f t="shared" ca="1" si="162"/>
        <v>0</v>
      </c>
      <c r="H2637" s="17">
        <v>2622</v>
      </c>
      <c r="I2637" s="43">
        <v>0.67045307019444156</v>
      </c>
      <c r="J2637" s="43">
        <v>2.0594601993441909E-2</v>
      </c>
      <c r="K2637" s="43"/>
      <c r="L2637" s="43">
        <v>0.2616</v>
      </c>
      <c r="O2637" s="50"/>
    </row>
    <row r="2638" spans="2:15" x14ac:dyDescent="0.2">
      <c r="B2638">
        <v>2623</v>
      </c>
      <c r="C2638" s="48">
        <f ca="1"/>
        <v>0.1558571919637832</v>
      </c>
      <c r="D2638" s="48">
        <f t="shared" ca="1" si="160"/>
        <v>0.67479504873051221</v>
      </c>
      <c r="E2638" s="48">
        <f t="shared" ca="1" si="161"/>
        <v>0</v>
      </c>
      <c r="F2638" s="17">
        <f t="shared" ca="1" si="162"/>
        <v>0</v>
      </c>
      <c r="H2638" s="17">
        <v>2623</v>
      </c>
      <c r="I2638" s="43">
        <v>0.66872999194053351</v>
      </c>
      <c r="J2638" s="43">
        <v>1.9164576015918398E-2</v>
      </c>
      <c r="K2638" s="43"/>
      <c r="L2638" s="43">
        <v>0.24679999999999999</v>
      </c>
      <c r="O2638" s="50"/>
    </row>
    <row r="2639" spans="2:15" x14ac:dyDescent="0.2">
      <c r="B2639">
        <v>2624</v>
      </c>
      <c r="C2639" s="48">
        <f ca="1"/>
        <v>-0.73334802693979728</v>
      </c>
      <c r="D2639" s="48">
        <f t="shared" ca="1" si="160"/>
        <v>0.61815826731080203</v>
      </c>
      <c r="E2639" s="48">
        <f t="shared" ca="1" si="161"/>
        <v>0</v>
      </c>
      <c r="F2639" s="17">
        <f t="shared" ca="1" si="162"/>
        <v>0</v>
      </c>
      <c r="H2639" s="17">
        <v>2624</v>
      </c>
      <c r="I2639" s="43">
        <v>0.66926646447634885</v>
      </c>
      <c r="J2639" s="43">
        <v>1.9270179033854348E-2</v>
      </c>
      <c r="K2639" s="43"/>
      <c r="L2639" s="43">
        <v>0.24540000000000001</v>
      </c>
      <c r="O2639" s="50"/>
    </row>
    <row r="2640" spans="2:15" x14ac:dyDescent="0.2">
      <c r="B2640">
        <v>2625</v>
      </c>
      <c r="C2640" s="48">
        <f ca="1"/>
        <v>-0.13950054563508468</v>
      </c>
      <c r="D2640" s="48">
        <f t="shared" ref="D2640:D2703" ca="1" si="163">S0*EXP((μ-0.5*σ*σ)*T+σ*SQRT(T)*$C2640)</f>
        <v>0.65542930029437474</v>
      </c>
      <c r="E2640" s="48">
        <f t="shared" ref="E2640:E2703" ca="1" si="164">MAX(0,CP*(D2640-K))</f>
        <v>0</v>
      </c>
      <c r="F2640" s="17">
        <f t="shared" ref="F2640:F2703" ca="1" si="165">(CP*(D2640-K)&gt;0)*1</f>
        <v>0</v>
      </c>
      <c r="H2640" s="17">
        <v>2625</v>
      </c>
      <c r="I2640" s="43">
        <v>0.66870808181476671</v>
      </c>
      <c r="J2640" s="43">
        <v>1.9465192836180673E-2</v>
      </c>
      <c r="K2640" s="43"/>
      <c r="L2640" s="43">
        <v>0.26100000000000001</v>
      </c>
      <c r="O2640" s="50"/>
    </row>
    <row r="2641" spans="2:15" x14ac:dyDescent="0.2">
      <c r="B2641">
        <v>2626</v>
      </c>
      <c r="C2641" s="48">
        <f ca="1"/>
        <v>-0.32461929261124428</v>
      </c>
      <c r="D2641" s="48">
        <f t="shared" ca="1" si="163"/>
        <v>0.64357595378546884</v>
      </c>
      <c r="E2641" s="48">
        <f t="shared" ca="1" si="164"/>
        <v>0</v>
      </c>
      <c r="F2641" s="17">
        <f t="shared" ca="1" si="165"/>
        <v>0</v>
      </c>
      <c r="H2641" s="17">
        <v>2626</v>
      </c>
      <c r="I2641" s="43">
        <v>0.66908204926716008</v>
      </c>
      <c r="J2641" s="43">
        <v>1.9589284090976874E-2</v>
      </c>
      <c r="K2641" s="43"/>
      <c r="L2641" s="43">
        <v>0.25600000000000001</v>
      </c>
      <c r="O2641" s="50"/>
    </row>
    <row r="2642" spans="2:15" x14ac:dyDescent="0.2">
      <c r="B2642">
        <v>2627</v>
      </c>
      <c r="C2642" s="48">
        <f ca="1"/>
        <v>1.276511165294127</v>
      </c>
      <c r="D2642" s="48">
        <f t="shared" ca="1" si="163"/>
        <v>0.75362240462187879</v>
      </c>
      <c r="E2642" s="48">
        <f t="shared" ca="1" si="164"/>
        <v>0</v>
      </c>
      <c r="F2642" s="17">
        <f t="shared" ca="1" si="165"/>
        <v>0</v>
      </c>
      <c r="H2642" s="17">
        <v>2627</v>
      </c>
      <c r="I2642" s="43">
        <v>0.67044552054885975</v>
      </c>
      <c r="J2642" s="43">
        <v>2.0469255754718432E-2</v>
      </c>
      <c r="K2642" s="43"/>
      <c r="L2642" s="43">
        <v>0.25380000000000003</v>
      </c>
      <c r="O2642" s="50"/>
    </row>
    <row r="2643" spans="2:15" x14ac:dyDescent="0.2">
      <c r="B2643">
        <v>2628</v>
      </c>
      <c r="C2643" s="48">
        <f ca="1"/>
        <v>-9.7120013453862689E-2</v>
      </c>
      <c r="D2643" s="48">
        <f t="shared" ca="1" si="163"/>
        <v>0.65817353704993786</v>
      </c>
      <c r="E2643" s="48">
        <f t="shared" ca="1" si="164"/>
        <v>0</v>
      </c>
      <c r="F2643" s="17">
        <f t="shared" ca="1" si="165"/>
        <v>0</v>
      </c>
      <c r="H2643" s="17">
        <v>2628</v>
      </c>
      <c r="I2643" s="43">
        <v>0.67013672478521469</v>
      </c>
      <c r="J2643" s="43">
        <v>2.0542443225888808E-2</v>
      </c>
      <c r="K2643" s="43"/>
      <c r="L2643" s="43">
        <v>0.26179999999999998</v>
      </c>
      <c r="O2643" s="50"/>
    </row>
    <row r="2644" spans="2:15" x14ac:dyDescent="0.2">
      <c r="B2644">
        <v>2629</v>
      </c>
      <c r="C2644" s="48">
        <f ca="1"/>
        <v>-0.9893188718666569</v>
      </c>
      <c r="D2644" s="48">
        <f t="shared" ca="1" si="163"/>
        <v>0.60275390923960526</v>
      </c>
      <c r="E2644" s="48">
        <f t="shared" ca="1" si="164"/>
        <v>0</v>
      </c>
      <c r="F2644" s="17">
        <f t="shared" ca="1" si="165"/>
        <v>0</v>
      </c>
      <c r="H2644" s="17">
        <v>2629</v>
      </c>
      <c r="I2644" s="43">
        <v>0.66908458202172838</v>
      </c>
      <c r="J2644" s="43">
        <v>1.939225099774115E-2</v>
      </c>
      <c r="K2644" s="43"/>
      <c r="L2644" s="43">
        <v>0.24199999999999999</v>
      </c>
      <c r="O2644" s="50"/>
    </row>
    <row r="2645" spans="2:15" x14ac:dyDescent="0.2">
      <c r="B2645">
        <v>2630</v>
      </c>
      <c r="C2645" s="48">
        <f ca="1"/>
        <v>1.2523382812312343</v>
      </c>
      <c r="D2645" s="48">
        <f t="shared" ca="1" si="163"/>
        <v>0.75182855265712334</v>
      </c>
      <c r="E2645" s="48">
        <f t="shared" ca="1" si="164"/>
        <v>0</v>
      </c>
      <c r="F2645" s="17">
        <f t="shared" ca="1" si="165"/>
        <v>0</v>
      </c>
      <c r="H2645" s="17">
        <v>2630</v>
      </c>
      <c r="I2645" s="43">
        <v>0.66970541774473713</v>
      </c>
      <c r="J2645" s="43">
        <v>2.010096151328639E-2</v>
      </c>
      <c r="K2645" s="43"/>
      <c r="L2645" s="43">
        <v>0.24959999999999999</v>
      </c>
      <c r="O2645" s="50"/>
    </row>
    <row r="2646" spans="2:15" x14ac:dyDescent="0.2">
      <c r="B2646">
        <v>2631</v>
      </c>
      <c r="C2646" s="48">
        <f ca="1"/>
        <v>0.65156015933675249</v>
      </c>
      <c r="D2646" s="48">
        <f t="shared" ca="1" si="163"/>
        <v>0.70859144166789134</v>
      </c>
      <c r="E2646" s="48">
        <f t="shared" ca="1" si="164"/>
        <v>0</v>
      </c>
      <c r="F2646" s="17">
        <f t="shared" ca="1" si="165"/>
        <v>0</v>
      </c>
      <c r="H2646" s="17">
        <v>2631</v>
      </c>
      <c r="I2646" s="43">
        <v>0.66825697061810774</v>
      </c>
      <c r="J2646" s="43">
        <v>1.8992669467378674E-2</v>
      </c>
      <c r="K2646" s="43"/>
      <c r="L2646" s="43">
        <v>0.25419999999999998</v>
      </c>
      <c r="O2646" s="50"/>
    </row>
    <row r="2647" spans="2:15" x14ac:dyDescent="0.2">
      <c r="B2647">
        <v>2632</v>
      </c>
      <c r="C2647" s="48">
        <f ca="1"/>
        <v>-0.77407164794994565</v>
      </c>
      <c r="D2647" s="48">
        <f t="shared" ca="1" si="163"/>
        <v>0.61568143690733068</v>
      </c>
      <c r="E2647" s="48">
        <f t="shared" ca="1" si="164"/>
        <v>0</v>
      </c>
      <c r="F2647" s="17">
        <f t="shared" ca="1" si="165"/>
        <v>0</v>
      </c>
      <c r="H2647" s="17">
        <v>2632</v>
      </c>
      <c r="I2647" s="43">
        <v>0.66843306894817889</v>
      </c>
      <c r="J2647" s="43">
        <v>1.8829973588651648E-2</v>
      </c>
      <c r="K2647" s="43"/>
      <c r="L2647" s="43">
        <v>0.25219999999999998</v>
      </c>
      <c r="O2647" s="50"/>
    </row>
    <row r="2648" spans="2:15" x14ac:dyDescent="0.2">
      <c r="B2648">
        <v>2633</v>
      </c>
      <c r="C2648" s="48">
        <f ca="1"/>
        <v>2.0324434155432951</v>
      </c>
      <c r="D2648" s="48">
        <f t="shared" ca="1" si="163"/>
        <v>0.81193225005994185</v>
      </c>
      <c r="E2648" s="48">
        <f t="shared" ca="1" si="164"/>
        <v>2.373225005994184E-2</v>
      </c>
      <c r="F2648" s="17">
        <f t="shared" ca="1" si="165"/>
        <v>1</v>
      </c>
      <c r="H2648" s="17">
        <v>2633</v>
      </c>
      <c r="I2648" s="43">
        <v>0.66899151028816117</v>
      </c>
      <c r="J2648" s="43">
        <v>1.9639625032101159E-2</v>
      </c>
      <c r="K2648" s="43"/>
      <c r="L2648" s="43">
        <v>0.25119999999999998</v>
      </c>
      <c r="O2648" s="50"/>
    </row>
    <row r="2649" spans="2:15" x14ac:dyDescent="0.2">
      <c r="B2649">
        <v>2634</v>
      </c>
      <c r="C2649" s="48">
        <f ca="1"/>
        <v>-0.3376902125329202</v>
      </c>
      <c r="D2649" s="48">
        <f t="shared" ca="1" si="163"/>
        <v>0.64274715731796872</v>
      </c>
      <c r="E2649" s="48">
        <f t="shared" ca="1" si="164"/>
        <v>0</v>
      </c>
      <c r="F2649" s="17">
        <f t="shared" ca="1" si="165"/>
        <v>0</v>
      </c>
      <c r="H2649" s="17">
        <v>2634</v>
      </c>
      <c r="I2649" s="43">
        <v>0.67007817258004532</v>
      </c>
      <c r="J2649" s="43">
        <v>2.0161233604590687E-2</v>
      </c>
      <c r="K2649" s="43"/>
      <c r="L2649" s="43">
        <v>0.25240000000000001</v>
      </c>
      <c r="O2649" s="50"/>
    </row>
    <row r="2650" spans="2:15" x14ac:dyDescent="0.2">
      <c r="B2650">
        <v>2635</v>
      </c>
      <c r="C2650" s="48">
        <f ca="1"/>
        <v>-1.3303721517057725</v>
      </c>
      <c r="D2650" s="48">
        <f t="shared" ca="1" si="163"/>
        <v>0.58282409839566274</v>
      </c>
      <c r="E2650" s="48">
        <f t="shared" ca="1" si="164"/>
        <v>0</v>
      </c>
      <c r="F2650" s="17">
        <f t="shared" ca="1" si="165"/>
        <v>0</v>
      </c>
      <c r="H2650" s="17">
        <v>2635</v>
      </c>
      <c r="I2650" s="43">
        <v>0.66799704487144995</v>
      </c>
      <c r="J2650" s="43">
        <v>1.8984800619992873E-2</v>
      </c>
      <c r="K2650" s="43"/>
      <c r="L2650" s="43">
        <v>0.251</v>
      </c>
      <c r="O2650" s="50"/>
    </row>
    <row r="2651" spans="2:15" x14ac:dyDescent="0.2">
      <c r="B2651">
        <v>2636</v>
      </c>
      <c r="C2651" s="48">
        <f ca="1"/>
        <v>1.2250730197556123</v>
      </c>
      <c r="D2651" s="48">
        <f t="shared" ca="1" si="163"/>
        <v>0.7498103413324636</v>
      </c>
      <c r="E2651" s="48">
        <f t="shared" ca="1" si="164"/>
        <v>0</v>
      </c>
      <c r="F2651" s="17">
        <f t="shared" ca="1" si="165"/>
        <v>0</v>
      </c>
      <c r="H2651" s="17">
        <v>2636</v>
      </c>
      <c r="I2651" s="43">
        <v>0.66881782864711781</v>
      </c>
      <c r="J2651" s="43">
        <v>1.9303769153231436E-2</v>
      </c>
      <c r="K2651" s="43"/>
      <c r="L2651" s="43">
        <v>0.247</v>
      </c>
      <c r="O2651" s="50"/>
    </row>
    <row r="2652" spans="2:15" x14ac:dyDescent="0.2">
      <c r="B2652">
        <v>2637</v>
      </c>
      <c r="C2652" s="48">
        <f ca="1"/>
        <v>2.4502836776905395</v>
      </c>
      <c r="D2652" s="48">
        <f t="shared" ca="1" si="163"/>
        <v>0.84607729018993072</v>
      </c>
      <c r="E2652" s="48">
        <f t="shared" ca="1" si="164"/>
        <v>5.7877290189930708E-2</v>
      </c>
      <c r="F2652" s="17">
        <f t="shared" ca="1" si="165"/>
        <v>1</v>
      </c>
      <c r="H2652" s="17">
        <v>2637</v>
      </c>
      <c r="I2652" s="43">
        <v>0.66866526545235383</v>
      </c>
      <c r="J2652" s="43">
        <v>1.9102117013149757E-2</v>
      </c>
      <c r="K2652" s="43"/>
      <c r="L2652" s="43">
        <v>0.24779999999999999</v>
      </c>
      <c r="O2652" s="50"/>
    </row>
    <row r="2653" spans="2:15" x14ac:dyDescent="0.2">
      <c r="B2653">
        <v>2638</v>
      </c>
      <c r="C2653" s="48">
        <f ca="1"/>
        <v>-0.61061798301636205</v>
      </c>
      <c r="D2653" s="48">
        <f t="shared" ca="1" si="163"/>
        <v>0.62568319525667371</v>
      </c>
      <c r="E2653" s="48">
        <f t="shared" ca="1" si="164"/>
        <v>0</v>
      </c>
      <c r="F2653" s="17">
        <f t="shared" ca="1" si="165"/>
        <v>0</v>
      </c>
      <c r="H2653" s="17">
        <v>2638</v>
      </c>
      <c r="I2653" s="43">
        <v>0.66889177576538361</v>
      </c>
      <c r="J2653" s="43">
        <v>1.9360468668382671E-2</v>
      </c>
      <c r="K2653" s="43"/>
      <c r="L2653" s="43">
        <v>0.25</v>
      </c>
      <c r="O2653" s="50"/>
    </row>
    <row r="2654" spans="2:15" x14ac:dyDescent="0.2">
      <c r="B2654">
        <v>2639</v>
      </c>
      <c r="C2654" s="48">
        <f ca="1"/>
        <v>1.1057361875221059</v>
      </c>
      <c r="D2654" s="48">
        <f t="shared" ca="1" si="163"/>
        <v>0.74104042613152499</v>
      </c>
      <c r="E2654" s="48">
        <f t="shared" ca="1" si="164"/>
        <v>0</v>
      </c>
      <c r="F2654" s="17">
        <f t="shared" ca="1" si="165"/>
        <v>0</v>
      </c>
      <c r="H2654" s="17">
        <v>2639</v>
      </c>
      <c r="I2654" s="43">
        <v>0.66768599433408293</v>
      </c>
      <c r="J2654" s="43">
        <v>1.8263412698347324E-2</v>
      </c>
      <c r="K2654" s="43"/>
      <c r="L2654" s="43">
        <v>0.2442</v>
      </c>
      <c r="O2654" s="50"/>
    </row>
    <row r="2655" spans="2:15" x14ac:dyDescent="0.2">
      <c r="B2655">
        <v>2640</v>
      </c>
      <c r="C2655" s="48">
        <f ca="1"/>
        <v>-1.6092637589829892</v>
      </c>
      <c r="D2655" s="48">
        <f t="shared" ca="1" si="163"/>
        <v>0.56701752124259075</v>
      </c>
      <c r="E2655" s="48">
        <f t="shared" ca="1" si="164"/>
        <v>0</v>
      </c>
      <c r="F2655" s="17">
        <f t="shared" ca="1" si="165"/>
        <v>0</v>
      </c>
      <c r="H2655" s="17">
        <v>2640</v>
      </c>
      <c r="I2655" s="43">
        <v>0.66992996332205634</v>
      </c>
      <c r="J2655" s="43">
        <v>1.9984360963432129E-2</v>
      </c>
      <c r="K2655" s="43"/>
      <c r="L2655" s="43">
        <v>0.25119999999999998</v>
      </c>
      <c r="O2655" s="50"/>
    </row>
    <row r="2656" spans="2:15" x14ac:dyDescent="0.2">
      <c r="B2656">
        <v>2641</v>
      </c>
      <c r="C2656" s="48">
        <f ca="1"/>
        <v>-0.25746937889543592</v>
      </c>
      <c r="D2656" s="48">
        <f t="shared" ca="1" si="163"/>
        <v>0.64785065069014225</v>
      </c>
      <c r="E2656" s="48">
        <f t="shared" ca="1" si="164"/>
        <v>0</v>
      </c>
      <c r="F2656" s="17">
        <f t="shared" ca="1" si="165"/>
        <v>0</v>
      </c>
      <c r="H2656" s="17">
        <v>2641</v>
      </c>
      <c r="I2656" s="43">
        <v>0.66966311869106765</v>
      </c>
      <c r="J2656" s="43">
        <v>2.014555248644237E-2</v>
      </c>
      <c r="K2656" s="43"/>
      <c r="L2656" s="43">
        <v>0.26179999999999998</v>
      </c>
      <c r="O2656" s="50"/>
    </row>
    <row r="2657" spans="2:15" x14ac:dyDescent="0.2">
      <c r="B2657">
        <v>2642</v>
      </c>
      <c r="C2657" s="48">
        <f ca="1"/>
        <v>0.31765698750338489</v>
      </c>
      <c r="D2657" s="48">
        <f t="shared" ca="1" si="163"/>
        <v>0.68564530486184661</v>
      </c>
      <c r="E2657" s="48">
        <f t="shared" ca="1" si="164"/>
        <v>0</v>
      </c>
      <c r="F2657" s="17">
        <f t="shared" ca="1" si="165"/>
        <v>0</v>
      </c>
      <c r="H2657" s="17">
        <v>2642</v>
      </c>
      <c r="I2657" s="43">
        <v>0.669431611720819</v>
      </c>
      <c r="J2657" s="43">
        <v>1.9288370663360244E-2</v>
      </c>
      <c r="K2657" s="43"/>
      <c r="L2657" s="43">
        <v>0.24840000000000001</v>
      </c>
      <c r="O2657" s="50"/>
    </row>
    <row r="2658" spans="2:15" x14ac:dyDescent="0.2">
      <c r="B2658">
        <v>2643</v>
      </c>
      <c r="C2658" s="48">
        <f ca="1"/>
        <v>-1.0047525440684633</v>
      </c>
      <c r="D2658" s="48">
        <f t="shared" ca="1" si="163"/>
        <v>0.60183747635199092</v>
      </c>
      <c r="E2658" s="48">
        <f t="shared" ca="1" si="164"/>
        <v>0</v>
      </c>
      <c r="F2658" s="17">
        <f t="shared" ca="1" si="165"/>
        <v>0</v>
      </c>
      <c r="H2658" s="17">
        <v>2643</v>
      </c>
      <c r="I2658" s="43">
        <v>0.6682697011437001</v>
      </c>
      <c r="J2658" s="43">
        <v>1.8656111654802247E-2</v>
      </c>
      <c r="K2658" s="43"/>
      <c r="L2658" s="43">
        <v>0.2414</v>
      </c>
      <c r="O2658" s="50"/>
    </row>
    <row r="2659" spans="2:15" x14ac:dyDescent="0.2">
      <c r="B2659">
        <v>2644</v>
      </c>
      <c r="C2659" s="48">
        <f ca="1"/>
        <v>-0.27374657364246713</v>
      </c>
      <c r="D2659" s="48">
        <f t="shared" ca="1" si="163"/>
        <v>0.64681186068130125</v>
      </c>
      <c r="E2659" s="48">
        <f t="shared" ca="1" si="164"/>
        <v>0</v>
      </c>
      <c r="F2659" s="17">
        <f t="shared" ca="1" si="165"/>
        <v>0</v>
      </c>
      <c r="H2659" s="17">
        <v>2644</v>
      </c>
      <c r="I2659" s="43">
        <v>0.66888721315299027</v>
      </c>
      <c r="J2659" s="43">
        <v>1.9294154366997027E-2</v>
      </c>
      <c r="K2659" s="43"/>
      <c r="L2659" s="43">
        <v>0.2472</v>
      </c>
      <c r="O2659" s="50"/>
    </row>
    <row r="2660" spans="2:15" x14ac:dyDescent="0.2">
      <c r="B2660">
        <v>2645</v>
      </c>
      <c r="C2660" s="48">
        <f ca="1"/>
        <v>-1.2218993006513468</v>
      </c>
      <c r="D2660" s="48">
        <f t="shared" ca="1" si="163"/>
        <v>0.58909030243363913</v>
      </c>
      <c r="E2660" s="48">
        <f t="shared" ca="1" si="164"/>
        <v>0</v>
      </c>
      <c r="F2660" s="17">
        <f t="shared" ca="1" si="165"/>
        <v>0</v>
      </c>
      <c r="H2660" s="17">
        <v>2645</v>
      </c>
      <c r="I2660" s="43">
        <v>0.66777063104885237</v>
      </c>
      <c r="J2660" s="43">
        <v>1.8572264862952971E-2</v>
      </c>
      <c r="K2660" s="43"/>
      <c r="L2660" s="43">
        <v>0.24199999999999999</v>
      </c>
      <c r="O2660" s="50"/>
    </row>
    <row r="2661" spans="2:15" x14ac:dyDescent="0.2">
      <c r="B2661">
        <v>2646</v>
      </c>
      <c r="C2661" s="48">
        <f ca="1"/>
        <v>0.3548779890502724</v>
      </c>
      <c r="D2661" s="48">
        <f t="shared" ca="1" si="163"/>
        <v>0.68816591891187573</v>
      </c>
      <c r="E2661" s="48">
        <f t="shared" ca="1" si="164"/>
        <v>0</v>
      </c>
      <c r="F2661" s="17">
        <f t="shared" ca="1" si="165"/>
        <v>0</v>
      </c>
      <c r="H2661" s="17">
        <v>2646</v>
      </c>
      <c r="I2661" s="43">
        <v>0.66841059562355232</v>
      </c>
      <c r="J2661" s="43">
        <v>1.8871019635670463E-2</v>
      </c>
      <c r="K2661" s="43"/>
      <c r="L2661" s="43">
        <v>0.251</v>
      </c>
      <c r="O2661" s="50"/>
    </row>
    <row r="2662" spans="2:15" x14ac:dyDescent="0.2">
      <c r="B2662">
        <v>2647</v>
      </c>
      <c r="C2662" s="48">
        <f ca="1"/>
        <v>0.82359512541558033</v>
      </c>
      <c r="D2662" s="48">
        <f t="shared" ca="1" si="163"/>
        <v>0.72071199588956569</v>
      </c>
      <c r="E2662" s="48">
        <f t="shared" ca="1" si="164"/>
        <v>0</v>
      </c>
      <c r="F2662" s="17">
        <f t="shared" ca="1" si="165"/>
        <v>0</v>
      </c>
      <c r="H2662" s="17">
        <v>2647</v>
      </c>
      <c r="I2662" s="43">
        <v>0.66760104604310933</v>
      </c>
      <c r="J2662" s="43">
        <v>1.8666153167102201E-2</v>
      </c>
      <c r="K2662" s="43"/>
      <c r="L2662" s="43">
        <v>0.24759999999999999</v>
      </c>
      <c r="O2662" s="50"/>
    </row>
    <row r="2663" spans="2:15" x14ac:dyDescent="0.2">
      <c r="B2663">
        <v>2648</v>
      </c>
      <c r="C2663" s="48">
        <f ca="1"/>
        <v>1.5642196568774285</v>
      </c>
      <c r="D2663" s="48">
        <f t="shared" ca="1" si="163"/>
        <v>0.77530453856415471</v>
      </c>
      <c r="E2663" s="48">
        <f t="shared" ca="1" si="164"/>
        <v>0</v>
      </c>
      <c r="F2663" s="17">
        <f t="shared" ca="1" si="165"/>
        <v>0</v>
      </c>
      <c r="H2663" s="17">
        <v>2648</v>
      </c>
      <c r="I2663" s="43">
        <v>0.66901113651150323</v>
      </c>
      <c r="J2663" s="43">
        <v>1.9487746817850538E-2</v>
      </c>
      <c r="K2663" s="43"/>
      <c r="L2663" s="43">
        <v>0.2482</v>
      </c>
      <c r="O2663" s="50"/>
    </row>
    <row r="2664" spans="2:15" x14ac:dyDescent="0.2">
      <c r="B2664">
        <v>2649</v>
      </c>
      <c r="C2664" s="48">
        <f ca="1"/>
        <v>0.4051146602794819</v>
      </c>
      <c r="D2664" s="48">
        <f t="shared" ca="1" si="163"/>
        <v>0.69158265666233587</v>
      </c>
      <c r="E2664" s="48">
        <f t="shared" ca="1" si="164"/>
        <v>0</v>
      </c>
      <c r="F2664" s="17">
        <f t="shared" ca="1" si="165"/>
        <v>0</v>
      </c>
      <c r="H2664" s="17">
        <v>2649</v>
      </c>
      <c r="I2664" s="43">
        <v>0.66923710622418031</v>
      </c>
      <c r="J2664" s="43">
        <v>1.9708734894157479E-2</v>
      </c>
      <c r="K2664" s="43"/>
      <c r="L2664" s="43">
        <v>0.25180000000000002</v>
      </c>
      <c r="O2664" s="50"/>
    </row>
    <row r="2665" spans="2:15" x14ac:dyDescent="0.2">
      <c r="B2665">
        <v>2650</v>
      </c>
      <c r="C2665" s="48">
        <f ca="1"/>
        <v>1.1735548692837752E-3</v>
      </c>
      <c r="D2665" s="48">
        <f t="shared" ca="1" si="163"/>
        <v>0.66458258036082496</v>
      </c>
      <c r="E2665" s="48">
        <f t="shared" ca="1" si="164"/>
        <v>0</v>
      </c>
      <c r="F2665" s="17">
        <f t="shared" ca="1" si="165"/>
        <v>0</v>
      </c>
      <c r="H2665" s="17">
        <v>2650</v>
      </c>
      <c r="I2665" s="43">
        <v>0.668992686474428</v>
      </c>
      <c r="J2665" s="43">
        <v>1.9332157701290795E-2</v>
      </c>
      <c r="K2665" s="43"/>
      <c r="L2665" s="43">
        <v>0.24479999999999999</v>
      </c>
      <c r="O2665" s="50"/>
    </row>
    <row r="2666" spans="2:15" x14ac:dyDescent="0.2">
      <c r="B2666">
        <v>2651</v>
      </c>
      <c r="C2666" s="48">
        <f ca="1"/>
        <v>-5.0361376401310949E-2</v>
      </c>
      <c r="D2666" s="48">
        <f t="shared" ca="1" si="163"/>
        <v>0.66121459974864394</v>
      </c>
      <c r="E2666" s="48">
        <f t="shared" ca="1" si="164"/>
        <v>0</v>
      </c>
      <c r="F2666" s="17">
        <f t="shared" ca="1" si="165"/>
        <v>0</v>
      </c>
      <c r="H2666" s="17">
        <v>2651</v>
      </c>
      <c r="I2666" s="43">
        <v>0.66967001156227746</v>
      </c>
      <c r="J2666" s="43">
        <v>1.9893323902325115E-2</v>
      </c>
      <c r="K2666" s="43"/>
      <c r="L2666" s="43">
        <v>0.26</v>
      </c>
      <c r="O2666" s="50"/>
    </row>
    <row r="2667" spans="2:15" x14ac:dyDescent="0.2">
      <c r="B2667">
        <v>2652</v>
      </c>
      <c r="C2667" s="48">
        <f ca="1"/>
        <v>-0.13921745297483554</v>
      </c>
      <c r="D2667" s="48">
        <f t="shared" ca="1" si="163"/>
        <v>0.65544759318099932</v>
      </c>
      <c r="E2667" s="48">
        <f t="shared" ca="1" si="164"/>
        <v>0</v>
      </c>
      <c r="F2667" s="17">
        <f t="shared" ca="1" si="165"/>
        <v>0</v>
      </c>
      <c r="H2667" s="17">
        <v>2652</v>
      </c>
      <c r="I2667" s="43">
        <v>0.66886801332451773</v>
      </c>
      <c r="J2667" s="43">
        <v>1.9261386005358885E-2</v>
      </c>
      <c r="K2667" s="43"/>
      <c r="L2667" s="43">
        <v>0.25319999999999998</v>
      </c>
      <c r="O2667" s="50"/>
    </row>
    <row r="2668" spans="2:15" x14ac:dyDescent="0.2">
      <c r="B2668">
        <v>2653</v>
      </c>
      <c r="C2668" s="48">
        <f ca="1"/>
        <v>-0.15312890114242242</v>
      </c>
      <c r="D2668" s="48">
        <f t="shared" ca="1" si="163"/>
        <v>0.65454926659388957</v>
      </c>
      <c r="E2668" s="48">
        <f t="shared" ca="1" si="164"/>
        <v>0</v>
      </c>
      <c r="F2668" s="17">
        <f t="shared" ca="1" si="165"/>
        <v>0</v>
      </c>
      <c r="H2668" s="17">
        <v>2653</v>
      </c>
      <c r="I2668" s="43">
        <v>0.67012867877749638</v>
      </c>
      <c r="J2668" s="43">
        <v>2.0372088365179293E-2</v>
      </c>
      <c r="K2668" s="43"/>
      <c r="L2668" s="43">
        <v>0.2586</v>
      </c>
      <c r="O2668" s="50"/>
    </row>
    <row r="2669" spans="2:15" x14ac:dyDescent="0.2">
      <c r="B2669">
        <v>2654</v>
      </c>
      <c r="C2669" s="48">
        <f ca="1"/>
        <v>-1.6476983504046829</v>
      </c>
      <c r="D2669" s="48">
        <f t="shared" ca="1" si="163"/>
        <v>0.5648730613875812</v>
      </c>
      <c r="E2669" s="48">
        <f t="shared" ca="1" si="164"/>
        <v>0</v>
      </c>
      <c r="F2669" s="17">
        <f t="shared" ca="1" si="165"/>
        <v>0</v>
      </c>
      <c r="H2669" s="17">
        <v>2654</v>
      </c>
      <c r="I2669" s="43">
        <v>0.66919413959233576</v>
      </c>
      <c r="J2669" s="43">
        <v>1.9619650997003753E-2</v>
      </c>
      <c r="K2669" s="43"/>
      <c r="L2669" s="43">
        <v>0.25240000000000001</v>
      </c>
      <c r="O2669" s="50"/>
    </row>
    <row r="2670" spans="2:15" x14ac:dyDescent="0.2">
      <c r="B2670">
        <v>2655</v>
      </c>
      <c r="C2670" s="48">
        <f ca="1"/>
        <v>0.43369954541974759</v>
      </c>
      <c r="D2670" s="48">
        <f t="shared" ca="1" si="163"/>
        <v>0.69353436247012179</v>
      </c>
      <c r="E2670" s="48">
        <f t="shared" ca="1" si="164"/>
        <v>0</v>
      </c>
      <c r="F2670" s="17">
        <f t="shared" ca="1" si="165"/>
        <v>0</v>
      </c>
      <c r="H2670" s="17">
        <v>2655</v>
      </c>
      <c r="I2670" s="43">
        <v>0.66895491540040009</v>
      </c>
      <c r="J2670" s="43">
        <v>1.9572879851099231E-2</v>
      </c>
      <c r="K2670" s="43"/>
      <c r="L2670" s="43">
        <v>0.25440000000000002</v>
      </c>
      <c r="O2670" s="50"/>
    </row>
    <row r="2671" spans="2:15" x14ac:dyDescent="0.2">
      <c r="B2671">
        <v>2656</v>
      </c>
      <c r="C2671" s="48">
        <f ca="1"/>
        <v>0.95963769482389016</v>
      </c>
      <c r="D2671" s="48">
        <f t="shared" ca="1" si="163"/>
        <v>0.73044336512192565</v>
      </c>
      <c r="E2671" s="48">
        <f t="shared" ca="1" si="164"/>
        <v>0</v>
      </c>
      <c r="F2671" s="17">
        <f t="shared" ca="1" si="165"/>
        <v>0</v>
      </c>
      <c r="H2671" s="17">
        <v>2656</v>
      </c>
      <c r="I2671" s="43">
        <v>0.66756960131228948</v>
      </c>
      <c r="J2671" s="43">
        <v>1.8099349192313818E-2</v>
      </c>
      <c r="K2671" s="43"/>
      <c r="L2671" s="43">
        <v>0.24840000000000001</v>
      </c>
      <c r="O2671" s="50"/>
    </row>
    <row r="2672" spans="2:15" x14ac:dyDescent="0.2">
      <c r="B2672">
        <v>2657</v>
      </c>
      <c r="C2672" s="48">
        <f ca="1"/>
        <v>0.70284055262095824</v>
      </c>
      <c r="D2672" s="48">
        <f t="shared" ca="1" si="163"/>
        <v>0.7121828703230273</v>
      </c>
      <c r="E2672" s="48">
        <f t="shared" ca="1" si="164"/>
        <v>0</v>
      </c>
      <c r="F2672" s="17">
        <f t="shared" ca="1" si="165"/>
        <v>0</v>
      </c>
      <c r="H2672" s="17">
        <v>2657</v>
      </c>
      <c r="I2672" s="43">
        <v>0.66972763630396981</v>
      </c>
      <c r="J2672" s="43">
        <v>1.9841436646121209E-2</v>
      </c>
      <c r="K2672" s="43"/>
      <c r="L2672" s="43">
        <v>0.25059999999999999</v>
      </c>
      <c r="O2672" s="50"/>
    </row>
    <row r="2673" spans="2:15" x14ac:dyDescent="0.2">
      <c r="B2673">
        <v>2658</v>
      </c>
      <c r="C2673" s="48">
        <f ca="1"/>
        <v>-1.5769401332609509</v>
      </c>
      <c r="D2673" s="48">
        <f t="shared" ca="1" si="163"/>
        <v>0.5688273206300668</v>
      </c>
      <c r="E2673" s="48">
        <f t="shared" ca="1" si="164"/>
        <v>0</v>
      </c>
      <c r="F2673" s="17">
        <f t="shared" ca="1" si="165"/>
        <v>0</v>
      </c>
      <c r="H2673" s="17">
        <v>2658</v>
      </c>
      <c r="I2673" s="43">
        <v>0.66903388909593364</v>
      </c>
      <c r="J2673" s="43">
        <v>1.9263548549697952E-2</v>
      </c>
      <c r="K2673" s="43"/>
      <c r="L2673" s="43">
        <v>0.245</v>
      </c>
      <c r="O2673" s="50"/>
    </row>
    <row r="2674" spans="2:15" x14ac:dyDescent="0.2">
      <c r="B2674">
        <v>2659</v>
      </c>
      <c r="C2674" s="48">
        <f ca="1"/>
        <v>-5.3279664275643818E-2</v>
      </c>
      <c r="D2674" s="48">
        <f t="shared" ca="1" si="163"/>
        <v>0.661024391296128</v>
      </c>
      <c r="E2674" s="48">
        <f t="shared" ca="1" si="164"/>
        <v>0</v>
      </c>
      <c r="F2674" s="17">
        <f t="shared" ca="1" si="165"/>
        <v>0</v>
      </c>
      <c r="H2674" s="17">
        <v>2659</v>
      </c>
      <c r="I2674" s="43">
        <v>0.66885042898637692</v>
      </c>
      <c r="J2674" s="43">
        <v>1.9346384088183788E-2</v>
      </c>
      <c r="K2674" s="43"/>
      <c r="L2674" s="43">
        <v>0.249</v>
      </c>
      <c r="O2674" s="50"/>
    </row>
    <row r="2675" spans="2:15" x14ac:dyDescent="0.2">
      <c r="B2675">
        <v>2660</v>
      </c>
      <c r="C2675" s="48">
        <f ca="1"/>
        <v>-1.3300330071133295</v>
      </c>
      <c r="D2675" s="48">
        <f t="shared" ca="1" si="163"/>
        <v>0.58284358568252614</v>
      </c>
      <c r="E2675" s="48">
        <f t="shared" ca="1" si="164"/>
        <v>0</v>
      </c>
      <c r="F2675" s="17">
        <f t="shared" ca="1" si="165"/>
        <v>0</v>
      </c>
      <c r="H2675" s="17">
        <v>2660</v>
      </c>
      <c r="I2675" s="43">
        <v>0.66958804839918795</v>
      </c>
      <c r="J2675" s="43">
        <v>1.979982123029177E-2</v>
      </c>
      <c r="K2675" s="43"/>
      <c r="L2675" s="43">
        <v>0.25359999999999999</v>
      </c>
      <c r="O2675" s="50"/>
    </row>
    <row r="2676" spans="2:15" x14ac:dyDescent="0.2">
      <c r="B2676">
        <v>2661</v>
      </c>
      <c r="C2676" s="48">
        <f ca="1"/>
        <v>-1.4689387358318657</v>
      </c>
      <c r="D2676" s="48">
        <f t="shared" ca="1" si="163"/>
        <v>0.5749163166165161</v>
      </c>
      <c r="E2676" s="48">
        <f t="shared" ca="1" si="164"/>
        <v>0</v>
      </c>
      <c r="F2676" s="17">
        <f t="shared" ca="1" si="165"/>
        <v>0</v>
      </c>
      <c r="H2676" s="17">
        <v>2661</v>
      </c>
      <c r="I2676" s="43">
        <v>0.66812311179827955</v>
      </c>
      <c r="J2676" s="43">
        <v>1.8869126082891409E-2</v>
      </c>
      <c r="K2676" s="43"/>
      <c r="L2676" s="43">
        <v>0.249</v>
      </c>
      <c r="O2676" s="50"/>
    </row>
    <row r="2677" spans="2:15" x14ac:dyDescent="0.2">
      <c r="B2677">
        <v>2662</v>
      </c>
      <c r="C2677" s="48">
        <f ca="1"/>
        <v>1.8216609957479695</v>
      </c>
      <c r="D2677" s="48">
        <f t="shared" ca="1" si="163"/>
        <v>0.79523398758835495</v>
      </c>
      <c r="E2677" s="48">
        <f t="shared" ca="1" si="164"/>
        <v>7.0339875883549396E-3</v>
      </c>
      <c r="F2677" s="17">
        <f t="shared" ca="1" si="165"/>
        <v>1</v>
      </c>
      <c r="H2677" s="17">
        <v>2662</v>
      </c>
      <c r="I2677" s="43">
        <v>0.66808286891928392</v>
      </c>
      <c r="J2677" s="43">
        <v>1.8797748994023901E-2</v>
      </c>
      <c r="K2677" s="43"/>
      <c r="L2677" s="43">
        <v>0.25119999999999998</v>
      </c>
      <c r="O2677" s="50"/>
    </row>
    <row r="2678" spans="2:15" x14ac:dyDescent="0.2">
      <c r="B2678">
        <v>2663</v>
      </c>
      <c r="C2678" s="48">
        <f ca="1"/>
        <v>-2.3284144937511884</v>
      </c>
      <c r="D2678" s="48">
        <f t="shared" ca="1" si="163"/>
        <v>0.52820842683539537</v>
      </c>
      <c r="E2678" s="48">
        <f t="shared" ca="1" si="164"/>
        <v>0</v>
      </c>
      <c r="F2678" s="17">
        <f t="shared" ca="1" si="165"/>
        <v>0</v>
      </c>
      <c r="H2678" s="17">
        <v>2663</v>
      </c>
      <c r="I2678" s="43">
        <v>0.66935839180229462</v>
      </c>
      <c r="J2678" s="43">
        <v>1.9683797554909732E-2</v>
      </c>
      <c r="K2678" s="43"/>
      <c r="L2678" s="43">
        <v>0.24940000000000001</v>
      </c>
      <c r="O2678" s="50"/>
    </row>
    <row r="2679" spans="2:15" x14ac:dyDescent="0.2">
      <c r="B2679">
        <v>2664</v>
      </c>
      <c r="C2679" s="48">
        <f ca="1"/>
        <v>-0.5041800764366382</v>
      </c>
      <c r="D2679" s="48">
        <f t="shared" ca="1" si="163"/>
        <v>0.63228333529842407</v>
      </c>
      <c r="E2679" s="48">
        <f t="shared" ca="1" si="164"/>
        <v>0</v>
      </c>
      <c r="F2679" s="17">
        <f t="shared" ca="1" si="165"/>
        <v>0</v>
      </c>
      <c r="H2679" s="17">
        <v>2664</v>
      </c>
      <c r="I2679" s="43">
        <v>0.66905358188090913</v>
      </c>
      <c r="J2679" s="43">
        <v>1.93635669416331E-2</v>
      </c>
      <c r="K2679" s="43"/>
      <c r="L2679" s="43">
        <v>0.25240000000000001</v>
      </c>
      <c r="O2679" s="50"/>
    </row>
    <row r="2680" spans="2:15" x14ac:dyDescent="0.2">
      <c r="B2680">
        <v>2665</v>
      </c>
      <c r="C2680" s="48">
        <f ca="1"/>
        <v>1.5657879981585019</v>
      </c>
      <c r="D2680" s="48">
        <f t="shared" ca="1" si="163"/>
        <v>0.77542442448852233</v>
      </c>
      <c r="E2680" s="48">
        <f t="shared" ca="1" si="164"/>
        <v>0</v>
      </c>
      <c r="F2680" s="17">
        <f t="shared" ca="1" si="165"/>
        <v>0</v>
      </c>
      <c r="H2680" s="17">
        <v>2665</v>
      </c>
      <c r="I2680" s="43">
        <v>0.66784660813343977</v>
      </c>
      <c r="J2680" s="43">
        <v>1.8666688536614743E-2</v>
      </c>
      <c r="K2680" s="43"/>
      <c r="L2680" s="43">
        <v>0.24440000000000001</v>
      </c>
      <c r="O2680" s="50"/>
    </row>
    <row r="2681" spans="2:15" x14ac:dyDescent="0.2">
      <c r="B2681">
        <v>2666</v>
      </c>
      <c r="C2681" s="48">
        <f ca="1"/>
        <v>0.74966385213192088</v>
      </c>
      <c r="D2681" s="48">
        <f t="shared" ca="1" si="163"/>
        <v>0.71547804193012421</v>
      </c>
      <c r="E2681" s="48">
        <f t="shared" ca="1" si="164"/>
        <v>0</v>
      </c>
      <c r="F2681" s="17">
        <f t="shared" ca="1" si="165"/>
        <v>0</v>
      </c>
      <c r="H2681" s="17">
        <v>2666</v>
      </c>
      <c r="I2681" s="43">
        <v>0.66846858281399513</v>
      </c>
      <c r="J2681" s="43">
        <v>1.9174458680529395E-2</v>
      </c>
      <c r="K2681" s="43"/>
      <c r="L2681" s="43">
        <v>0.25219999999999998</v>
      </c>
      <c r="O2681" s="50"/>
    </row>
    <row r="2682" spans="2:15" x14ac:dyDescent="0.2">
      <c r="B2682">
        <v>2667</v>
      </c>
      <c r="C2682" s="48">
        <f ca="1"/>
        <v>-0.20482661061196955</v>
      </c>
      <c r="D2682" s="48">
        <f t="shared" ca="1" si="163"/>
        <v>0.65122168212698917</v>
      </c>
      <c r="E2682" s="48">
        <f t="shared" ca="1" si="164"/>
        <v>0</v>
      </c>
      <c r="F2682" s="17">
        <f t="shared" ca="1" si="165"/>
        <v>0</v>
      </c>
      <c r="H2682" s="17">
        <v>2667</v>
      </c>
      <c r="I2682" s="43">
        <v>0.66964125224625681</v>
      </c>
      <c r="J2682" s="43">
        <v>2.0291645681597897E-2</v>
      </c>
      <c r="K2682" s="43"/>
      <c r="L2682" s="43">
        <v>0.25900000000000001</v>
      </c>
      <c r="O2682" s="50"/>
    </row>
    <row r="2683" spans="2:15" x14ac:dyDescent="0.2">
      <c r="B2683">
        <v>2668</v>
      </c>
      <c r="C2683" s="48">
        <f ca="1"/>
        <v>-2.2561921398000817</v>
      </c>
      <c r="D2683" s="48">
        <f t="shared" ca="1" si="163"/>
        <v>0.53198280784735907</v>
      </c>
      <c r="E2683" s="48">
        <f t="shared" ca="1" si="164"/>
        <v>0</v>
      </c>
      <c r="F2683" s="17">
        <f t="shared" ca="1" si="165"/>
        <v>0</v>
      </c>
      <c r="H2683" s="17">
        <v>2668</v>
      </c>
      <c r="I2683" s="43">
        <v>0.67009836809952006</v>
      </c>
      <c r="J2683" s="43">
        <v>1.9907731241566546E-2</v>
      </c>
      <c r="K2683" s="43"/>
      <c r="L2683" s="43">
        <v>0.25040000000000001</v>
      </c>
      <c r="O2683" s="50"/>
    </row>
    <row r="2684" spans="2:15" x14ac:dyDescent="0.2">
      <c r="B2684">
        <v>2669</v>
      </c>
      <c r="C2684" s="48">
        <f ca="1"/>
        <v>-0.12874756786186337</v>
      </c>
      <c r="D2684" s="48">
        <f t="shared" ca="1" si="163"/>
        <v>0.65612449513584326</v>
      </c>
      <c r="E2684" s="48">
        <f t="shared" ca="1" si="164"/>
        <v>0</v>
      </c>
      <c r="F2684" s="17">
        <f t="shared" ca="1" si="165"/>
        <v>0</v>
      </c>
      <c r="H2684" s="17">
        <v>2669</v>
      </c>
      <c r="I2684" s="43">
        <v>0.67011176014674889</v>
      </c>
      <c r="J2684" s="43">
        <v>2.0249603485564142E-2</v>
      </c>
      <c r="K2684" s="43"/>
      <c r="L2684" s="43">
        <v>0.25679999999999997</v>
      </c>
      <c r="O2684" s="50"/>
    </row>
    <row r="2685" spans="2:15" x14ac:dyDescent="0.2">
      <c r="B2685">
        <v>2670</v>
      </c>
      <c r="C2685" s="48">
        <f ca="1"/>
        <v>-0.69088171323882297</v>
      </c>
      <c r="D2685" s="48">
        <f t="shared" ca="1" si="163"/>
        <v>0.62075170251579193</v>
      </c>
      <c r="E2685" s="48">
        <f t="shared" ca="1" si="164"/>
        <v>0</v>
      </c>
      <c r="F2685" s="17">
        <f t="shared" ca="1" si="165"/>
        <v>0</v>
      </c>
      <c r="H2685" s="17">
        <v>2670</v>
      </c>
      <c r="I2685" s="43">
        <v>0.66952013173757374</v>
      </c>
      <c r="J2685" s="43">
        <v>1.9975008092973714E-2</v>
      </c>
      <c r="K2685" s="43"/>
      <c r="L2685" s="43">
        <v>0.25600000000000001</v>
      </c>
      <c r="O2685" s="50"/>
    </row>
    <row r="2686" spans="2:15" x14ac:dyDescent="0.2">
      <c r="B2686">
        <v>2671</v>
      </c>
      <c r="C2686" s="48">
        <f ca="1"/>
        <v>0.99148104888945543</v>
      </c>
      <c r="D2686" s="48">
        <f t="shared" ca="1" si="163"/>
        <v>0.73274008989945705</v>
      </c>
      <c r="E2686" s="48">
        <f t="shared" ca="1" si="164"/>
        <v>0</v>
      </c>
      <c r="F2686" s="17">
        <f t="shared" ca="1" si="165"/>
        <v>0</v>
      </c>
      <c r="H2686" s="17">
        <v>2671</v>
      </c>
      <c r="I2686" s="43">
        <v>0.66913513206568864</v>
      </c>
      <c r="J2686" s="43">
        <v>1.9603808686947367E-2</v>
      </c>
      <c r="K2686" s="43"/>
      <c r="L2686" s="43">
        <v>0.25480000000000003</v>
      </c>
      <c r="O2686" s="50"/>
    </row>
    <row r="2687" spans="2:15" x14ac:dyDescent="0.2">
      <c r="B2687">
        <v>2672</v>
      </c>
      <c r="C2687" s="48">
        <f ca="1"/>
        <v>0.17137834713511377</v>
      </c>
      <c r="D2687" s="48">
        <f t="shared" ca="1" si="163"/>
        <v>0.67582840473613581</v>
      </c>
      <c r="E2687" s="48">
        <f t="shared" ca="1" si="164"/>
        <v>0</v>
      </c>
      <c r="F2687" s="17">
        <f t="shared" ca="1" si="165"/>
        <v>0</v>
      </c>
      <c r="H2687" s="17">
        <v>2672</v>
      </c>
      <c r="I2687" s="43">
        <v>0.67046156878263574</v>
      </c>
      <c r="J2687" s="43">
        <v>2.0587744691507336E-2</v>
      </c>
      <c r="K2687" s="43"/>
      <c r="L2687" s="43">
        <v>0.26119999999999999</v>
      </c>
      <c r="O2687" s="50"/>
    </row>
    <row r="2688" spans="2:15" x14ac:dyDescent="0.2">
      <c r="B2688">
        <v>2673</v>
      </c>
      <c r="C2688" s="48">
        <f ca="1"/>
        <v>-0.40588173111341957</v>
      </c>
      <c r="D2688" s="48">
        <f t="shared" ca="1" si="163"/>
        <v>0.638440570357103</v>
      </c>
      <c r="E2688" s="48">
        <f t="shared" ca="1" si="164"/>
        <v>0</v>
      </c>
      <c r="F2688" s="17">
        <f t="shared" ca="1" si="165"/>
        <v>0</v>
      </c>
      <c r="H2688" s="17">
        <v>2673</v>
      </c>
      <c r="I2688" s="43">
        <v>0.66830632713096771</v>
      </c>
      <c r="J2688" s="43">
        <v>1.8702383750281885E-2</v>
      </c>
      <c r="K2688" s="43"/>
      <c r="L2688" s="43">
        <v>0.24360000000000001</v>
      </c>
      <c r="O2688" s="50"/>
    </row>
    <row r="2689" spans="2:15" x14ac:dyDescent="0.2">
      <c r="B2689">
        <v>2674</v>
      </c>
      <c r="C2689" s="48">
        <f ca="1"/>
        <v>1.3019779731604502</v>
      </c>
      <c r="D2689" s="48">
        <f t="shared" ca="1" si="163"/>
        <v>0.75551690781227188</v>
      </c>
      <c r="E2689" s="48">
        <f t="shared" ca="1" si="164"/>
        <v>0</v>
      </c>
      <c r="F2689" s="17">
        <f t="shared" ca="1" si="165"/>
        <v>0</v>
      </c>
      <c r="H2689" s="17">
        <v>2674</v>
      </c>
      <c r="I2689" s="43">
        <v>0.66940684817200791</v>
      </c>
      <c r="J2689" s="43">
        <v>1.9805754682712139E-2</v>
      </c>
      <c r="K2689" s="43"/>
      <c r="L2689" s="43">
        <v>0.25480000000000003</v>
      </c>
      <c r="O2689" s="50"/>
    </row>
    <row r="2690" spans="2:15" x14ac:dyDescent="0.2">
      <c r="B2690">
        <v>2675</v>
      </c>
      <c r="C2690" s="48">
        <f ca="1"/>
        <v>2.4551018907288982</v>
      </c>
      <c r="D2690" s="48">
        <f t="shared" ca="1" si="163"/>
        <v>0.84647928542896145</v>
      </c>
      <c r="E2690" s="48">
        <f t="shared" ca="1" si="164"/>
        <v>5.8279285428961436E-2</v>
      </c>
      <c r="F2690" s="17">
        <f t="shared" ca="1" si="165"/>
        <v>1</v>
      </c>
      <c r="H2690" s="17">
        <v>2675</v>
      </c>
      <c r="I2690" s="43">
        <v>0.66935341127205727</v>
      </c>
      <c r="J2690" s="43">
        <v>1.9402894168828254E-2</v>
      </c>
      <c r="K2690" s="43"/>
      <c r="L2690" s="43">
        <v>0.25219999999999998</v>
      </c>
      <c r="O2690" s="50"/>
    </row>
    <row r="2691" spans="2:15" x14ac:dyDescent="0.2">
      <c r="B2691">
        <v>2676</v>
      </c>
      <c r="C2691" s="48">
        <f ca="1"/>
        <v>0.80062619028580073</v>
      </c>
      <c r="D2691" s="48">
        <f t="shared" ca="1" si="163"/>
        <v>0.71908182660346287</v>
      </c>
      <c r="E2691" s="48">
        <f t="shared" ca="1" si="164"/>
        <v>0</v>
      </c>
      <c r="F2691" s="17">
        <f t="shared" ca="1" si="165"/>
        <v>0</v>
      </c>
      <c r="H2691" s="17">
        <v>2676</v>
      </c>
      <c r="I2691" s="43">
        <v>0.66822417191722483</v>
      </c>
      <c r="J2691" s="43">
        <v>1.8814533028266061E-2</v>
      </c>
      <c r="K2691" s="43"/>
      <c r="L2691" s="43">
        <v>0.2424</v>
      </c>
      <c r="O2691" s="50"/>
    </row>
    <row r="2692" spans="2:15" x14ac:dyDescent="0.2">
      <c r="B2692">
        <v>2677</v>
      </c>
      <c r="C2692" s="48">
        <f ca="1"/>
        <v>0.20757776266591951</v>
      </c>
      <c r="D2692" s="48">
        <f t="shared" ca="1" si="163"/>
        <v>0.67824461601653396</v>
      </c>
      <c r="E2692" s="48">
        <f t="shared" ca="1" si="164"/>
        <v>0</v>
      </c>
      <c r="F2692" s="17">
        <f t="shared" ca="1" si="165"/>
        <v>0</v>
      </c>
      <c r="H2692" s="17">
        <v>2677</v>
      </c>
      <c r="I2692" s="43">
        <v>0.66762478611830756</v>
      </c>
      <c r="J2692" s="43">
        <v>1.8508685580925551E-2</v>
      </c>
      <c r="K2692" s="43"/>
      <c r="L2692" s="43">
        <v>0.245</v>
      </c>
      <c r="O2692" s="50"/>
    </row>
    <row r="2693" spans="2:15" x14ac:dyDescent="0.2">
      <c r="B2693">
        <v>2678</v>
      </c>
      <c r="C2693" s="48">
        <f ca="1"/>
        <v>1.3753261246864981</v>
      </c>
      <c r="D2693" s="48">
        <f t="shared" ca="1" si="163"/>
        <v>0.76100000905769138</v>
      </c>
      <c r="E2693" s="48">
        <f t="shared" ca="1" si="164"/>
        <v>0</v>
      </c>
      <c r="F2693" s="17">
        <f t="shared" ca="1" si="165"/>
        <v>0</v>
      </c>
      <c r="H2693" s="17">
        <v>2678</v>
      </c>
      <c r="I2693" s="43">
        <v>0.66976373573144266</v>
      </c>
      <c r="J2693" s="43">
        <v>1.9988126468773491E-2</v>
      </c>
      <c r="K2693" s="43"/>
      <c r="L2693" s="43">
        <v>0.25640000000000002</v>
      </c>
      <c r="O2693" s="50"/>
    </row>
    <row r="2694" spans="2:15" x14ac:dyDescent="0.2">
      <c r="B2694">
        <v>2679</v>
      </c>
      <c r="C2694" s="48">
        <f ca="1"/>
        <v>0.81221657898382915</v>
      </c>
      <c r="D2694" s="48">
        <f t="shared" ca="1" si="163"/>
        <v>0.71990396737253681</v>
      </c>
      <c r="E2694" s="48">
        <f t="shared" ca="1" si="164"/>
        <v>0</v>
      </c>
      <c r="F2694" s="17">
        <f t="shared" ca="1" si="165"/>
        <v>0</v>
      </c>
      <c r="H2694" s="17">
        <v>2679</v>
      </c>
      <c r="I2694" s="43">
        <v>0.66790419114135591</v>
      </c>
      <c r="J2694" s="43">
        <v>1.8475529489980581E-2</v>
      </c>
      <c r="K2694" s="43"/>
      <c r="L2694" s="43">
        <v>0.245</v>
      </c>
      <c r="O2694" s="50"/>
    </row>
    <row r="2695" spans="2:15" x14ac:dyDescent="0.2">
      <c r="B2695">
        <v>2680</v>
      </c>
      <c r="C2695" s="48">
        <f ca="1"/>
        <v>-0.34717491770986209</v>
      </c>
      <c r="D2695" s="48">
        <f t="shared" ca="1" si="163"/>
        <v>0.64214642266010025</v>
      </c>
      <c r="E2695" s="48">
        <f t="shared" ca="1" si="164"/>
        <v>0</v>
      </c>
      <c r="F2695" s="17">
        <f t="shared" ca="1" si="165"/>
        <v>0</v>
      </c>
      <c r="H2695" s="17">
        <v>2680</v>
      </c>
      <c r="I2695" s="43">
        <v>0.66774984280704308</v>
      </c>
      <c r="J2695" s="43">
        <v>1.8285716801338489E-2</v>
      </c>
      <c r="K2695" s="43"/>
      <c r="L2695" s="43">
        <v>0.23980000000000001</v>
      </c>
      <c r="O2695" s="50"/>
    </row>
    <row r="2696" spans="2:15" x14ac:dyDescent="0.2">
      <c r="B2696">
        <v>2681</v>
      </c>
      <c r="C2696" s="48">
        <f ca="1"/>
        <v>1.2474315100374536</v>
      </c>
      <c r="D2696" s="48">
        <f t="shared" ca="1" si="163"/>
        <v>0.75146494643799777</v>
      </c>
      <c r="E2696" s="48">
        <f t="shared" ca="1" si="164"/>
        <v>0</v>
      </c>
      <c r="F2696" s="17">
        <f t="shared" ca="1" si="165"/>
        <v>0</v>
      </c>
      <c r="H2696" s="17">
        <v>2681</v>
      </c>
      <c r="I2696" s="43">
        <v>0.66837736187702534</v>
      </c>
      <c r="J2696" s="43">
        <v>1.8693971445658618E-2</v>
      </c>
      <c r="K2696" s="43"/>
      <c r="L2696" s="43">
        <v>0.23980000000000001</v>
      </c>
      <c r="O2696" s="50"/>
    </row>
    <row r="2697" spans="2:15" x14ac:dyDescent="0.2">
      <c r="B2697">
        <v>2682</v>
      </c>
      <c r="C2697" s="48">
        <f ca="1"/>
        <v>0.64302135160064888</v>
      </c>
      <c r="D2697" s="48">
        <f t="shared" ca="1" si="163"/>
        <v>0.70799518661543259</v>
      </c>
      <c r="E2697" s="48">
        <f t="shared" ca="1" si="164"/>
        <v>0</v>
      </c>
      <c r="F2697" s="17">
        <f t="shared" ca="1" si="165"/>
        <v>0</v>
      </c>
      <c r="H2697" s="17">
        <v>2682</v>
      </c>
      <c r="I2697" s="43">
        <v>0.66811355315921195</v>
      </c>
      <c r="J2697" s="43">
        <v>1.8677396211737231E-2</v>
      </c>
      <c r="K2697" s="43"/>
      <c r="L2697" s="43">
        <v>0.2462</v>
      </c>
      <c r="O2697" s="50"/>
    </row>
    <row r="2698" spans="2:15" x14ac:dyDescent="0.2">
      <c r="B2698">
        <v>2683</v>
      </c>
      <c r="C2698" s="48">
        <f ca="1"/>
        <v>-0.79137721323243881</v>
      </c>
      <c r="D2698" s="48">
        <f t="shared" ca="1" si="163"/>
        <v>0.61463191104397064</v>
      </c>
      <c r="E2698" s="48">
        <f t="shared" ca="1" si="164"/>
        <v>0</v>
      </c>
      <c r="F2698" s="17">
        <f t="shared" ca="1" si="165"/>
        <v>0</v>
      </c>
      <c r="H2698" s="17">
        <v>2683</v>
      </c>
      <c r="I2698" s="43">
        <v>0.66909825002228296</v>
      </c>
      <c r="J2698" s="43">
        <v>1.9634652898758275E-2</v>
      </c>
      <c r="K2698" s="43"/>
      <c r="L2698" s="43">
        <v>0.25459999999999999</v>
      </c>
      <c r="O2698" s="50"/>
    </row>
    <row r="2699" spans="2:15" x14ac:dyDescent="0.2">
      <c r="B2699">
        <v>2684</v>
      </c>
      <c r="C2699" s="48">
        <f ca="1"/>
        <v>1.7677944968292139</v>
      </c>
      <c r="D2699" s="48">
        <f t="shared" ca="1" si="163"/>
        <v>0.79102204212331817</v>
      </c>
      <c r="E2699" s="48">
        <f t="shared" ca="1" si="164"/>
        <v>2.8220421233181581E-3</v>
      </c>
      <c r="F2699" s="17">
        <f t="shared" ca="1" si="165"/>
        <v>1</v>
      </c>
      <c r="H2699" s="17">
        <v>2684</v>
      </c>
      <c r="I2699" s="43">
        <v>0.66919079892538202</v>
      </c>
      <c r="J2699" s="43">
        <v>1.9748117174283999E-2</v>
      </c>
      <c r="K2699" s="43"/>
      <c r="L2699" s="43">
        <v>0.24879999999999999</v>
      </c>
      <c r="O2699" s="50"/>
    </row>
    <row r="2700" spans="2:15" x14ac:dyDescent="0.2">
      <c r="B2700">
        <v>2685</v>
      </c>
      <c r="C2700" s="48">
        <f ca="1"/>
        <v>-0.9107276166691286</v>
      </c>
      <c r="D2700" s="48">
        <f t="shared" ca="1" si="163"/>
        <v>0.6074422540940253</v>
      </c>
      <c r="E2700" s="48">
        <f t="shared" ca="1" si="164"/>
        <v>0</v>
      </c>
      <c r="F2700" s="17">
        <f t="shared" ca="1" si="165"/>
        <v>0</v>
      </c>
      <c r="H2700" s="17">
        <v>2685</v>
      </c>
      <c r="I2700" s="43">
        <v>0.66905704450319492</v>
      </c>
      <c r="J2700" s="43">
        <v>1.9711622103864623E-2</v>
      </c>
      <c r="K2700" s="43"/>
      <c r="L2700" s="43">
        <v>0.2586</v>
      </c>
      <c r="O2700" s="50"/>
    </row>
    <row r="2701" spans="2:15" x14ac:dyDescent="0.2">
      <c r="B2701">
        <v>2686</v>
      </c>
      <c r="C2701" s="48">
        <f ca="1"/>
        <v>-0.75830891565520264</v>
      </c>
      <c r="D2701" s="48">
        <f t="shared" ca="1" si="163"/>
        <v>0.61663895452223538</v>
      </c>
      <c r="E2701" s="48">
        <f t="shared" ca="1" si="164"/>
        <v>0</v>
      </c>
      <c r="F2701" s="17">
        <f t="shared" ca="1" si="165"/>
        <v>0</v>
      </c>
      <c r="H2701" s="17">
        <v>2686</v>
      </c>
      <c r="I2701" s="43">
        <v>0.66792643498255755</v>
      </c>
      <c r="J2701" s="43">
        <v>1.861643263797309E-2</v>
      </c>
      <c r="K2701" s="43"/>
      <c r="L2701" s="43">
        <v>0.25040000000000001</v>
      </c>
      <c r="O2701" s="50"/>
    </row>
    <row r="2702" spans="2:15" x14ac:dyDescent="0.2">
      <c r="B2702">
        <v>2687</v>
      </c>
      <c r="C2702" s="48">
        <f ca="1"/>
        <v>-0.65476228600560982</v>
      </c>
      <c r="D2702" s="48">
        <f t="shared" ca="1" si="163"/>
        <v>0.62296609178788098</v>
      </c>
      <c r="E2702" s="48">
        <f t="shared" ca="1" si="164"/>
        <v>0</v>
      </c>
      <c r="F2702" s="17">
        <f t="shared" ca="1" si="165"/>
        <v>0</v>
      </c>
      <c r="H2702" s="17">
        <v>2687</v>
      </c>
      <c r="I2702" s="43">
        <v>0.66877084165224221</v>
      </c>
      <c r="J2702" s="43">
        <v>1.8986020532207219E-2</v>
      </c>
      <c r="K2702" s="43"/>
      <c r="L2702" s="43">
        <v>0.24479999999999999</v>
      </c>
      <c r="O2702" s="50"/>
    </row>
    <row r="2703" spans="2:15" x14ac:dyDescent="0.2">
      <c r="B2703">
        <v>2688</v>
      </c>
      <c r="C2703" s="48">
        <f ca="1"/>
        <v>3.0009344599454305E-3</v>
      </c>
      <c r="D2703" s="48">
        <f t="shared" ca="1" si="163"/>
        <v>0.6647023201710287</v>
      </c>
      <c r="E2703" s="48">
        <f t="shared" ca="1" si="164"/>
        <v>0</v>
      </c>
      <c r="F2703" s="17">
        <f t="shared" ca="1" si="165"/>
        <v>0</v>
      </c>
      <c r="H2703" s="17">
        <v>2688</v>
      </c>
      <c r="I2703" s="43">
        <v>0.66948046620251622</v>
      </c>
      <c r="J2703" s="43">
        <v>1.984167123075456E-2</v>
      </c>
      <c r="K2703" s="43"/>
      <c r="L2703" s="43">
        <v>0.25440000000000002</v>
      </c>
      <c r="O2703" s="50"/>
    </row>
    <row r="2704" spans="2:15" x14ac:dyDescent="0.2">
      <c r="B2704">
        <v>2689</v>
      </c>
      <c r="C2704" s="48">
        <f ca="1"/>
        <v>0.19444805198776988</v>
      </c>
      <c r="D2704" s="48">
        <f t="shared" ref="D2704:D2767" ca="1" si="166">S0*EXP((μ-0.5*σ*σ)*T+σ*SQRT(T)*$C2704)</f>
        <v>0.67736724722703268</v>
      </c>
      <c r="E2704" s="48">
        <f t="shared" ref="E2704:E2767" ca="1" si="167">MAX(0,CP*(D2704-K))</f>
        <v>0</v>
      </c>
      <c r="F2704" s="17">
        <f t="shared" ref="F2704:F2767" ca="1" si="168">(CP*(D2704-K)&gt;0)*1</f>
        <v>0</v>
      </c>
      <c r="H2704" s="17">
        <v>2689</v>
      </c>
      <c r="I2704" s="43">
        <v>0.66929470570573191</v>
      </c>
      <c r="J2704" s="43">
        <v>1.9736645089019532E-2</v>
      </c>
      <c r="K2704" s="43"/>
      <c r="L2704" s="43">
        <v>0.26</v>
      </c>
      <c r="O2704" s="50"/>
    </row>
    <row r="2705" spans="2:15" x14ac:dyDescent="0.2">
      <c r="B2705">
        <v>2690</v>
      </c>
      <c r="C2705" s="48">
        <f ca="1"/>
        <v>1.4162187946445353</v>
      </c>
      <c r="D2705" s="48">
        <f t="shared" ca="1" si="166"/>
        <v>0.7640741768919127</v>
      </c>
      <c r="E2705" s="48">
        <f t="shared" ca="1" si="167"/>
        <v>0</v>
      </c>
      <c r="F2705" s="17">
        <f t="shared" ca="1" si="168"/>
        <v>0</v>
      </c>
      <c r="H2705" s="17">
        <v>2690</v>
      </c>
      <c r="I2705" s="43">
        <v>0.66889424830585875</v>
      </c>
      <c r="J2705" s="43">
        <v>1.9476520718965766E-2</v>
      </c>
      <c r="K2705" s="43"/>
      <c r="L2705" s="43">
        <v>0.24979999999999999</v>
      </c>
      <c r="O2705" s="50"/>
    </row>
    <row r="2706" spans="2:15" x14ac:dyDescent="0.2">
      <c r="B2706">
        <v>2691</v>
      </c>
      <c r="C2706" s="48">
        <f ca="1"/>
        <v>0.14354024260068929</v>
      </c>
      <c r="D2706" s="48">
        <f t="shared" ca="1" si="166"/>
        <v>0.67397614451019361</v>
      </c>
      <c r="E2706" s="48">
        <f t="shared" ca="1" si="167"/>
        <v>0</v>
      </c>
      <c r="F2706" s="17">
        <f t="shared" ca="1" si="168"/>
        <v>0</v>
      </c>
      <c r="H2706" s="17">
        <v>2691</v>
      </c>
      <c r="I2706" s="43">
        <v>0.66998474226704197</v>
      </c>
      <c r="J2706" s="43">
        <v>1.9948078662745502E-2</v>
      </c>
      <c r="K2706" s="43"/>
      <c r="L2706" s="43">
        <v>0.25480000000000003</v>
      </c>
      <c r="O2706" s="50"/>
    </row>
    <row r="2707" spans="2:15" x14ac:dyDescent="0.2">
      <c r="B2707">
        <v>2692</v>
      </c>
      <c r="C2707" s="48">
        <f ca="1"/>
        <v>-0.49611474223420932</v>
      </c>
      <c r="D2707" s="48">
        <f t="shared" ca="1" si="166"/>
        <v>0.63278628956668115</v>
      </c>
      <c r="E2707" s="48">
        <f t="shared" ca="1" si="167"/>
        <v>0</v>
      </c>
      <c r="F2707" s="17">
        <f t="shared" ca="1" si="168"/>
        <v>0</v>
      </c>
      <c r="H2707" s="17">
        <v>2692</v>
      </c>
      <c r="I2707" s="43">
        <v>0.66869336382364053</v>
      </c>
      <c r="J2707" s="43">
        <v>1.9206169170817931E-2</v>
      </c>
      <c r="K2707" s="43"/>
      <c r="L2707" s="43">
        <v>0.25359999999999999</v>
      </c>
      <c r="O2707" s="50"/>
    </row>
    <row r="2708" spans="2:15" x14ac:dyDescent="0.2">
      <c r="B2708">
        <v>2693</v>
      </c>
      <c r="C2708" s="48">
        <f ca="1"/>
        <v>1.4662384483457942</v>
      </c>
      <c r="D2708" s="48">
        <f t="shared" ca="1" si="166"/>
        <v>0.7678513699610745</v>
      </c>
      <c r="E2708" s="48">
        <f t="shared" ca="1" si="167"/>
        <v>0</v>
      </c>
      <c r="F2708" s="17">
        <f t="shared" ca="1" si="168"/>
        <v>0</v>
      </c>
      <c r="H2708" s="17">
        <v>2693</v>
      </c>
      <c r="I2708" s="43">
        <v>0.66914331742269062</v>
      </c>
      <c r="J2708" s="43">
        <v>1.9399244998442599E-2</v>
      </c>
      <c r="K2708" s="43"/>
      <c r="L2708" s="43">
        <v>0.25119999999999998</v>
      </c>
      <c r="O2708" s="50"/>
    </row>
    <row r="2709" spans="2:15" x14ac:dyDescent="0.2">
      <c r="B2709">
        <v>2694</v>
      </c>
      <c r="C2709" s="48">
        <f ca="1"/>
        <v>1.2763284418410463</v>
      </c>
      <c r="D2709" s="48">
        <f t="shared" ca="1" si="166"/>
        <v>0.753608828807105</v>
      </c>
      <c r="E2709" s="48">
        <f t="shared" ca="1" si="167"/>
        <v>0</v>
      </c>
      <c r="F2709" s="17">
        <f t="shared" ca="1" si="168"/>
        <v>0</v>
      </c>
      <c r="H2709" s="17">
        <v>2694</v>
      </c>
      <c r="I2709" s="43">
        <v>0.66836089231527562</v>
      </c>
      <c r="J2709" s="43">
        <v>1.9079799536356912E-2</v>
      </c>
      <c r="K2709" s="43"/>
      <c r="L2709" s="43">
        <v>0.25219999999999998</v>
      </c>
      <c r="O2709" s="50"/>
    </row>
    <row r="2710" spans="2:15" x14ac:dyDescent="0.2">
      <c r="B2710">
        <v>2695</v>
      </c>
      <c r="C2710" s="48">
        <f ca="1"/>
        <v>1.4264160569599835</v>
      </c>
      <c r="D2710" s="48">
        <f t="shared" ca="1" si="166"/>
        <v>0.76484270393710108</v>
      </c>
      <c r="E2710" s="48">
        <f t="shared" ca="1" si="167"/>
        <v>0</v>
      </c>
      <c r="F2710" s="17">
        <f t="shared" ca="1" si="168"/>
        <v>0</v>
      </c>
      <c r="H2710" s="17">
        <v>2695</v>
      </c>
      <c r="I2710" s="43">
        <v>0.66945614712277635</v>
      </c>
      <c r="J2710" s="43">
        <v>1.9756800749805851E-2</v>
      </c>
      <c r="K2710" s="43"/>
      <c r="L2710" s="43">
        <v>0.24940000000000001</v>
      </c>
      <c r="O2710" s="50"/>
    </row>
    <row r="2711" spans="2:15" x14ac:dyDescent="0.2">
      <c r="B2711">
        <v>2696</v>
      </c>
      <c r="C2711" s="48">
        <f ca="1"/>
        <v>0.2064897788282605</v>
      </c>
      <c r="D2711" s="48">
        <f t="shared" ca="1" si="166"/>
        <v>0.67817187033316073</v>
      </c>
      <c r="E2711" s="48">
        <f t="shared" ca="1" si="167"/>
        <v>0</v>
      </c>
      <c r="F2711" s="17">
        <f t="shared" ca="1" si="168"/>
        <v>0</v>
      </c>
      <c r="H2711" s="17">
        <v>2696</v>
      </c>
      <c r="I2711" s="43">
        <v>0.66814783217465457</v>
      </c>
      <c r="J2711" s="43">
        <v>1.8840002739866753E-2</v>
      </c>
      <c r="K2711" s="43"/>
      <c r="L2711" s="43">
        <v>0.2432</v>
      </c>
      <c r="O2711" s="50"/>
    </row>
    <row r="2712" spans="2:15" x14ac:dyDescent="0.2">
      <c r="B2712">
        <v>2697</v>
      </c>
      <c r="C2712" s="48">
        <f ca="1"/>
        <v>0.36646310629884732</v>
      </c>
      <c r="D2712" s="48">
        <f t="shared" ca="1" si="166"/>
        <v>0.68895235485171114</v>
      </c>
      <c r="E2712" s="48">
        <f t="shared" ca="1" si="167"/>
        <v>0</v>
      </c>
      <c r="F2712" s="17">
        <f t="shared" ca="1" si="168"/>
        <v>0</v>
      </c>
      <c r="H2712" s="17">
        <v>2697</v>
      </c>
      <c r="I2712" s="43">
        <v>0.66767315728490362</v>
      </c>
      <c r="J2712" s="43">
        <v>1.8323021560510126E-2</v>
      </c>
      <c r="K2712" s="43"/>
      <c r="L2712" s="43">
        <v>0.246</v>
      </c>
      <c r="O2712" s="50"/>
    </row>
    <row r="2713" spans="2:15" x14ac:dyDescent="0.2">
      <c r="B2713">
        <v>2698</v>
      </c>
      <c r="C2713" s="48">
        <f ca="1"/>
        <v>0.9297423720409087</v>
      </c>
      <c r="D2713" s="48">
        <f t="shared" ca="1" si="166"/>
        <v>0.72829369572285785</v>
      </c>
      <c r="E2713" s="48">
        <f t="shared" ca="1" si="167"/>
        <v>0</v>
      </c>
      <c r="F2713" s="17">
        <f t="shared" ca="1" si="168"/>
        <v>0</v>
      </c>
      <c r="H2713" s="17">
        <v>2698</v>
      </c>
      <c r="I2713" s="43">
        <v>0.66908877215529949</v>
      </c>
      <c r="J2713" s="43">
        <v>1.9556373045814132E-2</v>
      </c>
      <c r="K2713" s="43"/>
      <c r="L2713" s="43">
        <v>0.25600000000000001</v>
      </c>
      <c r="O2713" s="50"/>
    </row>
    <row r="2714" spans="2:15" x14ac:dyDescent="0.2">
      <c r="B2714">
        <v>2699</v>
      </c>
      <c r="C2714" s="48">
        <f ca="1"/>
        <v>0.22746598022661707</v>
      </c>
      <c r="D2714" s="48">
        <f t="shared" ca="1" si="166"/>
        <v>0.67957577453024987</v>
      </c>
      <c r="E2714" s="48">
        <f t="shared" ca="1" si="167"/>
        <v>0</v>
      </c>
      <c r="F2714" s="17">
        <f t="shared" ca="1" si="168"/>
        <v>0</v>
      </c>
      <c r="H2714" s="17">
        <v>2699</v>
      </c>
      <c r="I2714" s="43">
        <v>0.66845779031858843</v>
      </c>
      <c r="J2714" s="43">
        <v>1.8683969649374958E-2</v>
      </c>
      <c r="K2714" s="43"/>
      <c r="L2714" s="43">
        <v>0.23880000000000001</v>
      </c>
      <c r="O2714" s="50"/>
    </row>
    <row r="2715" spans="2:15" x14ac:dyDescent="0.2">
      <c r="B2715">
        <v>2700</v>
      </c>
      <c r="C2715" s="48">
        <f ca="1"/>
        <v>-0.55496701495436818</v>
      </c>
      <c r="D2715" s="48">
        <f t="shared" ca="1" si="166"/>
        <v>0.62912543294396084</v>
      </c>
      <c r="E2715" s="48">
        <f t="shared" ca="1" si="167"/>
        <v>0</v>
      </c>
      <c r="F2715" s="17">
        <f t="shared" ca="1" si="168"/>
        <v>0</v>
      </c>
      <c r="H2715" s="17">
        <v>2700</v>
      </c>
      <c r="I2715" s="43">
        <v>0.6694589789825498</v>
      </c>
      <c r="J2715" s="43">
        <v>1.9881298247933159E-2</v>
      </c>
      <c r="K2715" s="43"/>
      <c r="L2715" s="43">
        <v>0.25040000000000001</v>
      </c>
      <c r="O2715" s="50"/>
    </row>
    <row r="2716" spans="2:15" x14ac:dyDescent="0.2">
      <c r="B2716">
        <v>2701</v>
      </c>
      <c r="C2716" s="48">
        <f ca="1"/>
        <v>0.12679452320425477</v>
      </c>
      <c r="D2716" s="48">
        <f t="shared" ca="1" si="166"/>
        <v>0.67286438305740903</v>
      </c>
      <c r="E2716" s="48">
        <f t="shared" ca="1" si="167"/>
        <v>0</v>
      </c>
      <c r="F2716" s="17">
        <f t="shared" ca="1" si="168"/>
        <v>0</v>
      </c>
      <c r="H2716" s="17">
        <v>2701</v>
      </c>
      <c r="I2716" s="43">
        <v>0.66974899127878751</v>
      </c>
      <c r="J2716" s="43">
        <v>1.9959653421547135E-2</v>
      </c>
      <c r="K2716" s="43"/>
      <c r="L2716" s="43">
        <v>0.25559999999999999</v>
      </c>
      <c r="O2716" s="50"/>
    </row>
    <row r="2717" spans="2:15" x14ac:dyDescent="0.2">
      <c r="B2717">
        <v>2702</v>
      </c>
      <c r="C2717" s="48">
        <f ca="1"/>
        <v>-0.4286560543029993</v>
      </c>
      <c r="D2717" s="48">
        <f t="shared" ca="1" si="166"/>
        <v>0.63700871148299443</v>
      </c>
      <c r="E2717" s="48">
        <f t="shared" ca="1" si="167"/>
        <v>0</v>
      </c>
      <c r="F2717" s="17">
        <f t="shared" ca="1" si="168"/>
        <v>0</v>
      </c>
      <c r="H2717" s="17">
        <v>2702</v>
      </c>
      <c r="I2717" s="43">
        <v>0.66891867965984797</v>
      </c>
      <c r="J2717" s="43">
        <v>1.9314343051945425E-2</v>
      </c>
      <c r="K2717" s="43"/>
      <c r="L2717" s="43">
        <v>0.24779999999999999</v>
      </c>
      <c r="O2717" s="50"/>
    </row>
    <row r="2718" spans="2:15" x14ac:dyDescent="0.2">
      <c r="B2718">
        <v>2703</v>
      </c>
      <c r="C2718" s="48">
        <f ca="1"/>
        <v>-3.870837072170364E-2</v>
      </c>
      <c r="D2718" s="48">
        <f t="shared" ca="1" si="166"/>
        <v>0.66197466627138679</v>
      </c>
      <c r="E2718" s="48">
        <f t="shared" ca="1" si="167"/>
        <v>0</v>
      </c>
      <c r="F2718" s="17">
        <f t="shared" ca="1" si="168"/>
        <v>0</v>
      </c>
      <c r="H2718" s="17">
        <v>2703</v>
      </c>
      <c r="I2718" s="43">
        <v>0.67029768094164033</v>
      </c>
      <c r="J2718" s="43">
        <v>2.0168173976718527E-2</v>
      </c>
      <c r="K2718" s="43"/>
      <c r="L2718" s="43">
        <v>0.25319999999999998</v>
      </c>
      <c r="O2718" s="50"/>
    </row>
    <row r="2719" spans="2:15" x14ac:dyDescent="0.2">
      <c r="B2719">
        <v>2704</v>
      </c>
      <c r="C2719" s="48">
        <f ca="1"/>
        <v>-0.59356862602980209</v>
      </c>
      <c r="D2719" s="48">
        <f t="shared" ca="1" si="166"/>
        <v>0.62673576106759565</v>
      </c>
      <c r="E2719" s="48">
        <f t="shared" ca="1" si="167"/>
        <v>0</v>
      </c>
      <c r="F2719" s="17">
        <f t="shared" ca="1" si="168"/>
        <v>0</v>
      </c>
      <c r="H2719" s="17">
        <v>2704</v>
      </c>
      <c r="I2719" s="43">
        <v>0.66811252829880707</v>
      </c>
      <c r="J2719" s="43">
        <v>1.8782251471370522E-2</v>
      </c>
      <c r="K2719" s="43"/>
      <c r="L2719" s="43">
        <v>0.24840000000000001</v>
      </c>
      <c r="O2719" s="50"/>
    </row>
    <row r="2720" spans="2:15" x14ac:dyDescent="0.2">
      <c r="B2720">
        <v>2705</v>
      </c>
      <c r="C2720" s="48">
        <f ca="1"/>
        <v>-0.96297096956453598</v>
      </c>
      <c r="D2720" s="48">
        <f t="shared" ca="1" si="166"/>
        <v>0.60432164180094317</v>
      </c>
      <c r="E2720" s="48">
        <f t="shared" ca="1" si="167"/>
        <v>0</v>
      </c>
      <c r="F2720" s="17">
        <f t="shared" ca="1" si="168"/>
        <v>0</v>
      </c>
      <c r="H2720" s="17">
        <v>2705</v>
      </c>
      <c r="I2720" s="43">
        <v>0.66826616283161522</v>
      </c>
      <c r="J2720" s="43">
        <v>1.9051326029932234E-2</v>
      </c>
      <c r="K2720" s="43"/>
      <c r="L2720" s="43">
        <v>0.2462</v>
      </c>
      <c r="O2720" s="50"/>
    </row>
    <row r="2721" spans="2:15" x14ac:dyDescent="0.2">
      <c r="B2721">
        <v>2706</v>
      </c>
      <c r="C2721" s="48">
        <f ca="1"/>
        <v>0.3027773285761311</v>
      </c>
      <c r="D2721" s="48">
        <f t="shared" ca="1" si="166"/>
        <v>0.68464023627696424</v>
      </c>
      <c r="E2721" s="48">
        <f t="shared" ca="1" si="167"/>
        <v>0</v>
      </c>
      <c r="F2721" s="17">
        <f t="shared" ca="1" si="168"/>
        <v>0</v>
      </c>
      <c r="H2721" s="17">
        <v>2706</v>
      </c>
      <c r="I2721" s="43">
        <v>0.6695666896603848</v>
      </c>
      <c r="J2721" s="43">
        <v>1.9785076133666216E-2</v>
      </c>
      <c r="K2721" s="43"/>
      <c r="L2721" s="43">
        <v>0.25559999999999999</v>
      </c>
      <c r="O2721" s="50"/>
    </row>
    <row r="2722" spans="2:15" x14ac:dyDescent="0.2">
      <c r="B2722">
        <v>2707</v>
      </c>
      <c r="C2722" s="48">
        <f ca="1"/>
        <v>0.45183117212794915</v>
      </c>
      <c r="D2722" s="48">
        <f t="shared" ca="1" si="166"/>
        <v>0.69477519935095877</v>
      </c>
      <c r="E2722" s="48">
        <f t="shared" ca="1" si="167"/>
        <v>0</v>
      </c>
      <c r="F2722" s="17">
        <f t="shared" ca="1" si="168"/>
        <v>0</v>
      </c>
      <c r="H2722" s="17">
        <v>2707</v>
      </c>
      <c r="I2722" s="43">
        <v>0.66910653973954182</v>
      </c>
      <c r="J2722" s="43">
        <v>1.9420722589629839E-2</v>
      </c>
      <c r="K2722" s="43"/>
      <c r="L2722" s="43">
        <v>0.248</v>
      </c>
      <c r="O2722" s="50"/>
    </row>
    <row r="2723" spans="2:15" x14ac:dyDescent="0.2">
      <c r="B2723">
        <v>2708</v>
      </c>
      <c r="C2723" s="48">
        <f ca="1"/>
        <v>-1.0265059707868185</v>
      </c>
      <c r="D2723" s="48">
        <f t="shared" ca="1" si="166"/>
        <v>0.60054814954223068</v>
      </c>
      <c r="E2723" s="48">
        <f t="shared" ca="1" si="167"/>
        <v>0</v>
      </c>
      <c r="F2723" s="17">
        <f t="shared" ca="1" si="168"/>
        <v>0</v>
      </c>
      <c r="H2723" s="17">
        <v>2708</v>
      </c>
      <c r="I2723" s="43">
        <v>0.67022259045093791</v>
      </c>
      <c r="J2723" s="43">
        <v>2.0312666698683351E-2</v>
      </c>
      <c r="K2723" s="43"/>
      <c r="L2723" s="43">
        <v>0.26019999999999999</v>
      </c>
      <c r="O2723" s="50"/>
    </row>
    <row r="2724" spans="2:15" x14ac:dyDescent="0.2">
      <c r="B2724">
        <v>2709</v>
      </c>
      <c r="C2724" s="48">
        <f ca="1"/>
        <v>3.735306536993023E-2</v>
      </c>
      <c r="D2724" s="48">
        <f t="shared" ca="1" si="166"/>
        <v>0.66695727691422968</v>
      </c>
      <c r="E2724" s="48">
        <f t="shared" ca="1" si="167"/>
        <v>0</v>
      </c>
      <c r="F2724" s="17">
        <f t="shared" ca="1" si="168"/>
        <v>0</v>
      </c>
      <c r="H2724" s="17">
        <v>2709</v>
      </c>
      <c r="I2724" s="43">
        <v>0.66797571262028066</v>
      </c>
      <c r="J2724" s="43">
        <v>1.8397990907594128E-2</v>
      </c>
      <c r="K2724" s="43"/>
      <c r="L2724" s="43">
        <v>0.24560000000000001</v>
      </c>
      <c r="O2724" s="50"/>
    </row>
    <row r="2725" spans="2:15" x14ac:dyDescent="0.2">
      <c r="B2725">
        <v>2710</v>
      </c>
      <c r="C2725" s="48">
        <f ca="1"/>
        <v>-0.87045569442085236</v>
      </c>
      <c r="D2725" s="48">
        <f t="shared" ca="1" si="166"/>
        <v>0.60985878027754559</v>
      </c>
      <c r="E2725" s="48">
        <f t="shared" ca="1" si="167"/>
        <v>0</v>
      </c>
      <c r="F2725" s="17">
        <f t="shared" ca="1" si="168"/>
        <v>0</v>
      </c>
      <c r="H2725" s="17">
        <v>2710</v>
      </c>
      <c r="I2725" s="43">
        <v>0.66925545290534916</v>
      </c>
      <c r="J2725" s="43">
        <v>1.9577184773225096E-2</v>
      </c>
      <c r="K2725" s="43"/>
      <c r="L2725" s="43">
        <v>0.25380000000000003</v>
      </c>
      <c r="O2725" s="50"/>
    </row>
    <row r="2726" spans="2:15" x14ac:dyDescent="0.2">
      <c r="B2726">
        <v>2711</v>
      </c>
      <c r="C2726" s="48">
        <f ca="1"/>
        <v>0.60187414992528265</v>
      </c>
      <c r="D2726" s="48">
        <f t="shared" ca="1" si="166"/>
        <v>0.70512895191552882</v>
      </c>
      <c r="E2726" s="48">
        <f t="shared" ca="1" si="167"/>
        <v>0</v>
      </c>
      <c r="F2726" s="17">
        <f t="shared" ca="1" si="168"/>
        <v>0</v>
      </c>
      <c r="H2726" s="17">
        <v>2711</v>
      </c>
      <c r="I2726" s="43">
        <v>0.66858971032221515</v>
      </c>
      <c r="J2726" s="43">
        <v>1.8889986827199199E-2</v>
      </c>
      <c r="K2726" s="43"/>
      <c r="L2726" s="43">
        <v>0.24360000000000001</v>
      </c>
      <c r="O2726" s="50"/>
    </row>
    <row r="2727" spans="2:15" x14ac:dyDescent="0.2">
      <c r="B2727">
        <v>2712</v>
      </c>
      <c r="C2727" s="48">
        <f ca="1"/>
        <v>0.29050397923668614</v>
      </c>
      <c r="D2727" s="48">
        <f t="shared" ca="1" si="166"/>
        <v>0.68381232363523203</v>
      </c>
      <c r="E2727" s="48">
        <f t="shared" ca="1" si="167"/>
        <v>0</v>
      </c>
      <c r="F2727" s="17">
        <f t="shared" ca="1" si="168"/>
        <v>0</v>
      </c>
      <c r="H2727" s="17">
        <v>2712</v>
      </c>
      <c r="I2727" s="43">
        <v>0.66843643609997738</v>
      </c>
      <c r="J2727" s="43">
        <v>1.89771016463159E-2</v>
      </c>
      <c r="K2727" s="43"/>
      <c r="L2727" s="43">
        <v>0.2492</v>
      </c>
      <c r="O2727" s="50"/>
    </row>
    <row r="2728" spans="2:15" x14ac:dyDescent="0.2">
      <c r="B2728">
        <v>2713</v>
      </c>
      <c r="C2728" s="48">
        <f ca="1"/>
        <v>-0.48626432432369665</v>
      </c>
      <c r="D2728" s="48">
        <f t="shared" ca="1" si="166"/>
        <v>0.63340110439339148</v>
      </c>
      <c r="E2728" s="48">
        <f t="shared" ca="1" si="167"/>
        <v>0</v>
      </c>
      <c r="F2728" s="17">
        <f t="shared" ca="1" si="168"/>
        <v>0</v>
      </c>
      <c r="H2728" s="17">
        <v>2713</v>
      </c>
      <c r="I2728" s="43">
        <v>0.66712401298897261</v>
      </c>
      <c r="J2728" s="43">
        <v>1.7818866853777079E-2</v>
      </c>
      <c r="K2728" s="43"/>
      <c r="L2728" s="43">
        <v>0.2452</v>
      </c>
      <c r="O2728" s="50"/>
    </row>
    <row r="2729" spans="2:15" x14ac:dyDescent="0.2">
      <c r="B2729">
        <v>2714</v>
      </c>
      <c r="C2729" s="48">
        <f ca="1"/>
        <v>2.1097122279235356</v>
      </c>
      <c r="D2729" s="48">
        <f t="shared" ca="1" si="166"/>
        <v>0.81814095427405464</v>
      </c>
      <c r="E2729" s="48">
        <f t="shared" ca="1" si="167"/>
        <v>2.9940954274054632E-2</v>
      </c>
      <c r="F2729" s="17">
        <f t="shared" ca="1" si="168"/>
        <v>1</v>
      </c>
      <c r="H2729" s="17">
        <v>2714</v>
      </c>
      <c r="I2729" s="43">
        <v>0.66922103428230217</v>
      </c>
      <c r="J2729" s="43">
        <v>1.9564611577871288E-2</v>
      </c>
      <c r="K2729" s="43"/>
      <c r="L2729" s="43">
        <v>0.25180000000000002</v>
      </c>
      <c r="O2729" s="50"/>
    </row>
    <row r="2730" spans="2:15" x14ac:dyDescent="0.2">
      <c r="B2730">
        <v>2715</v>
      </c>
      <c r="C2730" s="48">
        <f ca="1"/>
        <v>-0.78440405858983531</v>
      </c>
      <c r="D2730" s="48">
        <f t="shared" ca="1" si="166"/>
        <v>0.61505459465752865</v>
      </c>
      <c r="E2730" s="48">
        <f t="shared" ca="1" si="167"/>
        <v>0</v>
      </c>
      <c r="F2730" s="17">
        <f t="shared" ca="1" si="168"/>
        <v>0</v>
      </c>
      <c r="H2730" s="17">
        <v>2715</v>
      </c>
      <c r="I2730" s="43">
        <v>0.6681259259534128</v>
      </c>
      <c r="J2730" s="43">
        <v>1.8497492522464628E-2</v>
      </c>
      <c r="K2730" s="43"/>
      <c r="L2730" s="43">
        <v>0.2432</v>
      </c>
      <c r="O2730" s="50"/>
    </row>
    <row r="2731" spans="2:15" x14ac:dyDescent="0.2">
      <c r="B2731">
        <v>2716</v>
      </c>
      <c r="C2731" s="48">
        <f ca="1"/>
        <v>0.75719701332474998</v>
      </c>
      <c r="D2731" s="48">
        <f t="shared" ca="1" si="166"/>
        <v>0.71600960716614581</v>
      </c>
      <c r="E2731" s="48">
        <f t="shared" ca="1" si="167"/>
        <v>0</v>
      </c>
      <c r="F2731" s="17">
        <f t="shared" ca="1" si="168"/>
        <v>0</v>
      </c>
      <c r="H2731" s="17">
        <v>2716</v>
      </c>
      <c r="I2731" s="43">
        <v>0.67005933125783756</v>
      </c>
      <c r="J2731" s="43">
        <v>2.0074343669157585E-2</v>
      </c>
      <c r="K2731" s="43"/>
      <c r="L2731" s="43">
        <v>0.25219999999999998</v>
      </c>
      <c r="O2731" s="50"/>
    </row>
    <row r="2732" spans="2:15" x14ac:dyDescent="0.2">
      <c r="B2732">
        <v>2717</v>
      </c>
      <c r="C2732" s="48">
        <f ca="1"/>
        <v>1.7293184562978039</v>
      </c>
      <c r="D2732" s="48">
        <f t="shared" ca="1" si="166"/>
        <v>0.78802717716088067</v>
      </c>
      <c r="E2732" s="48">
        <f t="shared" ca="1" si="167"/>
        <v>0</v>
      </c>
      <c r="F2732" s="17">
        <f t="shared" ca="1" si="168"/>
        <v>0</v>
      </c>
      <c r="H2732" s="17">
        <v>2717</v>
      </c>
      <c r="I2732" s="43">
        <v>0.66926874243451118</v>
      </c>
      <c r="J2732" s="43">
        <v>1.9778245335842683E-2</v>
      </c>
      <c r="K2732" s="43"/>
      <c r="L2732" s="43">
        <v>0.253</v>
      </c>
      <c r="O2732" s="50"/>
    </row>
    <row r="2733" spans="2:15" x14ac:dyDescent="0.2">
      <c r="B2733">
        <v>2718</v>
      </c>
      <c r="C2733" s="48">
        <f ca="1"/>
        <v>-0.77396520630960119</v>
      </c>
      <c r="D2733" s="48">
        <f t="shared" ca="1" si="166"/>
        <v>0.61568789778647914</v>
      </c>
      <c r="E2733" s="48">
        <f t="shared" ca="1" si="167"/>
        <v>0</v>
      </c>
      <c r="F2733" s="17">
        <f t="shared" ca="1" si="168"/>
        <v>0</v>
      </c>
      <c r="H2733" s="17">
        <v>2718</v>
      </c>
      <c r="I2733" s="43">
        <v>0.66728935098092923</v>
      </c>
      <c r="J2733" s="43">
        <v>1.8217314394431122E-2</v>
      </c>
      <c r="K2733" s="43"/>
      <c r="L2733" s="43">
        <v>0.2402</v>
      </c>
      <c r="O2733" s="50"/>
    </row>
    <row r="2734" spans="2:15" x14ac:dyDescent="0.2">
      <c r="B2734">
        <v>2719</v>
      </c>
      <c r="C2734" s="48">
        <f ca="1"/>
        <v>-0.4666044473568382</v>
      </c>
      <c r="D2734" s="48">
        <f t="shared" ca="1" si="166"/>
        <v>0.63462996402861105</v>
      </c>
      <c r="E2734" s="48">
        <f t="shared" ca="1" si="167"/>
        <v>0</v>
      </c>
      <c r="F2734" s="17">
        <f t="shared" ca="1" si="168"/>
        <v>0</v>
      </c>
      <c r="H2734" s="17">
        <v>2719</v>
      </c>
      <c r="I2734" s="43">
        <v>0.66814684974436411</v>
      </c>
      <c r="J2734" s="43">
        <v>1.8622452447621396E-2</v>
      </c>
      <c r="K2734" s="43"/>
      <c r="L2734" s="43">
        <v>0.24479999999999999</v>
      </c>
      <c r="O2734" s="50"/>
    </row>
    <row r="2735" spans="2:15" x14ac:dyDescent="0.2">
      <c r="B2735">
        <v>2720</v>
      </c>
      <c r="C2735" s="48">
        <f ca="1"/>
        <v>0.1780314678780307</v>
      </c>
      <c r="D2735" s="48">
        <f t="shared" ca="1" si="166"/>
        <v>0.67627183568860227</v>
      </c>
      <c r="E2735" s="48">
        <f t="shared" ca="1" si="167"/>
        <v>0</v>
      </c>
      <c r="F2735" s="17">
        <f t="shared" ca="1" si="168"/>
        <v>0</v>
      </c>
      <c r="H2735" s="17">
        <v>2720</v>
      </c>
      <c r="I2735" s="43">
        <v>0.66953589480441467</v>
      </c>
      <c r="J2735" s="43">
        <v>1.9599285790009826E-2</v>
      </c>
      <c r="K2735" s="43"/>
      <c r="L2735" s="43">
        <v>0.25140000000000001</v>
      </c>
      <c r="O2735" s="50"/>
    </row>
    <row r="2736" spans="2:15" x14ac:dyDescent="0.2">
      <c r="B2736">
        <v>2721</v>
      </c>
      <c r="C2736" s="48">
        <f ca="1"/>
        <v>-4.1976000708105261E-2</v>
      </c>
      <c r="D2736" s="48">
        <f t="shared" ca="1" si="166"/>
        <v>0.66176144721786478</v>
      </c>
      <c r="E2736" s="48">
        <f t="shared" ca="1" si="167"/>
        <v>0</v>
      </c>
      <c r="F2736" s="17">
        <f t="shared" ca="1" si="168"/>
        <v>0</v>
      </c>
      <c r="H2736" s="17">
        <v>2721</v>
      </c>
      <c r="I2736" s="43">
        <v>0.66967941830267508</v>
      </c>
      <c r="J2736" s="43">
        <v>1.9947467153379431E-2</v>
      </c>
      <c r="K2736" s="43"/>
      <c r="L2736" s="43">
        <v>0.25159999999999999</v>
      </c>
      <c r="O2736" s="50"/>
    </row>
    <row r="2737" spans="2:15" x14ac:dyDescent="0.2">
      <c r="B2737">
        <v>2722</v>
      </c>
      <c r="C2737" s="48">
        <f ca="1"/>
        <v>0.20512554227108104</v>
      </c>
      <c r="D2737" s="48">
        <f t="shared" ca="1" si="166"/>
        <v>0.67808066463540151</v>
      </c>
      <c r="E2737" s="48">
        <f t="shared" ca="1" si="167"/>
        <v>0</v>
      </c>
      <c r="F2737" s="17">
        <f t="shared" ca="1" si="168"/>
        <v>0</v>
      </c>
      <c r="H2737" s="17">
        <v>2722</v>
      </c>
      <c r="I2737" s="43">
        <v>0.66885214762958956</v>
      </c>
      <c r="J2737" s="43">
        <v>1.9180967169548119E-2</v>
      </c>
      <c r="K2737" s="43"/>
      <c r="L2737" s="43">
        <v>0.25219999999999998</v>
      </c>
      <c r="O2737" s="50"/>
    </row>
    <row r="2738" spans="2:15" x14ac:dyDescent="0.2">
      <c r="B2738">
        <v>2723</v>
      </c>
      <c r="C2738" s="48">
        <f ca="1"/>
        <v>-0.68854866667392656</v>
      </c>
      <c r="D2738" s="48">
        <f t="shared" ca="1" si="166"/>
        <v>0.62089449751343118</v>
      </c>
      <c r="E2738" s="48">
        <f t="shared" ca="1" si="167"/>
        <v>0</v>
      </c>
      <c r="F2738" s="17">
        <f t="shared" ca="1" si="168"/>
        <v>0</v>
      </c>
      <c r="H2738" s="17">
        <v>2723</v>
      </c>
      <c r="I2738" s="43">
        <v>0.6691857710322191</v>
      </c>
      <c r="J2738" s="43">
        <v>1.9401045008701556E-2</v>
      </c>
      <c r="K2738" s="43"/>
      <c r="L2738" s="43">
        <v>0.24640000000000001</v>
      </c>
      <c r="O2738" s="50"/>
    </row>
    <row r="2739" spans="2:15" x14ac:dyDescent="0.2">
      <c r="B2739">
        <v>2724</v>
      </c>
      <c r="C2739" s="48">
        <f ca="1"/>
        <v>-0.53979782931323883</v>
      </c>
      <c r="D2739" s="48">
        <f t="shared" ca="1" si="166"/>
        <v>0.63006698863225641</v>
      </c>
      <c r="E2739" s="48">
        <f t="shared" ca="1" si="167"/>
        <v>0</v>
      </c>
      <c r="F2739" s="17">
        <f t="shared" ca="1" si="168"/>
        <v>0</v>
      </c>
      <c r="H2739" s="17">
        <v>2724</v>
      </c>
      <c r="I2739" s="43">
        <v>0.66861573356969406</v>
      </c>
      <c r="J2739" s="43">
        <v>1.9246913467424385E-2</v>
      </c>
      <c r="K2739" s="43"/>
      <c r="L2739" s="43">
        <v>0.255</v>
      </c>
      <c r="O2739" s="50"/>
    </row>
    <row r="2740" spans="2:15" x14ac:dyDescent="0.2">
      <c r="B2740">
        <v>2725</v>
      </c>
      <c r="C2740" s="48">
        <f ca="1"/>
        <v>1.2489954894114967</v>
      </c>
      <c r="D2740" s="48">
        <f t="shared" ca="1" si="166"/>
        <v>0.75158082282638816</v>
      </c>
      <c r="E2740" s="48">
        <f t="shared" ca="1" si="167"/>
        <v>0</v>
      </c>
      <c r="F2740" s="17">
        <f t="shared" ca="1" si="168"/>
        <v>0</v>
      </c>
      <c r="H2740" s="17">
        <v>2725</v>
      </c>
      <c r="I2740" s="43">
        <v>0.66950803177493579</v>
      </c>
      <c r="J2740" s="43">
        <v>1.9728156152175162E-2</v>
      </c>
      <c r="K2740" s="43"/>
      <c r="L2740" s="43">
        <v>0.24840000000000001</v>
      </c>
      <c r="O2740" s="50"/>
    </row>
    <row r="2741" spans="2:15" x14ac:dyDescent="0.2">
      <c r="B2741">
        <v>2726</v>
      </c>
      <c r="C2741" s="48">
        <f ca="1"/>
        <v>-1.5953851588128121</v>
      </c>
      <c r="D2741" s="48">
        <f t="shared" ca="1" si="166"/>
        <v>0.56779387741620024</v>
      </c>
      <c r="E2741" s="48">
        <f t="shared" ca="1" si="167"/>
        <v>0</v>
      </c>
      <c r="F2741" s="17">
        <f t="shared" ca="1" si="168"/>
        <v>0</v>
      </c>
      <c r="H2741" s="17">
        <v>2726</v>
      </c>
      <c r="I2741" s="43">
        <v>0.6676895068691362</v>
      </c>
      <c r="J2741" s="43">
        <v>1.8525714088419611E-2</v>
      </c>
      <c r="K2741" s="43"/>
      <c r="L2741" s="43">
        <v>0.24640000000000001</v>
      </c>
      <c r="O2741" s="50"/>
    </row>
    <row r="2742" spans="2:15" x14ac:dyDescent="0.2">
      <c r="B2742">
        <v>2727</v>
      </c>
      <c r="C2742" s="48">
        <f ca="1"/>
        <v>-0.76850572473838863</v>
      </c>
      <c r="D2742" s="48">
        <f t="shared" ca="1" si="166"/>
        <v>0.61601937266773332</v>
      </c>
      <c r="E2742" s="48">
        <f t="shared" ca="1" si="167"/>
        <v>0</v>
      </c>
      <c r="F2742" s="17">
        <f t="shared" ca="1" si="168"/>
        <v>0</v>
      </c>
      <c r="H2742" s="17">
        <v>2727</v>
      </c>
      <c r="I2742" s="43">
        <v>0.66894451081908668</v>
      </c>
      <c r="J2742" s="43">
        <v>1.9383673020186582E-2</v>
      </c>
      <c r="K2742" s="43"/>
      <c r="L2742" s="43">
        <v>0.25</v>
      </c>
      <c r="O2742" s="50"/>
    </row>
    <row r="2743" spans="2:15" x14ac:dyDescent="0.2">
      <c r="B2743">
        <v>2728</v>
      </c>
      <c r="C2743" s="48">
        <f ca="1"/>
        <v>-1.5211437749770229</v>
      </c>
      <c r="D2743" s="48">
        <f t="shared" ca="1" si="166"/>
        <v>0.57196496023308296</v>
      </c>
      <c r="E2743" s="48">
        <f t="shared" ca="1" si="167"/>
        <v>0</v>
      </c>
      <c r="F2743" s="17">
        <f t="shared" ca="1" si="168"/>
        <v>0</v>
      </c>
      <c r="H2743" s="17">
        <v>2728</v>
      </c>
      <c r="I2743" s="43">
        <v>0.66881251790241547</v>
      </c>
      <c r="J2743" s="43">
        <v>1.9188469172100986E-2</v>
      </c>
      <c r="K2743" s="43"/>
      <c r="L2743" s="43">
        <v>0.2432</v>
      </c>
      <c r="O2743" s="50"/>
    </row>
    <row r="2744" spans="2:15" x14ac:dyDescent="0.2">
      <c r="B2744">
        <v>2729</v>
      </c>
      <c r="C2744" s="48">
        <f ca="1"/>
        <v>-0.40575741629176304</v>
      </c>
      <c r="D2744" s="48">
        <f t="shared" ca="1" si="166"/>
        <v>0.63844839505844386</v>
      </c>
      <c r="E2744" s="48">
        <f t="shared" ca="1" si="167"/>
        <v>0</v>
      </c>
      <c r="F2744" s="17">
        <f t="shared" ca="1" si="168"/>
        <v>0</v>
      </c>
      <c r="H2744" s="17">
        <v>2729</v>
      </c>
      <c r="I2744" s="43">
        <v>0.66861099982412586</v>
      </c>
      <c r="J2744" s="43">
        <v>1.9464729887647324E-2</v>
      </c>
      <c r="K2744" s="43"/>
      <c r="L2744" s="43">
        <v>0.24840000000000001</v>
      </c>
      <c r="O2744" s="50"/>
    </row>
    <row r="2745" spans="2:15" x14ac:dyDescent="0.2">
      <c r="B2745">
        <v>2730</v>
      </c>
      <c r="C2745" s="48">
        <f ca="1"/>
        <v>-1.6028062379398915</v>
      </c>
      <c r="D2745" s="48">
        <f t="shared" ca="1" si="166"/>
        <v>0.56737861691171776</v>
      </c>
      <c r="E2745" s="48">
        <f t="shared" ca="1" si="167"/>
        <v>0</v>
      </c>
      <c r="F2745" s="17">
        <f t="shared" ca="1" si="168"/>
        <v>0</v>
      </c>
      <c r="H2745" s="17">
        <v>2730</v>
      </c>
      <c r="I2745" s="43">
        <v>0.66859554297230517</v>
      </c>
      <c r="J2745" s="43">
        <v>1.9157613041975292E-2</v>
      </c>
      <c r="K2745" s="43"/>
      <c r="L2745" s="43">
        <v>0.24840000000000001</v>
      </c>
      <c r="O2745" s="50"/>
    </row>
    <row r="2746" spans="2:15" x14ac:dyDescent="0.2">
      <c r="B2746">
        <v>2731</v>
      </c>
      <c r="C2746" s="48">
        <f ca="1"/>
        <v>2.4985024721372922</v>
      </c>
      <c r="D2746" s="48">
        <f t="shared" ca="1" si="166"/>
        <v>0.85010892126059645</v>
      </c>
      <c r="E2746" s="48">
        <f t="shared" ca="1" si="167"/>
        <v>6.1908921260596439E-2</v>
      </c>
      <c r="F2746" s="17">
        <f t="shared" ca="1" si="168"/>
        <v>1</v>
      </c>
      <c r="H2746" s="17">
        <v>2731</v>
      </c>
      <c r="I2746" s="43">
        <v>0.66859180427562592</v>
      </c>
      <c r="J2746" s="43">
        <v>1.9166770207701279E-2</v>
      </c>
      <c r="K2746" s="43"/>
      <c r="L2746" s="43">
        <v>0.25879999999999997</v>
      </c>
      <c r="O2746" s="50"/>
    </row>
    <row r="2747" spans="2:15" x14ac:dyDescent="0.2">
      <c r="B2747">
        <v>2732</v>
      </c>
      <c r="C2747" s="48">
        <f ca="1"/>
        <v>-1.2613478754112732</v>
      </c>
      <c r="D2747" s="48">
        <f t="shared" ca="1" si="166"/>
        <v>0.58680369995501935</v>
      </c>
      <c r="E2747" s="48">
        <f t="shared" ca="1" si="167"/>
        <v>0</v>
      </c>
      <c r="F2747" s="17">
        <f t="shared" ca="1" si="168"/>
        <v>0</v>
      </c>
      <c r="H2747" s="17">
        <v>2732</v>
      </c>
      <c r="I2747" s="43">
        <v>0.6684223911982855</v>
      </c>
      <c r="J2747" s="43">
        <v>1.9092246722925789E-2</v>
      </c>
      <c r="K2747" s="43"/>
      <c r="L2747" s="43">
        <v>0.24840000000000001</v>
      </c>
      <c r="O2747" s="50"/>
    </row>
    <row r="2748" spans="2:15" x14ac:dyDescent="0.2">
      <c r="B2748">
        <v>2733</v>
      </c>
      <c r="C2748" s="48">
        <f ca="1"/>
        <v>1.3604934294228352</v>
      </c>
      <c r="D2748" s="48">
        <f t="shared" ca="1" si="166"/>
        <v>0.75988799838067556</v>
      </c>
      <c r="E2748" s="48">
        <f t="shared" ca="1" si="167"/>
        <v>0</v>
      </c>
      <c r="F2748" s="17">
        <f t="shared" ca="1" si="168"/>
        <v>0</v>
      </c>
      <c r="H2748" s="17">
        <v>2733</v>
      </c>
      <c r="I2748" s="43">
        <v>0.66796694541992596</v>
      </c>
      <c r="J2748" s="43">
        <v>1.88169101375074E-2</v>
      </c>
      <c r="K2748" s="43"/>
      <c r="L2748" s="43">
        <v>0.24579999999999999</v>
      </c>
      <c r="O2748" s="50"/>
    </row>
    <row r="2749" spans="2:15" x14ac:dyDescent="0.2">
      <c r="B2749">
        <v>2734</v>
      </c>
      <c r="C2749" s="48">
        <f ca="1"/>
        <v>0.20041017385841997</v>
      </c>
      <c r="D2749" s="48">
        <f t="shared" ca="1" si="166"/>
        <v>0.67776551430375409</v>
      </c>
      <c r="E2749" s="48">
        <f t="shared" ca="1" si="167"/>
        <v>0</v>
      </c>
      <c r="F2749" s="17">
        <f t="shared" ca="1" si="168"/>
        <v>0</v>
      </c>
      <c r="H2749" s="17">
        <v>2734</v>
      </c>
      <c r="I2749" s="43">
        <v>0.66936172793129156</v>
      </c>
      <c r="J2749" s="43">
        <v>1.9809933955778573E-2</v>
      </c>
      <c r="K2749" s="43"/>
      <c r="L2749" s="43">
        <v>0.249</v>
      </c>
      <c r="O2749" s="50"/>
    </row>
    <row r="2750" spans="2:15" x14ac:dyDescent="0.2">
      <c r="B2750">
        <v>2735</v>
      </c>
      <c r="C2750" s="48">
        <f ca="1"/>
        <v>0.98331564608484634</v>
      </c>
      <c r="D2750" s="48">
        <f t="shared" ca="1" si="166"/>
        <v>0.7321504667931602</v>
      </c>
      <c r="E2750" s="48">
        <f t="shared" ca="1" si="167"/>
        <v>0</v>
      </c>
      <c r="F2750" s="17">
        <f t="shared" ca="1" si="168"/>
        <v>0</v>
      </c>
      <c r="H2750" s="17">
        <v>2735</v>
      </c>
      <c r="I2750" s="43">
        <v>0.66899180037496808</v>
      </c>
      <c r="J2750" s="43">
        <v>1.9471173763951959E-2</v>
      </c>
      <c r="K2750" s="43"/>
      <c r="L2750" s="43">
        <v>0.25119999999999998</v>
      </c>
      <c r="O2750" s="50"/>
    </row>
    <row r="2751" spans="2:15" x14ac:dyDescent="0.2">
      <c r="B2751">
        <v>2736</v>
      </c>
      <c r="C2751" s="48">
        <f ca="1"/>
        <v>-0.92982979609707483</v>
      </c>
      <c r="D2751" s="48">
        <f t="shared" ca="1" si="166"/>
        <v>0.60629937374903442</v>
      </c>
      <c r="E2751" s="48">
        <f t="shared" ca="1" si="167"/>
        <v>0</v>
      </c>
      <c r="F2751" s="17">
        <f t="shared" ca="1" si="168"/>
        <v>0</v>
      </c>
      <c r="H2751" s="17">
        <v>2736</v>
      </c>
      <c r="I2751" s="43">
        <v>0.66875623385367056</v>
      </c>
      <c r="J2751" s="43">
        <v>1.9238669248484865E-2</v>
      </c>
      <c r="K2751" s="43"/>
      <c r="L2751" s="43">
        <v>0.24460000000000001</v>
      </c>
      <c r="O2751" s="50"/>
    </row>
    <row r="2752" spans="2:15" x14ac:dyDescent="0.2">
      <c r="B2752">
        <v>2737</v>
      </c>
      <c r="C2752" s="48">
        <f ca="1"/>
        <v>-5.0302278757122038E-2</v>
      </c>
      <c r="D2752" s="48">
        <f t="shared" ca="1" si="166"/>
        <v>0.66121845218603104</v>
      </c>
      <c r="E2752" s="48">
        <f t="shared" ca="1" si="167"/>
        <v>0</v>
      </c>
      <c r="F2752" s="17">
        <f t="shared" ca="1" si="168"/>
        <v>0</v>
      </c>
      <c r="H2752" s="17">
        <v>2737</v>
      </c>
      <c r="I2752" s="43">
        <v>0.66870816060495586</v>
      </c>
      <c r="J2752" s="43">
        <v>1.9304176636671753E-2</v>
      </c>
      <c r="K2752" s="43"/>
      <c r="L2752" s="43">
        <v>0.24740000000000001</v>
      </c>
      <c r="O2752" s="50"/>
    </row>
    <row r="2753" spans="2:15" x14ac:dyDescent="0.2">
      <c r="B2753">
        <v>2738</v>
      </c>
      <c r="C2753" s="48">
        <f ca="1"/>
        <v>-1.5182956820656908</v>
      </c>
      <c r="D2753" s="48">
        <f t="shared" ca="1" si="166"/>
        <v>0.57212558269220148</v>
      </c>
      <c r="E2753" s="48">
        <f t="shared" ca="1" si="167"/>
        <v>0</v>
      </c>
      <c r="F2753" s="17">
        <f t="shared" ca="1" si="168"/>
        <v>0</v>
      </c>
      <c r="H2753" s="17">
        <v>2738</v>
      </c>
      <c r="I2753" s="43">
        <v>0.66944911375668248</v>
      </c>
      <c r="J2753" s="43">
        <v>1.9663896537683835E-2</v>
      </c>
      <c r="K2753" s="43"/>
      <c r="L2753" s="43">
        <v>0.249</v>
      </c>
      <c r="O2753" s="50"/>
    </row>
    <row r="2754" spans="2:15" x14ac:dyDescent="0.2">
      <c r="B2754">
        <v>2739</v>
      </c>
      <c r="C2754" s="48">
        <f ca="1"/>
        <v>-1.2219503768250561</v>
      </c>
      <c r="D2754" s="48">
        <f t="shared" ca="1" si="166"/>
        <v>0.58908733609413222</v>
      </c>
      <c r="E2754" s="48">
        <f t="shared" ca="1" si="167"/>
        <v>0</v>
      </c>
      <c r="F2754" s="17">
        <f t="shared" ca="1" si="168"/>
        <v>0</v>
      </c>
      <c r="H2754" s="17">
        <v>2739</v>
      </c>
      <c r="I2754" s="43">
        <v>0.66968213470667748</v>
      </c>
      <c r="J2754" s="43">
        <v>1.9806809158843943E-2</v>
      </c>
      <c r="K2754" s="43"/>
      <c r="L2754" s="43">
        <v>0.25619999999999998</v>
      </c>
      <c r="O2754" s="50"/>
    </row>
    <row r="2755" spans="2:15" x14ac:dyDescent="0.2">
      <c r="B2755">
        <v>2740</v>
      </c>
      <c r="C2755" s="48">
        <f ca="1"/>
        <v>0.53880597710234424</v>
      </c>
      <c r="D2755" s="48">
        <f t="shared" ca="1" si="166"/>
        <v>0.70075825136570191</v>
      </c>
      <c r="E2755" s="48">
        <f t="shared" ca="1" si="167"/>
        <v>0</v>
      </c>
      <c r="F2755" s="17">
        <f t="shared" ca="1" si="168"/>
        <v>0</v>
      </c>
      <c r="H2755" s="17">
        <v>2740</v>
      </c>
      <c r="I2755" s="43">
        <v>0.66873830145061708</v>
      </c>
      <c r="J2755" s="43">
        <v>1.9052526564812503E-2</v>
      </c>
      <c r="K2755" s="43"/>
      <c r="L2755" s="43">
        <v>0.252</v>
      </c>
      <c r="O2755" s="50"/>
    </row>
    <row r="2756" spans="2:15" x14ac:dyDescent="0.2">
      <c r="B2756">
        <v>2741</v>
      </c>
      <c r="C2756" s="48">
        <f ca="1"/>
        <v>-0.58033854955927611</v>
      </c>
      <c r="D2756" s="48">
        <f t="shared" ca="1" si="166"/>
        <v>0.62755375825637716</v>
      </c>
      <c r="E2756" s="48">
        <f t="shared" ca="1" si="167"/>
        <v>0</v>
      </c>
      <c r="F2756" s="17">
        <f t="shared" ca="1" si="168"/>
        <v>0</v>
      </c>
      <c r="H2756" s="17">
        <v>2741</v>
      </c>
      <c r="I2756" s="43">
        <v>0.66995040990431487</v>
      </c>
      <c r="J2756" s="43">
        <v>2.0149946978239099E-2</v>
      </c>
      <c r="K2756" s="43"/>
      <c r="L2756" s="43">
        <v>0.25719999999999998</v>
      </c>
      <c r="O2756" s="50"/>
    </row>
    <row r="2757" spans="2:15" x14ac:dyDescent="0.2">
      <c r="B2757">
        <v>2742</v>
      </c>
      <c r="C2757" s="48">
        <f ca="1"/>
        <v>-1.381136477120722</v>
      </c>
      <c r="D2757" s="48">
        <f t="shared" ca="1" si="166"/>
        <v>0.57991451016588702</v>
      </c>
      <c r="E2757" s="48">
        <f t="shared" ca="1" si="167"/>
        <v>0</v>
      </c>
      <c r="F2757" s="17">
        <f t="shared" ca="1" si="168"/>
        <v>0</v>
      </c>
      <c r="H2757" s="17">
        <v>2742</v>
      </c>
      <c r="I2757" s="43">
        <v>0.66917142344004754</v>
      </c>
      <c r="J2757" s="43">
        <v>1.9698766822386814E-2</v>
      </c>
      <c r="K2757" s="43"/>
      <c r="L2757" s="43">
        <v>0.25419999999999998</v>
      </c>
      <c r="O2757" s="50"/>
    </row>
    <row r="2758" spans="2:15" x14ac:dyDescent="0.2">
      <c r="B2758">
        <v>2743</v>
      </c>
      <c r="C2758" s="48">
        <f ca="1"/>
        <v>0.39575283643186437</v>
      </c>
      <c r="D2758" s="48">
        <f t="shared" ca="1" si="166"/>
        <v>0.69094464902599317</v>
      </c>
      <c r="E2758" s="48">
        <f t="shared" ca="1" si="167"/>
        <v>0</v>
      </c>
      <c r="F2758" s="17">
        <f t="shared" ca="1" si="168"/>
        <v>0</v>
      </c>
      <c r="H2758" s="17">
        <v>2743</v>
      </c>
      <c r="I2758" s="43">
        <v>0.66864165250071161</v>
      </c>
      <c r="J2758" s="43">
        <v>1.9344149197179195E-2</v>
      </c>
      <c r="K2758" s="43"/>
      <c r="L2758" s="43">
        <v>0.25140000000000001</v>
      </c>
      <c r="O2758" s="50"/>
    </row>
    <row r="2759" spans="2:15" x14ac:dyDescent="0.2">
      <c r="B2759">
        <v>2744</v>
      </c>
      <c r="C2759" s="48">
        <f ca="1"/>
        <v>-0.78491561501161644</v>
      </c>
      <c r="D2759" s="48">
        <f t="shared" ca="1" si="166"/>
        <v>0.6150235763585824</v>
      </c>
      <c r="E2759" s="48">
        <f t="shared" ca="1" si="167"/>
        <v>0</v>
      </c>
      <c r="F2759" s="17">
        <f t="shared" ca="1" si="168"/>
        <v>0</v>
      </c>
      <c r="H2759" s="17">
        <v>2744</v>
      </c>
      <c r="I2759" s="43">
        <v>0.66953967294364725</v>
      </c>
      <c r="J2759" s="43">
        <v>1.9643993587113117E-2</v>
      </c>
      <c r="K2759" s="43"/>
      <c r="L2759" s="43">
        <v>0.2472</v>
      </c>
      <c r="O2759" s="50"/>
    </row>
    <row r="2760" spans="2:15" x14ac:dyDescent="0.2">
      <c r="B2760">
        <v>2745</v>
      </c>
      <c r="C2760" s="48">
        <f ca="1"/>
        <v>-1.1298528186269858</v>
      </c>
      <c r="D2760" s="48">
        <f t="shared" ca="1" si="166"/>
        <v>0.59446040783165188</v>
      </c>
      <c r="E2760" s="48">
        <f t="shared" ca="1" si="167"/>
        <v>0</v>
      </c>
      <c r="F2760" s="17">
        <f t="shared" ca="1" si="168"/>
        <v>0</v>
      </c>
      <c r="H2760" s="17">
        <v>2745</v>
      </c>
      <c r="I2760" s="43">
        <v>0.6696395092080627</v>
      </c>
      <c r="J2760" s="43">
        <v>1.9900407822374871E-2</v>
      </c>
      <c r="K2760" s="43"/>
      <c r="L2760" s="43">
        <v>0.25159999999999999</v>
      </c>
      <c r="O2760" s="50"/>
    </row>
    <row r="2761" spans="2:15" x14ac:dyDescent="0.2">
      <c r="B2761">
        <v>2746</v>
      </c>
      <c r="C2761" s="48">
        <f ca="1"/>
        <v>1.979866471742028</v>
      </c>
      <c r="D2761" s="48">
        <f t="shared" ca="1" si="166"/>
        <v>0.80773454646315324</v>
      </c>
      <c r="E2761" s="48">
        <f t="shared" ca="1" si="167"/>
        <v>1.9534546463153224E-2</v>
      </c>
      <c r="F2761" s="17">
        <f t="shared" ca="1" si="168"/>
        <v>1</v>
      </c>
      <c r="H2761" s="17">
        <v>2746</v>
      </c>
      <c r="I2761" s="43">
        <v>0.668894463450178</v>
      </c>
      <c r="J2761" s="43">
        <v>1.9434875047813729E-2</v>
      </c>
      <c r="K2761" s="43"/>
      <c r="L2761" s="43">
        <v>0.25459999999999999</v>
      </c>
      <c r="O2761" s="50"/>
    </row>
    <row r="2762" spans="2:15" x14ac:dyDescent="0.2">
      <c r="B2762">
        <v>2747</v>
      </c>
      <c r="C2762" s="48">
        <f ca="1"/>
        <v>-0.55848567130756022</v>
      </c>
      <c r="D2762" s="48">
        <f t="shared" ca="1" si="166"/>
        <v>0.62890723005739646</v>
      </c>
      <c r="E2762" s="48">
        <f t="shared" ca="1" si="167"/>
        <v>0</v>
      </c>
      <c r="F2762" s="17">
        <f t="shared" ca="1" si="168"/>
        <v>0</v>
      </c>
      <c r="H2762" s="17">
        <v>2747</v>
      </c>
      <c r="I2762" s="43">
        <v>0.66981156579624224</v>
      </c>
      <c r="J2762" s="43">
        <v>2.0060129978065579E-2</v>
      </c>
      <c r="K2762" s="43"/>
      <c r="L2762" s="43">
        <v>0.25340000000000001</v>
      </c>
      <c r="O2762" s="50"/>
    </row>
    <row r="2763" spans="2:15" x14ac:dyDescent="0.2">
      <c r="B2763">
        <v>2748</v>
      </c>
      <c r="C2763" s="48">
        <f ca="1"/>
        <v>-0.45148619731663031</v>
      </c>
      <c r="D2763" s="48">
        <f t="shared" ca="1" si="166"/>
        <v>0.63557656622863656</v>
      </c>
      <c r="E2763" s="48">
        <f t="shared" ca="1" si="167"/>
        <v>0</v>
      </c>
      <c r="F2763" s="17">
        <f t="shared" ca="1" si="168"/>
        <v>0</v>
      </c>
      <c r="H2763" s="17">
        <v>2748</v>
      </c>
      <c r="I2763" s="43">
        <v>0.66934043108520058</v>
      </c>
      <c r="J2763" s="43">
        <v>2.005736251854057E-2</v>
      </c>
      <c r="K2763" s="43"/>
      <c r="L2763" s="43">
        <v>0.25640000000000002</v>
      </c>
      <c r="O2763" s="50"/>
    </row>
    <row r="2764" spans="2:15" x14ac:dyDescent="0.2">
      <c r="B2764">
        <v>2749</v>
      </c>
      <c r="C2764" s="48">
        <f ca="1"/>
        <v>0.7892908761483417</v>
      </c>
      <c r="D2764" s="48">
        <f t="shared" ca="1" si="166"/>
        <v>0.71827868716981214</v>
      </c>
      <c r="E2764" s="48">
        <f t="shared" ca="1" si="167"/>
        <v>0</v>
      </c>
      <c r="F2764" s="17">
        <f t="shared" ca="1" si="168"/>
        <v>0</v>
      </c>
      <c r="H2764" s="17">
        <v>2749</v>
      </c>
      <c r="I2764" s="43">
        <v>0.66965749873876523</v>
      </c>
      <c r="J2764" s="43">
        <v>1.9688353048912557E-2</v>
      </c>
      <c r="K2764" s="43"/>
      <c r="L2764" s="43">
        <v>0.24979999999999999</v>
      </c>
      <c r="O2764" s="50"/>
    </row>
    <row r="2765" spans="2:15" x14ac:dyDescent="0.2">
      <c r="B2765">
        <v>2750</v>
      </c>
      <c r="C2765" s="48">
        <f ca="1"/>
        <v>-0.83570867927472725</v>
      </c>
      <c r="D2765" s="48">
        <f t="shared" ca="1" si="166"/>
        <v>0.61195150729565817</v>
      </c>
      <c r="E2765" s="48">
        <f t="shared" ca="1" si="167"/>
        <v>0</v>
      </c>
      <c r="F2765" s="17">
        <f t="shared" ca="1" si="168"/>
        <v>0</v>
      </c>
      <c r="H2765" s="17">
        <v>2750</v>
      </c>
      <c r="I2765" s="43">
        <v>0.66915557475819476</v>
      </c>
      <c r="J2765" s="43">
        <v>1.9672455771644094E-2</v>
      </c>
      <c r="K2765" s="43"/>
      <c r="L2765" s="43">
        <v>0.25700000000000001</v>
      </c>
      <c r="O2765" s="50"/>
    </row>
    <row r="2766" spans="2:15" x14ac:dyDescent="0.2">
      <c r="B2766">
        <v>2751</v>
      </c>
      <c r="C2766" s="48">
        <f ca="1"/>
        <v>-0.7063127011787832</v>
      </c>
      <c r="D2766" s="48">
        <f t="shared" ca="1" si="166"/>
        <v>0.61980806963141144</v>
      </c>
      <c r="E2766" s="48">
        <f t="shared" ca="1" si="167"/>
        <v>0</v>
      </c>
      <c r="F2766" s="17">
        <f t="shared" ca="1" si="168"/>
        <v>0</v>
      </c>
      <c r="H2766" s="17">
        <v>2751</v>
      </c>
      <c r="I2766" s="43">
        <v>0.66997730189879889</v>
      </c>
      <c r="J2766" s="43">
        <v>2.0286294053334545E-2</v>
      </c>
      <c r="K2766" s="43"/>
      <c r="L2766" s="43">
        <v>0.25519999999999998</v>
      </c>
      <c r="O2766" s="50"/>
    </row>
    <row r="2767" spans="2:15" x14ac:dyDescent="0.2">
      <c r="B2767">
        <v>2752</v>
      </c>
      <c r="C2767" s="48">
        <f ca="1"/>
        <v>-1.2206968522472392</v>
      </c>
      <c r="D2767" s="48">
        <f t="shared" ca="1" si="166"/>
        <v>0.58916014107573089</v>
      </c>
      <c r="E2767" s="48">
        <f t="shared" ca="1" si="167"/>
        <v>0</v>
      </c>
      <c r="F2767" s="17">
        <f t="shared" ca="1" si="168"/>
        <v>0</v>
      </c>
      <c r="H2767" s="17">
        <v>2752</v>
      </c>
      <c r="I2767" s="43">
        <v>0.66926012179073691</v>
      </c>
      <c r="J2767" s="43">
        <v>1.981028820925506E-2</v>
      </c>
      <c r="K2767" s="43"/>
      <c r="L2767" s="43">
        <v>0.251</v>
      </c>
      <c r="O2767" s="50"/>
    </row>
    <row r="2768" spans="2:15" x14ac:dyDescent="0.2">
      <c r="B2768">
        <v>2753</v>
      </c>
      <c r="C2768" s="48">
        <f ca="1"/>
        <v>-1.6242958889422467</v>
      </c>
      <c r="D2768" s="48">
        <f t="shared" ref="D2768:D2831" ca="1" si="169">S0*EXP((μ-0.5*σ*σ)*T+σ*SQRT(T)*$C2768)</f>
        <v>0.56617783516317122</v>
      </c>
      <c r="E2768" s="48">
        <f t="shared" ref="E2768:E2831" ca="1" si="170">MAX(0,CP*(D2768-K))</f>
        <v>0</v>
      </c>
      <c r="F2768" s="17">
        <f t="shared" ref="F2768:F2831" ca="1" si="171">(CP*(D2768-K)&gt;0)*1</f>
        <v>0</v>
      </c>
      <c r="H2768" s="17">
        <v>2753</v>
      </c>
      <c r="I2768" s="43">
        <v>0.6692469772452796</v>
      </c>
      <c r="J2768" s="43">
        <v>1.9842575836318686E-2</v>
      </c>
      <c r="K2768" s="43"/>
      <c r="L2768" s="43">
        <v>0.25659999999999999</v>
      </c>
      <c r="O2768" s="50"/>
    </row>
    <row r="2769" spans="2:15" x14ac:dyDescent="0.2">
      <c r="B2769">
        <v>2754</v>
      </c>
      <c r="C2769" s="48">
        <f ca="1"/>
        <v>0.50520649284508745</v>
      </c>
      <c r="D2769" s="48">
        <f t="shared" ca="1" si="169"/>
        <v>0.69844083829139303</v>
      </c>
      <c r="E2769" s="48">
        <f t="shared" ca="1" si="170"/>
        <v>0</v>
      </c>
      <c r="F2769" s="17">
        <f t="shared" ca="1" si="171"/>
        <v>0</v>
      </c>
      <c r="H2769" s="17">
        <v>2754</v>
      </c>
      <c r="I2769" s="43">
        <v>0.66907421035375481</v>
      </c>
      <c r="J2769" s="43">
        <v>1.950736447648705E-2</v>
      </c>
      <c r="K2769" s="43"/>
      <c r="L2769" s="43">
        <v>0.24840000000000001</v>
      </c>
      <c r="O2769" s="50"/>
    </row>
    <row r="2770" spans="2:15" x14ac:dyDescent="0.2">
      <c r="B2770">
        <v>2755</v>
      </c>
      <c r="C2770" s="48">
        <f ca="1"/>
        <v>-1.7872351733274139</v>
      </c>
      <c r="D2770" s="48">
        <f t="shared" ca="1" si="169"/>
        <v>0.55715554366610887</v>
      </c>
      <c r="E2770" s="48">
        <f t="shared" ca="1" si="170"/>
        <v>0</v>
      </c>
      <c r="F2770" s="17">
        <f t="shared" ca="1" si="171"/>
        <v>0</v>
      </c>
      <c r="H2770" s="17">
        <v>2755</v>
      </c>
      <c r="I2770" s="43">
        <v>0.667747754412088</v>
      </c>
      <c r="J2770" s="43">
        <v>1.862755892004336E-2</v>
      </c>
      <c r="K2770" s="43"/>
      <c r="L2770" s="43">
        <v>0.25040000000000001</v>
      </c>
      <c r="O2770" s="50"/>
    </row>
    <row r="2771" spans="2:15" x14ac:dyDescent="0.2">
      <c r="B2771">
        <v>2756</v>
      </c>
      <c r="C2771" s="48">
        <f ca="1"/>
        <v>0.41907805868454706</v>
      </c>
      <c r="D2771" s="48">
        <f t="shared" ca="1" si="169"/>
        <v>0.69253535609450989</v>
      </c>
      <c r="E2771" s="48">
        <f t="shared" ca="1" si="170"/>
        <v>0</v>
      </c>
      <c r="F2771" s="17">
        <f t="shared" ca="1" si="171"/>
        <v>0</v>
      </c>
      <c r="H2771" s="17">
        <v>2756</v>
      </c>
      <c r="I2771" s="43">
        <v>0.67012171344433336</v>
      </c>
      <c r="J2771" s="43">
        <v>2.0349406381436733E-2</v>
      </c>
      <c r="K2771" s="43"/>
      <c r="L2771" s="43">
        <v>0.26419999999999999</v>
      </c>
      <c r="O2771" s="50"/>
    </row>
    <row r="2772" spans="2:15" x14ac:dyDescent="0.2">
      <c r="B2772">
        <v>2757</v>
      </c>
      <c r="C2772" s="48">
        <f ca="1"/>
        <v>-0.17880713833330586</v>
      </c>
      <c r="D2772" s="48">
        <f t="shared" ca="1" si="169"/>
        <v>0.6528943364611477</v>
      </c>
      <c r="E2772" s="48">
        <f t="shared" ca="1" si="170"/>
        <v>0</v>
      </c>
      <c r="F2772" s="17">
        <f t="shared" ca="1" si="171"/>
        <v>0</v>
      </c>
      <c r="H2772" s="17">
        <v>2757</v>
      </c>
      <c r="I2772" s="43">
        <v>0.66962784908567197</v>
      </c>
      <c r="J2772" s="43">
        <v>1.9892481927582549E-2</v>
      </c>
      <c r="K2772" s="43"/>
      <c r="L2772" s="43">
        <v>0.25119999999999998</v>
      </c>
      <c r="O2772" s="50"/>
    </row>
    <row r="2773" spans="2:15" x14ac:dyDescent="0.2">
      <c r="B2773">
        <v>2758</v>
      </c>
      <c r="C2773" s="48">
        <f ca="1"/>
        <v>-1.0048918068750676</v>
      </c>
      <c r="D2773" s="48">
        <f t="shared" ca="1" si="169"/>
        <v>0.6018292134403187</v>
      </c>
      <c r="E2773" s="48">
        <f t="shared" ca="1" si="170"/>
        <v>0</v>
      </c>
      <c r="F2773" s="17">
        <f t="shared" ca="1" si="171"/>
        <v>0</v>
      </c>
      <c r="H2773" s="17">
        <v>2758</v>
      </c>
      <c r="I2773" s="43">
        <v>0.66732244489122527</v>
      </c>
      <c r="J2773" s="43">
        <v>1.8262265698433811E-2</v>
      </c>
      <c r="K2773" s="43"/>
      <c r="L2773" s="43">
        <v>0.24679999999999999</v>
      </c>
      <c r="O2773" s="50"/>
    </row>
    <row r="2774" spans="2:15" x14ac:dyDescent="0.2">
      <c r="B2774">
        <v>2759</v>
      </c>
      <c r="C2774" s="48">
        <f ca="1"/>
        <v>-0.61718222042640158</v>
      </c>
      <c r="D2774" s="48">
        <f t="shared" ca="1" si="169"/>
        <v>0.62527841439405463</v>
      </c>
      <c r="E2774" s="48">
        <f t="shared" ca="1" si="170"/>
        <v>0</v>
      </c>
      <c r="F2774" s="17">
        <f t="shared" ca="1" si="171"/>
        <v>0</v>
      </c>
      <c r="H2774" s="17">
        <v>2759</v>
      </c>
      <c r="I2774" s="43">
        <v>0.66924187022531345</v>
      </c>
      <c r="J2774" s="43">
        <v>1.9687820867688222E-2</v>
      </c>
      <c r="K2774" s="43"/>
      <c r="L2774" s="43">
        <v>0.25</v>
      </c>
      <c r="O2774" s="50"/>
    </row>
    <row r="2775" spans="2:15" x14ac:dyDescent="0.2">
      <c r="B2775">
        <v>2760</v>
      </c>
      <c r="C2775" s="48">
        <f ca="1"/>
        <v>0.78932342404950984</v>
      </c>
      <c r="D2775" s="48">
        <f t="shared" ca="1" si="169"/>
        <v>0.71828099199709483</v>
      </c>
      <c r="E2775" s="48">
        <f t="shared" ca="1" si="170"/>
        <v>0</v>
      </c>
      <c r="F2775" s="17">
        <f t="shared" ca="1" si="171"/>
        <v>0</v>
      </c>
      <c r="H2775" s="17">
        <v>2760</v>
      </c>
      <c r="I2775" s="43">
        <v>0.6692852528187585</v>
      </c>
      <c r="J2775" s="43">
        <v>1.971332369433532E-2</v>
      </c>
      <c r="K2775" s="43"/>
      <c r="L2775" s="43">
        <v>0.25359999999999999</v>
      </c>
      <c r="O2775" s="50"/>
    </row>
    <row r="2776" spans="2:15" x14ac:dyDescent="0.2">
      <c r="B2776">
        <v>2761</v>
      </c>
      <c r="C2776" s="48">
        <f ca="1"/>
        <v>-1.1787475578549158</v>
      </c>
      <c r="D2776" s="48">
        <f t="shared" ca="1" si="169"/>
        <v>0.59160176121276076</v>
      </c>
      <c r="E2776" s="48">
        <f t="shared" ca="1" si="170"/>
        <v>0</v>
      </c>
      <c r="F2776" s="17">
        <f t="shared" ca="1" si="171"/>
        <v>0</v>
      </c>
      <c r="H2776" s="17">
        <v>2761</v>
      </c>
      <c r="I2776" s="43">
        <v>0.66962540577198482</v>
      </c>
      <c r="J2776" s="43">
        <v>1.9818493877104638E-2</v>
      </c>
      <c r="K2776" s="43"/>
      <c r="L2776" s="43">
        <v>0.25800000000000001</v>
      </c>
      <c r="O2776" s="50"/>
    </row>
    <row r="2777" spans="2:15" x14ac:dyDescent="0.2">
      <c r="B2777">
        <v>2762</v>
      </c>
      <c r="C2777" s="48">
        <f ca="1"/>
        <v>0.2927697063666635</v>
      </c>
      <c r="D2777" s="48">
        <f t="shared" ca="1" si="169"/>
        <v>0.6839650854308047</v>
      </c>
      <c r="E2777" s="48">
        <f t="shared" ca="1" si="170"/>
        <v>0</v>
      </c>
      <c r="F2777" s="17">
        <f t="shared" ca="1" si="171"/>
        <v>0</v>
      </c>
      <c r="H2777" s="17">
        <v>2762</v>
      </c>
      <c r="I2777" s="43">
        <v>0.66861860232613912</v>
      </c>
      <c r="J2777" s="43">
        <v>1.8975923964179263E-2</v>
      </c>
      <c r="K2777" s="43"/>
      <c r="L2777" s="43">
        <v>0.24379999999999999</v>
      </c>
      <c r="O2777" s="50"/>
    </row>
    <row r="2778" spans="2:15" x14ac:dyDescent="0.2">
      <c r="B2778">
        <v>2763</v>
      </c>
      <c r="C2778" s="48">
        <f ca="1"/>
        <v>0.14620352152093799</v>
      </c>
      <c r="D2778" s="48">
        <f t="shared" ca="1" si="169"/>
        <v>0.67415313091763607</v>
      </c>
      <c r="E2778" s="48">
        <f t="shared" ca="1" si="170"/>
        <v>0</v>
      </c>
      <c r="F2778" s="17">
        <f t="shared" ca="1" si="171"/>
        <v>0</v>
      </c>
      <c r="H2778" s="17">
        <v>2763</v>
      </c>
      <c r="I2778" s="43">
        <v>0.66837871806285531</v>
      </c>
      <c r="J2778" s="43">
        <v>1.9013566504911431E-2</v>
      </c>
      <c r="K2778" s="43"/>
      <c r="L2778" s="43">
        <v>0.24740000000000001</v>
      </c>
      <c r="O2778" s="50"/>
    </row>
    <row r="2779" spans="2:15" x14ac:dyDescent="0.2">
      <c r="B2779">
        <v>2764</v>
      </c>
      <c r="C2779" s="48">
        <f ca="1"/>
        <v>-2.1566213631951858</v>
      </c>
      <c r="D2779" s="48">
        <f t="shared" ca="1" si="169"/>
        <v>0.53723069595840134</v>
      </c>
      <c r="E2779" s="48">
        <f t="shared" ca="1" si="170"/>
        <v>0</v>
      </c>
      <c r="F2779" s="17">
        <f t="shared" ca="1" si="171"/>
        <v>0</v>
      </c>
      <c r="H2779" s="17">
        <v>2764</v>
      </c>
      <c r="I2779" s="43">
        <v>0.66926539456733458</v>
      </c>
      <c r="J2779" s="43">
        <v>1.9920167144824582E-2</v>
      </c>
      <c r="K2779" s="43"/>
      <c r="L2779" s="43">
        <v>0.25159999999999999</v>
      </c>
      <c r="O2779" s="50"/>
    </row>
    <row r="2780" spans="2:15" x14ac:dyDescent="0.2">
      <c r="B2780">
        <v>2765</v>
      </c>
      <c r="C2780" s="48">
        <f ca="1"/>
        <v>-0.29365417488025169</v>
      </c>
      <c r="D2780" s="48">
        <f t="shared" ca="1" si="169"/>
        <v>0.64554364675941922</v>
      </c>
      <c r="E2780" s="48">
        <f t="shared" ca="1" si="170"/>
        <v>0</v>
      </c>
      <c r="F2780" s="17">
        <f t="shared" ca="1" si="171"/>
        <v>0</v>
      </c>
      <c r="H2780" s="17">
        <v>2765</v>
      </c>
      <c r="I2780" s="43">
        <v>0.66802176525424417</v>
      </c>
      <c r="J2780" s="43">
        <v>1.8719544176750761E-2</v>
      </c>
      <c r="K2780" s="43"/>
      <c r="L2780" s="43">
        <v>0.24399999999999999</v>
      </c>
      <c r="O2780" s="50"/>
    </row>
    <row r="2781" spans="2:15" x14ac:dyDescent="0.2">
      <c r="B2781">
        <v>2766</v>
      </c>
      <c r="C2781" s="48">
        <f ca="1"/>
        <v>-0.70578337663114243</v>
      </c>
      <c r="D2781" s="48">
        <f t="shared" ca="1" si="169"/>
        <v>0.61984041501558185</v>
      </c>
      <c r="E2781" s="48">
        <f t="shared" ca="1" si="170"/>
        <v>0</v>
      </c>
      <c r="F2781" s="17">
        <f t="shared" ca="1" si="171"/>
        <v>0</v>
      </c>
      <c r="H2781" s="17">
        <v>2766</v>
      </c>
      <c r="I2781" s="43">
        <v>0.66943291669669502</v>
      </c>
      <c r="J2781" s="43">
        <v>1.9510931637404954E-2</v>
      </c>
      <c r="K2781" s="43"/>
      <c r="L2781" s="43">
        <v>0.2472</v>
      </c>
      <c r="O2781" s="50"/>
    </row>
    <row r="2782" spans="2:15" x14ac:dyDescent="0.2">
      <c r="B2782">
        <v>2767</v>
      </c>
      <c r="C2782" s="48">
        <f ca="1"/>
        <v>-0.82865040225015696</v>
      </c>
      <c r="D2782" s="48">
        <f t="shared" ca="1" si="169"/>
        <v>0.61237748664057601</v>
      </c>
      <c r="E2782" s="48">
        <f t="shared" ca="1" si="170"/>
        <v>0</v>
      </c>
      <c r="F2782" s="17">
        <f t="shared" ca="1" si="171"/>
        <v>0</v>
      </c>
      <c r="H2782" s="17">
        <v>2767</v>
      </c>
      <c r="I2782" s="43">
        <v>0.66816427289547142</v>
      </c>
      <c r="J2782" s="43">
        <v>1.8564529206668151E-2</v>
      </c>
      <c r="K2782" s="43"/>
      <c r="L2782" s="43">
        <v>0.2424</v>
      </c>
      <c r="O2782" s="50"/>
    </row>
    <row r="2783" spans="2:15" x14ac:dyDescent="0.2">
      <c r="B2783">
        <v>2768</v>
      </c>
      <c r="C2783" s="48">
        <f ca="1"/>
        <v>-1.1644215677141287</v>
      </c>
      <c r="D2783" s="48">
        <f t="shared" ca="1" si="169"/>
        <v>0.59243790805424135</v>
      </c>
      <c r="E2783" s="48">
        <f t="shared" ca="1" si="170"/>
        <v>0</v>
      </c>
      <c r="F2783" s="17">
        <f t="shared" ca="1" si="171"/>
        <v>0</v>
      </c>
      <c r="H2783" s="17">
        <v>2768</v>
      </c>
      <c r="I2783" s="43">
        <v>0.67009053594106294</v>
      </c>
      <c r="J2783" s="43">
        <v>2.0162433658524298E-2</v>
      </c>
      <c r="K2783" s="43"/>
      <c r="L2783" s="43">
        <v>0.249</v>
      </c>
      <c r="O2783" s="50"/>
    </row>
    <row r="2784" spans="2:15" x14ac:dyDescent="0.2">
      <c r="B2784">
        <v>2769</v>
      </c>
      <c r="C2784" s="48">
        <f ca="1"/>
        <v>0.44993086593201648</v>
      </c>
      <c r="D2784" s="48">
        <f t="shared" ca="1" si="169"/>
        <v>0.69464504792480875</v>
      </c>
      <c r="E2784" s="48">
        <f t="shared" ca="1" si="170"/>
        <v>0</v>
      </c>
      <c r="F2784" s="17">
        <f t="shared" ca="1" si="171"/>
        <v>0</v>
      </c>
      <c r="H2784" s="17">
        <v>2769</v>
      </c>
      <c r="I2784" s="43">
        <v>0.66831657340374806</v>
      </c>
      <c r="J2784" s="43">
        <v>1.889407892778627E-2</v>
      </c>
      <c r="K2784" s="43"/>
      <c r="L2784" s="43">
        <v>0.249</v>
      </c>
      <c r="O2784" s="50"/>
    </row>
    <row r="2785" spans="2:15" x14ac:dyDescent="0.2">
      <c r="B2785">
        <v>2770</v>
      </c>
      <c r="C2785" s="48">
        <f ca="1"/>
        <v>1.1783878215545498</v>
      </c>
      <c r="D2785" s="48">
        <f t="shared" ca="1" si="169"/>
        <v>0.74636721228598624</v>
      </c>
      <c r="E2785" s="48">
        <f t="shared" ca="1" si="170"/>
        <v>0</v>
      </c>
      <c r="F2785" s="17">
        <f t="shared" ca="1" si="171"/>
        <v>0</v>
      </c>
      <c r="H2785" s="17">
        <v>2770</v>
      </c>
      <c r="I2785" s="43">
        <v>0.66896257607831389</v>
      </c>
      <c r="J2785" s="43">
        <v>1.9205122256282611E-2</v>
      </c>
      <c r="K2785" s="43"/>
      <c r="L2785" s="43">
        <v>0.24299999999999999</v>
      </c>
      <c r="O2785" s="50"/>
    </row>
    <row r="2786" spans="2:15" x14ac:dyDescent="0.2">
      <c r="B2786">
        <v>2771</v>
      </c>
      <c r="C2786" s="48">
        <f ca="1"/>
        <v>0.81156346921875211</v>
      </c>
      <c r="D2786" s="48">
        <f t="shared" ca="1" si="169"/>
        <v>0.71985761537198389</v>
      </c>
      <c r="E2786" s="48">
        <f t="shared" ca="1" si="170"/>
        <v>0</v>
      </c>
      <c r="F2786" s="17">
        <f t="shared" ca="1" si="171"/>
        <v>0</v>
      </c>
      <c r="H2786" s="17">
        <v>2771</v>
      </c>
      <c r="I2786" s="43">
        <v>0.66908618447191404</v>
      </c>
      <c r="J2786" s="43">
        <v>1.9437643849327533E-2</v>
      </c>
      <c r="K2786" s="43"/>
      <c r="L2786" s="43">
        <v>0.25419999999999998</v>
      </c>
      <c r="O2786" s="50"/>
    </row>
    <row r="2787" spans="2:15" x14ac:dyDescent="0.2">
      <c r="B2787">
        <v>2772</v>
      </c>
      <c r="C2787" s="48">
        <f ca="1"/>
        <v>-0.13874556016334735</v>
      </c>
      <c r="D2787" s="48">
        <f t="shared" ca="1" si="169"/>
        <v>0.65547808709404498</v>
      </c>
      <c r="E2787" s="48">
        <f t="shared" ca="1" si="170"/>
        <v>0</v>
      </c>
      <c r="F2787" s="17">
        <f t="shared" ca="1" si="171"/>
        <v>0</v>
      </c>
      <c r="H2787" s="17">
        <v>2772</v>
      </c>
      <c r="I2787" s="43">
        <v>0.66900790749882</v>
      </c>
      <c r="J2787" s="43">
        <v>1.920491611427429E-2</v>
      </c>
      <c r="K2787" s="43"/>
      <c r="L2787" s="43">
        <v>0.25280000000000002</v>
      </c>
      <c r="O2787" s="50"/>
    </row>
    <row r="2788" spans="2:15" x14ac:dyDescent="0.2">
      <c r="B2788">
        <v>2773</v>
      </c>
      <c r="C2788" s="48">
        <f ca="1"/>
        <v>0.9733195893215405</v>
      </c>
      <c r="D2788" s="48">
        <f t="shared" ca="1" si="169"/>
        <v>0.73142929820857849</v>
      </c>
      <c r="E2788" s="48">
        <f t="shared" ca="1" si="170"/>
        <v>0</v>
      </c>
      <c r="F2788" s="17">
        <f t="shared" ca="1" si="171"/>
        <v>0</v>
      </c>
      <c r="H2788" s="17">
        <v>2773</v>
      </c>
      <c r="I2788" s="43">
        <v>0.66889821412635431</v>
      </c>
      <c r="J2788" s="43">
        <v>1.9201677044973168E-2</v>
      </c>
      <c r="K2788" s="43"/>
      <c r="L2788" s="43">
        <v>0.248</v>
      </c>
      <c r="O2788" s="50"/>
    </row>
    <row r="2789" spans="2:15" x14ac:dyDescent="0.2">
      <c r="B2789">
        <v>2774</v>
      </c>
      <c r="C2789" s="48">
        <f ca="1"/>
        <v>-1.3463891074092433</v>
      </c>
      <c r="D2789" s="48">
        <f t="shared" ca="1" si="169"/>
        <v>0.58190450392826487</v>
      </c>
      <c r="E2789" s="48">
        <f t="shared" ca="1" si="170"/>
        <v>0</v>
      </c>
      <c r="F2789" s="17">
        <f t="shared" ca="1" si="171"/>
        <v>0</v>
      </c>
      <c r="H2789" s="17">
        <v>2774</v>
      </c>
      <c r="I2789" s="43">
        <v>0.66850677100676181</v>
      </c>
      <c r="J2789" s="43">
        <v>1.894771457752694E-2</v>
      </c>
      <c r="K2789" s="43"/>
      <c r="L2789" s="43">
        <v>0.253</v>
      </c>
      <c r="O2789" s="50"/>
    </row>
    <row r="2790" spans="2:15" x14ac:dyDescent="0.2">
      <c r="B2790">
        <v>2775</v>
      </c>
      <c r="C2790" s="48">
        <f ca="1"/>
        <v>0.28556256384467749</v>
      </c>
      <c r="D2790" s="48">
        <f t="shared" ca="1" si="169"/>
        <v>0.68347927763209759</v>
      </c>
      <c r="E2790" s="48">
        <f t="shared" ca="1" si="170"/>
        <v>0</v>
      </c>
      <c r="F2790" s="17">
        <f t="shared" ca="1" si="171"/>
        <v>0</v>
      </c>
      <c r="H2790" s="17">
        <v>2775</v>
      </c>
      <c r="I2790" s="43">
        <v>0.66865997091897778</v>
      </c>
      <c r="J2790" s="43">
        <v>1.9283928635593115E-2</v>
      </c>
      <c r="K2790" s="43"/>
      <c r="L2790" s="43">
        <v>0.254</v>
      </c>
      <c r="O2790" s="50"/>
    </row>
    <row r="2791" spans="2:15" x14ac:dyDescent="0.2">
      <c r="B2791">
        <v>2776</v>
      </c>
      <c r="C2791" s="48">
        <f ca="1"/>
        <v>1.3119425837573848</v>
      </c>
      <c r="D2791" s="48">
        <f t="shared" ca="1" si="169"/>
        <v>0.75625948154036371</v>
      </c>
      <c r="E2791" s="48">
        <f t="shared" ca="1" si="170"/>
        <v>0</v>
      </c>
      <c r="F2791" s="17">
        <f t="shared" ca="1" si="171"/>
        <v>0</v>
      </c>
      <c r="H2791" s="17">
        <v>2776</v>
      </c>
      <c r="I2791" s="43">
        <v>0.66843700099400782</v>
      </c>
      <c r="J2791" s="43">
        <v>1.9216675501518638E-2</v>
      </c>
      <c r="K2791" s="43"/>
      <c r="L2791" s="43">
        <v>0.24579999999999999</v>
      </c>
      <c r="O2791" s="50"/>
    </row>
    <row r="2792" spans="2:15" x14ac:dyDescent="0.2">
      <c r="B2792">
        <v>2777</v>
      </c>
      <c r="C2792" s="48">
        <f ca="1"/>
        <v>0.73174888044766562</v>
      </c>
      <c r="D2792" s="48">
        <f t="shared" ca="1" si="169"/>
        <v>0.7142154858165688</v>
      </c>
      <c r="E2792" s="48">
        <f t="shared" ca="1" si="170"/>
        <v>0</v>
      </c>
      <c r="F2792" s="17">
        <f t="shared" ca="1" si="171"/>
        <v>0</v>
      </c>
      <c r="H2792" s="17">
        <v>2777</v>
      </c>
      <c r="I2792" s="43">
        <v>0.66867506975948743</v>
      </c>
      <c r="J2792" s="43">
        <v>1.9301711794821524E-2</v>
      </c>
      <c r="K2792" s="43"/>
      <c r="L2792" s="43">
        <v>0.25040000000000001</v>
      </c>
      <c r="O2792" s="50"/>
    </row>
    <row r="2793" spans="2:15" x14ac:dyDescent="0.2">
      <c r="B2793">
        <v>2778</v>
      </c>
      <c r="C2793" s="48">
        <f ca="1"/>
        <v>0.85608229106459455</v>
      </c>
      <c r="D2793" s="48">
        <f t="shared" ca="1" si="169"/>
        <v>0.72302401257994464</v>
      </c>
      <c r="E2793" s="48">
        <f t="shared" ca="1" si="170"/>
        <v>0</v>
      </c>
      <c r="F2793" s="17">
        <f t="shared" ca="1" si="171"/>
        <v>0</v>
      </c>
      <c r="H2793" s="17">
        <v>2778</v>
      </c>
      <c r="I2793" s="43">
        <v>0.66836651808944914</v>
      </c>
      <c r="J2793" s="43">
        <v>1.8829905557283196E-2</v>
      </c>
      <c r="K2793" s="43"/>
      <c r="L2793" s="43">
        <v>0.25</v>
      </c>
      <c r="O2793" s="50"/>
    </row>
    <row r="2794" spans="2:15" x14ac:dyDescent="0.2">
      <c r="B2794">
        <v>2779</v>
      </c>
      <c r="C2794" s="48">
        <f ca="1"/>
        <v>-0.50214286049326662</v>
      </c>
      <c r="D2794" s="48">
        <f t="shared" ca="1" si="169"/>
        <v>0.63241033834407145</v>
      </c>
      <c r="E2794" s="48">
        <f t="shared" ca="1" si="170"/>
        <v>0</v>
      </c>
      <c r="F2794" s="17">
        <f t="shared" ca="1" si="171"/>
        <v>0</v>
      </c>
      <c r="H2794" s="17">
        <v>2779</v>
      </c>
      <c r="I2794" s="43">
        <v>0.66847757206219227</v>
      </c>
      <c r="J2794" s="43">
        <v>1.8793949643855733E-2</v>
      </c>
      <c r="K2794" s="43"/>
      <c r="L2794" s="43">
        <v>0.2422</v>
      </c>
      <c r="O2794" s="50"/>
    </row>
    <row r="2795" spans="2:15" x14ac:dyDescent="0.2">
      <c r="B2795">
        <v>2780</v>
      </c>
      <c r="C2795" s="48">
        <f ca="1"/>
        <v>-9.3801954656913156E-2</v>
      </c>
      <c r="D2795" s="48">
        <f t="shared" ca="1" si="169"/>
        <v>0.65838887335156981</v>
      </c>
      <c r="E2795" s="48">
        <f t="shared" ca="1" si="170"/>
        <v>0</v>
      </c>
      <c r="F2795" s="17">
        <f t="shared" ca="1" si="171"/>
        <v>0</v>
      </c>
      <c r="H2795" s="17">
        <v>2780</v>
      </c>
      <c r="I2795" s="43">
        <v>0.66953246247048015</v>
      </c>
      <c r="J2795" s="43">
        <v>1.9969190430766115E-2</v>
      </c>
      <c r="K2795" s="43"/>
      <c r="L2795" s="43">
        <v>0.25040000000000001</v>
      </c>
      <c r="O2795" s="50"/>
    </row>
    <row r="2796" spans="2:15" x14ac:dyDescent="0.2">
      <c r="B2796">
        <v>2781</v>
      </c>
      <c r="C2796" s="48">
        <f ca="1"/>
        <v>6.8995333150329116E-2</v>
      </c>
      <c r="D2796" s="48">
        <f t="shared" ca="1" si="169"/>
        <v>0.66904111950954359</v>
      </c>
      <c r="E2796" s="48">
        <f t="shared" ca="1" si="170"/>
        <v>0</v>
      </c>
      <c r="F2796" s="17">
        <f t="shared" ca="1" si="171"/>
        <v>0</v>
      </c>
      <c r="H2796" s="17">
        <v>2781</v>
      </c>
      <c r="I2796" s="43">
        <v>0.66822468508445065</v>
      </c>
      <c r="J2796" s="43">
        <v>1.8712900248304923E-2</v>
      </c>
      <c r="K2796" s="43"/>
      <c r="L2796" s="43">
        <v>0.24099999999999999</v>
      </c>
      <c r="O2796" s="50"/>
    </row>
    <row r="2797" spans="2:15" x14ac:dyDescent="0.2">
      <c r="B2797">
        <v>2782</v>
      </c>
      <c r="C2797" s="48">
        <f ca="1"/>
        <v>0.34640659066389745</v>
      </c>
      <c r="D2797" s="48">
        <f t="shared" ca="1" si="169"/>
        <v>0.68759142074935675</v>
      </c>
      <c r="E2797" s="48">
        <f t="shared" ca="1" si="170"/>
        <v>0</v>
      </c>
      <c r="F2797" s="17">
        <f t="shared" ca="1" si="171"/>
        <v>0</v>
      </c>
      <c r="H2797" s="17">
        <v>2782</v>
      </c>
      <c r="I2797" s="43">
        <v>0.66796973610914223</v>
      </c>
      <c r="J2797" s="43">
        <v>1.8865343394924718E-2</v>
      </c>
      <c r="K2797" s="43"/>
      <c r="L2797" s="43">
        <v>0.2442</v>
      </c>
      <c r="O2797" s="50"/>
    </row>
    <row r="2798" spans="2:15" x14ac:dyDescent="0.2">
      <c r="B2798">
        <v>2783</v>
      </c>
      <c r="C2798" s="48">
        <f ca="1"/>
        <v>1.0703192774385737</v>
      </c>
      <c r="D2798" s="48">
        <f t="shared" ca="1" si="169"/>
        <v>0.7384574743091834</v>
      </c>
      <c r="E2798" s="48">
        <f t="shared" ca="1" si="170"/>
        <v>0</v>
      </c>
      <c r="F2798" s="17">
        <f t="shared" ca="1" si="171"/>
        <v>0</v>
      </c>
      <c r="H2798" s="17">
        <v>2783</v>
      </c>
      <c r="I2798" s="43">
        <v>0.6680134529959213</v>
      </c>
      <c r="J2798" s="43">
        <v>1.8872424252459059E-2</v>
      </c>
      <c r="K2798" s="43"/>
      <c r="L2798" s="43">
        <v>0.24959999999999999</v>
      </c>
      <c r="O2798" s="50"/>
    </row>
    <row r="2799" spans="2:15" x14ac:dyDescent="0.2">
      <c r="B2799">
        <v>2784</v>
      </c>
      <c r="C2799" s="48">
        <f ca="1"/>
        <v>-0.54427311271247236</v>
      </c>
      <c r="D2799" s="48">
        <f t="shared" ca="1" si="169"/>
        <v>0.62978906006688695</v>
      </c>
      <c r="E2799" s="48">
        <f t="shared" ca="1" si="170"/>
        <v>0</v>
      </c>
      <c r="F2799" s="17">
        <f t="shared" ca="1" si="171"/>
        <v>0</v>
      </c>
      <c r="H2799" s="17">
        <v>2784</v>
      </c>
      <c r="I2799" s="43">
        <v>0.66868200738432371</v>
      </c>
      <c r="J2799" s="43">
        <v>1.9190703371119177E-2</v>
      </c>
      <c r="K2799" s="43"/>
      <c r="L2799" s="43">
        <v>0.25380000000000003</v>
      </c>
      <c r="O2799" s="50"/>
    </row>
    <row r="2800" spans="2:15" x14ac:dyDescent="0.2">
      <c r="B2800">
        <v>2785</v>
      </c>
      <c r="C2800" s="48">
        <f ca="1"/>
        <v>0.29383662789924364</v>
      </c>
      <c r="D2800" s="48">
        <f t="shared" ca="1" si="169"/>
        <v>0.68403703214661604</v>
      </c>
      <c r="E2800" s="48">
        <f t="shared" ca="1" si="170"/>
        <v>0</v>
      </c>
      <c r="F2800" s="17">
        <f t="shared" ca="1" si="171"/>
        <v>0</v>
      </c>
      <c r="H2800" s="17">
        <v>2785</v>
      </c>
      <c r="I2800" s="43">
        <v>0.66872649247324312</v>
      </c>
      <c r="J2800" s="43">
        <v>1.9189750360782885E-2</v>
      </c>
      <c r="K2800" s="43"/>
      <c r="L2800" s="43">
        <v>0.24959999999999999</v>
      </c>
      <c r="O2800" s="50"/>
    </row>
    <row r="2801" spans="2:15" x14ac:dyDescent="0.2">
      <c r="B2801">
        <v>2786</v>
      </c>
      <c r="C2801" s="48">
        <f ca="1"/>
        <v>1.0884741222040786</v>
      </c>
      <c r="D2801" s="48">
        <f t="shared" ca="1" si="169"/>
        <v>0.73978037872994273</v>
      </c>
      <c r="E2801" s="48">
        <f t="shared" ca="1" si="170"/>
        <v>0</v>
      </c>
      <c r="F2801" s="17">
        <f t="shared" ca="1" si="171"/>
        <v>0</v>
      </c>
      <c r="H2801" s="17">
        <v>2786</v>
      </c>
      <c r="I2801" s="43">
        <v>0.66872683455594983</v>
      </c>
      <c r="J2801" s="43">
        <v>1.9389306850646548E-2</v>
      </c>
      <c r="K2801" s="43"/>
      <c r="L2801" s="43">
        <v>0.24979999999999999</v>
      </c>
      <c r="O2801" s="50"/>
    </row>
    <row r="2802" spans="2:15" x14ac:dyDescent="0.2">
      <c r="B2802">
        <v>2787</v>
      </c>
      <c r="C2802" s="48">
        <f ca="1"/>
        <v>0.44148313661782906</v>
      </c>
      <c r="D2802" s="48">
        <f t="shared" ca="1" si="169"/>
        <v>0.69406676040775495</v>
      </c>
      <c r="E2802" s="48">
        <f t="shared" ca="1" si="170"/>
        <v>0</v>
      </c>
      <c r="F2802" s="17">
        <f t="shared" ca="1" si="171"/>
        <v>0</v>
      </c>
      <c r="H2802" s="17">
        <v>2787</v>
      </c>
      <c r="I2802" s="43">
        <v>0.6698204807452347</v>
      </c>
      <c r="J2802" s="43">
        <v>2.0322109523160863E-2</v>
      </c>
      <c r="K2802" s="43"/>
      <c r="L2802" s="43">
        <v>0.2586</v>
      </c>
      <c r="O2802" s="50"/>
    </row>
    <row r="2803" spans="2:15" x14ac:dyDescent="0.2">
      <c r="B2803">
        <v>2788</v>
      </c>
      <c r="C2803" s="48">
        <f ca="1"/>
        <v>-0.29046903915909439</v>
      </c>
      <c r="D2803" s="48">
        <f t="shared" ca="1" si="169"/>
        <v>0.64574638863678613</v>
      </c>
      <c r="E2803" s="48">
        <f t="shared" ca="1" si="170"/>
        <v>0</v>
      </c>
      <c r="F2803" s="17">
        <f t="shared" ca="1" si="171"/>
        <v>0</v>
      </c>
      <c r="H2803" s="17">
        <v>2788</v>
      </c>
      <c r="I2803" s="43">
        <v>0.66918252615397467</v>
      </c>
      <c r="J2803" s="43">
        <v>1.9547714593022052E-2</v>
      </c>
      <c r="K2803" s="43"/>
      <c r="L2803" s="43">
        <v>0.251</v>
      </c>
      <c r="O2803" s="50"/>
    </row>
    <row r="2804" spans="2:15" x14ac:dyDescent="0.2">
      <c r="B2804">
        <v>2789</v>
      </c>
      <c r="C2804" s="48">
        <f ca="1"/>
        <v>-3.0123618558093881</v>
      </c>
      <c r="D2804" s="48">
        <f t="shared" ca="1" si="169"/>
        <v>0.4937662927993251</v>
      </c>
      <c r="E2804" s="48">
        <f t="shared" ca="1" si="170"/>
        <v>0</v>
      </c>
      <c r="F2804" s="17">
        <f t="shared" ca="1" si="171"/>
        <v>0</v>
      </c>
      <c r="H2804" s="17">
        <v>2789</v>
      </c>
      <c r="I2804" s="43">
        <v>0.66881132128618215</v>
      </c>
      <c r="J2804" s="43">
        <v>1.9310451520908076E-2</v>
      </c>
      <c r="K2804" s="43"/>
      <c r="L2804" s="43">
        <v>0.25519999999999998</v>
      </c>
      <c r="O2804" s="50"/>
    </row>
    <row r="2805" spans="2:15" x14ac:dyDescent="0.2">
      <c r="B2805">
        <v>2790</v>
      </c>
      <c r="C2805" s="48">
        <f ca="1"/>
        <v>0.89000596221204475</v>
      </c>
      <c r="D2805" s="48">
        <f t="shared" ca="1" si="169"/>
        <v>0.72544617759135865</v>
      </c>
      <c r="E2805" s="48">
        <f t="shared" ca="1" si="170"/>
        <v>0</v>
      </c>
      <c r="F2805" s="17">
        <f t="shared" ca="1" si="171"/>
        <v>0</v>
      </c>
      <c r="H2805" s="17">
        <v>2790</v>
      </c>
      <c r="I2805" s="43">
        <v>0.66897179073676538</v>
      </c>
      <c r="J2805" s="43">
        <v>1.9125206752448394E-2</v>
      </c>
      <c r="K2805" s="43"/>
      <c r="L2805" s="43">
        <v>0.24759999999999999</v>
      </c>
      <c r="O2805" s="50"/>
    </row>
    <row r="2806" spans="2:15" x14ac:dyDescent="0.2">
      <c r="B2806">
        <v>2791</v>
      </c>
      <c r="C2806" s="48">
        <f ca="1"/>
        <v>5.0973605190393768E-2</v>
      </c>
      <c r="D2806" s="48">
        <f t="shared" ca="1" si="169"/>
        <v>0.66785347843641507</v>
      </c>
      <c r="E2806" s="48">
        <f t="shared" ca="1" si="170"/>
        <v>0</v>
      </c>
      <c r="F2806" s="17">
        <f t="shared" ca="1" si="171"/>
        <v>0</v>
      </c>
      <c r="H2806" s="17">
        <v>2791</v>
      </c>
      <c r="I2806" s="43">
        <v>0.66814994455507259</v>
      </c>
      <c r="J2806" s="43">
        <v>1.8955766407379084E-2</v>
      </c>
      <c r="K2806" s="43"/>
      <c r="L2806" s="43">
        <v>0.25059999999999999</v>
      </c>
      <c r="O2806" s="50"/>
    </row>
    <row r="2807" spans="2:15" x14ac:dyDescent="0.2">
      <c r="B2807">
        <v>2792</v>
      </c>
      <c r="C2807" s="48">
        <f ca="1"/>
        <v>0.69828022394112443</v>
      </c>
      <c r="D2807" s="48">
        <f t="shared" ca="1" si="169"/>
        <v>0.71186275109171704</v>
      </c>
      <c r="E2807" s="48">
        <f t="shared" ca="1" si="170"/>
        <v>0</v>
      </c>
      <c r="F2807" s="17">
        <f t="shared" ca="1" si="171"/>
        <v>0</v>
      </c>
      <c r="H2807" s="17">
        <v>2792</v>
      </c>
      <c r="I2807" s="43">
        <v>0.66849836232490101</v>
      </c>
      <c r="J2807" s="43">
        <v>1.9237400624256079E-2</v>
      </c>
      <c r="K2807" s="43"/>
      <c r="L2807" s="43">
        <v>0.24660000000000001</v>
      </c>
      <c r="O2807" s="50"/>
    </row>
    <row r="2808" spans="2:15" x14ac:dyDescent="0.2">
      <c r="B2808">
        <v>2793</v>
      </c>
      <c r="C2808" s="48">
        <f ca="1"/>
        <v>-1.566230650253946</v>
      </c>
      <c r="D2808" s="48">
        <f t="shared" ca="1" si="169"/>
        <v>0.5694282175288613</v>
      </c>
      <c r="E2808" s="48">
        <f t="shared" ca="1" si="170"/>
        <v>0</v>
      </c>
      <c r="F2808" s="17">
        <f t="shared" ca="1" si="171"/>
        <v>0</v>
      </c>
      <c r="H2808" s="17">
        <v>2793</v>
      </c>
      <c r="I2808" s="43">
        <v>0.67036993587196125</v>
      </c>
      <c r="J2808" s="43">
        <v>2.0652625039566296E-2</v>
      </c>
      <c r="K2808" s="43"/>
      <c r="L2808" s="43">
        <v>0.25719999999999998</v>
      </c>
      <c r="O2808" s="50"/>
    </row>
    <row r="2809" spans="2:15" x14ac:dyDescent="0.2">
      <c r="B2809">
        <v>2794</v>
      </c>
      <c r="C2809" s="48">
        <f ca="1"/>
        <v>-0.30862503460744978</v>
      </c>
      <c r="D2809" s="48">
        <f t="shared" ca="1" si="169"/>
        <v>0.6445915663777243</v>
      </c>
      <c r="E2809" s="48">
        <f t="shared" ca="1" si="170"/>
        <v>0</v>
      </c>
      <c r="F2809" s="17">
        <f t="shared" ca="1" si="171"/>
        <v>0</v>
      </c>
      <c r="H2809" s="17">
        <v>2794</v>
      </c>
      <c r="I2809" s="43">
        <v>0.66883872767350827</v>
      </c>
      <c r="J2809" s="43">
        <v>1.8816805568534576E-2</v>
      </c>
      <c r="K2809" s="43"/>
      <c r="L2809" s="43">
        <v>0.24440000000000001</v>
      </c>
      <c r="O2809" s="50"/>
    </row>
    <row r="2810" spans="2:15" x14ac:dyDescent="0.2">
      <c r="B2810">
        <v>2795</v>
      </c>
      <c r="C2810" s="48">
        <f ca="1"/>
        <v>-0.29815829619151346</v>
      </c>
      <c r="D2810" s="48">
        <f t="shared" ca="1" si="169"/>
        <v>0.64525705678730139</v>
      </c>
      <c r="E2810" s="48">
        <f t="shared" ca="1" si="170"/>
        <v>0</v>
      </c>
      <c r="F2810" s="17">
        <f t="shared" ca="1" si="171"/>
        <v>0</v>
      </c>
      <c r="H2810" s="17">
        <v>2795</v>
      </c>
      <c r="I2810" s="43">
        <v>0.66841366932611279</v>
      </c>
      <c r="J2810" s="43">
        <v>1.8630918512089055E-2</v>
      </c>
      <c r="K2810" s="43"/>
      <c r="L2810" s="43">
        <v>0.2424</v>
      </c>
      <c r="O2810" s="50"/>
    </row>
    <row r="2811" spans="2:15" x14ac:dyDescent="0.2">
      <c r="B2811">
        <v>2796</v>
      </c>
      <c r="C2811" s="48">
        <f ca="1"/>
        <v>-0.59502559304849789</v>
      </c>
      <c r="D2811" s="48">
        <f t="shared" ca="1" si="169"/>
        <v>0.62664574402784601</v>
      </c>
      <c r="E2811" s="48">
        <f t="shared" ca="1" si="170"/>
        <v>0</v>
      </c>
      <c r="F2811" s="17">
        <f t="shared" ca="1" si="171"/>
        <v>0</v>
      </c>
      <c r="H2811" s="17">
        <v>2796</v>
      </c>
      <c r="I2811" s="43">
        <v>0.66796533648286194</v>
      </c>
      <c r="J2811" s="43">
        <v>1.8489946608868296E-2</v>
      </c>
      <c r="K2811" s="43"/>
      <c r="L2811" s="43">
        <v>0.24379999999999999</v>
      </c>
      <c r="O2811" s="50"/>
    </row>
    <row r="2812" spans="2:15" x14ac:dyDescent="0.2">
      <c r="B2812">
        <v>2797</v>
      </c>
      <c r="C2812" s="48">
        <f ca="1"/>
        <v>-0.29618897119102117</v>
      </c>
      <c r="D2812" s="48">
        <f t="shared" ca="1" si="169"/>
        <v>0.64538234610312983</v>
      </c>
      <c r="E2812" s="48">
        <f t="shared" ca="1" si="170"/>
        <v>0</v>
      </c>
      <c r="F2812" s="17">
        <f t="shared" ca="1" si="171"/>
        <v>0</v>
      </c>
      <c r="H2812" s="17">
        <v>2797</v>
      </c>
      <c r="I2812" s="43">
        <v>0.66969199041652272</v>
      </c>
      <c r="J2812" s="43">
        <v>2.0150574009368875E-2</v>
      </c>
      <c r="K2812" s="43"/>
      <c r="L2812" s="43">
        <v>0.25600000000000001</v>
      </c>
      <c r="O2812" s="50"/>
    </row>
    <row r="2813" spans="2:15" x14ac:dyDescent="0.2">
      <c r="B2813">
        <v>2798</v>
      </c>
      <c r="C2813" s="48">
        <f ca="1"/>
        <v>1.4165236596780546</v>
      </c>
      <c r="D2813" s="48">
        <f t="shared" ca="1" si="169"/>
        <v>0.76409714215289526</v>
      </c>
      <c r="E2813" s="48">
        <f t="shared" ca="1" si="170"/>
        <v>0</v>
      </c>
      <c r="F2813" s="17">
        <f t="shared" ca="1" si="171"/>
        <v>0</v>
      </c>
      <c r="H2813" s="17">
        <v>2798</v>
      </c>
      <c r="I2813" s="43">
        <v>0.66841215141404919</v>
      </c>
      <c r="J2813" s="43">
        <v>1.8865970440803591E-2</v>
      </c>
      <c r="K2813" s="43"/>
      <c r="L2813" s="43">
        <v>0.24879999999999999</v>
      </c>
      <c r="O2813" s="50"/>
    </row>
    <row r="2814" spans="2:15" x14ac:dyDescent="0.2">
      <c r="B2814">
        <v>2799</v>
      </c>
      <c r="C2814" s="48">
        <f ca="1"/>
        <v>-1.3587173349847879</v>
      </c>
      <c r="D2814" s="48">
        <f t="shared" ca="1" si="169"/>
        <v>0.58119768172087349</v>
      </c>
      <c r="E2814" s="48">
        <f t="shared" ca="1" si="170"/>
        <v>0</v>
      </c>
      <c r="F2814" s="17">
        <f t="shared" ca="1" si="171"/>
        <v>0</v>
      </c>
      <c r="H2814" s="17">
        <v>2799</v>
      </c>
      <c r="I2814" s="43">
        <v>0.66851791815852191</v>
      </c>
      <c r="J2814" s="43">
        <v>1.9152828568877383E-2</v>
      </c>
      <c r="K2814" s="43"/>
      <c r="L2814" s="43">
        <v>0.25159999999999999</v>
      </c>
      <c r="O2814" s="50"/>
    </row>
    <row r="2815" spans="2:15" x14ac:dyDescent="0.2">
      <c r="B2815">
        <v>2800</v>
      </c>
      <c r="C2815" s="48">
        <f ca="1"/>
        <v>1.0654508371874822</v>
      </c>
      <c r="D2815" s="48">
        <f t="shared" ca="1" si="169"/>
        <v>0.73810312398359701</v>
      </c>
      <c r="E2815" s="48">
        <f t="shared" ca="1" si="170"/>
        <v>0</v>
      </c>
      <c r="F2815" s="17">
        <f t="shared" ca="1" si="171"/>
        <v>0</v>
      </c>
      <c r="H2815" s="17">
        <v>2800</v>
      </c>
      <c r="I2815" s="43">
        <v>0.66945760538345722</v>
      </c>
      <c r="J2815" s="43">
        <v>1.9635728000973861E-2</v>
      </c>
      <c r="K2815" s="43"/>
      <c r="L2815" s="43">
        <v>0.25700000000000001</v>
      </c>
      <c r="O2815" s="50"/>
    </row>
    <row r="2816" spans="2:15" x14ac:dyDescent="0.2">
      <c r="B2816">
        <v>2801</v>
      </c>
      <c r="C2816" s="48">
        <f ca="1"/>
        <v>-2.5023390870624995</v>
      </c>
      <c r="D2816" s="48">
        <f t="shared" ca="1" si="169"/>
        <v>0.51922855815484648</v>
      </c>
      <c r="E2816" s="48">
        <f t="shared" ca="1" si="170"/>
        <v>0</v>
      </c>
      <c r="F2816" s="17">
        <f t="shared" ca="1" si="171"/>
        <v>0</v>
      </c>
      <c r="H2816" s="17">
        <v>2801</v>
      </c>
      <c r="I2816" s="43">
        <v>0.66850677484111298</v>
      </c>
      <c r="J2816" s="43">
        <v>1.9400844301872493E-2</v>
      </c>
      <c r="K2816" s="43"/>
      <c r="L2816" s="43">
        <v>0.25700000000000001</v>
      </c>
      <c r="O2816" s="50"/>
    </row>
    <row r="2817" spans="2:15" x14ac:dyDescent="0.2">
      <c r="B2817">
        <v>2802</v>
      </c>
      <c r="C2817" s="48">
        <f ca="1"/>
        <v>-0.43496442099265292</v>
      </c>
      <c r="D2817" s="48">
        <f t="shared" ca="1" si="169"/>
        <v>0.63661266242968573</v>
      </c>
      <c r="E2817" s="48">
        <f t="shared" ca="1" si="170"/>
        <v>0</v>
      </c>
      <c r="F2817" s="17">
        <f t="shared" ca="1" si="171"/>
        <v>0</v>
      </c>
      <c r="H2817" s="17">
        <v>2802</v>
      </c>
      <c r="I2817" s="43">
        <v>0.66789058752213526</v>
      </c>
      <c r="J2817" s="43">
        <v>1.8702428120487464E-2</v>
      </c>
      <c r="K2817" s="43"/>
      <c r="L2817" s="43">
        <v>0.246</v>
      </c>
      <c r="O2817" s="50"/>
    </row>
    <row r="2818" spans="2:15" x14ac:dyDescent="0.2">
      <c r="B2818">
        <v>2803</v>
      </c>
      <c r="C2818" s="48">
        <f ca="1"/>
        <v>-0.50627145380993488</v>
      </c>
      <c r="D2818" s="48">
        <f t="shared" ca="1" si="169"/>
        <v>0.6321529822807016</v>
      </c>
      <c r="E2818" s="48">
        <f t="shared" ca="1" si="170"/>
        <v>0</v>
      </c>
      <c r="F2818" s="17">
        <f t="shared" ca="1" si="171"/>
        <v>0</v>
      </c>
      <c r="H2818" s="17">
        <v>2803</v>
      </c>
      <c r="I2818" s="43">
        <v>0.66951358376163161</v>
      </c>
      <c r="J2818" s="43">
        <v>1.955716902715576E-2</v>
      </c>
      <c r="K2818" s="43"/>
      <c r="L2818" s="43">
        <v>0.25080000000000002</v>
      </c>
      <c r="O2818" s="50"/>
    </row>
    <row r="2819" spans="2:15" x14ac:dyDescent="0.2">
      <c r="B2819">
        <v>2804</v>
      </c>
      <c r="C2819" s="48">
        <f ca="1"/>
        <v>0.31889138645845883</v>
      </c>
      <c r="D2819" s="48">
        <f t="shared" ca="1" si="169"/>
        <v>0.6857287504151437</v>
      </c>
      <c r="E2819" s="48">
        <f t="shared" ca="1" si="170"/>
        <v>0</v>
      </c>
      <c r="F2819" s="17">
        <f t="shared" ca="1" si="171"/>
        <v>0</v>
      </c>
      <c r="H2819" s="17">
        <v>2804</v>
      </c>
      <c r="I2819" s="43">
        <v>0.66850208646888509</v>
      </c>
      <c r="J2819" s="43">
        <v>1.8996258382757855E-2</v>
      </c>
      <c r="K2819" s="43"/>
      <c r="L2819" s="43">
        <v>0.2442</v>
      </c>
      <c r="O2819" s="50"/>
    </row>
    <row r="2820" spans="2:15" x14ac:dyDescent="0.2">
      <c r="B2820">
        <v>2805</v>
      </c>
      <c r="C2820" s="48">
        <f ca="1"/>
        <v>-0.19228650940722802</v>
      </c>
      <c r="D2820" s="48">
        <f t="shared" ca="1" si="169"/>
        <v>0.65202728331851256</v>
      </c>
      <c r="E2820" s="48">
        <f t="shared" ca="1" si="170"/>
        <v>0</v>
      </c>
      <c r="F2820" s="17">
        <f t="shared" ca="1" si="171"/>
        <v>0</v>
      </c>
      <c r="H2820" s="17">
        <v>2805</v>
      </c>
      <c r="I2820" s="43">
        <v>0.66764200728114897</v>
      </c>
      <c r="J2820" s="43">
        <v>1.8352161056992077E-2</v>
      </c>
      <c r="K2820" s="43"/>
      <c r="L2820" s="43">
        <v>0.24560000000000001</v>
      </c>
      <c r="O2820" s="50"/>
    </row>
    <row r="2821" spans="2:15" x14ac:dyDescent="0.2">
      <c r="B2821">
        <v>2806</v>
      </c>
      <c r="C2821" s="48">
        <f ca="1"/>
        <v>0.28887989262581454</v>
      </c>
      <c r="D2821" s="48">
        <f t="shared" ca="1" si="169"/>
        <v>0.68370284407053528</v>
      </c>
      <c r="E2821" s="48">
        <f t="shared" ca="1" si="170"/>
        <v>0</v>
      </c>
      <c r="F2821" s="17">
        <f t="shared" ca="1" si="171"/>
        <v>0</v>
      </c>
      <c r="H2821" s="17">
        <v>2806</v>
      </c>
      <c r="I2821" s="43">
        <v>0.6687576759745526</v>
      </c>
      <c r="J2821" s="43">
        <v>1.896190982069575E-2</v>
      </c>
      <c r="K2821" s="43"/>
      <c r="L2821" s="43">
        <v>0.24859999999999999</v>
      </c>
      <c r="O2821" s="50"/>
    </row>
    <row r="2822" spans="2:15" x14ac:dyDescent="0.2">
      <c r="B2822">
        <v>2807</v>
      </c>
      <c r="C2822" s="48">
        <f ca="1"/>
        <v>0.56281144848963438</v>
      </c>
      <c r="D2822" s="48">
        <f t="shared" ca="1" si="169"/>
        <v>0.70241865696662964</v>
      </c>
      <c r="E2822" s="48">
        <f t="shared" ca="1" si="170"/>
        <v>0</v>
      </c>
      <c r="F2822" s="17">
        <f t="shared" ca="1" si="171"/>
        <v>0</v>
      </c>
      <c r="H2822" s="17">
        <v>2807</v>
      </c>
      <c r="I2822" s="43">
        <v>0.66942493372999856</v>
      </c>
      <c r="J2822" s="43">
        <v>1.9709546798711702E-2</v>
      </c>
      <c r="K2822" s="43"/>
      <c r="L2822" s="43">
        <v>0.25</v>
      </c>
      <c r="O2822" s="50"/>
    </row>
    <row r="2823" spans="2:15" x14ac:dyDescent="0.2">
      <c r="B2823">
        <v>2808</v>
      </c>
      <c r="C2823" s="48">
        <f ca="1"/>
        <v>-0.8063375955577633</v>
      </c>
      <c r="D2823" s="48">
        <f t="shared" ca="1" si="169"/>
        <v>0.6137260547938973</v>
      </c>
      <c r="E2823" s="48">
        <f t="shared" ca="1" si="170"/>
        <v>0</v>
      </c>
      <c r="F2823" s="17">
        <f t="shared" ca="1" si="171"/>
        <v>0</v>
      </c>
      <c r="H2823" s="17">
        <v>2808</v>
      </c>
      <c r="I2823" s="43">
        <v>0.66883156414507672</v>
      </c>
      <c r="J2823" s="43">
        <v>1.9256370105900603E-2</v>
      </c>
      <c r="K2823" s="43"/>
      <c r="L2823" s="43">
        <v>0.24840000000000001</v>
      </c>
      <c r="O2823" s="50"/>
    </row>
    <row r="2824" spans="2:15" x14ac:dyDescent="0.2">
      <c r="B2824">
        <v>2809</v>
      </c>
      <c r="C2824" s="48">
        <f ca="1"/>
        <v>-0.66427631579388924</v>
      </c>
      <c r="D2824" s="48">
        <f t="shared" ca="1" si="169"/>
        <v>0.62238204589325397</v>
      </c>
      <c r="E2824" s="48">
        <f t="shared" ca="1" si="170"/>
        <v>0</v>
      </c>
      <c r="F2824" s="17">
        <f t="shared" ca="1" si="171"/>
        <v>0</v>
      </c>
      <c r="H2824" s="17">
        <v>2809</v>
      </c>
      <c r="I2824" s="43">
        <v>0.669916205713049</v>
      </c>
      <c r="J2824" s="43">
        <v>2.0141664256566331E-2</v>
      </c>
      <c r="K2824" s="43"/>
      <c r="L2824" s="43">
        <v>0.25280000000000002</v>
      </c>
      <c r="O2824" s="50"/>
    </row>
    <row r="2825" spans="2:15" x14ac:dyDescent="0.2">
      <c r="B2825">
        <v>2810</v>
      </c>
      <c r="C2825" s="48">
        <f ca="1"/>
        <v>0.44919639150561047</v>
      </c>
      <c r="D2825" s="48">
        <f t="shared" ca="1" si="169"/>
        <v>0.69459475051509212</v>
      </c>
      <c r="E2825" s="48">
        <f t="shared" ca="1" si="170"/>
        <v>0</v>
      </c>
      <c r="F2825" s="17">
        <f t="shared" ca="1" si="171"/>
        <v>0</v>
      </c>
      <c r="H2825" s="17">
        <v>2810</v>
      </c>
      <c r="I2825" s="43">
        <v>0.67035592470266525</v>
      </c>
      <c r="J2825" s="43">
        <v>2.0433630593943677E-2</v>
      </c>
      <c r="K2825" s="43"/>
      <c r="L2825" s="43">
        <v>0.25600000000000001</v>
      </c>
      <c r="O2825" s="50"/>
    </row>
    <row r="2826" spans="2:15" x14ac:dyDescent="0.2">
      <c r="B2826">
        <v>2811</v>
      </c>
      <c r="C2826" s="48">
        <f ca="1"/>
        <v>0.1655405193640862</v>
      </c>
      <c r="D2826" s="48">
        <f t="shared" ca="1" si="169"/>
        <v>0.67543955261749378</v>
      </c>
      <c r="E2826" s="48">
        <f t="shared" ca="1" si="170"/>
        <v>0</v>
      </c>
      <c r="F2826" s="17">
        <f t="shared" ca="1" si="171"/>
        <v>0</v>
      </c>
      <c r="H2826" s="17">
        <v>2811</v>
      </c>
      <c r="I2826" s="43">
        <v>0.66860413469447899</v>
      </c>
      <c r="J2826" s="43">
        <v>1.9096216448428158E-2</v>
      </c>
      <c r="K2826" s="43"/>
      <c r="L2826" s="43">
        <v>0.25140000000000001</v>
      </c>
      <c r="O2826" s="50"/>
    </row>
    <row r="2827" spans="2:15" x14ac:dyDescent="0.2">
      <c r="B2827">
        <v>2812</v>
      </c>
      <c r="C2827" s="48">
        <f ca="1"/>
        <v>-1.781709160267646</v>
      </c>
      <c r="D2827" s="48">
        <f t="shared" ca="1" si="169"/>
        <v>0.55745916227760817</v>
      </c>
      <c r="E2827" s="48">
        <f t="shared" ca="1" si="170"/>
        <v>0</v>
      </c>
      <c r="F2827" s="17">
        <f t="shared" ca="1" si="171"/>
        <v>0</v>
      </c>
      <c r="H2827" s="17">
        <v>2812</v>
      </c>
      <c r="I2827" s="43">
        <v>0.6687369729382785</v>
      </c>
      <c r="J2827" s="43">
        <v>1.9210513246465302E-2</v>
      </c>
      <c r="K2827" s="43"/>
      <c r="L2827" s="43">
        <v>0.2432</v>
      </c>
      <c r="O2827" s="50"/>
    </row>
    <row r="2828" spans="2:15" x14ac:dyDescent="0.2">
      <c r="B2828">
        <v>2813</v>
      </c>
      <c r="C2828" s="48">
        <f ca="1"/>
        <v>-0.62711979985069322</v>
      </c>
      <c r="D2828" s="48">
        <f t="shared" ca="1" si="169"/>
        <v>0.62466611610858502</v>
      </c>
      <c r="E2828" s="48">
        <f t="shared" ca="1" si="170"/>
        <v>0</v>
      </c>
      <c r="F2828" s="17">
        <f t="shared" ca="1" si="171"/>
        <v>0</v>
      </c>
      <c r="H2828" s="17">
        <v>2813</v>
      </c>
      <c r="I2828" s="43">
        <v>0.66824474555239644</v>
      </c>
      <c r="J2828" s="43">
        <v>1.9009684527772883E-2</v>
      </c>
      <c r="K2828" s="43"/>
      <c r="L2828" s="43">
        <v>0.24840000000000001</v>
      </c>
      <c r="O2828" s="50"/>
    </row>
    <row r="2829" spans="2:15" x14ac:dyDescent="0.2">
      <c r="B2829">
        <v>2814</v>
      </c>
      <c r="C2829" s="48">
        <f ca="1"/>
        <v>1.7755049268589316E-2</v>
      </c>
      <c r="D2829" s="48">
        <f t="shared" ca="1" si="169"/>
        <v>0.66566988030985985</v>
      </c>
      <c r="E2829" s="48">
        <f t="shared" ca="1" si="170"/>
        <v>0</v>
      </c>
      <c r="F2829" s="17">
        <f t="shared" ca="1" si="171"/>
        <v>0</v>
      </c>
      <c r="H2829" s="17">
        <v>2814</v>
      </c>
      <c r="I2829" s="43">
        <v>0.66874036696995209</v>
      </c>
      <c r="J2829" s="43">
        <v>1.9086776444637299E-2</v>
      </c>
      <c r="K2829" s="43"/>
      <c r="L2829" s="43">
        <v>0.24759999999999999</v>
      </c>
      <c r="O2829" s="50"/>
    </row>
    <row r="2830" spans="2:15" x14ac:dyDescent="0.2">
      <c r="B2830">
        <v>2815</v>
      </c>
      <c r="C2830" s="48">
        <f ca="1"/>
        <v>-0.12703284855186189</v>
      </c>
      <c r="D2830" s="48">
        <f t="shared" ca="1" si="169"/>
        <v>0.65623542225135567</v>
      </c>
      <c r="E2830" s="48">
        <f t="shared" ca="1" si="170"/>
        <v>0</v>
      </c>
      <c r="F2830" s="17">
        <f t="shared" ca="1" si="171"/>
        <v>0</v>
      </c>
      <c r="H2830" s="17">
        <v>2815</v>
      </c>
      <c r="I2830" s="43">
        <v>0.66855040401490395</v>
      </c>
      <c r="J2830" s="43">
        <v>1.9261330841800112E-2</v>
      </c>
      <c r="K2830" s="43"/>
      <c r="L2830" s="43">
        <v>0.24840000000000001</v>
      </c>
      <c r="O2830" s="50"/>
    </row>
    <row r="2831" spans="2:15" x14ac:dyDescent="0.2">
      <c r="B2831">
        <v>2816</v>
      </c>
      <c r="C2831" s="48">
        <f ca="1"/>
        <v>-0.5936046097994967</v>
      </c>
      <c r="D2831" s="48">
        <f t="shared" ca="1" si="169"/>
        <v>0.62673353769583851</v>
      </c>
      <c r="E2831" s="48">
        <f t="shared" ca="1" si="170"/>
        <v>0</v>
      </c>
      <c r="F2831" s="17">
        <f t="shared" ca="1" si="171"/>
        <v>0</v>
      </c>
      <c r="H2831" s="17">
        <v>2816</v>
      </c>
      <c r="I2831" s="43">
        <v>0.66943409088462369</v>
      </c>
      <c r="J2831" s="43">
        <v>2.000879182447304E-2</v>
      </c>
      <c r="K2831" s="43"/>
      <c r="L2831" s="43">
        <v>0.25719999999999998</v>
      </c>
      <c r="O2831" s="50"/>
    </row>
    <row r="2832" spans="2:15" x14ac:dyDescent="0.2">
      <c r="B2832">
        <v>2817</v>
      </c>
      <c r="C2832" s="48">
        <f ca="1"/>
        <v>-1.3517851371819989</v>
      </c>
      <c r="D2832" s="48">
        <f t="shared" ref="D2832:D2895" ca="1" si="172">S0*EXP((μ-0.5*σ*σ)*T+σ*SQRT(T)*$C2832)</f>
        <v>0.58159502415974118</v>
      </c>
      <c r="E2832" s="48">
        <f t="shared" ref="E2832:E2895" ca="1" si="173">MAX(0,CP*(D2832-K))</f>
        <v>0</v>
      </c>
      <c r="F2832" s="17">
        <f t="shared" ref="F2832:F2895" ca="1" si="174">(CP*(D2832-K)&gt;0)*1</f>
        <v>0</v>
      </c>
      <c r="H2832" s="17">
        <v>2817</v>
      </c>
      <c r="I2832" s="43">
        <v>0.6692295220524811</v>
      </c>
      <c r="J2832" s="43">
        <v>1.9436108886083606E-2</v>
      </c>
      <c r="K2832" s="43"/>
      <c r="L2832" s="43">
        <v>0.24879999999999999</v>
      </c>
      <c r="O2832" s="50"/>
    </row>
    <row r="2833" spans="2:15" x14ac:dyDescent="0.2">
      <c r="B2833">
        <v>2818</v>
      </c>
      <c r="C2833" s="48">
        <f ca="1"/>
        <v>2.3424147629860421</v>
      </c>
      <c r="D2833" s="48">
        <f t="shared" ca="1" si="172"/>
        <v>0.83712733508049508</v>
      </c>
      <c r="E2833" s="48">
        <f t="shared" ca="1" si="173"/>
        <v>4.8927335080495071E-2</v>
      </c>
      <c r="F2833" s="17">
        <f t="shared" ca="1" si="174"/>
        <v>1</v>
      </c>
      <c r="H2833" s="17">
        <v>2818</v>
      </c>
      <c r="I2833" s="43">
        <v>0.6692094405579071</v>
      </c>
      <c r="J2833" s="43">
        <v>1.9831050700352383E-2</v>
      </c>
      <c r="K2833" s="43"/>
      <c r="L2833" s="43">
        <v>0.26240000000000002</v>
      </c>
      <c r="O2833" s="50"/>
    </row>
    <row r="2834" spans="2:15" x14ac:dyDescent="0.2">
      <c r="B2834">
        <v>2819</v>
      </c>
      <c r="C2834" s="48">
        <f ca="1"/>
        <v>-0.61857142665815523</v>
      </c>
      <c r="D2834" s="48">
        <f t="shared" ca="1" si="172"/>
        <v>0.62519278317238591</v>
      </c>
      <c r="E2834" s="48">
        <f t="shared" ca="1" si="173"/>
        <v>0</v>
      </c>
      <c r="F2834" s="17">
        <f t="shared" ca="1" si="174"/>
        <v>0</v>
      </c>
      <c r="H2834" s="17">
        <v>2819</v>
      </c>
      <c r="I2834" s="43">
        <v>0.66858813794255489</v>
      </c>
      <c r="J2834" s="43">
        <v>1.8923303663414642E-2</v>
      </c>
      <c r="K2834" s="43"/>
      <c r="L2834" s="43">
        <v>0.2414</v>
      </c>
      <c r="O2834" s="50"/>
    </row>
    <row r="2835" spans="2:15" x14ac:dyDescent="0.2">
      <c r="B2835">
        <v>2820</v>
      </c>
      <c r="C2835" s="48">
        <f ca="1"/>
        <v>0.75913042601449732</v>
      </c>
      <c r="D2835" s="48">
        <f t="shared" ca="1" si="172"/>
        <v>0.71614609895510173</v>
      </c>
      <c r="E2835" s="48">
        <f t="shared" ca="1" si="173"/>
        <v>0</v>
      </c>
      <c r="F2835" s="17">
        <f t="shared" ca="1" si="174"/>
        <v>0</v>
      </c>
      <c r="H2835" s="17">
        <v>2820</v>
      </c>
      <c r="I2835" s="43">
        <v>0.66934470493641929</v>
      </c>
      <c r="J2835" s="43">
        <v>1.9586218215751863E-2</v>
      </c>
      <c r="K2835" s="43"/>
      <c r="L2835" s="43">
        <v>0.252</v>
      </c>
      <c r="O2835" s="50"/>
    </row>
    <row r="2836" spans="2:15" x14ac:dyDescent="0.2">
      <c r="B2836">
        <v>2821</v>
      </c>
      <c r="C2836" s="48">
        <f ca="1"/>
        <v>-1.21377795122724</v>
      </c>
      <c r="D2836" s="48">
        <f t="shared" ca="1" si="172"/>
        <v>0.5895621542856796</v>
      </c>
      <c r="E2836" s="48">
        <f t="shared" ca="1" si="173"/>
        <v>0</v>
      </c>
      <c r="F2836" s="17">
        <f t="shared" ca="1" si="174"/>
        <v>0</v>
      </c>
      <c r="H2836" s="17">
        <v>2821</v>
      </c>
      <c r="I2836" s="43">
        <v>0.66903811309532912</v>
      </c>
      <c r="J2836" s="43">
        <v>1.9632752426678363E-2</v>
      </c>
      <c r="K2836" s="43"/>
      <c r="L2836" s="43">
        <v>0.253</v>
      </c>
      <c r="O2836" s="50"/>
    </row>
    <row r="2837" spans="2:15" x14ac:dyDescent="0.2">
      <c r="B2837">
        <v>2822</v>
      </c>
      <c r="C2837" s="48">
        <f ca="1"/>
        <v>-0.31693450135192658</v>
      </c>
      <c r="D2837" s="48">
        <f t="shared" ca="1" si="172"/>
        <v>0.64406372720593885</v>
      </c>
      <c r="E2837" s="48">
        <f t="shared" ca="1" si="173"/>
        <v>0</v>
      </c>
      <c r="F2837" s="17">
        <f t="shared" ca="1" si="174"/>
        <v>0</v>
      </c>
      <c r="H2837" s="17">
        <v>2822</v>
      </c>
      <c r="I2837" s="43">
        <v>0.66834801284430057</v>
      </c>
      <c r="J2837" s="43">
        <v>1.9143608781197436E-2</v>
      </c>
      <c r="K2837" s="43"/>
      <c r="L2837" s="43">
        <v>0.2482</v>
      </c>
      <c r="O2837" s="50"/>
    </row>
    <row r="2838" spans="2:15" x14ac:dyDescent="0.2">
      <c r="B2838">
        <v>2823</v>
      </c>
      <c r="C2838" s="48">
        <f ca="1"/>
        <v>-1.2450563417577201</v>
      </c>
      <c r="D2838" s="48">
        <f t="shared" ca="1" si="172"/>
        <v>0.58774694677503947</v>
      </c>
      <c r="E2838" s="48">
        <f t="shared" ca="1" si="173"/>
        <v>0</v>
      </c>
      <c r="F2838" s="17">
        <f t="shared" ca="1" si="174"/>
        <v>0</v>
      </c>
      <c r="H2838" s="17">
        <v>2823</v>
      </c>
      <c r="I2838" s="43">
        <v>0.66947459599089454</v>
      </c>
      <c r="J2838" s="43">
        <v>2.0139136171147629E-2</v>
      </c>
      <c r="K2838" s="43"/>
      <c r="L2838" s="43">
        <v>0.25740000000000002</v>
      </c>
      <c r="O2838" s="50"/>
    </row>
    <row r="2839" spans="2:15" x14ac:dyDescent="0.2">
      <c r="B2839">
        <v>2824</v>
      </c>
      <c r="C2839" s="48">
        <f ca="1"/>
        <v>-0.70933118433309961</v>
      </c>
      <c r="D2839" s="48">
        <f t="shared" ca="1" si="172"/>
        <v>0.61962365172594303</v>
      </c>
      <c r="E2839" s="48">
        <f t="shared" ca="1" si="173"/>
        <v>0</v>
      </c>
      <c r="F2839" s="17">
        <f t="shared" ca="1" si="174"/>
        <v>0</v>
      </c>
      <c r="H2839" s="17">
        <v>2824</v>
      </c>
      <c r="I2839" s="43">
        <v>0.66996810851927557</v>
      </c>
      <c r="J2839" s="43">
        <v>2.0070200446898015E-2</v>
      </c>
      <c r="K2839" s="43"/>
      <c r="L2839" s="43">
        <v>0.25440000000000002</v>
      </c>
      <c r="O2839" s="50"/>
    </row>
    <row r="2840" spans="2:15" x14ac:dyDescent="0.2">
      <c r="B2840">
        <v>2825</v>
      </c>
      <c r="C2840" s="48">
        <f ca="1"/>
        <v>-1.4570355790527139</v>
      </c>
      <c r="D2840" s="48">
        <f t="shared" ca="1" si="172"/>
        <v>0.57559137814204742</v>
      </c>
      <c r="E2840" s="48">
        <f t="shared" ca="1" si="173"/>
        <v>0</v>
      </c>
      <c r="F2840" s="17">
        <f t="shared" ca="1" si="174"/>
        <v>0</v>
      </c>
      <c r="H2840" s="17">
        <v>2825</v>
      </c>
      <c r="I2840" s="43">
        <v>0.6689230546237307</v>
      </c>
      <c r="J2840" s="43">
        <v>1.9163973841726731E-2</v>
      </c>
      <c r="K2840" s="43"/>
      <c r="L2840" s="43">
        <v>0.24879999999999999</v>
      </c>
      <c r="O2840" s="50"/>
    </row>
    <row r="2841" spans="2:15" x14ac:dyDescent="0.2">
      <c r="B2841">
        <v>2826</v>
      </c>
      <c r="C2841" s="48">
        <f ca="1"/>
        <v>-5.67544168919581E-2</v>
      </c>
      <c r="D2841" s="48">
        <f t="shared" ca="1" si="172"/>
        <v>0.66079798489014763</v>
      </c>
      <c r="E2841" s="48">
        <f t="shared" ca="1" si="173"/>
        <v>0</v>
      </c>
      <c r="F2841" s="17">
        <f t="shared" ca="1" si="174"/>
        <v>0</v>
      </c>
      <c r="H2841" s="17">
        <v>2826</v>
      </c>
      <c r="I2841" s="43">
        <v>0.66827589664114562</v>
      </c>
      <c r="J2841" s="43">
        <v>1.8795999225138915E-2</v>
      </c>
      <c r="K2841" s="43"/>
      <c r="L2841" s="43">
        <v>0.24479999999999999</v>
      </c>
      <c r="O2841" s="50"/>
    </row>
    <row r="2842" spans="2:15" x14ac:dyDescent="0.2">
      <c r="B2842">
        <v>2827</v>
      </c>
      <c r="C2842" s="48">
        <f ca="1"/>
        <v>-0.31068767415592696</v>
      </c>
      <c r="D2842" s="48">
        <f t="shared" ca="1" si="172"/>
        <v>0.6444605017422671</v>
      </c>
      <c r="E2842" s="48">
        <f t="shared" ca="1" si="173"/>
        <v>0</v>
      </c>
      <c r="F2842" s="17">
        <f t="shared" ca="1" si="174"/>
        <v>0</v>
      </c>
      <c r="H2842" s="17">
        <v>2827</v>
      </c>
      <c r="I2842" s="43">
        <v>0.6702003658190181</v>
      </c>
      <c r="J2842" s="43">
        <v>2.0332190036210403E-2</v>
      </c>
      <c r="K2842" s="43"/>
      <c r="L2842" s="43">
        <v>0.25580000000000003</v>
      </c>
      <c r="O2842" s="50"/>
    </row>
    <row r="2843" spans="2:15" x14ac:dyDescent="0.2">
      <c r="B2843">
        <v>2828</v>
      </c>
      <c r="C2843" s="48">
        <f ca="1"/>
        <v>0.56042613798082419</v>
      </c>
      <c r="D2843" s="48">
        <f t="shared" ca="1" si="172"/>
        <v>0.70225349440246665</v>
      </c>
      <c r="E2843" s="48">
        <f t="shared" ca="1" si="173"/>
        <v>0</v>
      </c>
      <c r="F2843" s="17">
        <f t="shared" ca="1" si="174"/>
        <v>0</v>
      </c>
      <c r="H2843" s="17">
        <v>2828</v>
      </c>
      <c r="I2843" s="43">
        <v>0.66868047797480468</v>
      </c>
      <c r="J2843" s="43">
        <v>1.9393165142768971E-2</v>
      </c>
      <c r="K2843" s="43"/>
      <c r="L2843" s="43">
        <v>0.25359999999999999</v>
      </c>
      <c r="O2843" s="50"/>
    </row>
    <row r="2844" spans="2:15" x14ac:dyDescent="0.2">
      <c r="B2844">
        <v>2829</v>
      </c>
      <c r="C2844" s="48">
        <f ca="1"/>
        <v>-0.91659865231106374</v>
      </c>
      <c r="D2844" s="48">
        <f t="shared" ca="1" si="172"/>
        <v>0.60709076184314847</v>
      </c>
      <c r="E2844" s="48">
        <f t="shared" ca="1" si="173"/>
        <v>0</v>
      </c>
      <c r="F2844" s="17">
        <f t="shared" ca="1" si="174"/>
        <v>0</v>
      </c>
      <c r="H2844" s="17">
        <v>2829</v>
      </c>
      <c r="I2844" s="43">
        <v>0.66889629791694716</v>
      </c>
      <c r="J2844" s="43">
        <v>1.9681630510515871E-2</v>
      </c>
      <c r="K2844" s="43"/>
      <c r="L2844" s="43">
        <v>0.25240000000000001</v>
      </c>
      <c r="O2844" s="50"/>
    </row>
    <row r="2845" spans="2:15" x14ac:dyDescent="0.2">
      <c r="B2845">
        <v>2830</v>
      </c>
      <c r="C2845" s="48">
        <f ca="1"/>
        <v>-5.654972340940722E-2</v>
      </c>
      <c r="D2845" s="48">
        <f t="shared" ca="1" si="172"/>
        <v>0.66081132006846688</v>
      </c>
      <c r="E2845" s="48">
        <f t="shared" ca="1" si="173"/>
        <v>0</v>
      </c>
      <c r="F2845" s="17">
        <f t="shared" ca="1" si="174"/>
        <v>0</v>
      </c>
      <c r="H2845" s="17">
        <v>2830</v>
      </c>
      <c r="I2845" s="43">
        <v>0.66867640351707125</v>
      </c>
      <c r="J2845" s="43">
        <v>1.910152060937929E-2</v>
      </c>
      <c r="K2845" s="43"/>
      <c r="L2845" s="43">
        <v>0.25380000000000003</v>
      </c>
      <c r="O2845" s="50"/>
    </row>
    <row r="2846" spans="2:15" x14ac:dyDescent="0.2">
      <c r="B2846">
        <v>2831</v>
      </c>
      <c r="C2846" s="48">
        <f ca="1"/>
        <v>0.6101896217530014</v>
      </c>
      <c r="D2846" s="48">
        <f t="shared" ca="1" si="172"/>
        <v>0.70570725458042349</v>
      </c>
      <c r="E2846" s="48">
        <f t="shared" ca="1" si="173"/>
        <v>0</v>
      </c>
      <c r="F2846" s="17">
        <f t="shared" ca="1" si="174"/>
        <v>0</v>
      </c>
      <c r="H2846" s="17">
        <v>2831</v>
      </c>
      <c r="I2846" s="43">
        <v>0.66887988079123484</v>
      </c>
      <c r="J2846" s="43">
        <v>1.9195226451332963E-2</v>
      </c>
      <c r="K2846" s="43"/>
      <c r="L2846" s="43">
        <v>0.25580000000000003</v>
      </c>
      <c r="O2846" s="50"/>
    </row>
    <row r="2847" spans="2:15" x14ac:dyDescent="0.2">
      <c r="B2847">
        <v>2832</v>
      </c>
      <c r="C2847" s="48">
        <f ca="1"/>
        <v>-1.9146244074501275</v>
      </c>
      <c r="D2847" s="48">
        <f t="shared" ca="1" si="172"/>
        <v>0.55020199323010421</v>
      </c>
      <c r="E2847" s="48">
        <f t="shared" ca="1" si="173"/>
        <v>0</v>
      </c>
      <c r="F2847" s="17">
        <f t="shared" ca="1" si="174"/>
        <v>0</v>
      </c>
      <c r="H2847" s="17">
        <v>2832</v>
      </c>
      <c r="I2847" s="43">
        <v>0.6696958349082528</v>
      </c>
      <c r="J2847" s="43">
        <v>1.9576583522477806E-2</v>
      </c>
      <c r="K2847" s="43"/>
      <c r="L2847" s="43">
        <v>0.25019999999999998</v>
      </c>
      <c r="O2847" s="50"/>
    </row>
    <row r="2848" spans="2:15" x14ac:dyDescent="0.2">
      <c r="B2848">
        <v>2833</v>
      </c>
      <c r="C2848" s="48">
        <f ca="1"/>
        <v>1.1011670668632774</v>
      </c>
      <c r="D2848" s="48">
        <f t="shared" ca="1" si="172"/>
        <v>0.74070669368199971</v>
      </c>
      <c r="E2848" s="48">
        <f t="shared" ca="1" si="173"/>
        <v>0</v>
      </c>
      <c r="F2848" s="17">
        <f t="shared" ca="1" si="174"/>
        <v>0</v>
      </c>
      <c r="H2848" s="17">
        <v>2833</v>
      </c>
      <c r="I2848" s="43">
        <v>0.66870550165866138</v>
      </c>
      <c r="J2848" s="43">
        <v>1.9079807837299567E-2</v>
      </c>
      <c r="K2848" s="43"/>
      <c r="L2848" s="43">
        <v>0.25059999999999999</v>
      </c>
      <c r="O2848" s="50"/>
    </row>
    <row r="2849" spans="2:15" x14ac:dyDescent="0.2">
      <c r="B2849">
        <v>2834</v>
      </c>
      <c r="C2849" s="48">
        <f ca="1"/>
        <v>-1.2278402465688272</v>
      </c>
      <c r="D2849" s="48">
        <f t="shared" ca="1" si="172"/>
        <v>0.58874537160214491</v>
      </c>
      <c r="E2849" s="48">
        <f t="shared" ca="1" si="173"/>
        <v>0</v>
      </c>
      <c r="F2849" s="17">
        <f t="shared" ca="1" si="174"/>
        <v>0</v>
      </c>
      <c r="H2849" s="17">
        <v>2834</v>
      </c>
      <c r="I2849" s="43">
        <v>0.66803152517781372</v>
      </c>
      <c r="J2849" s="43">
        <v>1.8749421309065879E-2</v>
      </c>
      <c r="K2849" s="43"/>
      <c r="L2849" s="43">
        <v>0.248</v>
      </c>
      <c r="O2849" s="50"/>
    </row>
    <row r="2850" spans="2:15" x14ac:dyDescent="0.2">
      <c r="B2850">
        <v>2835</v>
      </c>
      <c r="C2850" s="48">
        <f ca="1"/>
        <v>-1.8039803382890451</v>
      </c>
      <c r="D2850" s="48">
        <f t="shared" ca="1" si="172"/>
        <v>0.55623651475079428</v>
      </c>
      <c r="E2850" s="48">
        <f t="shared" ca="1" si="173"/>
        <v>0</v>
      </c>
      <c r="F2850" s="17">
        <f t="shared" ca="1" si="174"/>
        <v>0</v>
      </c>
      <c r="H2850" s="17">
        <v>2835</v>
      </c>
      <c r="I2850" s="43">
        <v>0.66949568733150244</v>
      </c>
      <c r="J2850" s="43">
        <v>1.9314554712741312E-2</v>
      </c>
      <c r="K2850" s="43"/>
      <c r="L2850" s="43">
        <v>0.24479999999999999</v>
      </c>
      <c r="O2850" s="50"/>
    </row>
    <row r="2851" spans="2:15" x14ac:dyDescent="0.2">
      <c r="B2851">
        <v>2836</v>
      </c>
      <c r="C2851" s="48">
        <f ca="1"/>
        <v>0.61348910537952328</v>
      </c>
      <c r="D2851" s="48">
        <f t="shared" ca="1" si="172"/>
        <v>0.70593684984015526</v>
      </c>
      <c r="E2851" s="48">
        <f t="shared" ca="1" si="173"/>
        <v>0</v>
      </c>
      <c r="F2851" s="17">
        <f t="shared" ca="1" si="174"/>
        <v>0</v>
      </c>
      <c r="H2851" s="17">
        <v>2836</v>
      </c>
      <c r="I2851" s="43">
        <v>0.66927379840673829</v>
      </c>
      <c r="J2851" s="43">
        <v>1.9543681314619751E-2</v>
      </c>
      <c r="K2851" s="43"/>
      <c r="L2851" s="43">
        <v>0.253</v>
      </c>
      <c r="O2851" s="50"/>
    </row>
    <row r="2852" spans="2:15" x14ac:dyDescent="0.2">
      <c r="B2852">
        <v>2837</v>
      </c>
      <c r="C2852" s="48">
        <f ca="1"/>
        <v>-3.9537258892573431E-2</v>
      </c>
      <c r="D2852" s="48">
        <f t="shared" ca="1" si="172"/>
        <v>0.66192057324412246</v>
      </c>
      <c r="E2852" s="48">
        <f t="shared" ca="1" si="173"/>
        <v>0</v>
      </c>
      <c r="F2852" s="17">
        <f t="shared" ca="1" si="174"/>
        <v>0</v>
      </c>
      <c r="H2852" s="17">
        <v>2837</v>
      </c>
      <c r="I2852" s="43">
        <v>0.66862259540914493</v>
      </c>
      <c r="J2852" s="43">
        <v>1.9207228335353856E-2</v>
      </c>
      <c r="K2852" s="43"/>
      <c r="L2852" s="43">
        <v>0.25</v>
      </c>
      <c r="O2852" s="50"/>
    </row>
    <row r="2853" spans="2:15" x14ac:dyDescent="0.2">
      <c r="B2853">
        <v>2838</v>
      </c>
      <c r="C2853" s="48">
        <f ca="1"/>
        <v>1.8520263743538481</v>
      </c>
      <c r="D2853" s="48">
        <f t="shared" ca="1" si="172"/>
        <v>0.7976182034791377</v>
      </c>
      <c r="E2853" s="48">
        <f t="shared" ca="1" si="173"/>
        <v>9.4182034791376879E-3</v>
      </c>
      <c r="F2853" s="17">
        <f t="shared" ca="1" si="174"/>
        <v>1</v>
      </c>
      <c r="H2853" s="17">
        <v>2838</v>
      </c>
      <c r="I2853" s="43">
        <v>0.66918768067516199</v>
      </c>
      <c r="J2853" s="43">
        <v>1.9351912034952689E-2</v>
      </c>
      <c r="K2853" s="43"/>
      <c r="L2853" s="43">
        <v>0.2412</v>
      </c>
      <c r="O2853" s="50"/>
    </row>
    <row r="2854" spans="2:15" x14ac:dyDescent="0.2">
      <c r="B2854">
        <v>2839</v>
      </c>
      <c r="C2854" s="48">
        <f ca="1"/>
        <v>0.84100024941522733</v>
      </c>
      <c r="D2854" s="48">
        <f t="shared" ca="1" si="172"/>
        <v>0.72194974680181312</v>
      </c>
      <c r="E2854" s="48">
        <f t="shared" ca="1" si="173"/>
        <v>0</v>
      </c>
      <c r="F2854" s="17">
        <f t="shared" ca="1" si="174"/>
        <v>0</v>
      </c>
      <c r="H2854" s="17">
        <v>2839</v>
      </c>
      <c r="I2854" s="43">
        <v>0.6686755136642788</v>
      </c>
      <c r="J2854" s="43">
        <v>1.8931503142985417E-2</v>
      </c>
      <c r="K2854" s="43"/>
      <c r="L2854" s="43">
        <v>0.24340000000000001</v>
      </c>
      <c r="O2854" s="50"/>
    </row>
    <row r="2855" spans="2:15" x14ac:dyDescent="0.2">
      <c r="B2855">
        <v>2840</v>
      </c>
      <c r="C2855" s="48">
        <f ca="1"/>
        <v>-0.23304221178846246</v>
      </c>
      <c r="D2855" s="48">
        <f t="shared" ca="1" si="172"/>
        <v>0.64941269289874071</v>
      </c>
      <c r="E2855" s="48">
        <f t="shared" ca="1" si="173"/>
        <v>0</v>
      </c>
      <c r="F2855" s="17">
        <f t="shared" ca="1" si="174"/>
        <v>0</v>
      </c>
      <c r="H2855" s="17">
        <v>2840</v>
      </c>
      <c r="I2855" s="43">
        <v>0.66897790197777296</v>
      </c>
      <c r="J2855" s="43">
        <v>1.9480341110852922E-2</v>
      </c>
      <c r="K2855" s="43"/>
      <c r="L2855" s="43">
        <v>0.25180000000000002</v>
      </c>
      <c r="O2855" s="50"/>
    </row>
    <row r="2856" spans="2:15" x14ac:dyDescent="0.2">
      <c r="B2856">
        <v>2841</v>
      </c>
      <c r="C2856" s="48">
        <f ca="1"/>
        <v>5.0613841822130703E-2</v>
      </c>
      <c r="D2856" s="48">
        <f t="shared" ca="1" si="172"/>
        <v>0.66782979132233466</v>
      </c>
      <c r="E2856" s="48">
        <f t="shared" ca="1" si="173"/>
        <v>0</v>
      </c>
      <c r="F2856" s="17">
        <f t="shared" ca="1" si="174"/>
        <v>0</v>
      </c>
      <c r="H2856" s="17">
        <v>2841</v>
      </c>
      <c r="I2856" s="43">
        <v>0.66882581874841618</v>
      </c>
      <c r="J2856" s="43">
        <v>1.9286910990994326E-2</v>
      </c>
      <c r="K2856" s="43"/>
      <c r="L2856" s="43">
        <v>0.24959999999999999</v>
      </c>
      <c r="O2856" s="50"/>
    </row>
    <row r="2857" spans="2:15" x14ac:dyDescent="0.2">
      <c r="B2857">
        <v>2842</v>
      </c>
      <c r="C2857" s="48">
        <f ca="1"/>
        <v>0.54378304410697242</v>
      </c>
      <c r="D2857" s="48">
        <f t="shared" ca="1" si="172"/>
        <v>0.70110218130395274</v>
      </c>
      <c r="E2857" s="48">
        <f t="shared" ca="1" si="173"/>
        <v>0</v>
      </c>
      <c r="F2857" s="17">
        <f t="shared" ca="1" si="174"/>
        <v>0</v>
      </c>
      <c r="H2857" s="17">
        <v>2842</v>
      </c>
      <c r="I2857" s="43">
        <v>0.66815128096809595</v>
      </c>
      <c r="J2857" s="43">
        <v>1.8778303082506741E-2</v>
      </c>
      <c r="K2857" s="43"/>
      <c r="L2857" s="43">
        <v>0.24940000000000001</v>
      </c>
      <c r="O2857" s="50"/>
    </row>
    <row r="2858" spans="2:15" x14ac:dyDescent="0.2">
      <c r="B2858">
        <v>2843</v>
      </c>
      <c r="C2858" s="48">
        <f ca="1"/>
        <v>-0.46836669828195121</v>
      </c>
      <c r="D2858" s="48">
        <f t="shared" ca="1" si="172"/>
        <v>0.63451971562350973</v>
      </c>
      <c r="E2858" s="48">
        <f t="shared" ca="1" si="173"/>
        <v>0</v>
      </c>
      <c r="F2858" s="17">
        <f t="shared" ca="1" si="174"/>
        <v>0</v>
      </c>
      <c r="H2858" s="17">
        <v>2843</v>
      </c>
      <c r="I2858" s="43">
        <v>0.6693244491897733</v>
      </c>
      <c r="J2858" s="43">
        <v>1.9886515493800164E-2</v>
      </c>
      <c r="K2858" s="43"/>
      <c r="L2858" s="43">
        <v>0.25119999999999998</v>
      </c>
      <c r="O2858" s="50"/>
    </row>
    <row r="2859" spans="2:15" x14ac:dyDescent="0.2">
      <c r="B2859">
        <v>2844</v>
      </c>
      <c r="C2859" s="48">
        <f ca="1"/>
        <v>-0.16432304272741136</v>
      </c>
      <c r="D2859" s="48">
        <f t="shared" ca="1" si="172"/>
        <v>0.65382730310560599</v>
      </c>
      <c r="E2859" s="48">
        <f t="shared" ca="1" si="173"/>
        <v>0</v>
      </c>
      <c r="F2859" s="17">
        <f t="shared" ca="1" si="174"/>
        <v>0</v>
      </c>
      <c r="H2859" s="17">
        <v>2844</v>
      </c>
      <c r="I2859" s="43">
        <v>0.66860748226186573</v>
      </c>
      <c r="J2859" s="43">
        <v>1.9031067753804899E-2</v>
      </c>
      <c r="K2859" s="43"/>
      <c r="L2859" s="43">
        <v>0.24340000000000001</v>
      </c>
      <c r="O2859" s="50"/>
    </row>
    <row r="2860" spans="2:15" x14ac:dyDescent="0.2">
      <c r="B2860">
        <v>2845</v>
      </c>
      <c r="C2860" s="48">
        <f ca="1"/>
        <v>1.2628408620555243</v>
      </c>
      <c r="D2860" s="48">
        <f t="shared" ca="1" si="172"/>
        <v>0.75260741629131467</v>
      </c>
      <c r="E2860" s="48">
        <f t="shared" ca="1" si="173"/>
        <v>0</v>
      </c>
      <c r="F2860" s="17">
        <f t="shared" ca="1" si="174"/>
        <v>0</v>
      </c>
      <c r="H2860" s="17">
        <v>2845</v>
      </c>
      <c r="I2860" s="43">
        <v>0.67014558090897669</v>
      </c>
      <c r="J2860" s="43">
        <v>2.0415621780105156E-2</v>
      </c>
      <c r="K2860" s="43"/>
      <c r="L2860" s="43">
        <v>0.25840000000000002</v>
      </c>
      <c r="O2860" s="50"/>
    </row>
    <row r="2861" spans="2:15" x14ac:dyDescent="0.2">
      <c r="B2861">
        <v>2846</v>
      </c>
      <c r="C2861" s="48">
        <f ca="1"/>
        <v>-0.6673993522181475</v>
      </c>
      <c r="D2861" s="48">
        <f t="shared" ca="1" si="172"/>
        <v>0.62219044877634178</v>
      </c>
      <c r="E2861" s="48">
        <f t="shared" ca="1" si="173"/>
        <v>0</v>
      </c>
      <c r="F2861" s="17">
        <f t="shared" ca="1" si="174"/>
        <v>0</v>
      </c>
      <c r="H2861" s="17">
        <v>2846</v>
      </c>
      <c r="I2861" s="43">
        <v>0.66934631031854464</v>
      </c>
      <c r="J2861" s="43">
        <v>1.9583026545355865E-2</v>
      </c>
      <c r="K2861" s="43"/>
      <c r="L2861" s="43">
        <v>0.2432</v>
      </c>
      <c r="O2861" s="50"/>
    </row>
    <row r="2862" spans="2:15" x14ac:dyDescent="0.2">
      <c r="B2862">
        <v>2847</v>
      </c>
      <c r="C2862" s="48">
        <f ca="1"/>
        <v>0.76784902924979159</v>
      </c>
      <c r="D2862" s="48">
        <f t="shared" ca="1" si="172"/>
        <v>0.71676192340362521</v>
      </c>
      <c r="E2862" s="48">
        <f t="shared" ca="1" si="173"/>
        <v>0</v>
      </c>
      <c r="F2862" s="17">
        <f t="shared" ca="1" si="174"/>
        <v>0</v>
      </c>
      <c r="H2862" s="17">
        <v>2847</v>
      </c>
      <c r="I2862" s="43">
        <v>0.66881936291509314</v>
      </c>
      <c r="J2862" s="43">
        <v>1.9332724682360525E-2</v>
      </c>
      <c r="K2862" s="43"/>
      <c r="L2862" s="43">
        <v>0.25280000000000002</v>
      </c>
      <c r="O2862" s="50"/>
    </row>
    <row r="2863" spans="2:15" x14ac:dyDescent="0.2">
      <c r="B2863">
        <v>2848</v>
      </c>
      <c r="C2863" s="48">
        <f ca="1"/>
        <v>-1.1363080311649176</v>
      </c>
      <c r="D2863" s="48">
        <f t="shared" ca="1" si="172"/>
        <v>0.59408221175799381</v>
      </c>
      <c r="E2863" s="48">
        <f t="shared" ca="1" si="173"/>
        <v>0</v>
      </c>
      <c r="F2863" s="17">
        <f t="shared" ca="1" si="174"/>
        <v>0</v>
      </c>
      <c r="H2863" s="17">
        <v>2848</v>
      </c>
      <c r="I2863" s="43">
        <v>0.66797634679890194</v>
      </c>
      <c r="J2863" s="43">
        <v>1.8832462751486562E-2</v>
      </c>
      <c r="K2863" s="43"/>
      <c r="L2863" s="43">
        <v>0.2442</v>
      </c>
      <c r="O2863" s="50"/>
    </row>
    <row r="2864" spans="2:15" x14ac:dyDescent="0.2">
      <c r="B2864">
        <v>2849</v>
      </c>
      <c r="C2864" s="48">
        <f ca="1"/>
        <v>-0.24606440943328531</v>
      </c>
      <c r="D2864" s="48">
        <f t="shared" ca="1" si="172"/>
        <v>0.64857949526762093</v>
      </c>
      <c r="E2864" s="48">
        <f t="shared" ca="1" si="173"/>
        <v>0</v>
      </c>
      <c r="F2864" s="17">
        <f t="shared" ca="1" si="174"/>
        <v>0</v>
      </c>
      <c r="H2864" s="17">
        <v>2849</v>
      </c>
      <c r="I2864" s="43">
        <v>0.66966495653926661</v>
      </c>
      <c r="J2864" s="43">
        <v>1.9905355162388557E-2</v>
      </c>
      <c r="K2864" s="43"/>
      <c r="L2864" s="43">
        <v>0.25</v>
      </c>
      <c r="O2864" s="50"/>
    </row>
    <row r="2865" spans="2:15" x14ac:dyDescent="0.2">
      <c r="B2865">
        <v>2850</v>
      </c>
      <c r="C2865" s="48">
        <f ca="1"/>
        <v>0.14780401411432897</v>
      </c>
      <c r="D2865" s="48">
        <f t="shared" ca="1" si="172"/>
        <v>0.67425951293183961</v>
      </c>
      <c r="E2865" s="48">
        <f t="shared" ca="1" si="173"/>
        <v>0</v>
      </c>
      <c r="F2865" s="17">
        <f t="shared" ca="1" si="174"/>
        <v>0</v>
      </c>
      <c r="H2865" s="17">
        <v>2850</v>
      </c>
      <c r="I2865" s="43">
        <v>0.66846663548446073</v>
      </c>
      <c r="J2865" s="43">
        <v>1.8841056712453008E-2</v>
      </c>
      <c r="K2865" s="43"/>
      <c r="L2865" s="43">
        <v>0.2462</v>
      </c>
      <c r="O2865" s="50"/>
    </row>
    <row r="2866" spans="2:15" x14ac:dyDescent="0.2">
      <c r="B2866">
        <v>2851</v>
      </c>
      <c r="C2866" s="48">
        <f ca="1"/>
        <v>1.0824014052965305</v>
      </c>
      <c r="D2866" s="48">
        <f t="shared" ca="1" si="172"/>
        <v>0.73933760936285431</v>
      </c>
      <c r="E2866" s="48">
        <f t="shared" ca="1" si="173"/>
        <v>0</v>
      </c>
      <c r="F2866" s="17">
        <f t="shared" ca="1" si="174"/>
        <v>0</v>
      </c>
      <c r="H2866" s="17">
        <v>2851</v>
      </c>
      <c r="I2866" s="43">
        <v>0.66935724639309235</v>
      </c>
      <c r="J2866" s="43">
        <v>1.9858270772480136E-2</v>
      </c>
      <c r="K2866" s="43"/>
      <c r="L2866" s="43">
        <v>0.25119999999999998</v>
      </c>
      <c r="O2866" s="50"/>
    </row>
    <row r="2867" spans="2:15" x14ac:dyDescent="0.2">
      <c r="B2867">
        <v>2852</v>
      </c>
      <c r="C2867" s="48">
        <f ca="1"/>
        <v>-0.14071678390225364</v>
      </c>
      <c r="D2867" s="48">
        <f t="shared" ca="1" si="172"/>
        <v>0.65535071519630339</v>
      </c>
      <c r="E2867" s="48">
        <f t="shared" ca="1" si="173"/>
        <v>0</v>
      </c>
      <c r="F2867" s="17">
        <f t="shared" ca="1" si="174"/>
        <v>0</v>
      </c>
      <c r="H2867" s="17">
        <v>2852</v>
      </c>
      <c r="I2867" s="43">
        <v>0.66860916345896448</v>
      </c>
      <c r="J2867" s="43">
        <v>1.9187265585437489E-2</v>
      </c>
      <c r="K2867" s="43"/>
      <c r="L2867" s="43">
        <v>0.2462</v>
      </c>
      <c r="O2867" s="50"/>
    </row>
    <row r="2868" spans="2:15" x14ac:dyDescent="0.2">
      <c r="B2868">
        <v>2853</v>
      </c>
      <c r="C2868" s="48">
        <f ca="1"/>
        <v>1.3951386840741991</v>
      </c>
      <c r="D2868" s="48">
        <f t="shared" ca="1" si="172"/>
        <v>0.76248790027450231</v>
      </c>
      <c r="E2868" s="48">
        <f t="shared" ca="1" si="173"/>
        <v>0</v>
      </c>
      <c r="F2868" s="17">
        <f t="shared" ca="1" si="174"/>
        <v>0</v>
      </c>
      <c r="H2868" s="17">
        <v>2853</v>
      </c>
      <c r="I2868" s="43">
        <v>0.6692535068535066</v>
      </c>
      <c r="J2868" s="43">
        <v>1.9749277371926863E-2</v>
      </c>
      <c r="K2868" s="43"/>
      <c r="L2868" s="43">
        <v>0.24640000000000001</v>
      </c>
      <c r="O2868" s="50"/>
    </row>
    <row r="2869" spans="2:15" x14ac:dyDescent="0.2">
      <c r="B2869">
        <v>2854</v>
      </c>
      <c r="C2869" s="48">
        <f ca="1"/>
        <v>1.9845989318721844</v>
      </c>
      <c r="D2869" s="48">
        <f t="shared" ca="1" si="172"/>
        <v>0.8081114920461534</v>
      </c>
      <c r="E2869" s="48">
        <f t="shared" ca="1" si="173"/>
        <v>1.991149204615339E-2</v>
      </c>
      <c r="F2869" s="17">
        <f t="shared" ca="1" si="174"/>
        <v>1</v>
      </c>
      <c r="H2869" s="17">
        <v>2854</v>
      </c>
      <c r="I2869" s="43">
        <v>0.66930239180287443</v>
      </c>
      <c r="J2869" s="43">
        <v>1.9663579289803175E-2</v>
      </c>
      <c r="K2869" s="43"/>
      <c r="L2869" s="43">
        <v>0.25380000000000003</v>
      </c>
      <c r="O2869" s="50"/>
    </row>
    <row r="2870" spans="2:15" x14ac:dyDescent="0.2">
      <c r="B2870">
        <v>2855</v>
      </c>
      <c r="C2870" s="48">
        <f ca="1"/>
        <v>0.84013140076012316</v>
      </c>
      <c r="D2870" s="48">
        <f t="shared" ca="1" si="172"/>
        <v>0.72188790897452015</v>
      </c>
      <c r="E2870" s="48">
        <f t="shared" ca="1" si="173"/>
        <v>0</v>
      </c>
      <c r="F2870" s="17">
        <f t="shared" ca="1" si="174"/>
        <v>0</v>
      </c>
      <c r="H2870" s="17">
        <v>2855</v>
      </c>
      <c r="I2870" s="43">
        <v>0.66839775835164494</v>
      </c>
      <c r="J2870" s="43">
        <v>1.905598825731035E-2</v>
      </c>
      <c r="K2870" s="43"/>
      <c r="L2870" s="43">
        <v>0.252</v>
      </c>
      <c r="O2870" s="50"/>
    </row>
    <row r="2871" spans="2:15" x14ac:dyDescent="0.2">
      <c r="B2871">
        <v>2856</v>
      </c>
      <c r="C2871" s="48">
        <f ca="1"/>
        <v>0.27817726372687651</v>
      </c>
      <c r="D2871" s="48">
        <f t="shared" ca="1" si="172"/>
        <v>0.68298181882290665</v>
      </c>
      <c r="E2871" s="48">
        <f t="shared" ca="1" si="173"/>
        <v>0</v>
      </c>
      <c r="F2871" s="17">
        <f t="shared" ca="1" si="174"/>
        <v>0</v>
      </c>
      <c r="H2871" s="17">
        <v>2856</v>
      </c>
      <c r="I2871" s="43">
        <v>0.66915093017945659</v>
      </c>
      <c r="J2871" s="43">
        <v>1.9258938315780207E-2</v>
      </c>
      <c r="K2871" s="43"/>
      <c r="L2871" s="43">
        <v>0.24779999999999999</v>
      </c>
      <c r="O2871" s="50"/>
    </row>
    <row r="2872" spans="2:15" x14ac:dyDescent="0.2">
      <c r="B2872">
        <v>2857</v>
      </c>
      <c r="C2872" s="48">
        <f ca="1"/>
        <v>1.2019712844278423</v>
      </c>
      <c r="D2872" s="48">
        <f t="shared" ca="1" si="172"/>
        <v>0.74810456029451478</v>
      </c>
      <c r="E2872" s="48">
        <f t="shared" ca="1" si="173"/>
        <v>0</v>
      </c>
      <c r="F2872" s="17">
        <f t="shared" ca="1" si="174"/>
        <v>0</v>
      </c>
      <c r="H2872" s="17">
        <v>2857</v>
      </c>
      <c r="I2872" s="43">
        <v>0.66946138700817137</v>
      </c>
      <c r="J2872" s="43">
        <v>1.9839476495306329E-2</v>
      </c>
      <c r="K2872" s="43"/>
      <c r="L2872" s="43">
        <v>0.26019999999999999</v>
      </c>
      <c r="O2872" s="50"/>
    </row>
    <row r="2873" spans="2:15" x14ac:dyDescent="0.2">
      <c r="B2873">
        <v>2858</v>
      </c>
      <c r="C2873" s="48">
        <f ca="1"/>
        <v>-1.0694606306653065</v>
      </c>
      <c r="D2873" s="48">
        <f t="shared" ca="1" si="172"/>
        <v>0.59801033086350031</v>
      </c>
      <c r="E2873" s="48">
        <f t="shared" ca="1" si="173"/>
        <v>0</v>
      </c>
      <c r="F2873" s="17">
        <f t="shared" ca="1" si="174"/>
        <v>0</v>
      </c>
      <c r="H2873" s="17">
        <v>2858</v>
      </c>
      <c r="I2873" s="43">
        <v>0.66903902086564293</v>
      </c>
      <c r="J2873" s="43">
        <v>1.9564496471422093E-2</v>
      </c>
      <c r="K2873" s="43"/>
      <c r="L2873" s="43">
        <v>0.2596</v>
      </c>
      <c r="O2873" s="50"/>
    </row>
    <row r="2874" spans="2:15" x14ac:dyDescent="0.2">
      <c r="B2874">
        <v>2859</v>
      </c>
      <c r="C2874" s="48">
        <f ca="1"/>
        <v>-0.69438894883206737</v>
      </c>
      <c r="D2874" s="48">
        <f t="shared" ca="1" si="172"/>
        <v>0.62053710262376982</v>
      </c>
      <c r="E2874" s="48">
        <f t="shared" ca="1" si="173"/>
        <v>0</v>
      </c>
      <c r="F2874" s="17">
        <f t="shared" ca="1" si="174"/>
        <v>0</v>
      </c>
      <c r="H2874" s="17">
        <v>2859</v>
      </c>
      <c r="I2874" s="43">
        <v>0.67003512726182224</v>
      </c>
      <c r="J2874" s="43">
        <v>2.037224983316694E-2</v>
      </c>
      <c r="K2874" s="43"/>
      <c r="L2874" s="43">
        <v>0.25600000000000001</v>
      </c>
      <c r="O2874" s="50"/>
    </row>
    <row r="2875" spans="2:15" x14ac:dyDescent="0.2">
      <c r="B2875">
        <v>2860</v>
      </c>
      <c r="C2875" s="48">
        <f ca="1"/>
        <v>0.15554706009107933</v>
      </c>
      <c r="D2875" s="48">
        <f t="shared" ca="1" si="172"/>
        <v>0.67477441710861374</v>
      </c>
      <c r="E2875" s="48">
        <f t="shared" ca="1" si="173"/>
        <v>0</v>
      </c>
      <c r="F2875" s="17">
        <f t="shared" ca="1" si="174"/>
        <v>0</v>
      </c>
      <c r="H2875" s="17">
        <v>2860</v>
      </c>
      <c r="I2875" s="43">
        <v>0.66878213686258392</v>
      </c>
      <c r="J2875" s="43">
        <v>1.9176148446702398E-2</v>
      </c>
      <c r="K2875" s="43"/>
      <c r="L2875" s="43">
        <v>0.25340000000000001</v>
      </c>
      <c r="O2875" s="50"/>
    </row>
    <row r="2876" spans="2:15" x14ac:dyDescent="0.2">
      <c r="B2876">
        <v>2861</v>
      </c>
      <c r="C2876" s="48">
        <f ca="1"/>
        <v>1.2051600768988795</v>
      </c>
      <c r="D2876" s="48">
        <f t="shared" ca="1" si="172"/>
        <v>0.74833978262370437</v>
      </c>
      <c r="E2876" s="48">
        <f t="shared" ca="1" si="173"/>
        <v>0</v>
      </c>
      <c r="F2876" s="17">
        <f t="shared" ca="1" si="174"/>
        <v>0</v>
      </c>
      <c r="H2876" s="17">
        <v>2861</v>
      </c>
      <c r="I2876" s="43">
        <v>0.66891957951290337</v>
      </c>
      <c r="J2876" s="43">
        <v>1.9125647034632796E-2</v>
      </c>
      <c r="K2876" s="43"/>
      <c r="L2876" s="43">
        <v>0.24179999999999999</v>
      </c>
      <c r="O2876" s="50"/>
    </row>
    <row r="2877" spans="2:15" x14ac:dyDescent="0.2">
      <c r="B2877">
        <v>2862</v>
      </c>
      <c r="C2877" s="48">
        <f ca="1"/>
        <v>0.17224503183686893</v>
      </c>
      <c r="D2877" s="48">
        <f t="shared" ca="1" si="172"/>
        <v>0.67588615285561837</v>
      </c>
      <c r="E2877" s="48">
        <f t="shared" ca="1" si="173"/>
        <v>0</v>
      </c>
      <c r="F2877" s="17">
        <f t="shared" ca="1" si="174"/>
        <v>0</v>
      </c>
      <c r="H2877" s="17">
        <v>2862</v>
      </c>
      <c r="I2877" s="43">
        <v>0.6680171886627071</v>
      </c>
      <c r="J2877" s="43">
        <v>1.8565447214071221E-2</v>
      </c>
      <c r="K2877" s="43"/>
      <c r="L2877" s="43">
        <v>0.24460000000000001</v>
      </c>
      <c r="O2877" s="50"/>
    </row>
    <row r="2878" spans="2:15" x14ac:dyDescent="0.2">
      <c r="B2878">
        <v>2863</v>
      </c>
      <c r="C2878" s="48">
        <f ca="1"/>
        <v>-0.58825657441365831</v>
      </c>
      <c r="D2878" s="48">
        <f t="shared" ca="1" si="172"/>
        <v>0.62706406962903016</v>
      </c>
      <c r="E2878" s="48">
        <f t="shared" ca="1" si="173"/>
        <v>0</v>
      </c>
      <c r="F2878" s="17">
        <f t="shared" ca="1" si="174"/>
        <v>0</v>
      </c>
      <c r="H2878" s="17">
        <v>2863</v>
      </c>
      <c r="I2878" s="43">
        <v>0.66902956266528735</v>
      </c>
      <c r="J2878" s="43">
        <v>1.9795894067378403E-2</v>
      </c>
      <c r="K2878" s="43"/>
      <c r="L2878" s="43">
        <v>0.25340000000000001</v>
      </c>
      <c r="O2878" s="50"/>
    </row>
    <row r="2879" spans="2:15" x14ac:dyDescent="0.2">
      <c r="B2879">
        <v>2864</v>
      </c>
      <c r="C2879" s="48">
        <f ca="1"/>
        <v>0.42298040703311507</v>
      </c>
      <c r="D2879" s="48">
        <f t="shared" ca="1" si="172"/>
        <v>0.6928018413899234</v>
      </c>
      <c r="E2879" s="48">
        <f t="shared" ca="1" si="173"/>
        <v>0</v>
      </c>
      <c r="F2879" s="17">
        <f t="shared" ca="1" si="174"/>
        <v>0</v>
      </c>
      <c r="H2879" s="17">
        <v>2864</v>
      </c>
      <c r="I2879" s="43">
        <v>0.66965663198348468</v>
      </c>
      <c r="J2879" s="43">
        <v>2.0002962248863217E-2</v>
      </c>
      <c r="K2879" s="43"/>
      <c r="L2879" s="43">
        <v>0.25359999999999999</v>
      </c>
      <c r="O2879" s="50"/>
    </row>
    <row r="2880" spans="2:15" x14ac:dyDescent="0.2">
      <c r="B2880">
        <v>2865</v>
      </c>
      <c r="C2880" s="48">
        <f ca="1"/>
        <v>1.2936170694615559</v>
      </c>
      <c r="D2880" s="48">
        <f t="shared" ca="1" si="172"/>
        <v>0.75489440667126573</v>
      </c>
      <c r="E2880" s="48">
        <f t="shared" ca="1" si="173"/>
        <v>0</v>
      </c>
      <c r="F2880" s="17">
        <f t="shared" ca="1" si="174"/>
        <v>0</v>
      </c>
      <c r="H2880" s="17">
        <v>2865</v>
      </c>
      <c r="I2880" s="43">
        <v>0.66961800769838964</v>
      </c>
      <c r="J2880" s="43">
        <v>1.9798745930180196E-2</v>
      </c>
      <c r="K2880" s="43"/>
      <c r="L2880" s="43">
        <v>0.25280000000000002</v>
      </c>
      <c r="O2880" s="50"/>
    </row>
    <row r="2881" spans="2:15" x14ac:dyDescent="0.2">
      <c r="B2881">
        <v>2866</v>
      </c>
      <c r="C2881" s="48">
        <f ca="1"/>
        <v>-0.7211394406075321</v>
      </c>
      <c r="D2881" s="48">
        <f t="shared" ca="1" si="172"/>
        <v>0.61890273896856229</v>
      </c>
      <c r="E2881" s="48">
        <f t="shared" ca="1" si="173"/>
        <v>0</v>
      </c>
      <c r="F2881" s="17">
        <f t="shared" ca="1" si="174"/>
        <v>0</v>
      </c>
      <c r="H2881" s="17">
        <v>2866</v>
      </c>
      <c r="I2881" s="43">
        <v>0.66923183545270992</v>
      </c>
      <c r="J2881" s="43">
        <v>1.9646729829041636E-2</v>
      </c>
      <c r="K2881" s="43"/>
      <c r="L2881" s="43">
        <v>0.24779999999999999</v>
      </c>
      <c r="O2881" s="50"/>
    </row>
    <row r="2882" spans="2:15" x14ac:dyDescent="0.2">
      <c r="B2882">
        <v>2867</v>
      </c>
      <c r="C2882" s="48">
        <f ca="1"/>
        <v>-2.027370793004875</v>
      </c>
      <c r="D2882" s="48">
        <f t="shared" ca="1" si="172"/>
        <v>0.54412015212593723</v>
      </c>
      <c r="E2882" s="48">
        <f t="shared" ca="1" si="173"/>
        <v>0</v>
      </c>
      <c r="F2882" s="17">
        <f t="shared" ca="1" si="174"/>
        <v>0</v>
      </c>
      <c r="H2882" s="17">
        <v>2867</v>
      </c>
      <c r="I2882" s="43">
        <v>0.66818780257987709</v>
      </c>
      <c r="J2882" s="43">
        <v>1.8897135042079984E-2</v>
      </c>
      <c r="K2882" s="43"/>
      <c r="L2882" s="43">
        <v>0.25280000000000002</v>
      </c>
      <c r="O2882" s="50"/>
    </row>
    <row r="2883" spans="2:15" x14ac:dyDescent="0.2">
      <c r="B2883">
        <v>2868</v>
      </c>
      <c r="C2883" s="48">
        <f ca="1"/>
        <v>0.28091752540571008</v>
      </c>
      <c r="D2883" s="48">
        <f t="shared" ca="1" si="172"/>
        <v>0.68316635501960477</v>
      </c>
      <c r="E2883" s="48">
        <f t="shared" ca="1" si="173"/>
        <v>0</v>
      </c>
      <c r="F2883" s="17">
        <f t="shared" ca="1" si="174"/>
        <v>0</v>
      </c>
      <c r="H2883" s="17">
        <v>2868</v>
      </c>
      <c r="I2883" s="43">
        <v>0.6700957202299932</v>
      </c>
      <c r="J2883" s="43">
        <v>2.040105531421952E-2</v>
      </c>
      <c r="K2883" s="43"/>
      <c r="L2883" s="43">
        <v>0.25119999999999998</v>
      </c>
      <c r="O2883" s="50"/>
    </row>
    <row r="2884" spans="2:15" x14ac:dyDescent="0.2">
      <c r="B2884">
        <v>2869</v>
      </c>
      <c r="C2884" s="48">
        <f ca="1"/>
        <v>0.54340821138765882</v>
      </c>
      <c r="D2884" s="48">
        <f t="shared" ca="1" si="172"/>
        <v>0.7010762733862943</v>
      </c>
      <c r="E2884" s="48">
        <f t="shared" ca="1" si="173"/>
        <v>0</v>
      </c>
      <c r="F2884" s="17">
        <f t="shared" ca="1" si="174"/>
        <v>0</v>
      </c>
      <c r="H2884" s="17">
        <v>2869</v>
      </c>
      <c r="I2884" s="43">
        <v>0.66896762191618486</v>
      </c>
      <c r="J2884" s="43">
        <v>1.9506249338963364E-2</v>
      </c>
      <c r="K2884" s="43"/>
      <c r="L2884" s="43">
        <v>0.25700000000000001</v>
      </c>
      <c r="O2884" s="50"/>
    </row>
    <row r="2885" spans="2:15" x14ac:dyDescent="0.2">
      <c r="B2885">
        <v>2870</v>
      </c>
      <c r="C2885" s="48">
        <f ca="1"/>
        <v>1.2556109420703554</v>
      </c>
      <c r="D2885" s="48">
        <f t="shared" ca="1" si="172"/>
        <v>0.75207116427748133</v>
      </c>
      <c r="E2885" s="48">
        <f t="shared" ca="1" si="173"/>
        <v>0</v>
      </c>
      <c r="F2885" s="17">
        <f t="shared" ca="1" si="174"/>
        <v>0</v>
      </c>
      <c r="H2885" s="17">
        <v>2870</v>
      </c>
      <c r="I2885" s="43">
        <v>0.66899591058186392</v>
      </c>
      <c r="J2885" s="43">
        <v>1.9610883081357659E-2</v>
      </c>
      <c r="K2885" s="43"/>
      <c r="L2885" s="43">
        <v>0.25319999999999998</v>
      </c>
      <c r="O2885" s="50"/>
    </row>
    <row r="2886" spans="2:15" x14ac:dyDescent="0.2">
      <c r="B2886">
        <v>2871</v>
      </c>
      <c r="C2886" s="48">
        <f ca="1"/>
        <v>0.82122733321667996</v>
      </c>
      <c r="D2886" s="48">
        <f t="shared" ca="1" si="172"/>
        <v>0.72054377637788303</v>
      </c>
      <c r="E2886" s="48">
        <f t="shared" ca="1" si="173"/>
        <v>0</v>
      </c>
      <c r="F2886" s="17">
        <f t="shared" ca="1" si="174"/>
        <v>0</v>
      </c>
      <c r="H2886" s="17">
        <v>2871</v>
      </c>
      <c r="I2886" s="43">
        <v>0.66926760636338545</v>
      </c>
      <c r="J2886" s="43">
        <v>1.9426440547662505E-2</v>
      </c>
      <c r="K2886" s="43"/>
      <c r="L2886" s="43">
        <v>0.24759999999999999</v>
      </c>
      <c r="O2886" s="50"/>
    </row>
    <row r="2887" spans="2:15" x14ac:dyDescent="0.2">
      <c r="B2887">
        <v>2872</v>
      </c>
      <c r="C2887" s="48">
        <f ca="1"/>
        <v>-0.59957927737756178</v>
      </c>
      <c r="D2887" s="48">
        <f t="shared" ca="1" si="172"/>
        <v>0.62636448319755345</v>
      </c>
      <c r="E2887" s="48">
        <f t="shared" ca="1" si="173"/>
        <v>0</v>
      </c>
      <c r="F2887" s="17">
        <f t="shared" ca="1" si="174"/>
        <v>0</v>
      </c>
      <c r="H2887" s="17">
        <v>2872</v>
      </c>
      <c r="I2887" s="43">
        <v>0.6680010044401985</v>
      </c>
      <c r="J2887" s="43">
        <v>1.8915897734759893E-2</v>
      </c>
      <c r="K2887" s="43"/>
      <c r="L2887" s="43">
        <v>0.251</v>
      </c>
      <c r="O2887" s="50"/>
    </row>
    <row r="2888" spans="2:15" x14ac:dyDescent="0.2">
      <c r="B2888">
        <v>2873</v>
      </c>
      <c r="C2888" s="48">
        <f ca="1"/>
        <v>0.57374850294644475</v>
      </c>
      <c r="D2888" s="48">
        <f t="shared" ca="1" si="172"/>
        <v>0.7031764529428306</v>
      </c>
      <c r="E2888" s="48">
        <f t="shared" ca="1" si="173"/>
        <v>0</v>
      </c>
      <c r="F2888" s="17">
        <f t="shared" ca="1" si="174"/>
        <v>0</v>
      </c>
      <c r="H2888" s="17">
        <v>2873</v>
      </c>
      <c r="I2888" s="43">
        <v>0.66826308702668169</v>
      </c>
      <c r="J2888" s="43">
        <v>1.8856623550150369E-2</v>
      </c>
      <c r="K2888" s="43"/>
      <c r="L2888" s="43">
        <v>0.247</v>
      </c>
      <c r="O2888" s="50"/>
    </row>
    <row r="2889" spans="2:15" x14ac:dyDescent="0.2">
      <c r="B2889">
        <v>2874</v>
      </c>
      <c r="C2889" s="48">
        <f ca="1"/>
        <v>6.7992960179783943E-2</v>
      </c>
      <c r="D2889" s="48">
        <f t="shared" ca="1" si="172"/>
        <v>0.66897500718619474</v>
      </c>
      <c r="E2889" s="48">
        <f t="shared" ca="1" si="173"/>
        <v>0</v>
      </c>
      <c r="F2889" s="17">
        <f t="shared" ca="1" si="174"/>
        <v>0</v>
      </c>
      <c r="H2889" s="17">
        <v>2874</v>
      </c>
      <c r="I2889" s="43">
        <v>0.67003407285798944</v>
      </c>
      <c r="J2889" s="43">
        <v>1.9855023450614323E-2</v>
      </c>
      <c r="K2889" s="43"/>
      <c r="L2889" s="43">
        <v>0.24179999999999999</v>
      </c>
      <c r="O2889" s="50"/>
    </row>
    <row r="2890" spans="2:15" x14ac:dyDescent="0.2">
      <c r="B2890">
        <v>2875</v>
      </c>
      <c r="C2890" s="48">
        <f ca="1"/>
        <v>0.2491981670780565</v>
      </c>
      <c r="D2890" s="48">
        <f t="shared" ca="1" si="172"/>
        <v>0.68103334098746349</v>
      </c>
      <c r="E2890" s="48">
        <f t="shared" ca="1" si="173"/>
        <v>0</v>
      </c>
      <c r="F2890" s="17">
        <f t="shared" ca="1" si="174"/>
        <v>0</v>
      </c>
      <c r="H2890" s="17">
        <v>2875</v>
      </c>
      <c r="I2890" s="43">
        <v>0.66889324873257261</v>
      </c>
      <c r="J2890" s="43">
        <v>1.9432322976098492E-2</v>
      </c>
      <c r="K2890" s="43"/>
      <c r="L2890" s="43">
        <v>0.251</v>
      </c>
      <c r="O2890" s="50"/>
    </row>
    <row r="2891" spans="2:15" x14ac:dyDescent="0.2">
      <c r="B2891">
        <v>2876</v>
      </c>
      <c r="C2891" s="48">
        <f ca="1"/>
        <v>2.1579179637937047</v>
      </c>
      <c r="D2891" s="48">
        <f t="shared" ca="1" si="172"/>
        <v>0.82203840799807559</v>
      </c>
      <c r="E2891" s="48">
        <f t="shared" ca="1" si="173"/>
        <v>3.3838407998075581E-2</v>
      </c>
      <c r="F2891" s="17">
        <f t="shared" ca="1" si="174"/>
        <v>1</v>
      </c>
      <c r="H2891" s="17">
        <v>2876</v>
      </c>
      <c r="I2891" s="43">
        <v>0.66877079357967084</v>
      </c>
      <c r="J2891" s="43">
        <v>1.9145016966383516E-2</v>
      </c>
      <c r="K2891" s="43"/>
      <c r="L2891" s="43">
        <v>0.24579999999999999</v>
      </c>
      <c r="O2891" s="50"/>
    </row>
    <row r="2892" spans="2:15" x14ac:dyDescent="0.2">
      <c r="B2892">
        <v>2877</v>
      </c>
      <c r="C2892" s="48">
        <f ca="1"/>
        <v>-0.90108441671142703</v>
      </c>
      <c r="D2892" s="48">
        <f t="shared" ca="1" si="172"/>
        <v>0.60802002324430027</v>
      </c>
      <c r="E2892" s="48">
        <f t="shared" ca="1" si="173"/>
        <v>0</v>
      </c>
      <c r="F2892" s="17">
        <f t="shared" ca="1" si="174"/>
        <v>0</v>
      </c>
      <c r="H2892" s="17">
        <v>2877</v>
      </c>
      <c r="I2892" s="43">
        <v>0.6677136027491648</v>
      </c>
      <c r="J2892" s="43">
        <v>1.850111808522446E-2</v>
      </c>
      <c r="K2892" s="43"/>
      <c r="L2892" s="43">
        <v>0.246</v>
      </c>
      <c r="O2892" s="50"/>
    </row>
    <row r="2893" spans="2:15" x14ac:dyDescent="0.2">
      <c r="B2893">
        <v>2878</v>
      </c>
      <c r="C2893" s="48">
        <f ca="1"/>
        <v>0.57315617919159778</v>
      </c>
      <c r="D2893" s="48">
        <f t="shared" ca="1" si="172"/>
        <v>0.70313539166036831</v>
      </c>
      <c r="E2893" s="48">
        <f t="shared" ca="1" si="173"/>
        <v>0</v>
      </c>
      <c r="F2893" s="17">
        <f t="shared" ca="1" si="174"/>
        <v>0</v>
      </c>
      <c r="H2893" s="17">
        <v>2878</v>
      </c>
      <c r="I2893" s="43">
        <v>0.66790213317284119</v>
      </c>
      <c r="J2893" s="43">
        <v>1.8506544401158977E-2</v>
      </c>
      <c r="K2893" s="43"/>
      <c r="L2893" s="43">
        <v>0.24099999999999999</v>
      </c>
      <c r="O2893" s="50"/>
    </row>
    <row r="2894" spans="2:15" x14ac:dyDescent="0.2">
      <c r="B2894">
        <v>2879</v>
      </c>
      <c r="C2894" s="48">
        <f ca="1"/>
        <v>-0.38774893667511151</v>
      </c>
      <c r="D2894" s="48">
        <f t="shared" ca="1" si="172"/>
        <v>0.63958290982066868</v>
      </c>
      <c r="E2894" s="48">
        <f t="shared" ca="1" si="173"/>
        <v>0</v>
      </c>
      <c r="F2894" s="17">
        <f t="shared" ca="1" si="174"/>
        <v>0</v>
      </c>
      <c r="H2894" s="17">
        <v>2879</v>
      </c>
      <c r="I2894" s="43">
        <v>0.66852664449914279</v>
      </c>
      <c r="J2894" s="43">
        <v>1.8871008955464647E-2</v>
      </c>
      <c r="K2894" s="43"/>
      <c r="L2894" s="43">
        <v>0.24640000000000001</v>
      </c>
      <c r="O2894" s="50"/>
    </row>
    <row r="2895" spans="2:15" x14ac:dyDescent="0.2">
      <c r="B2895">
        <v>2880</v>
      </c>
      <c r="C2895" s="48">
        <f ca="1"/>
        <v>-0.83090438776041631</v>
      </c>
      <c r="D2895" s="48">
        <f t="shared" ca="1" si="172"/>
        <v>0.61224142246206115</v>
      </c>
      <c r="E2895" s="48">
        <f t="shared" ca="1" si="173"/>
        <v>0</v>
      </c>
      <c r="F2895" s="17">
        <f t="shared" ca="1" si="174"/>
        <v>0</v>
      </c>
      <c r="H2895" s="17">
        <v>2880</v>
      </c>
      <c r="I2895" s="43">
        <v>0.67005210166753681</v>
      </c>
      <c r="J2895" s="43">
        <v>2.0221798738319981E-2</v>
      </c>
      <c r="K2895" s="43"/>
      <c r="L2895" s="43">
        <v>0.25659999999999999</v>
      </c>
      <c r="O2895" s="50"/>
    </row>
    <row r="2896" spans="2:15" x14ac:dyDescent="0.2">
      <c r="B2896">
        <v>2881</v>
      </c>
      <c r="C2896" s="48">
        <f ca="1"/>
        <v>-0.17126162854628976</v>
      </c>
      <c r="D2896" s="48">
        <f t="shared" ref="D2896:D2959" ca="1" si="175">S0*EXP((μ-0.5*σ*σ)*T+σ*SQRT(T)*$C2896)</f>
        <v>0.65338020049650203</v>
      </c>
      <c r="E2896" s="48">
        <f t="shared" ref="E2896:E2959" ca="1" si="176">MAX(0,CP*(D2896-K))</f>
        <v>0</v>
      </c>
      <c r="F2896" s="17">
        <f t="shared" ref="F2896:F2959" ca="1" si="177">(CP*(D2896-K)&gt;0)*1</f>
        <v>0</v>
      </c>
      <c r="H2896" s="17">
        <v>2881</v>
      </c>
      <c r="I2896" s="43">
        <v>0.66768937667846462</v>
      </c>
      <c r="J2896" s="43">
        <v>1.8277988598891601E-2</v>
      </c>
      <c r="K2896" s="43"/>
      <c r="L2896" s="43">
        <v>0.24160000000000001</v>
      </c>
      <c r="O2896" s="50"/>
    </row>
    <row r="2897" spans="2:15" x14ac:dyDescent="0.2">
      <c r="B2897">
        <v>2882</v>
      </c>
      <c r="C2897" s="48">
        <f ca="1"/>
        <v>1.9586950892814832</v>
      </c>
      <c r="D2897" s="48">
        <f t="shared" ca="1" si="175"/>
        <v>0.80605037448124761</v>
      </c>
      <c r="E2897" s="48">
        <f t="shared" ca="1" si="176"/>
        <v>1.78503744812476E-2</v>
      </c>
      <c r="F2897" s="17">
        <f t="shared" ca="1" si="177"/>
        <v>1</v>
      </c>
      <c r="H2897" s="17">
        <v>2882</v>
      </c>
      <c r="I2897" s="43">
        <v>0.66903003256721372</v>
      </c>
      <c r="J2897" s="43">
        <v>1.9489431142238743E-2</v>
      </c>
      <c r="K2897" s="43"/>
      <c r="L2897" s="43">
        <v>0.25159999999999999</v>
      </c>
      <c r="O2897" s="50"/>
    </row>
    <row r="2898" spans="2:15" x14ac:dyDescent="0.2">
      <c r="B2898">
        <v>2883</v>
      </c>
      <c r="C2898" s="48">
        <f ca="1"/>
        <v>-0.26855185238934504</v>
      </c>
      <c r="D2898" s="48">
        <f t="shared" ca="1" si="175"/>
        <v>0.64714320013917315</v>
      </c>
      <c r="E2898" s="48">
        <f t="shared" ca="1" si="176"/>
        <v>0</v>
      </c>
      <c r="F2898" s="17">
        <f t="shared" ca="1" si="177"/>
        <v>0</v>
      </c>
      <c r="H2898" s="17">
        <v>2883</v>
      </c>
      <c r="I2898" s="43">
        <v>0.66899565408721651</v>
      </c>
      <c r="J2898" s="43">
        <v>1.9508458388554341E-2</v>
      </c>
      <c r="K2898" s="43"/>
      <c r="L2898" s="43">
        <v>0.25180000000000002</v>
      </c>
      <c r="O2898" s="50"/>
    </row>
    <row r="2899" spans="2:15" x14ac:dyDescent="0.2">
      <c r="B2899">
        <v>2884</v>
      </c>
      <c r="C2899" s="48">
        <f ca="1"/>
        <v>-1.0708899679586257</v>
      </c>
      <c r="D2899" s="48">
        <f t="shared" ca="1" si="175"/>
        <v>0.5979260683259856</v>
      </c>
      <c r="E2899" s="48">
        <f t="shared" ca="1" si="176"/>
        <v>0</v>
      </c>
      <c r="F2899" s="17">
        <f t="shared" ca="1" si="177"/>
        <v>0</v>
      </c>
      <c r="H2899" s="17">
        <v>2884</v>
      </c>
      <c r="I2899" s="43">
        <v>0.66812427914382022</v>
      </c>
      <c r="J2899" s="43">
        <v>1.8509598461197097E-2</v>
      </c>
      <c r="K2899" s="43"/>
      <c r="L2899" s="43">
        <v>0.2412</v>
      </c>
      <c r="O2899" s="50"/>
    </row>
    <row r="2900" spans="2:15" x14ac:dyDescent="0.2">
      <c r="B2900">
        <v>2885</v>
      </c>
      <c r="C2900" s="48">
        <f ca="1"/>
        <v>9.7447306989465979E-2</v>
      </c>
      <c r="D2900" s="48">
        <f t="shared" ca="1" si="175"/>
        <v>0.67092041976971628</v>
      </c>
      <c r="E2900" s="48">
        <f t="shared" ca="1" si="176"/>
        <v>0</v>
      </c>
      <c r="F2900" s="17">
        <f t="shared" ca="1" si="177"/>
        <v>0</v>
      </c>
      <c r="H2900" s="17">
        <v>2885</v>
      </c>
      <c r="I2900" s="43">
        <v>0.66810812262002606</v>
      </c>
      <c r="J2900" s="43">
        <v>1.8366913876811154E-2</v>
      </c>
      <c r="K2900" s="43"/>
      <c r="L2900" s="43">
        <v>0.2394</v>
      </c>
      <c r="O2900" s="50"/>
    </row>
    <row r="2901" spans="2:15" x14ac:dyDescent="0.2">
      <c r="B2901">
        <v>2886</v>
      </c>
      <c r="C2901" s="48">
        <f ca="1"/>
        <v>-1.8282931852177537</v>
      </c>
      <c r="D2901" s="48">
        <f t="shared" ca="1" si="175"/>
        <v>0.55490484465835432</v>
      </c>
      <c r="E2901" s="48">
        <f t="shared" ca="1" si="176"/>
        <v>0</v>
      </c>
      <c r="F2901" s="17">
        <f t="shared" ca="1" si="177"/>
        <v>0</v>
      </c>
      <c r="H2901" s="17">
        <v>2886</v>
      </c>
      <c r="I2901" s="43">
        <v>0.66875718110537574</v>
      </c>
      <c r="J2901" s="43">
        <v>1.9468173399350974E-2</v>
      </c>
      <c r="K2901" s="43"/>
      <c r="L2901" s="43">
        <v>0.25180000000000002</v>
      </c>
      <c r="O2901" s="50"/>
    </row>
    <row r="2902" spans="2:15" x14ac:dyDescent="0.2">
      <c r="B2902">
        <v>2887</v>
      </c>
      <c r="C2902" s="48">
        <f ca="1"/>
        <v>0.33605487514106996</v>
      </c>
      <c r="D2902" s="48">
        <f t="shared" ca="1" si="175"/>
        <v>0.68689005765807654</v>
      </c>
      <c r="E2902" s="48">
        <f t="shared" ca="1" si="176"/>
        <v>0</v>
      </c>
      <c r="F2902" s="17">
        <f t="shared" ca="1" si="177"/>
        <v>0</v>
      </c>
      <c r="H2902" s="17">
        <v>2887</v>
      </c>
      <c r="I2902" s="43">
        <v>0.66841239611901737</v>
      </c>
      <c r="J2902" s="43">
        <v>1.889817740615931E-2</v>
      </c>
      <c r="K2902" s="43"/>
      <c r="L2902" s="43">
        <v>0.24660000000000001</v>
      </c>
      <c r="O2902" s="50"/>
    </row>
    <row r="2903" spans="2:15" x14ac:dyDescent="0.2">
      <c r="B2903">
        <v>2888</v>
      </c>
      <c r="C2903" s="48">
        <f ca="1"/>
        <v>0.65089059254317339</v>
      </c>
      <c r="D2903" s="48">
        <f t="shared" ca="1" si="175"/>
        <v>0.70854466845571462</v>
      </c>
      <c r="E2903" s="48">
        <f t="shared" ca="1" si="176"/>
        <v>0</v>
      </c>
      <c r="F2903" s="17">
        <f t="shared" ca="1" si="177"/>
        <v>0</v>
      </c>
      <c r="H2903" s="17">
        <v>2888</v>
      </c>
      <c r="I2903" s="43">
        <v>0.66945777518553196</v>
      </c>
      <c r="J2903" s="43">
        <v>1.9916249298560691E-2</v>
      </c>
      <c r="K2903" s="43"/>
      <c r="L2903" s="43">
        <v>0.25719999999999998</v>
      </c>
      <c r="O2903" s="50"/>
    </row>
    <row r="2904" spans="2:15" x14ac:dyDescent="0.2">
      <c r="B2904">
        <v>2889</v>
      </c>
      <c r="C2904" s="48">
        <f ca="1"/>
        <v>5.865768622873628E-2</v>
      </c>
      <c r="D2904" s="48">
        <f t="shared" ca="1" si="175"/>
        <v>0.66835960526681637</v>
      </c>
      <c r="E2904" s="48">
        <f t="shared" ca="1" si="176"/>
        <v>0</v>
      </c>
      <c r="F2904" s="17">
        <f t="shared" ca="1" si="177"/>
        <v>0</v>
      </c>
      <c r="H2904" s="17">
        <v>2889</v>
      </c>
      <c r="I2904" s="43">
        <v>0.66899059978746644</v>
      </c>
      <c r="J2904" s="43">
        <v>1.9156333080836301E-2</v>
      </c>
      <c r="K2904" s="43"/>
      <c r="L2904" s="43">
        <v>0.249</v>
      </c>
      <c r="O2904" s="50"/>
    </row>
    <row r="2905" spans="2:15" x14ac:dyDescent="0.2">
      <c r="B2905">
        <v>2890</v>
      </c>
      <c r="C2905" s="48">
        <f ca="1"/>
        <v>0.70509069243747913</v>
      </c>
      <c r="D2905" s="48">
        <f t="shared" ca="1" si="175"/>
        <v>0.71234087535594337</v>
      </c>
      <c r="E2905" s="48">
        <f t="shared" ca="1" si="176"/>
        <v>0</v>
      </c>
      <c r="F2905" s="17">
        <f t="shared" ca="1" si="177"/>
        <v>0</v>
      </c>
      <c r="H2905" s="17">
        <v>2890</v>
      </c>
      <c r="I2905" s="43">
        <v>0.67023102495208475</v>
      </c>
      <c r="J2905" s="43">
        <v>2.0513385587408214E-2</v>
      </c>
      <c r="K2905" s="43"/>
      <c r="L2905" s="43">
        <v>0.25480000000000003</v>
      </c>
      <c r="O2905" s="50"/>
    </row>
    <row r="2906" spans="2:15" x14ac:dyDescent="0.2">
      <c r="B2906">
        <v>2891</v>
      </c>
      <c r="C2906" s="48">
        <f ca="1"/>
        <v>-0.64619791252896097</v>
      </c>
      <c r="D2906" s="48">
        <f t="shared" ca="1" si="175"/>
        <v>0.62349230904422837</v>
      </c>
      <c r="E2906" s="48">
        <f t="shared" ca="1" si="176"/>
        <v>0</v>
      </c>
      <c r="F2906" s="17">
        <f t="shared" ca="1" si="177"/>
        <v>0</v>
      </c>
      <c r="H2906" s="17">
        <v>2891</v>
      </c>
      <c r="I2906" s="43">
        <v>0.66858316967595255</v>
      </c>
      <c r="J2906" s="43">
        <v>1.9134528452947001E-2</v>
      </c>
      <c r="K2906" s="43"/>
      <c r="L2906" s="43">
        <v>0.251</v>
      </c>
      <c r="O2906" s="50"/>
    </row>
    <row r="2907" spans="2:15" x14ac:dyDescent="0.2">
      <c r="B2907">
        <v>2892</v>
      </c>
      <c r="C2907" s="48">
        <f ca="1"/>
        <v>-1.4172748128594421</v>
      </c>
      <c r="D2907" s="48">
        <f t="shared" ca="1" si="175"/>
        <v>0.57785207443217956</v>
      </c>
      <c r="E2907" s="48">
        <f t="shared" ca="1" si="176"/>
        <v>0</v>
      </c>
      <c r="F2907" s="17">
        <f t="shared" ca="1" si="177"/>
        <v>0</v>
      </c>
      <c r="H2907" s="17">
        <v>2892</v>
      </c>
      <c r="I2907" s="43">
        <v>0.66805601138787873</v>
      </c>
      <c r="J2907" s="43">
        <v>1.8855394783115549E-2</v>
      </c>
      <c r="K2907" s="43"/>
      <c r="L2907" s="43">
        <v>0.25359999999999999</v>
      </c>
      <c r="O2907" s="50"/>
    </row>
    <row r="2908" spans="2:15" x14ac:dyDescent="0.2">
      <c r="B2908">
        <v>2893</v>
      </c>
      <c r="C2908" s="48">
        <f ca="1"/>
        <v>-1.8279692767539948</v>
      </c>
      <c r="D2908" s="48">
        <f t="shared" ca="1" si="175"/>
        <v>0.55492256489296821</v>
      </c>
      <c r="E2908" s="48">
        <f t="shared" ca="1" si="176"/>
        <v>0</v>
      </c>
      <c r="F2908" s="17">
        <f t="shared" ca="1" si="177"/>
        <v>0</v>
      </c>
      <c r="H2908" s="17">
        <v>2893</v>
      </c>
      <c r="I2908" s="43">
        <v>0.66969033722109872</v>
      </c>
      <c r="J2908" s="43">
        <v>1.9760784335742687E-2</v>
      </c>
      <c r="K2908" s="43"/>
      <c r="L2908" s="43">
        <v>0.24859999999999999</v>
      </c>
      <c r="O2908" s="50"/>
    </row>
    <row r="2909" spans="2:15" x14ac:dyDescent="0.2">
      <c r="B2909">
        <v>2894</v>
      </c>
      <c r="C2909" s="48">
        <f ca="1"/>
        <v>-1.2966928345409727</v>
      </c>
      <c r="D2909" s="48">
        <f t="shared" ca="1" si="175"/>
        <v>0.58476249975215877</v>
      </c>
      <c r="E2909" s="48">
        <f t="shared" ca="1" si="176"/>
        <v>0</v>
      </c>
      <c r="F2909" s="17">
        <f t="shared" ca="1" si="177"/>
        <v>0</v>
      </c>
      <c r="H2909" s="17">
        <v>2894</v>
      </c>
      <c r="I2909" s="43">
        <v>0.66963445600110272</v>
      </c>
      <c r="J2909" s="43">
        <v>1.9827119587171829E-2</v>
      </c>
      <c r="K2909" s="43"/>
      <c r="L2909" s="43">
        <v>0.25840000000000002</v>
      </c>
      <c r="O2909" s="50"/>
    </row>
    <row r="2910" spans="2:15" x14ac:dyDescent="0.2">
      <c r="B2910">
        <v>2895</v>
      </c>
      <c r="C2910" s="48">
        <f ca="1"/>
        <v>-5.9875196962908689E-2</v>
      </c>
      <c r="D2910" s="48">
        <f t="shared" ca="1" si="175"/>
        <v>0.66059470857174363</v>
      </c>
      <c r="E2910" s="48">
        <f t="shared" ca="1" si="176"/>
        <v>0</v>
      </c>
      <c r="F2910" s="17">
        <f t="shared" ca="1" si="177"/>
        <v>0</v>
      </c>
      <c r="H2910" s="17">
        <v>2895</v>
      </c>
      <c r="I2910" s="43">
        <v>0.66932273078317484</v>
      </c>
      <c r="J2910" s="43">
        <v>1.9750840173137659E-2</v>
      </c>
      <c r="K2910" s="43"/>
      <c r="L2910" s="43">
        <v>0.252</v>
      </c>
      <c r="O2910" s="50"/>
    </row>
    <row r="2911" spans="2:15" x14ac:dyDescent="0.2">
      <c r="B2911">
        <v>2896</v>
      </c>
      <c r="C2911" s="48">
        <f ca="1"/>
        <v>0.3302258341319943</v>
      </c>
      <c r="D2911" s="48">
        <f t="shared" ca="1" si="175"/>
        <v>0.68649543567070992</v>
      </c>
      <c r="E2911" s="48">
        <f t="shared" ca="1" si="176"/>
        <v>0</v>
      </c>
      <c r="F2911" s="17">
        <f t="shared" ca="1" si="177"/>
        <v>0</v>
      </c>
      <c r="H2911" s="17">
        <v>2896</v>
      </c>
      <c r="I2911" s="43">
        <v>0.66908818985492546</v>
      </c>
      <c r="J2911" s="43">
        <v>1.9294934367409498E-2</v>
      </c>
      <c r="K2911" s="43"/>
      <c r="L2911" s="43">
        <v>0.2462</v>
      </c>
      <c r="O2911" s="50"/>
    </row>
    <row r="2912" spans="2:15" x14ac:dyDescent="0.2">
      <c r="B2912">
        <v>2897</v>
      </c>
      <c r="C2912" s="48">
        <f ca="1"/>
        <v>1.4855360128905089</v>
      </c>
      <c r="D2912" s="48">
        <f t="shared" ca="1" si="175"/>
        <v>0.76931359620355533</v>
      </c>
      <c r="E2912" s="48">
        <f t="shared" ca="1" si="176"/>
        <v>0</v>
      </c>
      <c r="F2912" s="17">
        <f t="shared" ca="1" si="177"/>
        <v>0</v>
      </c>
      <c r="H2912" s="17">
        <v>2897</v>
      </c>
      <c r="I2912" s="43">
        <v>0.66951051528637495</v>
      </c>
      <c r="J2912" s="43">
        <v>1.9764410639310857E-2</v>
      </c>
      <c r="K2912" s="43"/>
      <c r="L2912" s="43">
        <v>0.2482</v>
      </c>
      <c r="O2912" s="50"/>
    </row>
    <row r="2913" spans="2:15" x14ac:dyDescent="0.2">
      <c r="B2913">
        <v>2898</v>
      </c>
      <c r="C2913" s="48">
        <f ca="1"/>
        <v>0.44696037098207142</v>
      </c>
      <c r="D2913" s="48">
        <f t="shared" ca="1" si="175"/>
        <v>0.694441648419591</v>
      </c>
      <c r="E2913" s="48">
        <f t="shared" ca="1" si="176"/>
        <v>0</v>
      </c>
      <c r="F2913" s="17">
        <f t="shared" ca="1" si="177"/>
        <v>0</v>
      </c>
      <c r="H2913" s="17">
        <v>2898</v>
      </c>
      <c r="I2913" s="43">
        <v>0.66990857438956197</v>
      </c>
      <c r="J2913" s="43">
        <v>2.0078930691504942E-2</v>
      </c>
      <c r="K2913" s="43"/>
      <c r="L2913" s="43">
        <v>0.24759999999999999</v>
      </c>
      <c r="O2913" s="50"/>
    </row>
    <row r="2914" spans="2:15" x14ac:dyDescent="0.2">
      <c r="B2914">
        <v>2899</v>
      </c>
      <c r="C2914" s="48">
        <f ca="1"/>
        <v>-0.63981341521977597</v>
      </c>
      <c r="D2914" s="48">
        <f t="shared" ca="1" si="175"/>
        <v>0.62388487823793903</v>
      </c>
      <c r="E2914" s="48">
        <f t="shared" ca="1" si="176"/>
        <v>0</v>
      </c>
      <c r="F2914" s="17">
        <f t="shared" ca="1" si="177"/>
        <v>0</v>
      </c>
      <c r="H2914" s="17">
        <v>2899</v>
      </c>
      <c r="I2914" s="43">
        <v>0.66949845538984709</v>
      </c>
      <c r="J2914" s="43">
        <v>1.9899536439403225E-2</v>
      </c>
      <c r="K2914" s="43"/>
      <c r="L2914" s="43">
        <v>0.24940000000000001</v>
      </c>
      <c r="O2914" s="50"/>
    </row>
    <row r="2915" spans="2:15" x14ac:dyDescent="0.2">
      <c r="B2915">
        <v>2900</v>
      </c>
      <c r="C2915" s="48">
        <f ca="1"/>
        <v>1.3346884569151343</v>
      </c>
      <c r="D2915" s="48">
        <f t="shared" ca="1" si="175"/>
        <v>0.75795726461885249</v>
      </c>
      <c r="E2915" s="48">
        <f t="shared" ca="1" si="176"/>
        <v>0</v>
      </c>
      <c r="F2915" s="17">
        <f t="shared" ca="1" si="177"/>
        <v>0</v>
      </c>
      <c r="H2915" s="17">
        <v>2900</v>
      </c>
      <c r="I2915" s="43">
        <v>0.66878292122636862</v>
      </c>
      <c r="J2915" s="43">
        <v>1.9233242760092681E-2</v>
      </c>
      <c r="K2915" s="43"/>
      <c r="L2915" s="43">
        <v>0.25679999999999997</v>
      </c>
      <c r="O2915" s="50"/>
    </row>
    <row r="2916" spans="2:15" x14ac:dyDescent="0.2">
      <c r="B2916">
        <v>2901</v>
      </c>
      <c r="C2916" s="48">
        <f ca="1"/>
        <v>-0.64743174189071884</v>
      </c>
      <c r="D2916" s="48">
        <f t="shared" ca="1" si="175"/>
        <v>0.62341647198064365</v>
      </c>
      <c r="E2916" s="48">
        <f t="shared" ca="1" si="176"/>
        <v>0</v>
      </c>
      <c r="F2916" s="17">
        <f t="shared" ca="1" si="177"/>
        <v>0</v>
      </c>
      <c r="H2916" s="17">
        <v>2901</v>
      </c>
      <c r="I2916" s="43">
        <v>0.67014625454129162</v>
      </c>
      <c r="J2916" s="43">
        <v>2.0140217208986434E-2</v>
      </c>
      <c r="K2916" s="43"/>
      <c r="L2916" s="43">
        <v>0.255</v>
      </c>
      <c r="O2916" s="50"/>
    </row>
    <row r="2917" spans="2:15" x14ac:dyDescent="0.2">
      <c r="B2917">
        <v>2902</v>
      </c>
      <c r="C2917" s="48">
        <f ca="1"/>
        <v>-0.10023571244531182</v>
      </c>
      <c r="D2917" s="48">
        <f t="shared" ca="1" si="175"/>
        <v>0.65797139766873836</v>
      </c>
      <c r="E2917" s="48">
        <f t="shared" ca="1" si="176"/>
        <v>0</v>
      </c>
      <c r="F2917" s="17">
        <f t="shared" ca="1" si="177"/>
        <v>0</v>
      </c>
      <c r="H2917" s="17">
        <v>2902</v>
      </c>
      <c r="I2917" s="43">
        <v>0.6678839917707724</v>
      </c>
      <c r="J2917" s="43">
        <v>1.8607009241502517E-2</v>
      </c>
      <c r="K2917" s="43"/>
      <c r="L2917" s="43">
        <v>0.24399999999999999</v>
      </c>
      <c r="O2917" s="50"/>
    </row>
    <row r="2918" spans="2:15" x14ac:dyDescent="0.2">
      <c r="B2918">
        <v>2903</v>
      </c>
      <c r="C2918" s="48">
        <f ca="1"/>
        <v>0.51174729320577184</v>
      </c>
      <c r="D2918" s="48">
        <f t="shared" ca="1" si="175"/>
        <v>0.69889136679442521</v>
      </c>
      <c r="E2918" s="48">
        <f t="shared" ca="1" si="176"/>
        <v>0</v>
      </c>
      <c r="F2918" s="17">
        <f t="shared" ca="1" si="177"/>
        <v>0</v>
      </c>
      <c r="H2918" s="17">
        <v>2903</v>
      </c>
      <c r="I2918" s="43">
        <v>0.67000417437457094</v>
      </c>
      <c r="J2918" s="43">
        <v>2.0166086569882582E-2</v>
      </c>
      <c r="K2918" s="43"/>
      <c r="L2918" s="43">
        <v>0.25540000000000002</v>
      </c>
      <c r="O2918" s="50"/>
    </row>
    <row r="2919" spans="2:15" x14ac:dyDescent="0.2">
      <c r="B2919">
        <v>2904</v>
      </c>
      <c r="C2919" s="48">
        <f ca="1"/>
        <v>-0.79721008208574795</v>
      </c>
      <c r="D2919" s="48">
        <f t="shared" ca="1" si="175"/>
        <v>0.61427856993077889</v>
      </c>
      <c r="E2919" s="48">
        <f t="shared" ca="1" si="176"/>
        <v>0</v>
      </c>
      <c r="F2919" s="17">
        <f t="shared" ca="1" si="177"/>
        <v>0</v>
      </c>
      <c r="H2919" s="17">
        <v>2904</v>
      </c>
      <c r="I2919" s="43">
        <v>0.66833943048217248</v>
      </c>
      <c r="J2919" s="43">
        <v>1.8861522118888304E-2</v>
      </c>
      <c r="K2919" s="43"/>
      <c r="L2919" s="43">
        <v>0.25240000000000001</v>
      </c>
      <c r="O2919" s="50"/>
    </row>
    <row r="2920" spans="2:15" x14ac:dyDescent="0.2">
      <c r="B2920">
        <v>2905</v>
      </c>
      <c r="C2920" s="48">
        <f ca="1"/>
        <v>-8.0537377884009487E-3</v>
      </c>
      <c r="D2920" s="48">
        <f t="shared" ca="1" si="175"/>
        <v>0.66397828752371701</v>
      </c>
      <c r="E2920" s="48">
        <f t="shared" ca="1" si="176"/>
        <v>0</v>
      </c>
      <c r="F2920" s="17">
        <f t="shared" ca="1" si="177"/>
        <v>0</v>
      </c>
      <c r="H2920" s="17">
        <v>2905</v>
      </c>
      <c r="I2920" s="43">
        <v>0.66872722731392831</v>
      </c>
      <c r="J2920" s="43">
        <v>1.9204465541302888E-2</v>
      </c>
      <c r="K2920" s="43"/>
      <c r="L2920" s="43">
        <v>0.25140000000000001</v>
      </c>
      <c r="O2920" s="50"/>
    </row>
    <row r="2921" spans="2:15" x14ac:dyDescent="0.2">
      <c r="B2921">
        <v>2906</v>
      </c>
      <c r="C2921" s="48">
        <f ca="1"/>
        <v>-0.88570922342660319</v>
      </c>
      <c r="D2921" s="48">
        <f t="shared" ca="1" si="175"/>
        <v>0.60894235971129407</v>
      </c>
      <c r="E2921" s="48">
        <f t="shared" ca="1" si="176"/>
        <v>0</v>
      </c>
      <c r="F2921" s="17">
        <f t="shared" ca="1" si="177"/>
        <v>0</v>
      </c>
      <c r="H2921" s="17">
        <v>2906</v>
      </c>
      <c r="I2921" s="43">
        <v>0.66951232499328117</v>
      </c>
      <c r="J2921" s="43">
        <v>1.9721207513305132E-2</v>
      </c>
      <c r="K2921" s="43"/>
      <c r="L2921" s="43">
        <v>0.24979999999999999</v>
      </c>
      <c r="O2921" s="50"/>
    </row>
    <row r="2922" spans="2:15" x14ac:dyDescent="0.2">
      <c r="B2922">
        <v>2907</v>
      </c>
      <c r="C2922" s="48">
        <f ca="1"/>
        <v>0.79312109126421371</v>
      </c>
      <c r="D2922" s="48">
        <f t="shared" ca="1" si="175"/>
        <v>0.71854996847511665</v>
      </c>
      <c r="E2922" s="48">
        <f t="shared" ca="1" si="176"/>
        <v>0</v>
      </c>
      <c r="F2922" s="17">
        <f t="shared" ca="1" si="177"/>
        <v>0</v>
      </c>
      <c r="H2922" s="17">
        <v>2907</v>
      </c>
      <c r="I2922" s="43">
        <v>0.66907745679211439</v>
      </c>
      <c r="J2922" s="43">
        <v>1.9131845844209353E-2</v>
      </c>
      <c r="K2922" s="43"/>
      <c r="L2922" s="43">
        <v>0.24740000000000001</v>
      </c>
      <c r="O2922" s="50"/>
    </row>
    <row r="2923" spans="2:15" x14ac:dyDescent="0.2">
      <c r="B2923">
        <v>2908</v>
      </c>
      <c r="C2923" s="48">
        <f ca="1"/>
        <v>0.24497568770275219</v>
      </c>
      <c r="D2923" s="48">
        <f t="shared" ca="1" si="175"/>
        <v>0.68074989700602473</v>
      </c>
      <c r="E2923" s="48">
        <f t="shared" ca="1" si="176"/>
        <v>0</v>
      </c>
      <c r="F2923" s="17">
        <f t="shared" ca="1" si="177"/>
        <v>0</v>
      </c>
      <c r="H2923" s="17">
        <v>2908</v>
      </c>
      <c r="I2923" s="43">
        <v>0.66906928293084855</v>
      </c>
      <c r="J2923" s="43">
        <v>1.9430054531268465E-2</v>
      </c>
      <c r="K2923" s="43"/>
      <c r="L2923" s="43">
        <v>0.2492</v>
      </c>
      <c r="O2923" s="50"/>
    </row>
    <row r="2924" spans="2:15" x14ac:dyDescent="0.2">
      <c r="B2924">
        <v>2909</v>
      </c>
      <c r="C2924" s="48">
        <f ca="1"/>
        <v>-0.44014537488912153</v>
      </c>
      <c r="D2924" s="48">
        <f t="shared" ca="1" si="175"/>
        <v>0.63628757826738835</v>
      </c>
      <c r="E2924" s="48">
        <f t="shared" ca="1" si="176"/>
        <v>0</v>
      </c>
      <c r="F2924" s="17">
        <f t="shared" ca="1" si="177"/>
        <v>0</v>
      </c>
      <c r="H2924" s="17">
        <v>2909</v>
      </c>
      <c r="I2924" s="43">
        <v>0.66816844084112659</v>
      </c>
      <c r="J2924" s="43">
        <v>1.8489154365796161E-2</v>
      </c>
      <c r="K2924" s="43"/>
      <c r="L2924" s="43">
        <v>0.24340000000000001</v>
      </c>
      <c r="O2924" s="50"/>
    </row>
    <row r="2925" spans="2:15" x14ac:dyDescent="0.2">
      <c r="B2925">
        <v>2910</v>
      </c>
      <c r="C2925" s="48">
        <f ca="1"/>
        <v>0.79788610915859115</v>
      </c>
      <c r="D2925" s="48">
        <f t="shared" ca="1" si="175"/>
        <v>0.71888760175262578</v>
      </c>
      <c r="E2925" s="48">
        <f t="shared" ca="1" si="176"/>
        <v>0</v>
      </c>
      <c r="F2925" s="17">
        <f t="shared" ca="1" si="177"/>
        <v>0</v>
      </c>
      <c r="H2925" s="17">
        <v>2910</v>
      </c>
      <c r="I2925" s="43">
        <v>0.66790730146759514</v>
      </c>
      <c r="J2925" s="43">
        <v>1.8493840248536831E-2</v>
      </c>
      <c r="K2925" s="43"/>
      <c r="L2925" s="43">
        <v>0.24959999999999999</v>
      </c>
      <c r="O2925" s="50"/>
    </row>
    <row r="2926" spans="2:15" x14ac:dyDescent="0.2">
      <c r="B2926">
        <v>2911</v>
      </c>
      <c r="C2926" s="48">
        <f ca="1"/>
        <v>1.0024538624964809</v>
      </c>
      <c r="D2926" s="48">
        <f t="shared" ca="1" si="175"/>
        <v>0.73353318378768895</v>
      </c>
      <c r="E2926" s="48">
        <f t="shared" ca="1" si="176"/>
        <v>0</v>
      </c>
      <c r="F2926" s="17">
        <f t="shared" ca="1" si="177"/>
        <v>0</v>
      </c>
      <c r="H2926" s="17">
        <v>2911</v>
      </c>
      <c r="I2926" s="43">
        <v>0.66977711933145123</v>
      </c>
      <c r="J2926" s="43">
        <v>2.0035595652505993E-2</v>
      </c>
      <c r="K2926" s="43"/>
      <c r="L2926" s="43">
        <v>0.25240000000000001</v>
      </c>
      <c r="O2926" s="50"/>
    </row>
    <row r="2927" spans="2:15" x14ac:dyDescent="0.2">
      <c r="B2927">
        <v>2912</v>
      </c>
      <c r="C2927" s="48">
        <f ca="1"/>
        <v>0.20212761515970051</v>
      </c>
      <c r="D2927" s="48">
        <f t="shared" ca="1" si="175"/>
        <v>0.67788028205131601</v>
      </c>
      <c r="E2927" s="48">
        <f t="shared" ca="1" si="176"/>
        <v>0</v>
      </c>
      <c r="F2927" s="17">
        <f t="shared" ca="1" si="177"/>
        <v>0</v>
      </c>
      <c r="H2927" s="17">
        <v>2912</v>
      </c>
      <c r="I2927" s="43">
        <v>0.66771970998953911</v>
      </c>
      <c r="J2927" s="43">
        <v>1.8287561693651005E-2</v>
      </c>
      <c r="K2927" s="43"/>
      <c r="L2927" s="43">
        <v>0.24160000000000001</v>
      </c>
      <c r="O2927" s="50"/>
    </row>
    <row r="2928" spans="2:15" x14ac:dyDescent="0.2">
      <c r="B2928">
        <v>2913</v>
      </c>
      <c r="C2928" s="48">
        <f ca="1"/>
        <v>-0.82755917736857332</v>
      </c>
      <c r="D2928" s="48">
        <f t="shared" ca="1" si="175"/>
        <v>0.61244337042806307</v>
      </c>
      <c r="E2928" s="48">
        <f t="shared" ca="1" si="176"/>
        <v>0</v>
      </c>
      <c r="F2928" s="17">
        <f t="shared" ca="1" si="177"/>
        <v>0</v>
      </c>
      <c r="H2928" s="17">
        <v>2913</v>
      </c>
      <c r="I2928" s="43">
        <v>0.6681710052593024</v>
      </c>
      <c r="J2928" s="43">
        <v>1.8648253324152354E-2</v>
      </c>
      <c r="K2928" s="43"/>
      <c r="L2928" s="43">
        <v>0.24640000000000001</v>
      </c>
      <c r="O2928" s="50"/>
    </row>
    <row r="2929" spans="2:15" x14ac:dyDescent="0.2">
      <c r="B2929">
        <v>2914</v>
      </c>
      <c r="C2929" s="48">
        <f ca="1"/>
        <v>2.2396831580130323</v>
      </c>
      <c r="D2929" s="48">
        <f t="shared" ca="1" si="175"/>
        <v>0.82869165899350872</v>
      </c>
      <c r="E2929" s="48">
        <f t="shared" ca="1" si="176"/>
        <v>4.0491658993508706E-2</v>
      </c>
      <c r="F2929" s="17">
        <f t="shared" ca="1" si="177"/>
        <v>1</v>
      </c>
      <c r="H2929" s="17">
        <v>2914</v>
      </c>
      <c r="I2929" s="43">
        <v>0.66700282261600774</v>
      </c>
      <c r="J2929" s="43">
        <v>1.7910881946493869E-2</v>
      </c>
      <c r="K2929" s="43"/>
      <c r="L2929" s="43">
        <v>0.24179999999999999</v>
      </c>
      <c r="O2929" s="50"/>
    </row>
    <row r="2930" spans="2:15" x14ac:dyDescent="0.2">
      <c r="B2930">
        <v>2915</v>
      </c>
      <c r="C2930" s="48">
        <f ca="1"/>
        <v>-0.25337567246731635</v>
      </c>
      <c r="D2930" s="48">
        <f t="shared" ca="1" si="175"/>
        <v>0.64811216831047191</v>
      </c>
      <c r="E2930" s="48">
        <f t="shared" ca="1" si="176"/>
        <v>0</v>
      </c>
      <c r="F2930" s="17">
        <f t="shared" ca="1" si="177"/>
        <v>0</v>
      </c>
      <c r="H2930" s="17">
        <v>2915</v>
      </c>
      <c r="I2930" s="43">
        <v>0.66880637596645731</v>
      </c>
      <c r="J2930" s="43">
        <v>1.9184210909018326E-2</v>
      </c>
      <c r="K2930" s="43"/>
      <c r="L2930" s="43">
        <v>0.24840000000000001</v>
      </c>
      <c r="O2930" s="50"/>
    </row>
    <row r="2931" spans="2:15" x14ac:dyDescent="0.2">
      <c r="B2931">
        <v>2916</v>
      </c>
      <c r="C2931" s="48">
        <f ca="1"/>
        <v>-1.2351446603934593</v>
      </c>
      <c r="D2931" s="48">
        <f t="shared" ca="1" si="175"/>
        <v>0.58832155473896786</v>
      </c>
      <c r="E2931" s="48">
        <f t="shared" ca="1" si="176"/>
        <v>0</v>
      </c>
      <c r="F2931" s="17">
        <f t="shared" ca="1" si="177"/>
        <v>0</v>
      </c>
      <c r="H2931" s="17">
        <v>2916</v>
      </c>
      <c r="I2931" s="43">
        <v>0.66967228866646533</v>
      </c>
      <c r="J2931" s="43">
        <v>1.9942806362641157E-2</v>
      </c>
      <c r="K2931" s="43"/>
      <c r="L2931" s="43">
        <v>0.26019999999999999</v>
      </c>
      <c r="O2931" s="50"/>
    </row>
    <row r="2932" spans="2:15" x14ac:dyDescent="0.2">
      <c r="B2932">
        <v>2917</v>
      </c>
      <c r="C2932" s="48">
        <f ca="1"/>
        <v>-0.46604278435227586</v>
      </c>
      <c r="D2932" s="48">
        <f t="shared" ca="1" si="175"/>
        <v>0.63466510632497763</v>
      </c>
      <c r="E2932" s="48">
        <f t="shared" ca="1" si="176"/>
        <v>0</v>
      </c>
      <c r="F2932" s="17">
        <f t="shared" ca="1" si="177"/>
        <v>0</v>
      </c>
      <c r="H2932" s="17">
        <v>2917</v>
      </c>
      <c r="I2932" s="43">
        <v>0.66743347930198593</v>
      </c>
      <c r="J2932" s="43">
        <v>1.7881983118486981E-2</v>
      </c>
      <c r="K2932" s="43"/>
      <c r="L2932" s="43">
        <v>0.24560000000000001</v>
      </c>
      <c r="O2932" s="50"/>
    </row>
    <row r="2933" spans="2:15" x14ac:dyDescent="0.2">
      <c r="B2933">
        <v>2918</v>
      </c>
      <c r="C2933" s="48">
        <f ca="1"/>
        <v>1.2454038007716199</v>
      </c>
      <c r="D2933" s="48">
        <f t="shared" ca="1" si="175"/>
        <v>0.75131473855521547</v>
      </c>
      <c r="E2933" s="48">
        <f t="shared" ca="1" si="176"/>
        <v>0</v>
      </c>
      <c r="F2933" s="17">
        <f t="shared" ca="1" si="177"/>
        <v>0</v>
      </c>
      <c r="H2933" s="17">
        <v>2918</v>
      </c>
      <c r="I2933" s="43">
        <v>0.66891813941305955</v>
      </c>
      <c r="J2933" s="43">
        <v>1.9388790570578955E-2</v>
      </c>
      <c r="K2933" s="43"/>
      <c r="L2933" s="43">
        <v>0.251</v>
      </c>
      <c r="O2933" s="50"/>
    </row>
    <row r="2934" spans="2:15" x14ac:dyDescent="0.2">
      <c r="B2934">
        <v>2919</v>
      </c>
      <c r="C2934" s="48">
        <f ca="1"/>
        <v>1.9463845049187629</v>
      </c>
      <c r="D2934" s="48">
        <f t="shared" ca="1" si="175"/>
        <v>0.80507268924971742</v>
      </c>
      <c r="E2934" s="48">
        <f t="shared" ca="1" si="176"/>
        <v>1.687268924971741E-2</v>
      </c>
      <c r="F2934" s="17">
        <f t="shared" ca="1" si="177"/>
        <v>1</v>
      </c>
      <c r="H2934" s="17">
        <v>2919</v>
      </c>
      <c r="I2934" s="43">
        <v>0.66928592662667175</v>
      </c>
      <c r="J2934" s="43">
        <v>1.9691334386677015E-2</v>
      </c>
      <c r="K2934" s="43"/>
      <c r="L2934" s="43">
        <v>0.25480000000000003</v>
      </c>
      <c r="O2934" s="50"/>
    </row>
    <row r="2935" spans="2:15" x14ac:dyDescent="0.2">
      <c r="B2935">
        <v>2920</v>
      </c>
      <c r="C2935" s="48">
        <f ca="1"/>
        <v>0.79291719331195609</v>
      </c>
      <c r="D2935" s="48">
        <f t="shared" ca="1" si="175"/>
        <v>0.71853552448460822</v>
      </c>
      <c r="E2935" s="48">
        <f t="shared" ca="1" si="176"/>
        <v>0</v>
      </c>
      <c r="F2935" s="17">
        <f t="shared" ca="1" si="177"/>
        <v>0</v>
      </c>
      <c r="H2935" s="17">
        <v>2920</v>
      </c>
      <c r="I2935" s="43">
        <v>0.66995783974837131</v>
      </c>
      <c r="J2935" s="43">
        <v>2.0029665704735227E-2</v>
      </c>
      <c r="K2935" s="43"/>
      <c r="L2935" s="43">
        <v>0.254</v>
      </c>
      <c r="O2935" s="50"/>
    </row>
    <row r="2936" spans="2:15" x14ac:dyDescent="0.2">
      <c r="B2936">
        <v>2921</v>
      </c>
      <c r="C2936" s="48">
        <f ca="1"/>
        <v>7.9416215702583587E-2</v>
      </c>
      <c r="D2936" s="48">
        <f t="shared" ca="1" si="175"/>
        <v>0.66972882444569415</v>
      </c>
      <c r="E2936" s="48">
        <f t="shared" ca="1" si="176"/>
        <v>0</v>
      </c>
      <c r="F2936" s="17">
        <f t="shared" ca="1" si="177"/>
        <v>0</v>
      </c>
      <c r="H2936" s="17">
        <v>2921</v>
      </c>
      <c r="I2936" s="43">
        <v>0.66976364785967302</v>
      </c>
      <c r="J2936" s="43">
        <v>1.9892617080776932E-2</v>
      </c>
      <c r="K2936" s="43"/>
      <c r="L2936" s="43">
        <v>0.25679999999999997</v>
      </c>
      <c r="O2936" s="50"/>
    </row>
    <row r="2937" spans="2:15" x14ac:dyDescent="0.2">
      <c r="B2937">
        <v>2922</v>
      </c>
      <c r="C2937" s="48">
        <f ca="1"/>
        <v>-0.27829055453273033</v>
      </c>
      <c r="D2937" s="48">
        <f t="shared" ca="1" si="175"/>
        <v>0.64652216706982002</v>
      </c>
      <c r="E2937" s="48">
        <f t="shared" ca="1" si="176"/>
        <v>0</v>
      </c>
      <c r="F2937" s="17">
        <f t="shared" ca="1" si="177"/>
        <v>0</v>
      </c>
      <c r="H2937" s="17">
        <v>2922</v>
      </c>
      <c r="I2937" s="43">
        <v>0.66866680309958637</v>
      </c>
      <c r="J2937" s="43">
        <v>1.8984251250464979E-2</v>
      </c>
      <c r="K2937" s="43"/>
      <c r="L2937" s="43">
        <v>0.2482</v>
      </c>
      <c r="O2937" s="50"/>
    </row>
    <row r="2938" spans="2:15" x14ac:dyDescent="0.2">
      <c r="B2938">
        <v>2923</v>
      </c>
      <c r="C2938" s="48">
        <f ca="1"/>
        <v>0.25961212820374074</v>
      </c>
      <c r="D2938" s="48">
        <f t="shared" ca="1" si="175"/>
        <v>0.68173290749303417</v>
      </c>
      <c r="E2938" s="48">
        <f t="shared" ca="1" si="176"/>
        <v>0</v>
      </c>
      <c r="F2938" s="17">
        <f t="shared" ca="1" si="177"/>
        <v>0</v>
      </c>
      <c r="H2938" s="17">
        <v>2923</v>
      </c>
      <c r="I2938" s="43">
        <v>0.66902291036954831</v>
      </c>
      <c r="J2938" s="43">
        <v>1.9451966983412443E-2</v>
      </c>
      <c r="K2938" s="43"/>
      <c r="L2938" s="43">
        <v>0.25059999999999999</v>
      </c>
      <c r="O2938" s="50"/>
    </row>
    <row r="2939" spans="2:15" x14ac:dyDescent="0.2">
      <c r="B2939">
        <v>2924</v>
      </c>
      <c r="C2939" s="48">
        <f ca="1"/>
        <v>-0.36178935345990559</v>
      </c>
      <c r="D2939" s="48">
        <f t="shared" ca="1" si="175"/>
        <v>0.64122188413633074</v>
      </c>
      <c r="E2939" s="48">
        <f t="shared" ca="1" si="176"/>
        <v>0</v>
      </c>
      <c r="F2939" s="17">
        <f t="shared" ca="1" si="177"/>
        <v>0</v>
      </c>
      <c r="H2939" s="17">
        <v>2924</v>
      </c>
      <c r="I2939" s="43">
        <v>0.66876710157169539</v>
      </c>
      <c r="J2939" s="43">
        <v>1.9244145708117083E-2</v>
      </c>
      <c r="K2939" s="43"/>
      <c r="L2939" s="43">
        <v>0.25800000000000001</v>
      </c>
      <c r="O2939" s="50"/>
    </row>
    <row r="2940" spans="2:15" x14ac:dyDescent="0.2">
      <c r="B2940">
        <v>2925</v>
      </c>
      <c r="C2940" s="48">
        <f ca="1"/>
        <v>-0.32547784552871523</v>
      </c>
      <c r="D2940" s="48">
        <f t="shared" ca="1" si="175"/>
        <v>0.64352148217467231</v>
      </c>
      <c r="E2940" s="48">
        <f t="shared" ca="1" si="176"/>
        <v>0</v>
      </c>
      <c r="F2940" s="17">
        <f t="shared" ca="1" si="177"/>
        <v>0</v>
      </c>
      <c r="H2940" s="17">
        <v>2925</v>
      </c>
      <c r="I2940" s="43">
        <v>0.66947154368119544</v>
      </c>
      <c r="J2940" s="43">
        <v>2.0029430305208793E-2</v>
      </c>
      <c r="K2940" s="43"/>
      <c r="L2940" s="43">
        <v>0.25519999999999998</v>
      </c>
      <c r="O2940" s="50"/>
    </row>
    <row r="2941" spans="2:15" x14ac:dyDescent="0.2">
      <c r="B2941">
        <v>2926</v>
      </c>
      <c r="C2941" s="48">
        <f ca="1"/>
        <v>-1.7306520568861716</v>
      </c>
      <c r="D2941" s="48">
        <f t="shared" ca="1" si="175"/>
        <v>0.56027225754148813</v>
      </c>
      <c r="E2941" s="48">
        <f t="shared" ca="1" si="176"/>
        <v>0</v>
      </c>
      <c r="F2941" s="17">
        <f t="shared" ca="1" si="177"/>
        <v>0</v>
      </c>
      <c r="H2941" s="17">
        <v>2926</v>
      </c>
      <c r="I2941" s="43">
        <v>0.66925669690437695</v>
      </c>
      <c r="J2941" s="43">
        <v>1.9794426912709058E-2</v>
      </c>
      <c r="K2941" s="43"/>
      <c r="L2941" s="43">
        <v>0.25800000000000001</v>
      </c>
      <c r="O2941" s="50"/>
    </row>
    <row r="2942" spans="2:15" x14ac:dyDescent="0.2">
      <c r="B2942">
        <v>2927</v>
      </c>
      <c r="C2942" s="48">
        <f ca="1"/>
        <v>0.94672304170976307</v>
      </c>
      <c r="D2942" s="48">
        <f t="shared" ca="1" si="175"/>
        <v>0.72951393965736644</v>
      </c>
      <c r="E2942" s="48">
        <f t="shared" ca="1" si="176"/>
        <v>0</v>
      </c>
      <c r="F2942" s="17">
        <f t="shared" ca="1" si="177"/>
        <v>0</v>
      </c>
      <c r="H2942" s="17">
        <v>2927</v>
      </c>
      <c r="I2942" s="43">
        <v>0.66862911558014426</v>
      </c>
      <c r="J2942" s="43">
        <v>1.9209910277188897E-2</v>
      </c>
      <c r="K2942" s="43"/>
      <c r="L2942" s="43">
        <v>0.24479999999999999</v>
      </c>
      <c r="O2942" s="50"/>
    </row>
    <row r="2943" spans="2:15" x14ac:dyDescent="0.2">
      <c r="B2943">
        <v>2928</v>
      </c>
      <c r="C2943" s="48">
        <f ca="1"/>
        <v>-0.56368312461211334</v>
      </c>
      <c r="D2943" s="48">
        <f t="shared" ca="1" si="175"/>
        <v>0.62858505816957555</v>
      </c>
      <c r="E2943" s="48">
        <f t="shared" ca="1" si="176"/>
        <v>0</v>
      </c>
      <c r="F2943" s="17">
        <f t="shared" ca="1" si="177"/>
        <v>0</v>
      </c>
      <c r="H2943" s="17">
        <v>2928</v>
      </c>
      <c r="I2943" s="43">
        <v>0.66860404969962828</v>
      </c>
      <c r="J2943" s="43">
        <v>1.9017643989331097E-2</v>
      </c>
      <c r="K2943" s="43"/>
      <c r="L2943" s="43">
        <v>0.252</v>
      </c>
      <c r="O2943" s="50"/>
    </row>
    <row r="2944" spans="2:15" x14ac:dyDescent="0.2">
      <c r="B2944">
        <v>2929</v>
      </c>
      <c r="C2944" s="48">
        <f ca="1"/>
        <v>1.6184940462790013E-2</v>
      </c>
      <c r="D2944" s="48">
        <f t="shared" ca="1" si="175"/>
        <v>0.66556684721048454</v>
      </c>
      <c r="E2944" s="48">
        <f t="shared" ca="1" si="176"/>
        <v>0</v>
      </c>
      <c r="F2944" s="17">
        <f t="shared" ca="1" si="177"/>
        <v>0</v>
      </c>
      <c r="H2944" s="17">
        <v>2929</v>
      </c>
      <c r="I2944" s="43">
        <v>0.66914322055033526</v>
      </c>
      <c r="J2944" s="43">
        <v>1.9703948161655913E-2</v>
      </c>
      <c r="K2944" s="43"/>
      <c r="L2944" s="43">
        <v>0.25359999999999999</v>
      </c>
      <c r="O2944" s="50"/>
    </row>
    <row r="2945" spans="2:15" x14ac:dyDescent="0.2">
      <c r="B2945">
        <v>2930</v>
      </c>
      <c r="C2945" s="48">
        <f ca="1"/>
        <v>-0.17311980681110206</v>
      </c>
      <c r="D2945" s="48">
        <f t="shared" ca="1" si="175"/>
        <v>0.65326051671932339</v>
      </c>
      <c r="E2945" s="48">
        <f t="shared" ca="1" si="176"/>
        <v>0</v>
      </c>
      <c r="F2945" s="17">
        <f t="shared" ca="1" si="177"/>
        <v>0</v>
      </c>
      <c r="H2945" s="17">
        <v>2930</v>
      </c>
      <c r="I2945" s="43">
        <v>0.66958096768438014</v>
      </c>
      <c r="J2945" s="43">
        <v>1.9384534095237955E-2</v>
      </c>
      <c r="K2945" s="43"/>
      <c r="L2945" s="43">
        <v>0.24640000000000001</v>
      </c>
      <c r="O2945" s="50"/>
    </row>
    <row r="2946" spans="2:15" x14ac:dyDescent="0.2">
      <c r="B2946">
        <v>2931</v>
      </c>
      <c r="C2946" s="48">
        <f ca="1"/>
        <v>-1.4751521480159806</v>
      </c>
      <c r="D2946" s="48">
        <f t="shared" ca="1" si="175"/>
        <v>0.57456425108366227</v>
      </c>
      <c r="E2946" s="48">
        <f t="shared" ca="1" si="176"/>
        <v>0</v>
      </c>
      <c r="F2946" s="17">
        <f t="shared" ca="1" si="177"/>
        <v>0</v>
      </c>
      <c r="H2946" s="17">
        <v>2931</v>
      </c>
      <c r="I2946" s="43">
        <v>0.66881264573362409</v>
      </c>
      <c r="J2946" s="43">
        <v>1.933100629311716E-2</v>
      </c>
      <c r="K2946" s="43"/>
      <c r="L2946" s="43">
        <v>0.25119999999999998</v>
      </c>
      <c r="O2946" s="50"/>
    </row>
    <row r="2947" spans="2:15" x14ac:dyDescent="0.2">
      <c r="B2947">
        <v>2932</v>
      </c>
      <c r="C2947" s="48">
        <f ca="1"/>
        <v>-2.0426565436693727</v>
      </c>
      <c r="D2947" s="48">
        <f t="shared" ca="1" si="175"/>
        <v>0.54330078958290429</v>
      </c>
      <c r="E2947" s="48">
        <f t="shared" ca="1" si="176"/>
        <v>0</v>
      </c>
      <c r="F2947" s="17">
        <f t="shared" ca="1" si="177"/>
        <v>0</v>
      </c>
      <c r="H2947" s="17">
        <v>2932</v>
      </c>
      <c r="I2947" s="43">
        <v>0.66810882671075766</v>
      </c>
      <c r="J2947" s="43">
        <v>1.8962845351272021E-2</v>
      </c>
      <c r="K2947" s="43"/>
      <c r="L2947" s="43">
        <v>0.248</v>
      </c>
      <c r="O2947" s="50"/>
    </row>
    <row r="2948" spans="2:15" x14ac:dyDescent="0.2">
      <c r="B2948">
        <v>2933</v>
      </c>
      <c r="C2948" s="48">
        <f ca="1"/>
        <v>0.96735374532666385</v>
      </c>
      <c r="D2948" s="48">
        <f t="shared" ca="1" si="175"/>
        <v>0.73099922909378101</v>
      </c>
      <c r="E2948" s="48">
        <f t="shared" ca="1" si="176"/>
        <v>0</v>
      </c>
      <c r="F2948" s="17">
        <f t="shared" ca="1" si="177"/>
        <v>0</v>
      </c>
      <c r="H2948" s="17">
        <v>2933</v>
      </c>
      <c r="I2948" s="43">
        <v>0.66920904131308245</v>
      </c>
      <c r="J2948" s="43">
        <v>1.9432471482869199E-2</v>
      </c>
      <c r="K2948" s="43"/>
      <c r="L2948" s="43">
        <v>0.25679999999999997</v>
      </c>
      <c r="O2948" s="50"/>
    </row>
    <row r="2949" spans="2:15" x14ac:dyDescent="0.2">
      <c r="B2949">
        <v>2934</v>
      </c>
      <c r="C2949" s="48">
        <f ca="1"/>
        <v>0.99729450136879128</v>
      </c>
      <c r="D2949" s="48">
        <f t="shared" ca="1" si="175"/>
        <v>0.73316016821235508</v>
      </c>
      <c r="E2949" s="48">
        <f t="shared" ca="1" si="176"/>
        <v>0</v>
      </c>
      <c r="F2949" s="17">
        <f t="shared" ca="1" si="177"/>
        <v>0</v>
      </c>
      <c r="H2949" s="17">
        <v>2934</v>
      </c>
      <c r="I2949" s="43">
        <v>0.66897120720548697</v>
      </c>
      <c r="J2949" s="43">
        <v>1.9301962620556491E-2</v>
      </c>
      <c r="K2949" s="43"/>
      <c r="L2949" s="43">
        <v>0.25659999999999999</v>
      </c>
      <c r="O2949" s="50"/>
    </row>
    <row r="2950" spans="2:15" x14ac:dyDescent="0.2">
      <c r="B2950">
        <v>2935</v>
      </c>
      <c r="C2950" s="48">
        <f ca="1"/>
        <v>-1.4609431553071128</v>
      </c>
      <c r="D2950" s="48">
        <f t="shared" ca="1" si="175"/>
        <v>0.5753696811444281</v>
      </c>
      <c r="E2950" s="48">
        <f t="shared" ca="1" si="176"/>
        <v>0</v>
      </c>
      <c r="F2950" s="17">
        <f t="shared" ca="1" si="177"/>
        <v>0</v>
      </c>
      <c r="H2950" s="17">
        <v>2935</v>
      </c>
      <c r="I2950" s="43">
        <v>0.66950028351808755</v>
      </c>
      <c r="J2950" s="43">
        <v>1.9642573309210414E-2</v>
      </c>
      <c r="K2950" s="43"/>
      <c r="L2950" s="43">
        <v>0.253</v>
      </c>
      <c r="O2950" s="50"/>
    </row>
    <row r="2951" spans="2:15" x14ac:dyDescent="0.2">
      <c r="B2951">
        <v>2936</v>
      </c>
      <c r="C2951" s="48">
        <f ca="1"/>
        <v>-0.75738751926523451</v>
      </c>
      <c r="D2951" s="48">
        <f t="shared" ca="1" si="175"/>
        <v>0.61669497140132068</v>
      </c>
      <c r="E2951" s="48">
        <f t="shared" ca="1" si="176"/>
        <v>0</v>
      </c>
      <c r="F2951" s="17">
        <f t="shared" ca="1" si="177"/>
        <v>0</v>
      </c>
      <c r="H2951" s="17">
        <v>2936</v>
      </c>
      <c r="I2951" s="43">
        <v>0.66849508894296272</v>
      </c>
      <c r="J2951" s="43">
        <v>1.8890454755689925E-2</v>
      </c>
      <c r="K2951" s="43"/>
      <c r="L2951" s="43">
        <v>0.245</v>
      </c>
      <c r="O2951" s="50"/>
    </row>
    <row r="2952" spans="2:15" x14ac:dyDescent="0.2">
      <c r="B2952">
        <v>2937</v>
      </c>
      <c r="C2952" s="48">
        <f ca="1"/>
        <v>-0.7836008708231178</v>
      </c>
      <c r="D2952" s="48">
        <f t="shared" ca="1" si="175"/>
        <v>0.61510329922239171</v>
      </c>
      <c r="E2952" s="48">
        <f t="shared" ca="1" si="176"/>
        <v>0</v>
      </c>
      <c r="F2952" s="17">
        <f t="shared" ca="1" si="177"/>
        <v>0</v>
      </c>
      <c r="H2952" s="17">
        <v>2937</v>
      </c>
      <c r="I2952" s="43">
        <v>0.66959359577423905</v>
      </c>
      <c r="J2952" s="43">
        <v>1.9708956501313893E-2</v>
      </c>
      <c r="K2952" s="43"/>
      <c r="L2952" s="43">
        <v>0.25019999999999998</v>
      </c>
      <c r="O2952" s="50"/>
    </row>
    <row r="2953" spans="2:15" x14ac:dyDescent="0.2">
      <c r="B2953">
        <v>2938</v>
      </c>
      <c r="C2953" s="48">
        <f ca="1"/>
        <v>0.72485868841872803</v>
      </c>
      <c r="D2953" s="48">
        <f t="shared" ca="1" si="175"/>
        <v>0.71373049355186591</v>
      </c>
      <c r="E2953" s="48">
        <f t="shared" ca="1" si="176"/>
        <v>0</v>
      </c>
      <c r="F2953" s="17">
        <f t="shared" ca="1" si="177"/>
        <v>0</v>
      </c>
      <c r="H2953" s="17">
        <v>2938</v>
      </c>
      <c r="I2953" s="43">
        <v>0.66890704699466674</v>
      </c>
      <c r="J2953" s="43">
        <v>1.9224446725758505E-2</v>
      </c>
      <c r="K2953" s="43"/>
      <c r="L2953" s="43">
        <v>0.251</v>
      </c>
      <c r="O2953" s="50"/>
    </row>
    <row r="2954" spans="2:15" x14ac:dyDescent="0.2">
      <c r="B2954">
        <v>2939</v>
      </c>
      <c r="C2954" s="48">
        <f ca="1"/>
        <v>-0.1036944748043736</v>
      </c>
      <c r="D2954" s="48">
        <f t="shared" ca="1" si="175"/>
        <v>0.65774707383604158</v>
      </c>
      <c r="E2954" s="48">
        <f t="shared" ca="1" si="176"/>
        <v>0</v>
      </c>
      <c r="F2954" s="17">
        <f t="shared" ca="1" si="177"/>
        <v>0</v>
      </c>
      <c r="H2954" s="17">
        <v>2939</v>
      </c>
      <c r="I2954" s="43">
        <v>0.66980237134268839</v>
      </c>
      <c r="J2954" s="43">
        <v>2.0173641250171011E-2</v>
      </c>
      <c r="K2954" s="43"/>
      <c r="L2954" s="43">
        <v>0.26040000000000002</v>
      </c>
      <c r="O2954" s="50"/>
    </row>
    <row r="2955" spans="2:15" x14ac:dyDescent="0.2">
      <c r="B2955">
        <v>2940</v>
      </c>
      <c r="C2955" s="48">
        <f ca="1"/>
        <v>1.1524165094348553</v>
      </c>
      <c r="D2955" s="48">
        <f t="shared" ca="1" si="175"/>
        <v>0.74445862384320838</v>
      </c>
      <c r="E2955" s="48">
        <f t="shared" ca="1" si="176"/>
        <v>0</v>
      </c>
      <c r="F2955" s="17">
        <f t="shared" ca="1" si="177"/>
        <v>0</v>
      </c>
      <c r="H2955" s="17">
        <v>2940</v>
      </c>
      <c r="I2955" s="43">
        <v>0.66869430362598048</v>
      </c>
      <c r="J2955" s="43">
        <v>1.94153593887283E-2</v>
      </c>
      <c r="K2955" s="43"/>
      <c r="L2955" s="43">
        <v>0.2472</v>
      </c>
      <c r="O2955" s="50"/>
    </row>
    <row r="2956" spans="2:15" x14ac:dyDescent="0.2">
      <c r="B2956">
        <v>2941</v>
      </c>
      <c r="C2956" s="48">
        <f ca="1"/>
        <v>0.60599003309930122</v>
      </c>
      <c r="D2956" s="48">
        <f t="shared" ca="1" si="175"/>
        <v>0.70541513332762129</v>
      </c>
      <c r="E2956" s="48">
        <f t="shared" ca="1" si="176"/>
        <v>0</v>
      </c>
      <c r="F2956" s="17">
        <f t="shared" ca="1" si="177"/>
        <v>0</v>
      </c>
      <c r="H2956" s="17">
        <v>2941</v>
      </c>
      <c r="I2956" s="43">
        <v>0.66862103864355837</v>
      </c>
      <c r="J2956" s="43">
        <v>1.9155649785219539E-2</v>
      </c>
      <c r="K2956" s="43"/>
      <c r="L2956" s="43">
        <v>0.249</v>
      </c>
      <c r="O2956" s="50"/>
    </row>
    <row r="2957" spans="2:15" x14ac:dyDescent="0.2">
      <c r="B2957">
        <v>2942</v>
      </c>
      <c r="C2957" s="48">
        <f ca="1"/>
        <v>-4.5130678938976685E-3</v>
      </c>
      <c r="D2957" s="48">
        <f t="shared" ca="1" si="175"/>
        <v>0.66421010001674263</v>
      </c>
      <c r="E2957" s="48">
        <f t="shared" ca="1" si="176"/>
        <v>0</v>
      </c>
      <c r="F2957" s="17">
        <f t="shared" ca="1" si="177"/>
        <v>0</v>
      </c>
      <c r="H2957" s="17">
        <v>2942</v>
      </c>
      <c r="I2957" s="43">
        <v>0.6675955886649243</v>
      </c>
      <c r="J2957" s="43">
        <v>1.8375321025772207E-2</v>
      </c>
      <c r="K2957" s="43"/>
      <c r="L2957" s="43">
        <v>0.2472</v>
      </c>
      <c r="O2957" s="50"/>
    </row>
    <row r="2958" spans="2:15" x14ac:dyDescent="0.2">
      <c r="B2958">
        <v>2943</v>
      </c>
      <c r="C2958" s="48">
        <f ca="1"/>
        <v>-0.79300482487561708</v>
      </c>
      <c r="D2958" s="48">
        <f t="shared" ca="1" si="175"/>
        <v>0.6145332938207988</v>
      </c>
      <c r="E2958" s="48">
        <f t="shared" ca="1" si="176"/>
        <v>0</v>
      </c>
      <c r="F2958" s="17">
        <f t="shared" ca="1" si="177"/>
        <v>0</v>
      </c>
      <c r="H2958" s="17">
        <v>2943</v>
      </c>
      <c r="I2958" s="43">
        <v>0.66797923849816676</v>
      </c>
      <c r="J2958" s="43">
        <v>1.8635606459859108E-2</v>
      </c>
      <c r="K2958" s="43"/>
      <c r="L2958" s="43">
        <v>0.25219999999999998</v>
      </c>
      <c r="O2958" s="50"/>
    </row>
    <row r="2959" spans="2:15" x14ac:dyDescent="0.2">
      <c r="B2959">
        <v>2944</v>
      </c>
      <c r="C2959" s="48">
        <f ca="1"/>
        <v>0.33994653636753253</v>
      </c>
      <c r="D2959" s="48">
        <f t="shared" ca="1" si="175"/>
        <v>0.68715364666479584</v>
      </c>
      <c r="E2959" s="48">
        <f t="shared" ca="1" si="176"/>
        <v>0</v>
      </c>
      <c r="F2959" s="17">
        <f t="shared" ca="1" si="177"/>
        <v>0</v>
      </c>
      <c r="H2959" s="17">
        <v>2944</v>
      </c>
      <c r="I2959" s="43">
        <v>0.66817802700063134</v>
      </c>
      <c r="J2959" s="43">
        <v>1.8833148100145882E-2</v>
      </c>
      <c r="K2959" s="43"/>
      <c r="L2959" s="43">
        <v>0.245</v>
      </c>
      <c r="O2959" s="50"/>
    </row>
    <row r="2960" spans="2:15" x14ac:dyDescent="0.2">
      <c r="B2960">
        <v>2945</v>
      </c>
      <c r="C2960" s="48">
        <f ca="1"/>
        <v>5.2205941922188942E-2</v>
      </c>
      <c r="D2960" s="48">
        <f t="shared" ref="D2960:D3023" ca="1" si="178">S0*EXP((μ-0.5*σ*σ)*T+σ*SQRT(T)*$C2960)</f>
        <v>0.66793462286166805</v>
      </c>
      <c r="E2960" s="48">
        <f t="shared" ref="E2960:E3023" ca="1" si="179">MAX(0,CP*(D2960-K))</f>
        <v>0</v>
      </c>
      <c r="F2960" s="17">
        <f t="shared" ref="F2960:F3023" ca="1" si="180">(CP*(D2960-K)&gt;0)*1</f>
        <v>0</v>
      </c>
      <c r="H2960" s="17">
        <v>2945</v>
      </c>
      <c r="I2960" s="43">
        <v>0.66944738865190412</v>
      </c>
      <c r="J2960" s="43">
        <v>1.9666472817802028E-2</v>
      </c>
      <c r="K2960" s="43"/>
      <c r="L2960" s="43">
        <v>0.25140000000000001</v>
      </c>
      <c r="O2960" s="50"/>
    </row>
    <row r="2961" spans="2:15" x14ac:dyDescent="0.2">
      <c r="B2961">
        <v>2946</v>
      </c>
      <c r="C2961" s="48">
        <f ca="1"/>
        <v>5.8702634790945223E-2</v>
      </c>
      <c r="D2961" s="48">
        <f t="shared" ca="1" si="178"/>
        <v>0.66836256701875218</v>
      </c>
      <c r="E2961" s="48">
        <f t="shared" ca="1" si="179"/>
        <v>0</v>
      </c>
      <c r="F2961" s="17">
        <f t="shared" ca="1" si="180"/>
        <v>0</v>
      </c>
      <c r="H2961" s="17">
        <v>2946</v>
      </c>
      <c r="I2961" s="43">
        <v>0.66901370971112883</v>
      </c>
      <c r="J2961" s="43">
        <v>1.9199933859560717E-2</v>
      </c>
      <c r="K2961" s="43"/>
      <c r="L2961" s="43">
        <v>0.246</v>
      </c>
      <c r="O2961" s="50"/>
    </row>
    <row r="2962" spans="2:15" x14ac:dyDescent="0.2">
      <c r="B2962">
        <v>2947</v>
      </c>
      <c r="C2962" s="48">
        <f ca="1"/>
        <v>0.48715851784269409</v>
      </c>
      <c r="D2962" s="48">
        <f t="shared" ca="1" si="178"/>
        <v>0.6971992045313764</v>
      </c>
      <c r="E2962" s="48">
        <f t="shared" ca="1" si="179"/>
        <v>0</v>
      </c>
      <c r="F2962" s="17">
        <f t="shared" ca="1" si="180"/>
        <v>0</v>
      </c>
      <c r="H2962" s="17">
        <v>2947</v>
      </c>
      <c r="I2962" s="43">
        <v>0.66891672787609646</v>
      </c>
      <c r="J2962" s="43">
        <v>1.9344852665322078E-2</v>
      </c>
      <c r="K2962" s="43"/>
      <c r="L2962" s="43">
        <v>0.25059999999999999</v>
      </c>
      <c r="O2962" s="50"/>
    </row>
    <row r="2963" spans="2:15" x14ac:dyDescent="0.2">
      <c r="B2963">
        <v>2948</v>
      </c>
      <c r="C2963" s="48">
        <f ca="1"/>
        <v>0.89126379556062729</v>
      </c>
      <c r="D2963" s="48">
        <f t="shared" ca="1" si="178"/>
        <v>0.72553614328859961</v>
      </c>
      <c r="E2963" s="48">
        <f t="shared" ca="1" si="179"/>
        <v>0</v>
      </c>
      <c r="F2963" s="17">
        <f t="shared" ca="1" si="180"/>
        <v>0</v>
      </c>
      <c r="H2963" s="17">
        <v>2948</v>
      </c>
      <c r="I2963" s="43">
        <v>0.66884330093389099</v>
      </c>
      <c r="J2963" s="43">
        <v>1.9496881182892733E-2</v>
      </c>
      <c r="K2963" s="43"/>
      <c r="L2963" s="43">
        <v>0.25419999999999998</v>
      </c>
      <c r="O2963" s="50"/>
    </row>
    <row r="2964" spans="2:15" x14ac:dyDescent="0.2">
      <c r="B2964">
        <v>2949</v>
      </c>
      <c r="C2964" s="48">
        <f ca="1"/>
        <v>-0.15170344538021821</v>
      </c>
      <c r="D2964" s="48">
        <f t="shared" ca="1" si="178"/>
        <v>0.65464125822544517</v>
      </c>
      <c r="E2964" s="48">
        <f t="shared" ca="1" si="179"/>
        <v>0</v>
      </c>
      <c r="F2964" s="17">
        <f t="shared" ca="1" si="180"/>
        <v>0</v>
      </c>
      <c r="H2964" s="17">
        <v>2949</v>
      </c>
      <c r="I2964" s="43">
        <v>0.66942525206051018</v>
      </c>
      <c r="J2964" s="43">
        <v>1.9550501516003453E-2</v>
      </c>
      <c r="K2964" s="43"/>
      <c r="L2964" s="43">
        <v>0.249</v>
      </c>
      <c r="O2964" s="50"/>
    </row>
    <row r="2965" spans="2:15" x14ac:dyDescent="0.2">
      <c r="B2965">
        <v>2950</v>
      </c>
      <c r="C2965" s="48">
        <f ca="1"/>
        <v>1.2012365158419835</v>
      </c>
      <c r="D2965" s="48">
        <f t="shared" ca="1" si="178"/>
        <v>0.7480503703291872</v>
      </c>
      <c r="E2965" s="48">
        <f t="shared" ca="1" si="179"/>
        <v>0</v>
      </c>
      <c r="F2965" s="17">
        <f t="shared" ca="1" si="180"/>
        <v>0</v>
      </c>
      <c r="H2965" s="17">
        <v>2950</v>
      </c>
      <c r="I2965" s="43">
        <v>0.66840583458408886</v>
      </c>
      <c r="J2965" s="43">
        <v>1.8749377297593423E-2</v>
      </c>
      <c r="K2965" s="43"/>
      <c r="L2965" s="43">
        <v>0.25040000000000001</v>
      </c>
      <c r="O2965" s="50"/>
    </row>
    <row r="2966" spans="2:15" x14ac:dyDescent="0.2">
      <c r="B2966">
        <v>2951</v>
      </c>
      <c r="C2966" s="48">
        <f ca="1"/>
        <v>1.5131153074023955</v>
      </c>
      <c r="D2966" s="48">
        <f t="shared" ca="1" si="178"/>
        <v>0.77140818526994726</v>
      </c>
      <c r="E2966" s="48">
        <f t="shared" ca="1" si="179"/>
        <v>0</v>
      </c>
      <c r="F2966" s="17">
        <f t="shared" ca="1" si="180"/>
        <v>0</v>
      </c>
      <c r="H2966" s="17">
        <v>2951</v>
      </c>
      <c r="I2966" s="43">
        <v>0.66800543758274822</v>
      </c>
      <c r="J2966" s="43">
        <v>1.8721910700957408E-2</v>
      </c>
      <c r="K2966" s="43"/>
      <c r="L2966" s="43">
        <v>0.2442</v>
      </c>
      <c r="O2966" s="50"/>
    </row>
    <row r="2967" spans="2:15" x14ac:dyDescent="0.2">
      <c r="B2967">
        <v>2952</v>
      </c>
      <c r="C2967" s="48">
        <f ca="1"/>
        <v>1.2593377241900794</v>
      </c>
      <c r="D2967" s="48">
        <f t="shared" ca="1" si="178"/>
        <v>0.75234753653528563</v>
      </c>
      <c r="E2967" s="48">
        <f t="shared" ca="1" si="179"/>
        <v>0</v>
      </c>
      <c r="F2967" s="17">
        <f t="shared" ca="1" si="180"/>
        <v>0</v>
      </c>
      <c r="H2967" s="17">
        <v>2952</v>
      </c>
      <c r="I2967" s="43">
        <v>0.66788268214228141</v>
      </c>
      <c r="J2967" s="43">
        <v>1.8675488358401531E-2</v>
      </c>
      <c r="K2967" s="43"/>
      <c r="L2967" s="43">
        <v>0.247</v>
      </c>
      <c r="O2967" s="50"/>
    </row>
    <row r="2968" spans="2:15" x14ac:dyDescent="0.2">
      <c r="B2968">
        <v>2953</v>
      </c>
      <c r="C2968" s="48">
        <f ca="1"/>
        <v>0.55887431947260879</v>
      </c>
      <c r="D2968" s="48">
        <f t="shared" ca="1" si="178"/>
        <v>0.70214606495653276</v>
      </c>
      <c r="E2968" s="48">
        <f t="shared" ca="1" si="179"/>
        <v>0</v>
      </c>
      <c r="F2968" s="17">
        <f t="shared" ca="1" si="180"/>
        <v>0</v>
      </c>
      <c r="H2968" s="17">
        <v>2953</v>
      </c>
      <c r="I2968" s="43">
        <v>0.66982181805283714</v>
      </c>
      <c r="J2968" s="43">
        <v>2.036082664475514E-2</v>
      </c>
      <c r="K2968" s="43"/>
      <c r="L2968" s="43">
        <v>0.26279999999999998</v>
      </c>
      <c r="O2968" s="50"/>
    </row>
    <row r="2969" spans="2:15" x14ac:dyDescent="0.2">
      <c r="B2969">
        <v>2954</v>
      </c>
      <c r="C2969" s="48">
        <f ca="1"/>
        <v>0.97573248094445675</v>
      </c>
      <c r="D2969" s="48">
        <f t="shared" ca="1" si="178"/>
        <v>0.73160331195004735</v>
      </c>
      <c r="E2969" s="48">
        <f t="shared" ca="1" si="179"/>
        <v>0</v>
      </c>
      <c r="F2969" s="17">
        <f t="shared" ca="1" si="180"/>
        <v>0</v>
      </c>
      <c r="H2969" s="17">
        <v>2954</v>
      </c>
      <c r="I2969" s="43">
        <v>0.66814257464601201</v>
      </c>
      <c r="J2969" s="43">
        <v>1.8944210215965828E-2</v>
      </c>
      <c r="K2969" s="43"/>
      <c r="L2969" s="43">
        <v>0.248</v>
      </c>
      <c r="O2969" s="50"/>
    </row>
    <row r="2970" spans="2:15" x14ac:dyDescent="0.2">
      <c r="B2970">
        <v>2955</v>
      </c>
      <c r="C2970" s="48">
        <f ca="1"/>
        <v>-9.1135180939862184E-2</v>
      </c>
      <c r="D2970" s="48">
        <f t="shared" ca="1" si="178"/>
        <v>0.65856199343831834</v>
      </c>
      <c r="E2970" s="48">
        <f t="shared" ca="1" si="179"/>
        <v>0</v>
      </c>
      <c r="F2970" s="17">
        <f t="shared" ca="1" si="180"/>
        <v>0</v>
      </c>
      <c r="H2970" s="17">
        <v>2955</v>
      </c>
      <c r="I2970" s="43">
        <v>0.66932078064383826</v>
      </c>
      <c r="J2970" s="43">
        <v>1.9980796662013096E-2</v>
      </c>
      <c r="K2970" s="43"/>
      <c r="L2970" s="43">
        <v>0.25940000000000002</v>
      </c>
      <c r="O2970" s="50"/>
    </row>
    <row r="2971" spans="2:15" x14ac:dyDescent="0.2">
      <c r="B2971">
        <v>2956</v>
      </c>
      <c r="C2971" s="48">
        <f ca="1"/>
        <v>-0.73564816158621749</v>
      </c>
      <c r="D2971" s="48">
        <f t="shared" ca="1" si="178"/>
        <v>0.61801810688060133</v>
      </c>
      <c r="E2971" s="48">
        <f t="shared" ca="1" si="179"/>
        <v>0</v>
      </c>
      <c r="F2971" s="17">
        <f t="shared" ca="1" si="180"/>
        <v>0</v>
      </c>
      <c r="H2971" s="17">
        <v>2956</v>
      </c>
      <c r="I2971" s="43">
        <v>0.66954077551125435</v>
      </c>
      <c r="J2971" s="43">
        <v>1.9745236747720087E-2</v>
      </c>
      <c r="K2971" s="43"/>
      <c r="L2971" s="43">
        <v>0.24640000000000001</v>
      </c>
      <c r="O2971" s="50"/>
    </row>
    <row r="2972" spans="2:15" x14ac:dyDescent="0.2">
      <c r="B2972">
        <v>2957</v>
      </c>
      <c r="C2972" s="48">
        <f ca="1"/>
        <v>-1.2417007042065862</v>
      </c>
      <c r="D2972" s="48">
        <f t="shared" ca="1" si="178"/>
        <v>0.58794141962889612</v>
      </c>
      <c r="E2972" s="48">
        <f t="shared" ca="1" si="179"/>
        <v>0</v>
      </c>
      <c r="F2972" s="17">
        <f t="shared" ca="1" si="180"/>
        <v>0</v>
      </c>
      <c r="H2972" s="17">
        <v>2957</v>
      </c>
      <c r="I2972" s="43">
        <v>0.66901118941442228</v>
      </c>
      <c r="J2972" s="43">
        <v>1.9416300601256285E-2</v>
      </c>
      <c r="K2972" s="43"/>
      <c r="L2972" s="43">
        <v>0.251</v>
      </c>
      <c r="O2972" s="50"/>
    </row>
    <row r="2973" spans="2:15" x14ac:dyDescent="0.2">
      <c r="B2973">
        <v>2958</v>
      </c>
      <c r="C2973" s="48">
        <f ca="1"/>
        <v>-1.760488887586545</v>
      </c>
      <c r="D2973" s="48">
        <f t="shared" ca="1" si="178"/>
        <v>0.55862661714827544</v>
      </c>
      <c r="E2973" s="48">
        <f t="shared" ca="1" si="179"/>
        <v>0</v>
      </c>
      <c r="F2973" s="17">
        <f t="shared" ca="1" si="180"/>
        <v>0</v>
      </c>
      <c r="H2973" s="17">
        <v>2958</v>
      </c>
      <c r="I2973" s="43">
        <v>0.66859923461938375</v>
      </c>
      <c r="J2973" s="43">
        <v>1.9216571627750974E-2</v>
      </c>
      <c r="K2973" s="43"/>
      <c r="L2973" s="43">
        <v>0.252</v>
      </c>
      <c r="O2973" s="50"/>
    </row>
    <row r="2974" spans="2:15" x14ac:dyDescent="0.2">
      <c r="B2974">
        <v>2959</v>
      </c>
      <c r="C2974" s="48">
        <f ca="1"/>
        <v>0.40678994460084877</v>
      </c>
      <c r="D2974" s="48">
        <f t="shared" ca="1" si="178"/>
        <v>0.69169688929954776</v>
      </c>
      <c r="E2974" s="48">
        <f t="shared" ca="1" si="179"/>
        <v>0</v>
      </c>
      <c r="F2974" s="17">
        <f t="shared" ca="1" si="180"/>
        <v>0</v>
      </c>
      <c r="H2974" s="17">
        <v>2959</v>
      </c>
      <c r="I2974" s="43">
        <v>0.66797548739296619</v>
      </c>
      <c r="J2974" s="43">
        <v>1.860268437769564E-2</v>
      </c>
      <c r="K2974" s="43"/>
      <c r="L2974" s="43">
        <v>0.246</v>
      </c>
      <c r="O2974" s="50"/>
    </row>
    <row r="2975" spans="2:15" x14ac:dyDescent="0.2">
      <c r="B2975">
        <v>2960</v>
      </c>
      <c r="C2975" s="48">
        <f ca="1"/>
        <v>1.7002755557537335</v>
      </c>
      <c r="D2975" s="48">
        <f t="shared" ca="1" si="178"/>
        <v>0.78577407283336986</v>
      </c>
      <c r="E2975" s="48">
        <f t="shared" ca="1" si="179"/>
        <v>0</v>
      </c>
      <c r="F2975" s="17">
        <f t="shared" ca="1" si="180"/>
        <v>0</v>
      </c>
      <c r="H2975" s="17">
        <v>2960</v>
      </c>
      <c r="I2975" s="43">
        <v>0.66841226330934622</v>
      </c>
      <c r="J2975" s="43">
        <v>1.9055488593978209E-2</v>
      </c>
      <c r="K2975" s="43"/>
      <c r="L2975" s="43">
        <v>0.25080000000000002</v>
      </c>
      <c r="O2975" s="50"/>
    </row>
    <row r="2976" spans="2:15" x14ac:dyDescent="0.2">
      <c r="B2976">
        <v>2961</v>
      </c>
      <c r="C2976" s="48">
        <f ca="1"/>
        <v>-1.4161012815739951</v>
      </c>
      <c r="D2976" s="48">
        <f t="shared" ca="1" si="178"/>
        <v>0.57791893317290821</v>
      </c>
      <c r="E2976" s="48">
        <f t="shared" ca="1" si="179"/>
        <v>0</v>
      </c>
      <c r="F2976" s="17">
        <f t="shared" ca="1" si="180"/>
        <v>0</v>
      </c>
      <c r="H2976" s="17">
        <v>2961</v>
      </c>
      <c r="I2976" s="43">
        <v>0.66796681904497146</v>
      </c>
      <c r="J2976" s="43">
        <v>1.8548831302251382E-2</v>
      </c>
      <c r="K2976" s="43"/>
      <c r="L2976" s="43">
        <v>0.24579999999999999</v>
      </c>
      <c r="O2976" s="50"/>
    </row>
    <row r="2977" spans="2:15" x14ac:dyDescent="0.2">
      <c r="B2977">
        <v>2962</v>
      </c>
      <c r="C2977" s="48">
        <f ca="1"/>
        <v>-0.45800513669195558</v>
      </c>
      <c r="D2977" s="48">
        <f t="shared" ca="1" si="178"/>
        <v>0.63516822146657981</v>
      </c>
      <c r="E2977" s="48">
        <f t="shared" ca="1" si="179"/>
        <v>0</v>
      </c>
      <c r="F2977" s="17">
        <f t="shared" ca="1" si="180"/>
        <v>0</v>
      </c>
      <c r="H2977" s="17">
        <v>2962</v>
      </c>
      <c r="I2977" s="43">
        <v>0.66867267787083373</v>
      </c>
      <c r="J2977" s="43">
        <v>1.9065201031456012E-2</v>
      </c>
      <c r="K2977" s="43"/>
      <c r="L2977" s="43">
        <v>0.24399999999999999</v>
      </c>
      <c r="O2977" s="50"/>
    </row>
    <row r="2978" spans="2:15" x14ac:dyDescent="0.2">
      <c r="B2978">
        <v>2963</v>
      </c>
      <c r="C2978" s="48">
        <f ca="1"/>
        <v>0.89558160887102423</v>
      </c>
      <c r="D2978" s="48">
        <f t="shared" ca="1" si="178"/>
        <v>0.72584505691976142</v>
      </c>
      <c r="E2978" s="48">
        <f t="shared" ca="1" si="179"/>
        <v>0</v>
      </c>
      <c r="F2978" s="17">
        <f t="shared" ca="1" si="180"/>
        <v>0</v>
      </c>
      <c r="H2978" s="17">
        <v>2963</v>
      </c>
      <c r="I2978" s="43">
        <v>0.66902572835278162</v>
      </c>
      <c r="J2978" s="43">
        <v>1.940609846012099E-2</v>
      </c>
      <c r="K2978" s="43"/>
      <c r="L2978" s="43">
        <v>0.25040000000000001</v>
      </c>
      <c r="O2978" s="50"/>
    </row>
    <row r="2979" spans="2:15" x14ac:dyDescent="0.2">
      <c r="B2979">
        <v>2964</v>
      </c>
      <c r="C2979" s="48">
        <f ca="1"/>
        <v>0.60213659452347679</v>
      </c>
      <c r="D2979" s="48">
        <f t="shared" ca="1" si="178"/>
        <v>0.705147196480988</v>
      </c>
      <c r="E2979" s="48">
        <f t="shared" ca="1" si="179"/>
        <v>0</v>
      </c>
      <c r="F2979" s="17">
        <f t="shared" ca="1" si="180"/>
        <v>0</v>
      </c>
      <c r="H2979" s="17">
        <v>2964</v>
      </c>
      <c r="I2979" s="43">
        <v>0.66847160180400134</v>
      </c>
      <c r="J2979" s="43">
        <v>1.8929545577940878E-2</v>
      </c>
      <c r="K2979" s="43"/>
      <c r="L2979" s="43">
        <v>0.24199999999999999</v>
      </c>
      <c r="O2979" s="50"/>
    </row>
    <row r="2980" spans="2:15" x14ac:dyDescent="0.2">
      <c r="B2980">
        <v>2965</v>
      </c>
      <c r="C2980" s="48">
        <f ca="1"/>
        <v>1.671007358886605</v>
      </c>
      <c r="D2980" s="48">
        <f t="shared" ca="1" si="178"/>
        <v>0.78351000747296573</v>
      </c>
      <c r="E2980" s="48">
        <f t="shared" ca="1" si="179"/>
        <v>0</v>
      </c>
      <c r="F2980" s="17">
        <f t="shared" ca="1" si="180"/>
        <v>0</v>
      </c>
      <c r="H2980" s="17">
        <v>2965</v>
      </c>
      <c r="I2980" s="43">
        <v>0.66995935674137708</v>
      </c>
      <c r="J2980" s="43">
        <v>1.9952380810740543E-2</v>
      </c>
      <c r="K2980" s="43"/>
      <c r="L2980" s="43">
        <v>0.25979999999999998</v>
      </c>
      <c r="O2980" s="50"/>
    </row>
    <row r="2981" spans="2:15" x14ac:dyDescent="0.2">
      <c r="B2981">
        <v>2966</v>
      </c>
      <c r="C2981" s="48">
        <f ca="1"/>
        <v>-0.57835114948907018</v>
      </c>
      <c r="D2981" s="48">
        <f t="shared" ca="1" si="178"/>
        <v>0.62767672863298918</v>
      </c>
      <c r="E2981" s="48">
        <f t="shared" ca="1" si="179"/>
        <v>0</v>
      </c>
      <c r="F2981" s="17">
        <f t="shared" ca="1" si="180"/>
        <v>0</v>
      </c>
      <c r="H2981" s="17">
        <v>2966</v>
      </c>
      <c r="I2981" s="43">
        <v>0.66732198591084624</v>
      </c>
      <c r="J2981" s="43">
        <v>1.8190534796102692E-2</v>
      </c>
      <c r="K2981" s="43"/>
      <c r="L2981" s="43">
        <v>0.24379999999999999</v>
      </c>
      <c r="O2981" s="50"/>
    </row>
    <row r="2982" spans="2:15" x14ac:dyDescent="0.2">
      <c r="B2982">
        <v>2967</v>
      </c>
      <c r="C2982" s="48">
        <f ca="1"/>
        <v>-0.95099325797362699</v>
      </c>
      <c r="D2982" s="48">
        <f t="shared" ca="1" si="178"/>
        <v>0.60503567789154877</v>
      </c>
      <c r="E2982" s="48">
        <f t="shared" ca="1" si="179"/>
        <v>0</v>
      </c>
      <c r="F2982" s="17">
        <f t="shared" ca="1" si="180"/>
        <v>0</v>
      </c>
      <c r="H2982" s="17">
        <v>2967</v>
      </c>
      <c r="I2982" s="43">
        <v>0.66814477413594908</v>
      </c>
      <c r="J2982" s="43">
        <v>1.8934250147592233E-2</v>
      </c>
      <c r="K2982" s="43"/>
      <c r="L2982" s="43">
        <v>0.24840000000000001</v>
      </c>
      <c r="O2982" s="50"/>
    </row>
    <row r="2983" spans="2:15" x14ac:dyDescent="0.2">
      <c r="B2983">
        <v>2968</v>
      </c>
      <c r="C2983" s="48">
        <f ca="1"/>
        <v>0.78724897739381827</v>
      </c>
      <c r="D2983" s="48">
        <f t="shared" ca="1" si="178"/>
        <v>0.71813410817774037</v>
      </c>
      <c r="E2983" s="48">
        <f t="shared" ca="1" si="179"/>
        <v>0</v>
      </c>
      <c r="F2983" s="17">
        <f t="shared" ca="1" si="180"/>
        <v>0</v>
      </c>
      <c r="H2983" s="17">
        <v>2968</v>
      </c>
      <c r="I2983" s="43">
        <v>0.66891929511895598</v>
      </c>
      <c r="J2983" s="43">
        <v>1.9447637298201655E-2</v>
      </c>
      <c r="K2983" s="43"/>
      <c r="L2983" s="43">
        <v>0.254</v>
      </c>
      <c r="O2983" s="50"/>
    </row>
    <row r="2984" spans="2:15" x14ac:dyDescent="0.2">
      <c r="B2984">
        <v>2969</v>
      </c>
      <c r="C2984" s="48">
        <f ca="1"/>
        <v>-0.93036181078372615</v>
      </c>
      <c r="D2984" s="48">
        <f t="shared" ca="1" si="178"/>
        <v>0.6062675741918524</v>
      </c>
      <c r="E2984" s="48">
        <f t="shared" ca="1" si="179"/>
        <v>0</v>
      </c>
      <c r="F2984" s="17">
        <f t="shared" ca="1" si="180"/>
        <v>0</v>
      </c>
      <c r="H2984" s="17">
        <v>2969</v>
      </c>
      <c r="I2984" s="43">
        <v>0.66919488078546785</v>
      </c>
      <c r="J2984" s="43">
        <v>1.9461920487720347E-2</v>
      </c>
      <c r="K2984" s="43"/>
      <c r="L2984" s="43">
        <v>0.251</v>
      </c>
      <c r="O2984" s="50"/>
    </row>
    <row r="2985" spans="2:15" x14ac:dyDescent="0.2">
      <c r="B2985">
        <v>2970</v>
      </c>
      <c r="C2985" s="48">
        <f ca="1"/>
        <v>-0.3536283151615997</v>
      </c>
      <c r="D2985" s="48">
        <f t="shared" ca="1" si="178"/>
        <v>0.64173800355039368</v>
      </c>
      <c r="E2985" s="48">
        <f t="shared" ca="1" si="179"/>
        <v>0</v>
      </c>
      <c r="F2985" s="17">
        <f t="shared" ca="1" si="180"/>
        <v>0</v>
      </c>
      <c r="H2985" s="17">
        <v>2970</v>
      </c>
      <c r="I2985" s="43">
        <v>0.66804270016312228</v>
      </c>
      <c r="J2985" s="43">
        <v>1.8745294344575083E-2</v>
      </c>
      <c r="K2985" s="43"/>
      <c r="L2985" s="43">
        <v>0.2422</v>
      </c>
      <c r="O2985" s="50"/>
    </row>
    <row r="2986" spans="2:15" x14ac:dyDescent="0.2">
      <c r="B2986">
        <v>2971</v>
      </c>
      <c r="C2986" s="48">
        <f ca="1"/>
        <v>-1.1424093056059297</v>
      </c>
      <c r="D2986" s="48">
        <f t="shared" ca="1" si="178"/>
        <v>0.59372497328839824</v>
      </c>
      <c r="E2986" s="48">
        <f t="shared" ca="1" si="179"/>
        <v>0</v>
      </c>
      <c r="F2986" s="17">
        <f t="shared" ca="1" si="180"/>
        <v>0</v>
      </c>
      <c r="H2986" s="17">
        <v>2971</v>
      </c>
      <c r="I2986" s="43">
        <v>0.66809776825913947</v>
      </c>
      <c r="J2986" s="43">
        <v>1.8708699569178165E-2</v>
      </c>
      <c r="K2986" s="43"/>
      <c r="L2986" s="43">
        <v>0.23899999999999999</v>
      </c>
      <c r="O2986" s="50"/>
    </row>
    <row r="2987" spans="2:15" x14ac:dyDescent="0.2">
      <c r="B2987">
        <v>2972</v>
      </c>
      <c r="C2987" s="48">
        <f ca="1"/>
        <v>-1.1160848789707405</v>
      </c>
      <c r="D2987" s="48">
        <f t="shared" ca="1" si="178"/>
        <v>0.59526784434862889</v>
      </c>
      <c r="E2987" s="48">
        <f t="shared" ca="1" si="179"/>
        <v>0</v>
      </c>
      <c r="F2987" s="17">
        <f t="shared" ca="1" si="180"/>
        <v>0</v>
      </c>
      <c r="H2987" s="17">
        <v>2972</v>
      </c>
      <c r="I2987" s="43">
        <v>0.6684820701530817</v>
      </c>
      <c r="J2987" s="43">
        <v>1.9264367074910558E-2</v>
      </c>
      <c r="K2987" s="43"/>
      <c r="L2987" s="43">
        <v>0.25059999999999999</v>
      </c>
      <c r="O2987" s="50"/>
    </row>
    <row r="2988" spans="2:15" x14ac:dyDescent="0.2">
      <c r="B2988">
        <v>2973</v>
      </c>
      <c r="C2988" s="48">
        <f ca="1"/>
        <v>-1.6971647225186106</v>
      </c>
      <c r="D2988" s="48">
        <f t="shared" ca="1" si="178"/>
        <v>0.56212501474954701</v>
      </c>
      <c r="E2988" s="48">
        <f t="shared" ca="1" si="179"/>
        <v>0</v>
      </c>
      <c r="F2988" s="17">
        <f t="shared" ca="1" si="180"/>
        <v>0</v>
      </c>
      <c r="H2988" s="17">
        <v>2973</v>
      </c>
      <c r="I2988" s="43">
        <v>0.66899379571242956</v>
      </c>
      <c r="J2988" s="43">
        <v>1.9602400314644039E-2</v>
      </c>
      <c r="K2988" s="43"/>
      <c r="L2988" s="43">
        <v>0.24940000000000001</v>
      </c>
      <c r="O2988" s="50"/>
    </row>
    <row r="2989" spans="2:15" x14ac:dyDescent="0.2">
      <c r="B2989">
        <v>2974</v>
      </c>
      <c r="C2989" s="48">
        <f ca="1"/>
        <v>0.74999993104508467</v>
      </c>
      <c r="D2989" s="48">
        <f t="shared" ca="1" si="178"/>
        <v>0.71550174837822444</v>
      </c>
      <c r="E2989" s="48">
        <f t="shared" ca="1" si="179"/>
        <v>0</v>
      </c>
      <c r="F2989" s="17">
        <f t="shared" ca="1" si="180"/>
        <v>0</v>
      </c>
      <c r="H2989" s="17">
        <v>2974</v>
      </c>
      <c r="I2989" s="43">
        <v>0.66828294046579673</v>
      </c>
      <c r="J2989" s="43">
        <v>1.9078126899921017E-2</v>
      </c>
      <c r="K2989" s="43"/>
      <c r="L2989" s="43">
        <v>0.25259999999999999</v>
      </c>
      <c r="O2989" s="50"/>
    </row>
    <row r="2990" spans="2:15" x14ac:dyDescent="0.2">
      <c r="B2990">
        <v>2975</v>
      </c>
      <c r="C2990" s="48">
        <f ca="1"/>
        <v>-0.30967890262503728</v>
      </c>
      <c r="D2990" s="48">
        <f t="shared" ca="1" si="178"/>
        <v>0.6445245979653067</v>
      </c>
      <c r="E2990" s="48">
        <f t="shared" ca="1" si="179"/>
        <v>0</v>
      </c>
      <c r="F2990" s="17">
        <f t="shared" ca="1" si="180"/>
        <v>0</v>
      </c>
      <c r="H2990" s="17">
        <v>2975</v>
      </c>
      <c r="I2990" s="43">
        <v>0.66807304235129827</v>
      </c>
      <c r="J2990" s="43">
        <v>1.9011771388604558E-2</v>
      </c>
      <c r="K2990" s="43"/>
      <c r="L2990" s="43">
        <v>0.25159999999999999</v>
      </c>
      <c r="O2990" s="50"/>
    </row>
    <row r="2991" spans="2:15" x14ac:dyDescent="0.2">
      <c r="B2991">
        <v>2976</v>
      </c>
      <c r="C2991" s="48">
        <f ca="1"/>
        <v>9.2853236277925244E-2</v>
      </c>
      <c r="D2991" s="48">
        <f t="shared" ca="1" si="178"/>
        <v>0.67061661676842887</v>
      </c>
      <c r="E2991" s="48">
        <f t="shared" ca="1" si="179"/>
        <v>0</v>
      </c>
      <c r="F2991" s="17">
        <f t="shared" ca="1" si="180"/>
        <v>0</v>
      </c>
      <c r="H2991" s="17">
        <v>2976</v>
      </c>
      <c r="I2991" s="43">
        <v>0.66933055200698655</v>
      </c>
      <c r="J2991" s="43">
        <v>1.9701247256433841E-2</v>
      </c>
      <c r="K2991" s="43"/>
      <c r="L2991" s="43">
        <v>0.2492</v>
      </c>
      <c r="O2991" s="50"/>
    </row>
    <row r="2992" spans="2:15" x14ac:dyDescent="0.2">
      <c r="B2992">
        <v>2977</v>
      </c>
      <c r="C2992" s="48">
        <f ca="1"/>
        <v>-0.56317480011549104</v>
      </c>
      <c r="D2992" s="48">
        <f t="shared" ca="1" si="178"/>
        <v>0.62861656013825895</v>
      </c>
      <c r="E2992" s="48">
        <f t="shared" ca="1" si="179"/>
        <v>0</v>
      </c>
      <c r="F2992" s="17">
        <f t="shared" ca="1" si="180"/>
        <v>0</v>
      </c>
      <c r="H2992" s="17">
        <v>2977</v>
      </c>
      <c r="I2992" s="43">
        <v>0.66932485023846611</v>
      </c>
      <c r="J2992" s="43">
        <v>1.9731938617702456E-2</v>
      </c>
      <c r="K2992" s="43"/>
      <c r="L2992" s="43">
        <v>0.25259999999999999</v>
      </c>
      <c r="O2992" s="50"/>
    </row>
    <row r="2993" spans="2:15" x14ac:dyDescent="0.2">
      <c r="B2993">
        <v>2978</v>
      </c>
      <c r="C2993" s="48">
        <f ca="1"/>
        <v>-1.7867037486715933</v>
      </c>
      <c r="D2993" s="48">
        <f t="shared" ca="1" si="178"/>
        <v>0.55718473481938757</v>
      </c>
      <c r="E2993" s="48">
        <f t="shared" ca="1" si="179"/>
        <v>0</v>
      </c>
      <c r="F2993" s="17">
        <f t="shared" ca="1" si="180"/>
        <v>0</v>
      </c>
      <c r="H2993" s="17">
        <v>2978</v>
      </c>
      <c r="I2993" s="43">
        <v>0.66827617731646693</v>
      </c>
      <c r="J2993" s="43">
        <v>1.8716385092119103E-2</v>
      </c>
      <c r="K2993" s="43"/>
      <c r="L2993" s="43">
        <v>0.24859999999999999</v>
      </c>
      <c r="O2993" s="50"/>
    </row>
    <row r="2994" spans="2:15" x14ac:dyDescent="0.2">
      <c r="B2994">
        <v>2979</v>
      </c>
      <c r="C2994" s="48">
        <f ca="1"/>
        <v>1.2723238655938349</v>
      </c>
      <c r="D2994" s="48">
        <f t="shared" ca="1" si="178"/>
        <v>0.75331136198200599</v>
      </c>
      <c r="E2994" s="48">
        <f t="shared" ca="1" si="179"/>
        <v>0</v>
      </c>
      <c r="F2994" s="17">
        <f t="shared" ca="1" si="180"/>
        <v>0</v>
      </c>
      <c r="H2994" s="17">
        <v>2979</v>
      </c>
      <c r="I2994" s="43">
        <v>0.66968489338781834</v>
      </c>
      <c r="J2994" s="43">
        <v>1.9631266040143657E-2</v>
      </c>
      <c r="K2994" s="43"/>
      <c r="L2994" s="43">
        <v>0.24179999999999999</v>
      </c>
      <c r="O2994" s="50"/>
    </row>
    <row r="2995" spans="2:15" x14ac:dyDescent="0.2">
      <c r="B2995">
        <v>2980</v>
      </c>
      <c r="C2995" s="48">
        <f ca="1"/>
        <v>0.85081224693656277</v>
      </c>
      <c r="D2995" s="48">
        <f t="shared" ca="1" si="178"/>
        <v>0.72264845556618984</v>
      </c>
      <c r="E2995" s="48">
        <f t="shared" ca="1" si="179"/>
        <v>0</v>
      </c>
      <c r="F2995" s="17">
        <f t="shared" ca="1" si="180"/>
        <v>0</v>
      </c>
      <c r="H2995" s="17">
        <v>2980</v>
      </c>
      <c r="I2995" s="43">
        <v>0.66937993532142592</v>
      </c>
      <c r="J2995" s="43">
        <v>1.9649508473769152E-2</v>
      </c>
      <c r="K2995" s="43"/>
      <c r="L2995" s="43">
        <v>0.25480000000000003</v>
      </c>
      <c r="O2995" s="50"/>
    </row>
    <row r="2996" spans="2:15" x14ac:dyDescent="0.2">
      <c r="B2996">
        <v>2981</v>
      </c>
      <c r="C2996" s="48">
        <f ca="1"/>
        <v>0.48037849772225077</v>
      </c>
      <c r="D2996" s="48">
        <f t="shared" ca="1" si="178"/>
        <v>0.69673333485005395</v>
      </c>
      <c r="E2996" s="48">
        <f t="shared" ca="1" si="179"/>
        <v>0</v>
      </c>
      <c r="F2996" s="17">
        <f t="shared" ca="1" si="180"/>
        <v>0</v>
      </c>
      <c r="H2996" s="17">
        <v>2981</v>
      </c>
      <c r="I2996" s="43">
        <v>0.66943229207823052</v>
      </c>
      <c r="J2996" s="43">
        <v>1.9675678726617591E-2</v>
      </c>
      <c r="K2996" s="43"/>
      <c r="L2996" s="43">
        <v>0.24979999999999999</v>
      </c>
      <c r="O2996" s="50"/>
    </row>
    <row r="2997" spans="2:15" x14ac:dyDescent="0.2">
      <c r="B2997">
        <v>2982</v>
      </c>
      <c r="C2997" s="48">
        <f ca="1"/>
        <v>2.0031020080400235</v>
      </c>
      <c r="D2997" s="48">
        <f t="shared" ca="1" si="178"/>
        <v>0.80958697132237878</v>
      </c>
      <c r="E2997" s="48">
        <f t="shared" ca="1" si="179"/>
        <v>2.1386971322378767E-2</v>
      </c>
      <c r="F2997" s="17">
        <f t="shared" ca="1" si="180"/>
        <v>1</v>
      </c>
      <c r="H2997" s="17">
        <v>2982</v>
      </c>
      <c r="I2997" s="43">
        <v>0.66936693763754762</v>
      </c>
      <c r="J2997" s="43">
        <v>1.954122420338605E-2</v>
      </c>
      <c r="K2997" s="43"/>
      <c r="L2997" s="43">
        <v>0.2482</v>
      </c>
      <c r="O2997" s="50"/>
    </row>
    <row r="2998" spans="2:15" x14ac:dyDescent="0.2">
      <c r="B2998">
        <v>2983</v>
      </c>
      <c r="C2998" s="48">
        <f ca="1"/>
        <v>0.56682455698525391</v>
      </c>
      <c r="D2998" s="48">
        <f t="shared" ca="1" si="178"/>
        <v>0.70269661842111031</v>
      </c>
      <c r="E2998" s="48">
        <f t="shared" ca="1" si="179"/>
        <v>0</v>
      </c>
      <c r="F2998" s="17">
        <f t="shared" ca="1" si="180"/>
        <v>0</v>
      </c>
      <c r="H2998" s="17">
        <v>2983</v>
      </c>
      <c r="I2998" s="43">
        <v>0.66983322337372619</v>
      </c>
      <c r="J2998" s="43">
        <v>1.9748471031776769E-2</v>
      </c>
      <c r="K2998" s="43"/>
      <c r="L2998" s="43">
        <v>0.25140000000000001</v>
      </c>
      <c r="O2998" s="50"/>
    </row>
    <row r="2999" spans="2:15" x14ac:dyDescent="0.2">
      <c r="B2999">
        <v>2984</v>
      </c>
      <c r="C2999" s="48">
        <f ca="1"/>
        <v>0.11531471559057746</v>
      </c>
      <c r="D2999" s="48">
        <f t="shared" ca="1" si="178"/>
        <v>0.67210328934484465</v>
      </c>
      <c r="E2999" s="48">
        <f t="shared" ca="1" si="179"/>
        <v>0</v>
      </c>
      <c r="F2999" s="17">
        <f t="shared" ca="1" si="180"/>
        <v>0</v>
      </c>
      <c r="H2999" s="17">
        <v>2984</v>
      </c>
      <c r="I2999" s="43">
        <v>0.66945750321946984</v>
      </c>
      <c r="J2999" s="43">
        <v>1.957961428937215E-2</v>
      </c>
      <c r="K2999" s="43"/>
      <c r="L2999" s="43">
        <v>0.24340000000000001</v>
      </c>
      <c r="O2999" s="50"/>
    </row>
    <row r="3000" spans="2:15" x14ac:dyDescent="0.2">
      <c r="B3000">
        <v>2985</v>
      </c>
      <c r="C3000" s="48">
        <f ca="1"/>
        <v>1.2041756481575483</v>
      </c>
      <c r="D3000" s="48">
        <f t="shared" ca="1" si="178"/>
        <v>0.74826715802187194</v>
      </c>
      <c r="E3000" s="48">
        <f t="shared" ca="1" si="179"/>
        <v>0</v>
      </c>
      <c r="F3000" s="17">
        <f t="shared" ca="1" si="180"/>
        <v>0</v>
      </c>
      <c r="H3000" s="17">
        <v>2985</v>
      </c>
      <c r="I3000" s="43">
        <v>0.66824596630525779</v>
      </c>
      <c r="J3000" s="43">
        <v>1.8748780309561924E-2</v>
      </c>
      <c r="K3000" s="43"/>
      <c r="L3000" s="43">
        <v>0.24299999999999999</v>
      </c>
      <c r="O3000" s="50"/>
    </row>
    <row r="3001" spans="2:15" x14ac:dyDescent="0.2">
      <c r="B3001">
        <v>2986</v>
      </c>
      <c r="C3001" s="48">
        <f ca="1"/>
        <v>-8.1312321623161585E-2</v>
      </c>
      <c r="D3001" s="48">
        <f t="shared" ca="1" si="178"/>
        <v>0.65920006092118211</v>
      </c>
      <c r="E3001" s="48">
        <f t="shared" ca="1" si="179"/>
        <v>0</v>
      </c>
      <c r="F3001" s="17">
        <f t="shared" ca="1" si="180"/>
        <v>0</v>
      </c>
      <c r="H3001" s="17">
        <v>2986</v>
      </c>
      <c r="I3001" s="43">
        <v>0.66866417986061055</v>
      </c>
      <c r="J3001" s="43">
        <v>1.9371659186204777E-2</v>
      </c>
      <c r="K3001" s="43"/>
      <c r="L3001" s="43">
        <v>0.25280000000000002</v>
      </c>
      <c r="O3001" s="50"/>
    </row>
    <row r="3002" spans="2:15" x14ac:dyDescent="0.2">
      <c r="B3002">
        <v>2987</v>
      </c>
      <c r="C3002" s="48">
        <f ca="1"/>
        <v>-0.11767878594338792</v>
      </c>
      <c r="D3002" s="48">
        <f t="shared" ca="1" si="178"/>
        <v>0.65684087733365226</v>
      </c>
      <c r="E3002" s="48">
        <f t="shared" ca="1" si="179"/>
        <v>0</v>
      </c>
      <c r="F3002" s="17">
        <f t="shared" ca="1" si="180"/>
        <v>0</v>
      </c>
      <c r="H3002" s="17">
        <v>2987</v>
      </c>
      <c r="I3002" s="43">
        <v>0.66935899858329817</v>
      </c>
      <c r="J3002" s="43">
        <v>1.9830296409222167E-2</v>
      </c>
      <c r="K3002" s="43"/>
      <c r="L3002" s="43">
        <v>0.253</v>
      </c>
      <c r="O3002" s="50"/>
    </row>
    <row r="3003" spans="2:15" x14ac:dyDescent="0.2">
      <c r="B3003">
        <v>2988</v>
      </c>
      <c r="C3003" s="48">
        <f ca="1"/>
        <v>-1.2250947279901212</v>
      </c>
      <c r="D3003" s="48">
        <f t="shared" ca="1" si="178"/>
        <v>0.58890475107672835</v>
      </c>
      <c r="E3003" s="48">
        <f t="shared" ca="1" si="179"/>
        <v>0</v>
      </c>
      <c r="F3003" s="17">
        <f t="shared" ca="1" si="180"/>
        <v>0</v>
      </c>
      <c r="H3003" s="17">
        <v>2988</v>
      </c>
      <c r="I3003" s="43">
        <v>0.66972320533874452</v>
      </c>
      <c r="J3003" s="43">
        <v>1.9913850788440719E-2</v>
      </c>
      <c r="K3003" s="43"/>
      <c r="L3003" s="43">
        <v>0.253</v>
      </c>
      <c r="O3003" s="50"/>
    </row>
    <row r="3004" spans="2:15" x14ac:dyDescent="0.2">
      <c r="B3004">
        <v>2989</v>
      </c>
      <c r="C3004" s="48">
        <f ca="1"/>
        <v>0.47902569485269497</v>
      </c>
      <c r="D3004" s="48">
        <f t="shared" ca="1" si="178"/>
        <v>0.69664041813114652</v>
      </c>
      <c r="E3004" s="48">
        <f t="shared" ca="1" si="179"/>
        <v>0</v>
      </c>
      <c r="F3004" s="17">
        <f t="shared" ca="1" si="180"/>
        <v>0</v>
      </c>
      <c r="H3004" s="17">
        <v>2989</v>
      </c>
      <c r="I3004" s="43">
        <v>0.66818605749237103</v>
      </c>
      <c r="J3004" s="43">
        <v>1.8898423951598995E-2</v>
      </c>
      <c r="K3004" s="43"/>
      <c r="L3004" s="43">
        <v>0.25040000000000001</v>
      </c>
      <c r="O3004" s="50"/>
    </row>
    <row r="3005" spans="2:15" x14ac:dyDescent="0.2">
      <c r="B3005">
        <v>2990</v>
      </c>
      <c r="C3005" s="48">
        <f ca="1"/>
        <v>-9.0608904887354735E-2</v>
      </c>
      <c r="D3005" s="48">
        <f t="shared" ca="1" si="178"/>
        <v>0.65859616330299986</v>
      </c>
      <c r="E3005" s="48">
        <f t="shared" ca="1" si="179"/>
        <v>0</v>
      </c>
      <c r="F3005" s="17">
        <f t="shared" ca="1" si="180"/>
        <v>0</v>
      </c>
      <c r="H3005" s="17">
        <v>2990</v>
      </c>
      <c r="I3005" s="43">
        <v>0.66841550358556467</v>
      </c>
      <c r="J3005" s="43">
        <v>1.9002739268251106E-2</v>
      </c>
      <c r="K3005" s="43"/>
      <c r="L3005" s="43">
        <v>0.24840000000000001</v>
      </c>
      <c r="O3005" s="50"/>
    </row>
    <row r="3006" spans="2:15" x14ac:dyDescent="0.2">
      <c r="B3006">
        <v>2991</v>
      </c>
      <c r="C3006" s="48">
        <f ca="1"/>
        <v>0.2486871411518915</v>
      </c>
      <c r="D3006" s="48">
        <f t="shared" ca="1" si="178"/>
        <v>0.68099903087919544</v>
      </c>
      <c r="E3006" s="48">
        <f t="shared" ca="1" si="179"/>
        <v>0</v>
      </c>
      <c r="F3006" s="17">
        <f t="shared" ca="1" si="180"/>
        <v>0</v>
      </c>
      <c r="H3006" s="17">
        <v>2991</v>
      </c>
      <c r="I3006" s="43">
        <v>0.66922998637288089</v>
      </c>
      <c r="J3006" s="43">
        <v>1.9923604405640446E-2</v>
      </c>
      <c r="K3006" s="43"/>
      <c r="L3006" s="43">
        <v>0.25940000000000002</v>
      </c>
      <c r="O3006" s="50"/>
    </row>
    <row r="3007" spans="2:15" x14ac:dyDescent="0.2">
      <c r="B3007">
        <v>2992</v>
      </c>
      <c r="C3007" s="48">
        <f ca="1"/>
        <v>-0.17782860475812332</v>
      </c>
      <c r="D3007" s="48">
        <f t="shared" ca="1" si="178"/>
        <v>0.6529573249663535</v>
      </c>
      <c r="E3007" s="48">
        <f t="shared" ca="1" si="179"/>
        <v>0</v>
      </c>
      <c r="F3007" s="17">
        <f t="shared" ca="1" si="180"/>
        <v>0</v>
      </c>
      <c r="H3007" s="17">
        <v>2992</v>
      </c>
      <c r="I3007" s="43">
        <v>0.66984513336112272</v>
      </c>
      <c r="J3007" s="43">
        <v>1.9868275143112794E-2</v>
      </c>
      <c r="K3007" s="43"/>
      <c r="L3007" s="43">
        <v>0.25359999999999999</v>
      </c>
      <c r="O3007" s="50"/>
    </row>
    <row r="3008" spans="2:15" x14ac:dyDescent="0.2">
      <c r="B3008">
        <v>2993</v>
      </c>
      <c r="C3008" s="48">
        <f ca="1"/>
        <v>0.64168153215089452</v>
      </c>
      <c r="D3008" s="48">
        <f t="shared" ca="1" si="178"/>
        <v>0.70790167412547034</v>
      </c>
      <c r="E3008" s="48">
        <f t="shared" ca="1" si="179"/>
        <v>0</v>
      </c>
      <c r="F3008" s="17">
        <f t="shared" ca="1" si="180"/>
        <v>0</v>
      </c>
      <c r="H3008" s="17">
        <v>2993</v>
      </c>
      <c r="I3008" s="43">
        <v>0.66912490584975248</v>
      </c>
      <c r="J3008" s="43">
        <v>1.9604993920404122E-2</v>
      </c>
      <c r="K3008" s="43"/>
      <c r="L3008" s="43">
        <v>0.25700000000000001</v>
      </c>
      <c r="O3008" s="50"/>
    </row>
    <row r="3009" spans="2:15" x14ac:dyDescent="0.2">
      <c r="B3009">
        <v>2994</v>
      </c>
      <c r="C3009" s="48">
        <f ca="1"/>
        <v>0.48951979809364982</v>
      </c>
      <c r="D3009" s="48">
        <f t="shared" ca="1" si="178"/>
        <v>0.69736152627141779</v>
      </c>
      <c r="E3009" s="48">
        <f t="shared" ca="1" si="179"/>
        <v>0</v>
      </c>
      <c r="F3009" s="17">
        <f t="shared" ca="1" si="180"/>
        <v>0</v>
      </c>
      <c r="H3009" s="17">
        <v>2994</v>
      </c>
      <c r="I3009" s="43">
        <v>0.66897544527703878</v>
      </c>
      <c r="J3009" s="43">
        <v>1.944824975075184E-2</v>
      </c>
      <c r="K3009" s="43"/>
      <c r="L3009" s="43">
        <v>0.2482</v>
      </c>
      <c r="O3009" s="50"/>
    </row>
    <row r="3010" spans="2:15" x14ac:dyDescent="0.2">
      <c r="B3010">
        <v>2995</v>
      </c>
      <c r="C3010" s="48">
        <f ca="1"/>
        <v>5.6864360882556116E-3</v>
      </c>
      <c r="D3010" s="48">
        <f t="shared" ca="1" si="178"/>
        <v>0.66487832793586532</v>
      </c>
      <c r="E3010" s="48">
        <f t="shared" ca="1" si="179"/>
        <v>0</v>
      </c>
      <c r="F3010" s="17">
        <f t="shared" ca="1" si="180"/>
        <v>0</v>
      </c>
      <c r="H3010" s="17">
        <v>2995</v>
      </c>
      <c r="I3010" s="43">
        <v>0.66874008964958798</v>
      </c>
      <c r="J3010" s="43">
        <v>1.9321844748297321E-2</v>
      </c>
      <c r="K3010" s="43"/>
      <c r="L3010" s="43">
        <v>0.24940000000000001</v>
      </c>
      <c r="O3010" s="50"/>
    </row>
    <row r="3011" spans="2:15" x14ac:dyDescent="0.2">
      <c r="B3011">
        <v>2996</v>
      </c>
      <c r="C3011" s="48">
        <f ca="1"/>
        <v>-1.099667319267192</v>
      </c>
      <c r="D3011" s="48">
        <f t="shared" ca="1" si="178"/>
        <v>0.59623210459501541</v>
      </c>
      <c r="E3011" s="48">
        <f t="shared" ca="1" si="179"/>
        <v>0</v>
      </c>
      <c r="F3011" s="17">
        <f t="shared" ca="1" si="180"/>
        <v>0</v>
      </c>
      <c r="H3011" s="17">
        <v>2996</v>
      </c>
      <c r="I3011" s="43">
        <v>0.66871166056522857</v>
      </c>
      <c r="J3011" s="43">
        <v>1.8946044105622655E-2</v>
      </c>
      <c r="K3011" s="43"/>
      <c r="L3011" s="43">
        <v>0.24840000000000001</v>
      </c>
      <c r="O3011" s="50"/>
    </row>
    <row r="3012" spans="2:15" x14ac:dyDescent="0.2">
      <c r="B3012">
        <v>2997</v>
      </c>
      <c r="C3012" s="48">
        <f ca="1"/>
        <v>8.1190533345113419E-2</v>
      </c>
      <c r="D3012" s="48">
        <f t="shared" ca="1" si="178"/>
        <v>0.66984598733348821</v>
      </c>
      <c r="E3012" s="48">
        <f t="shared" ca="1" si="179"/>
        <v>0</v>
      </c>
      <c r="F3012" s="17">
        <f t="shared" ca="1" si="180"/>
        <v>0</v>
      </c>
      <c r="H3012" s="17">
        <v>2997</v>
      </c>
      <c r="I3012" s="43">
        <v>0.66986956011384313</v>
      </c>
      <c r="J3012" s="43">
        <v>1.9875942645657427E-2</v>
      </c>
      <c r="K3012" s="43"/>
      <c r="L3012" s="43">
        <v>0.25319999999999998</v>
      </c>
      <c r="O3012" s="50"/>
    </row>
    <row r="3013" spans="2:15" x14ac:dyDescent="0.2">
      <c r="B3013">
        <v>2998</v>
      </c>
      <c r="C3013" s="48">
        <f ca="1"/>
        <v>0.81679077931600275</v>
      </c>
      <c r="D3013" s="48">
        <f t="shared" ca="1" si="178"/>
        <v>0.72022868764053827</v>
      </c>
      <c r="E3013" s="48">
        <f t="shared" ca="1" si="179"/>
        <v>0</v>
      </c>
      <c r="F3013" s="17">
        <f t="shared" ca="1" si="180"/>
        <v>0</v>
      </c>
      <c r="H3013" s="17">
        <v>2998</v>
      </c>
      <c r="I3013" s="43">
        <v>0.66878708403897424</v>
      </c>
      <c r="J3013" s="43">
        <v>1.9084523368463998E-2</v>
      </c>
      <c r="K3013" s="43"/>
      <c r="L3013" s="43">
        <v>0.24079999999999999</v>
      </c>
      <c r="O3013" s="50"/>
    </row>
    <row r="3014" spans="2:15" x14ac:dyDescent="0.2">
      <c r="B3014">
        <v>2999</v>
      </c>
      <c r="C3014" s="48">
        <f ca="1"/>
        <v>1.9536404179952793</v>
      </c>
      <c r="D3014" s="48">
        <f t="shared" ca="1" si="178"/>
        <v>0.80564879767940711</v>
      </c>
      <c r="E3014" s="48">
        <f t="shared" ca="1" si="179"/>
        <v>1.7448797679407102E-2</v>
      </c>
      <c r="F3014" s="17">
        <f t="shared" ca="1" si="180"/>
        <v>1</v>
      </c>
      <c r="H3014" s="17">
        <v>2999</v>
      </c>
      <c r="I3014" s="43">
        <v>0.6691297579856198</v>
      </c>
      <c r="J3014" s="43">
        <v>1.953804320387802E-2</v>
      </c>
      <c r="K3014" s="43"/>
      <c r="L3014" s="43">
        <v>0.25280000000000002</v>
      </c>
      <c r="O3014" s="50"/>
    </row>
    <row r="3015" spans="2:15" x14ac:dyDescent="0.2">
      <c r="B3015">
        <v>3000</v>
      </c>
      <c r="C3015" s="48">
        <f ca="1"/>
        <v>1.0080477188611967</v>
      </c>
      <c r="D3015" s="48">
        <f t="shared" ca="1" si="178"/>
        <v>0.733937827275433</v>
      </c>
      <c r="E3015" s="48">
        <f t="shared" ca="1" si="179"/>
        <v>0</v>
      </c>
      <c r="F3015" s="17">
        <f t="shared" ca="1" si="180"/>
        <v>0</v>
      </c>
      <c r="H3015" s="17">
        <v>3000</v>
      </c>
      <c r="I3015" s="43">
        <v>0.6701007869613439</v>
      </c>
      <c r="J3015" s="43">
        <v>2.0390735363199495E-2</v>
      </c>
      <c r="K3015" s="43"/>
      <c r="L3015" s="43">
        <v>0.25879999999999997</v>
      </c>
      <c r="O3015" s="50"/>
    </row>
    <row r="3016" spans="2:15" x14ac:dyDescent="0.2">
      <c r="B3016">
        <v>3001</v>
      </c>
      <c r="C3016" s="48">
        <f ca="1"/>
        <v>-0.17883076198537104</v>
      </c>
      <c r="D3016" s="48">
        <f t="shared" ca="1" si="178"/>
        <v>0.65289281587456605</v>
      </c>
      <c r="E3016" s="48">
        <f t="shared" ca="1" si="179"/>
        <v>0</v>
      </c>
      <c r="F3016" s="17">
        <f t="shared" ca="1" si="180"/>
        <v>0</v>
      </c>
      <c r="H3016" s="17">
        <v>3001</v>
      </c>
      <c r="I3016" s="43">
        <v>0.66898458085772972</v>
      </c>
      <c r="J3016" s="43">
        <v>1.9540081495961967E-2</v>
      </c>
      <c r="K3016" s="43"/>
      <c r="L3016" s="43">
        <v>0.25419999999999998</v>
      </c>
      <c r="O3016" s="50"/>
    </row>
    <row r="3017" spans="2:15" x14ac:dyDescent="0.2">
      <c r="B3017">
        <v>3002</v>
      </c>
      <c r="C3017" s="48">
        <f ca="1"/>
        <v>-0.69698117418776617</v>
      </c>
      <c r="D3017" s="48">
        <f t="shared" ca="1" si="178"/>
        <v>0.6203785378415948</v>
      </c>
      <c r="E3017" s="48">
        <f t="shared" ca="1" si="179"/>
        <v>0</v>
      </c>
      <c r="F3017" s="17">
        <f t="shared" ca="1" si="180"/>
        <v>0</v>
      </c>
      <c r="H3017" s="17">
        <v>3002</v>
      </c>
      <c r="I3017" s="43">
        <v>0.66974400822871649</v>
      </c>
      <c r="J3017" s="43">
        <v>2.0259034937791034E-2</v>
      </c>
      <c r="K3017" s="43"/>
      <c r="L3017" s="43">
        <v>0.25480000000000003</v>
      </c>
      <c r="O3017" s="50"/>
    </row>
    <row r="3018" spans="2:15" x14ac:dyDescent="0.2">
      <c r="B3018">
        <v>3003</v>
      </c>
      <c r="C3018" s="48">
        <f ca="1"/>
        <v>-1.422803543095708</v>
      </c>
      <c r="D3018" s="48">
        <f t="shared" ca="1" si="178"/>
        <v>0.57753719416629723</v>
      </c>
      <c r="E3018" s="48">
        <f t="shared" ca="1" si="179"/>
        <v>0</v>
      </c>
      <c r="F3018" s="17">
        <f t="shared" ca="1" si="180"/>
        <v>0</v>
      </c>
      <c r="H3018" s="17">
        <v>3003</v>
      </c>
      <c r="I3018" s="43">
        <v>0.66984183157989796</v>
      </c>
      <c r="J3018" s="43">
        <v>2.0024189375759276E-2</v>
      </c>
      <c r="K3018" s="43"/>
      <c r="L3018" s="43">
        <v>0.25600000000000001</v>
      </c>
      <c r="O3018" s="50"/>
    </row>
    <row r="3019" spans="2:15" x14ac:dyDescent="0.2">
      <c r="B3019">
        <v>3004</v>
      </c>
      <c r="C3019" s="48">
        <f ca="1"/>
        <v>-1.4073674547420498</v>
      </c>
      <c r="D3019" s="48">
        <f t="shared" ca="1" si="178"/>
        <v>0.57841676219027971</v>
      </c>
      <c r="E3019" s="48">
        <f t="shared" ca="1" si="179"/>
        <v>0</v>
      </c>
      <c r="F3019" s="17">
        <f t="shared" ca="1" si="180"/>
        <v>0</v>
      </c>
      <c r="H3019" s="17">
        <v>3004</v>
      </c>
      <c r="I3019" s="43">
        <v>0.66923645923399289</v>
      </c>
      <c r="J3019" s="43">
        <v>1.9698916730232812E-2</v>
      </c>
      <c r="K3019" s="43"/>
      <c r="L3019" s="43">
        <v>0.2492</v>
      </c>
      <c r="O3019" s="50"/>
    </row>
    <row r="3020" spans="2:15" x14ac:dyDescent="0.2">
      <c r="B3020">
        <v>3005</v>
      </c>
      <c r="C3020" s="48">
        <f ca="1"/>
        <v>-1.8823678736496146</v>
      </c>
      <c r="D3020" s="48">
        <f t="shared" ca="1" si="178"/>
        <v>0.5519544701546234</v>
      </c>
      <c r="E3020" s="48">
        <f t="shared" ca="1" si="179"/>
        <v>0</v>
      </c>
      <c r="F3020" s="17">
        <f t="shared" ca="1" si="180"/>
        <v>0</v>
      </c>
      <c r="H3020" s="17">
        <v>3005</v>
      </c>
      <c r="I3020" s="43">
        <v>0.66942083591943979</v>
      </c>
      <c r="J3020" s="43">
        <v>1.9650992058160888E-2</v>
      </c>
      <c r="K3020" s="43"/>
      <c r="L3020" s="43">
        <v>0.2492</v>
      </c>
      <c r="O3020" s="50"/>
    </row>
    <row r="3021" spans="2:15" x14ac:dyDescent="0.2">
      <c r="B3021">
        <v>3006</v>
      </c>
      <c r="C3021" s="48">
        <f ca="1"/>
        <v>0.53628717544507232</v>
      </c>
      <c r="D3021" s="48">
        <f t="shared" ca="1" si="178"/>
        <v>0.70058425908144462</v>
      </c>
      <c r="E3021" s="48">
        <f t="shared" ca="1" si="179"/>
        <v>0</v>
      </c>
      <c r="F3021" s="17">
        <f t="shared" ca="1" si="180"/>
        <v>0</v>
      </c>
      <c r="H3021" s="17">
        <v>3006</v>
      </c>
      <c r="I3021" s="43">
        <v>0.66939008565967417</v>
      </c>
      <c r="J3021" s="43">
        <v>1.9713063501429894E-2</v>
      </c>
      <c r="K3021" s="43"/>
      <c r="L3021" s="43">
        <v>0.2492</v>
      </c>
      <c r="O3021" s="50"/>
    </row>
    <row r="3022" spans="2:15" x14ac:dyDescent="0.2">
      <c r="B3022">
        <v>3007</v>
      </c>
      <c r="C3022" s="48">
        <f ca="1"/>
        <v>-0.49251920767982965</v>
      </c>
      <c r="D3022" s="48">
        <f t="shared" ca="1" si="178"/>
        <v>0.63301063602800589</v>
      </c>
      <c r="E3022" s="48">
        <f t="shared" ca="1" si="179"/>
        <v>0</v>
      </c>
      <c r="F3022" s="17">
        <f t="shared" ca="1" si="180"/>
        <v>0</v>
      </c>
      <c r="H3022" s="17">
        <v>3007</v>
      </c>
      <c r="I3022" s="43">
        <v>0.66927754233906778</v>
      </c>
      <c r="J3022" s="43">
        <v>1.9712230517806625E-2</v>
      </c>
      <c r="K3022" s="43"/>
      <c r="L3022" s="43">
        <v>0.25259999999999999</v>
      </c>
      <c r="O3022" s="50"/>
    </row>
    <row r="3023" spans="2:15" x14ac:dyDescent="0.2">
      <c r="B3023">
        <v>3008</v>
      </c>
      <c r="C3023" s="48">
        <f ca="1"/>
        <v>-1.2618595647512321</v>
      </c>
      <c r="D3023" s="48">
        <f t="shared" ca="1" si="178"/>
        <v>0.58677409870989572</v>
      </c>
      <c r="E3023" s="48">
        <f t="shared" ca="1" si="179"/>
        <v>0</v>
      </c>
      <c r="F3023" s="17">
        <f t="shared" ca="1" si="180"/>
        <v>0</v>
      </c>
      <c r="H3023" s="17">
        <v>3008</v>
      </c>
      <c r="I3023" s="43">
        <v>0.66813071472907448</v>
      </c>
      <c r="J3023" s="43">
        <v>1.8804729588574966E-2</v>
      </c>
      <c r="K3023" s="43"/>
      <c r="L3023" s="43">
        <v>0.25119999999999998</v>
      </c>
      <c r="O3023" s="50"/>
    </row>
    <row r="3024" spans="2:15" x14ac:dyDescent="0.2">
      <c r="B3024">
        <v>3009</v>
      </c>
      <c r="C3024" s="48">
        <f ca="1"/>
        <v>-0.84219921819311316</v>
      </c>
      <c r="D3024" s="48">
        <f t="shared" ref="D3024:D3087" ca="1" si="181">S0*EXP((μ-0.5*σ*σ)*T+σ*SQRT(T)*$C3024)</f>
        <v>0.61156005346643372</v>
      </c>
      <c r="E3024" s="48">
        <f t="shared" ref="E3024:E3087" ca="1" si="182">MAX(0,CP*(D3024-K))</f>
        <v>0</v>
      </c>
      <c r="F3024" s="17">
        <f t="shared" ref="F3024:F3087" ca="1" si="183">(CP*(D3024-K)&gt;0)*1</f>
        <v>0</v>
      </c>
      <c r="H3024" s="17">
        <v>3009</v>
      </c>
      <c r="I3024" s="43">
        <v>0.66998873912600965</v>
      </c>
      <c r="J3024" s="43">
        <v>2.0023545125057704E-2</v>
      </c>
      <c r="K3024" s="43"/>
      <c r="L3024" s="43">
        <v>0.24959999999999999</v>
      </c>
      <c r="O3024" s="50"/>
    </row>
    <row r="3025" spans="2:15" x14ac:dyDescent="0.2">
      <c r="B3025">
        <v>3010</v>
      </c>
      <c r="C3025" s="48">
        <f ca="1"/>
        <v>5.0508691612178171E-2</v>
      </c>
      <c r="D3025" s="48">
        <f t="shared" ca="1" si="181"/>
        <v>0.66782286830526649</v>
      </c>
      <c r="E3025" s="48">
        <f t="shared" ca="1" si="182"/>
        <v>0</v>
      </c>
      <c r="F3025" s="17">
        <f t="shared" ca="1" si="183"/>
        <v>0</v>
      </c>
      <c r="H3025" s="17">
        <v>3010</v>
      </c>
      <c r="I3025" s="43">
        <v>0.66887240885809773</v>
      </c>
      <c r="J3025" s="43">
        <v>1.9265076654776697E-2</v>
      </c>
      <c r="K3025" s="43"/>
      <c r="L3025" s="43">
        <v>0.25259999999999999</v>
      </c>
      <c r="O3025" s="50"/>
    </row>
    <row r="3026" spans="2:15" x14ac:dyDescent="0.2">
      <c r="B3026">
        <v>3011</v>
      </c>
      <c r="C3026" s="48">
        <f ca="1"/>
        <v>4.959170242442542E-2</v>
      </c>
      <c r="D3026" s="48">
        <f t="shared" ca="1" si="181"/>
        <v>0.66776249741347282</v>
      </c>
      <c r="E3026" s="48">
        <f t="shared" ca="1" si="182"/>
        <v>0</v>
      </c>
      <c r="F3026" s="17">
        <f t="shared" ca="1" si="183"/>
        <v>0</v>
      </c>
      <c r="H3026" s="17">
        <v>3011</v>
      </c>
      <c r="I3026" s="43">
        <v>0.66849767311406372</v>
      </c>
      <c r="J3026" s="43">
        <v>1.8871555336366693E-2</v>
      </c>
      <c r="K3026" s="43"/>
      <c r="L3026" s="43">
        <v>0.245</v>
      </c>
      <c r="O3026" s="50"/>
    </row>
    <row r="3027" spans="2:15" x14ac:dyDescent="0.2">
      <c r="B3027">
        <v>3012</v>
      </c>
      <c r="C3027" s="48">
        <f ca="1"/>
        <v>-1.0582690848370446</v>
      </c>
      <c r="D3027" s="48">
        <f t="shared" ca="1" si="181"/>
        <v>0.59867050741574701</v>
      </c>
      <c r="E3027" s="48">
        <f t="shared" ca="1" si="182"/>
        <v>0</v>
      </c>
      <c r="F3027" s="17">
        <f t="shared" ca="1" si="183"/>
        <v>0</v>
      </c>
      <c r="H3027" s="17">
        <v>3012</v>
      </c>
      <c r="I3027" s="43">
        <v>0.66836088873278199</v>
      </c>
      <c r="J3027" s="43">
        <v>1.9043589433143899E-2</v>
      </c>
      <c r="K3027" s="43"/>
      <c r="L3027" s="43">
        <v>0.24959999999999999</v>
      </c>
      <c r="O3027" s="50"/>
    </row>
    <row r="3028" spans="2:15" x14ac:dyDescent="0.2">
      <c r="B3028">
        <v>3013</v>
      </c>
      <c r="C3028" s="48">
        <f ca="1"/>
        <v>0.78155163371698888</v>
      </c>
      <c r="D3028" s="48">
        <f t="shared" ca="1" si="181"/>
        <v>0.71773085506381717</v>
      </c>
      <c r="E3028" s="48">
        <f t="shared" ca="1" si="182"/>
        <v>0</v>
      </c>
      <c r="F3028" s="17">
        <f t="shared" ca="1" si="183"/>
        <v>0</v>
      </c>
      <c r="H3028" s="17">
        <v>3013</v>
      </c>
      <c r="I3028" s="43">
        <v>0.66828339853539143</v>
      </c>
      <c r="J3028" s="43">
        <v>1.8755850644514974E-2</v>
      </c>
      <c r="K3028" s="43"/>
      <c r="L3028" s="43">
        <v>0.25180000000000002</v>
      </c>
      <c r="O3028" s="50"/>
    </row>
    <row r="3029" spans="2:15" x14ac:dyDescent="0.2">
      <c r="B3029">
        <v>3014</v>
      </c>
      <c r="C3029" s="48">
        <f ca="1"/>
        <v>-0.17235740252449624</v>
      </c>
      <c r="D3029" s="48">
        <f t="shared" ca="1" si="181"/>
        <v>0.65330961991776371</v>
      </c>
      <c r="E3029" s="48">
        <f t="shared" ca="1" si="182"/>
        <v>0</v>
      </c>
      <c r="F3029" s="17">
        <f t="shared" ca="1" si="183"/>
        <v>0</v>
      </c>
      <c r="H3029" s="17">
        <v>3014</v>
      </c>
      <c r="I3029" s="43">
        <v>0.66995427664223528</v>
      </c>
      <c r="J3029" s="43">
        <v>2.0192582258694396E-2</v>
      </c>
      <c r="K3029" s="43"/>
      <c r="L3029" s="43">
        <v>0.25779999999999997</v>
      </c>
      <c r="O3029" s="50"/>
    </row>
    <row r="3030" spans="2:15" x14ac:dyDescent="0.2">
      <c r="B3030">
        <v>3015</v>
      </c>
      <c r="C3030" s="48">
        <f ca="1"/>
        <v>-0.42694674712812924</v>
      </c>
      <c r="D3030" s="48">
        <f t="shared" ca="1" si="181"/>
        <v>0.63711606685992839</v>
      </c>
      <c r="E3030" s="48">
        <f t="shared" ca="1" si="182"/>
        <v>0</v>
      </c>
      <c r="F3030" s="17">
        <f t="shared" ca="1" si="183"/>
        <v>0</v>
      </c>
      <c r="H3030" s="17">
        <v>3015</v>
      </c>
      <c r="I3030" s="43">
        <v>0.66911844353125283</v>
      </c>
      <c r="J3030" s="43">
        <v>1.9306881654482289E-2</v>
      </c>
      <c r="K3030" s="43"/>
      <c r="L3030" s="43">
        <v>0.25380000000000003</v>
      </c>
      <c r="O3030" s="50"/>
    </row>
    <row r="3031" spans="2:15" x14ac:dyDescent="0.2">
      <c r="B3031">
        <v>3016</v>
      </c>
      <c r="C3031" s="48">
        <f ca="1"/>
        <v>1.1756469221205919</v>
      </c>
      <c r="D3031" s="48">
        <f t="shared" ca="1" si="181"/>
        <v>0.74616555742348978</v>
      </c>
      <c r="E3031" s="48">
        <f t="shared" ca="1" si="182"/>
        <v>0</v>
      </c>
      <c r="F3031" s="17">
        <f t="shared" ca="1" si="183"/>
        <v>0</v>
      </c>
      <c r="H3031" s="17">
        <v>3016</v>
      </c>
      <c r="I3031" s="43">
        <v>0.66926949217842246</v>
      </c>
      <c r="J3031" s="43">
        <v>2.0085579967388207E-2</v>
      </c>
      <c r="K3031" s="43"/>
      <c r="L3031" s="43">
        <v>0.25519999999999998</v>
      </c>
      <c r="O3031" s="50"/>
    </row>
    <row r="3032" spans="2:15" x14ac:dyDescent="0.2">
      <c r="B3032">
        <v>3017</v>
      </c>
      <c r="C3032" s="48">
        <f ca="1"/>
        <v>0.89717547855581936</v>
      </c>
      <c r="D3032" s="48">
        <f t="shared" ca="1" si="181"/>
        <v>0.72595912196488377</v>
      </c>
      <c r="E3032" s="48">
        <f t="shared" ca="1" si="182"/>
        <v>0</v>
      </c>
      <c r="F3032" s="17">
        <f t="shared" ca="1" si="183"/>
        <v>0</v>
      </c>
      <c r="H3032" s="17">
        <v>3017</v>
      </c>
      <c r="I3032" s="43">
        <v>0.66853594249695691</v>
      </c>
      <c r="J3032" s="43">
        <v>1.9226732058377497E-2</v>
      </c>
      <c r="K3032" s="43"/>
      <c r="L3032" s="43">
        <v>0.24759999999999999</v>
      </c>
      <c r="O3032" s="50"/>
    </row>
    <row r="3033" spans="2:15" x14ac:dyDescent="0.2">
      <c r="B3033">
        <v>3018</v>
      </c>
      <c r="C3033" s="48">
        <f ca="1"/>
        <v>-0.58258740860893388</v>
      </c>
      <c r="D3033" s="48">
        <f t="shared" ca="1" si="181"/>
        <v>0.62741463915973561</v>
      </c>
      <c r="E3033" s="48">
        <f t="shared" ca="1" si="182"/>
        <v>0</v>
      </c>
      <c r="F3033" s="17">
        <f t="shared" ca="1" si="183"/>
        <v>0</v>
      </c>
      <c r="H3033" s="17">
        <v>3018</v>
      </c>
      <c r="I3033" s="43">
        <v>0.66813795254467001</v>
      </c>
      <c r="J3033" s="43">
        <v>1.8909617170656309E-2</v>
      </c>
      <c r="K3033" s="43"/>
      <c r="L3033" s="43">
        <v>0.24660000000000001</v>
      </c>
      <c r="O3033" s="50"/>
    </row>
    <row r="3034" spans="2:15" x14ac:dyDescent="0.2">
      <c r="B3034">
        <v>3019</v>
      </c>
      <c r="C3034" s="48">
        <f ca="1"/>
        <v>1.5508085612665652</v>
      </c>
      <c r="D3034" s="48">
        <f t="shared" ca="1" si="181"/>
        <v>0.77428013464223033</v>
      </c>
      <c r="E3034" s="48">
        <f t="shared" ca="1" si="182"/>
        <v>0</v>
      </c>
      <c r="F3034" s="17">
        <f t="shared" ca="1" si="183"/>
        <v>0</v>
      </c>
      <c r="H3034" s="17">
        <v>3019</v>
      </c>
      <c r="I3034" s="43">
        <v>0.66746877332951049</v>
      </c>
      <c r="J3034" s="43">
        <v>1.8348424106577475E-2</v>
      </c>
      <c r="K3034" s="43"/>
      <c r="L3034" s="43">
        <v>0.2384</v>
      </c>
      <c r="O3034" s="50"/>
    </row>
    <row r="3035" spans="2:15" x14ac:dyDescent="0.2">
      <c r="B3035">
        <v>3020</v>
      </c>
      <c r="C3035" s="48">
        <f ca="1"/>
        <v>1.3263115656986826</v>
      </c>
      <c r="D3035" s="48">
        <f t="shared" ca="1" si="181"/>
        <v>0.75733155908512106</v>
      </c>
      <c r="E3035" s="48">
        <f t="shared" ca="1" si="182"/>
        <v>0</v>
      </c>
      <c r="F3035" s="17">
        <f t="shared" ca="1" si="183"/>
        <v>0</v>
      </c>
      <c r="H3035" s="17">
        <v>3020</v>
      </c>
      <c r="I3035" s="43">
        <v>0.66918594202761505</v>
      </c>
      <c r="J3035" s="43">
        <v>1.9552414461137629E-2</v>
      </c>
      <c r="K3035" s="43"/>
      <c r="L3035" s="43">
        <v>0.25059999999999999</v>
      </c>
      <c r="O3035" s="50"/>
    </row>
    <row r="3036" spans="2:15" x14ac:dyDescent="0.2">
      <c r="B3036">
        <v>3021</v>
      </c>
      <c r="C3036" s="48">
        <f ca="1"/>
        <v>-0.85127655219817933</v>
      </c>
      <c r="D3036" s="48">
        <f t="shared" ca="1" si="181"/>
        <v>0.61101300622387078</v>
      </c>
      <c r="E3036" s="48">
        <f t="shared" ca="1" si="182"/>
        <v>0</v>
      </c>
      <c r="F3036" s="17">
        <f t="shared" ca="1" si="183"/>
        <v>0</v>
      </c>
      <c r="H3036" s="17">
        <v>3021</v>
      </c>
      <c r="I3036" s="43">
        <v>0.6693330875647131</v>
      </c>
      <c r="J3036" s="43">
        <v>1.9674629139974666E-2</v>
      </c>
      <c r="K3036" s="43"/>
      <c r="L3036" s="43">
        <v>0.24779999999999999</v>
      </c>
      <c r="O3036" s="50"/>
    </row>
    <row r="3037" spans="2:15" x14ac:dyDescent="0.2">
      <c r="B3037">
        <v>3022</v>
      </c>
      <c r="C3037" s="48">
        <f ca="1"/>
        <v>0.54515517438076178</v>
      </c>
      <c r="D3037" s="48">
        <f t="shared" ca="1" si="181"/>
        <v>0.70119702921278448</v>
      </c>
      <c r="E3037" s="48">
        <f t="shared" ca="1" si="182"/>
        <v>0</v>
      </c>
      <c r="F3037" s="17">
        <f t="shared" ca="1" si="183"/>
        <v>0</v>
      </c>
      <c r="H3037" s="17">
        <v>3022</v>
      </c>
      <c r="I3037" s="43">
        <v>0.66833941905157856</v>
      </c>
      <c r="J3037" s="43">
        <v>1.867345733134625E-2</v>
      </c>
      <c r="K3037" s="43"/>
      <c r="L3037" s="43">
        <v>0.2402</v>
      </c>
      <c r="O3037" s="50"/>
    </row>
    <row r="3038" spans="2:15" x14ac:dyDescent="0.2">
      <c r="B3038">
        <v>3023</v>
      </c>
      <c r="C3038" s="48">
        <f ca="1"/>
        <v>-0.6857463085376726</v>
      </c>
      <c r="D3038" s="48">
        <f t="shared" ca="1" si="181"/>
        <v>0.62106606032798883</v>
      </c>
      <c r="E3038" s="48">
        <f t="shared" ca="1" si="182"/>
        <v>0</v>
      </c>
      <c r="F3038" s="17">
        <f t="shared" ca="1" si="183"/>
        <v>0</v>
      </c>
      <c r="H3038" s="17">
        <v>3023</v>
      </c>
      <c r="I3038" s="43">
        <v>0.66740302948938945</v>
      </c>
      <c r="J3038" s="43">
        <v>1.805451632901961E-2</v>
      </c>
      <c r="K3038" s="43"/>
      <c r="L3038" s="43">
        <v>0.2412</v>
      </c>
      <c r="O3038" s="50"/>
    </row>
    <row r="3039" spans="2:15" x14ac:dyDescent="0.2">
      <c r="B3039">
        <v>3024</v>
      </c>
      <c r="C3039" s="48">
        <f ca="1"/>
        <v>-0.27271048695477201</v>
      </c>
      <c r="D3039" s="48">
        <f t="shared" ca="1" si="181"/>
        <v>0.64687793275993211</v>
      </c>
      <c r="E3039" s="48">
        <f t="shared" ca="1" si="182"/>
        <v>0</v>
      </c>
      <c r="F3039" s="17">
        <f t="shared" ca="1" si="183"/>
        <v>0</v>
      </c>
      <c r="H3039" s="17">
        <v>3024</v>
      </c>
      <c r="I3039" s="43">
        <v>0.6695271140106408</v>
      </c>
      <c r="J3039" s="43">
        <v>1.9986998671775592E-2</v>
      </c>
      <c r="K3039" s="43"/>
      <c r="L3039" s="43">
        <v>0.25779999999999997</v>
      </c>
      <c r="O3039" s="50"/>
    </row>
    <row r="3040" spans="2:15" x14ac:dyDescent="0.2">
      <c r="B3040">
        <v>3025</v>
      </c>
      <c r="C3040" s="48">
        <f ca="1"/>
        <v>1.3876055711151167</v>
      </c>
      <c r="D3040" s="48">
        <f t="shared" ca="1" si="181"/>
        <v>0.76192183319603668</v>
      </c>
      <c r="E3040" s="48">
        <f t="shared" ca="1" si="182"/>
        <v>0</v>
      </c>
      <c r="F3040" s="17">
        <f t="shared" ca="1" si="183"/>
        <v>0</v>
      </c>
      <c r="H3040" s="17">
        <v>3025</v>
      </c>
      <c r="I3040" s="43">
        <v>0.66914861616485555</v>
      </c>
      <c r="J3040" s="43">
        <v>1.9513794773241951E-2</v>
      </c>
      <c r="K3040" s="43"/>
      <c r="L3040" s="43">
        <v>0.254</v>
      </c>
      <c r="O3040" s="50"/>
    </row>
    <row r="3041" spans="2:15" x14ac:dyDescent="0.2">
      <c r="B3041">
        <v>3026</v>
      </c>
      <c r="C3041" s="48">
        <f ca="1"/>
        <v>-0.53221906334729863</v>
      </c>
      <c r="D3041" s="48">
        <f t="shared" ca="1" si="181"/>
        <v>0.6305379325572652</v>
      </c>
      <c r="E3041" s="48">
        <f t="shared" ca="1" si="182"/>
        <v>0</v>
      </c>
      <c r="F3041" s="17">
        <f t="shared" ca="1" si="183"/>
        <v>0</v>
      </c>
      <c r="H3041" s="17">
        <v>3026</v>
      </c>
      <c r="I3041" s="43">
        <v>0.6679887967478203</v>
      </c>
      <c r="J3041" s="43">
        <v>1.8735083304751467E-2</v>
      </c>
      <c r="K3041" s="43"/>
      <c r="L3041" s="43">
        <v>0.25119999999999998</v>
      </c>
      <c r="O3041" s="50"/>
    </row>
    <row r="3042" spans="2:15" x14ac:dyDescent="0.2">
      <c r="B3042">
        <v>3027</v>
      </c>
      <c r="C3042" s="48">
        <f ca="1"/>
        <v>-1.2999148432909182</v>
      </c>
      <c r="D3042" s="48">
        <f t="shared" ca="1" si="181"/>
        <v>0.58457677962383536</v>
      </c>
      <c r="E3042" s="48">
        <f t="shared" ca="1" si="182"/>
        <v>0</v>
      </c>
      <c r="F3042" s="17">
        <f t="shared" ca="1" si="183"/>
        <v>0</v>
      </c>
      <c r="H3042" s="17">
        <v>3027</v>
      </c>
      <c r="I3042" s="43">
        <v>0.66813828793371244</v>
      </c>
      <c r="J3042" s="43">
        <v>1.8942301102138508E-2</v>
      </c>
      <c r="K3042" s="43"/>
      <c r="L3042" s="43">
        <v>0.24299999999999999</v>
      </c>
      <c r="O3042" s="50"/>
    </row>
    <row r="3043" spans="2:15" x14ac:dyDescent="0.2">
      <c r="B3043">
        <v>3028</v>
      </c>
      <c r="C3043" s="48">
        <f ca="1"/>
        <v>-1.4016886751315878</v>
      </c>
      <c r="D3043" s="48">
        <f t="shared" ca="1" si="181"/>
        <v>0.57874068324802974</v>
      </c>
      <c r="E3043" s="48">
        <f t="shared" ca="1" si="182"/>
        <v>0</v>
      </c>
      <c r="F3043" s="17">
        <f t="shared" ca="1" si="183"/>
        <v>0</v>
      </c>
      <c r="H3043" s="17">
        <v>3028</v>
      </c>
      <c r="I3043" s="43">
        <v>0.66859021390624862</v>
      </c>
      <c r="J3043" s="43">
        <v>1.9256797731934717E-2</v>
      </c>
      <c r="K3043" s="43"/>
      <c r="L3043" s="43">
        <v>0.25900000000000001</v>
      </c>
      <c r="O3043" s="50"/>
    </row>
    <row r="3044" spans="2:15" x14ac:dyDescent="0.2">
      <c r="B3044">
        <v>3029</v>
      </c>
      <c r="C3044" s="48">
        <f ca="1"/>
        <v>1.393547819898284</v>
      </c>
      <c r="D3044" s="48">
        <f t="shared" ca="1" si="181"/>
        <v>0.76236832160349677</v>
      </c>
      <c r="E3044" s="48">
        <f t="shared" ca="1" si="182"/>
        <v>0</v>
      </c>
      <c r="F3044" s="17">
        <f t="shared" ca="1" si="183"/>
        <v>0</v>
      </c>
      <c r="H3044" s="17">
        <v>3029</v>
      </c>
      <c r="I3044" s="43">
        <v>0.668574355827105</v>
      </c>
      <c r="J3044" s="43">
        <v>1.878627262453296E-2</v>
      </c>
      <c r="K3044" s="43"/>
      <c r="L3044" s="43">
        <v>0.24360000000000001</v>
      </c>
      <c r="O3044" s="50"/>
    </row>
    <row r="3045" spans="2:15" x14ac:dyDescent="0.2">
      <c r="B3045">
        <v>3030</v>
      </c>
      <c r="C3045" s="48">
        <f ca="1"/>
        <v>-0.92389549754147959</v>
      </c>
      <c r="D3045" s="48">
        <f t="shared" ca="1" si="181"/>
        <v>0.60665419145182531</v>
      </c>
      <c r="E3045" s="48">
        <f t="shared" ca="1" si="182"/>
        <v>0</v>
      </c>
      <c r="F3045" s="17">
        <f t="shared" ca="1" si="183"/>
        <v>0</v>
      </c>
      <c r="H3045" s="17">
        <v>3030</v>
      </c>
      <c r="I3045" s="43">
        <v>0.66854543550483481</v>
      </c>
      <c r="J3045" s="43">
        <v>1.8653893374335255E-2</v>
      </c>
      <c r="K3045" s="43"/>
      <c r="L3045" s="43">
        <v>0.24340000000000001</v>
      </c>
      <c r="O3045" s="50"/>
    </row>
    <row r="3046" spans="2:15" x14ac:dyDescent="0.2">
      <c r="B3046">
        <v>3031</v>
      </c>
      <c r="C3046" s="48">
        <f ca="1"/>
        <v>0.77767758648674234</v>
      </c>
      <c r="D3046" s="48">
        <f t="shared" ca="1" si="181"/>
        <v>0.71745678265581292</v>
      </c>
      <c r="E3046" s="48">
        <f t="shared" ca="1" si="182"/>
        <v>0</v>
      </c>
      <c r="F3046" s="17">
        <f t="shared" ca="1" si="183"/>
        <v>0</v>
      </c>
      <c r="H3046" s="17">
        <v>3031</v>
      </c>
      <c r="I3046" s="43">
        <v>0.66719117253412163</v>
      </c>
      <c r="J3046" s="43">
        <v>1.7944821435161719E-2</v>
      </c>
      <c r="K3046" s="43"/>
      <c r="L3046" s="43">
        <v>0.24179999999999999</v>
      </c>
      <c r="O3046" s="50"/>
    </row>
    <row r="3047" spans="2:15" x14ac:dyDescent="0.2">
      <c r="B3047">
        <v>3032</v>
      </c>
      <c r="C3047" s="48">
        <f ca="1"/>
        <v>-0.54328166952954315</v>
      </c>
      <c r="D3047" s="48">
        <f t="shared" ca="1" si="181"/>
        <v>0.62985062109848167</v>
      </c>
      <c r="E3047" s="48">
        <f t="shared" ca="1" si="182"/>
        <v>0</v>
      </c>
      <c r="F3047" s="17">
        <f t="shared" ca="1" si="183"/>
        <v>0</v>
      </c>
      <c r="H3047" s="17">
        <v>3032</v>
      </c>
      <c r="I3047" s="43">
        <v>0.66836599606938685</v>
      </c>
      <c r="J3047" s="43">
        <v>1.9162082017911981E-2</v>
      </c>
      <c r="K3047" s="43"/>
      <c r="L3047" s="43">
        <v>0.25</v>
      </c>
      <c r="O3047" s="50"/>
    </row>
    <row r="3048" spans="2:15" x14ac:dyDescent="0.2">
      <c r="B3048">
        <v>3033</v>
      </c>
      <c r="C3048" s="48">
        <f ca="1"/>
        <v>-0.99943630388883442</v>
      </c>
      <c r="D3048" s="48">
        <f t="shared" ca="1" si="181"/>
        <v>0.60215299087668461</v>
      </c>
      <c r="E3048" s="48">
        <f t="shared" ca="1" si="182"/>
        <v>0</v>
      </c>
      <c r="F3048" s="17">
        <f t="shared" ca="1" si="183"/>
        <v>0</v>
      </c>
      <c r="H3048" s="17">
        <v>3033</v>
      </c>
      <c r="I3048" s="43">
        <v>0.66824196672299607</v>
      </c>
      <c r="J3048" s="43">
        <v>1.8819760391543407E-2</v>
      </c>
      <c r="K3048" s="43"/>
      <c r="L3048" s="43">
        <v>0.246</v>
      </c>
      <c r="O3048" s="50"/>
    </row>
    <row r="3049" spans="2:15" x14ac:dyDescent="0.2">
      <c r="B3049">
        <v>3034</v>
      </c>
      <c r="C3049" s="48">
        <f ca="1"/>
        <v>0.42448448653496723</v>
      </c>
      <c r="D3049" s="48">
        <f t="shared" ca="1" si="181"/>
        <v>0.69290458001423916</v>
      </c>
      <c r="E3049" s="48">
        <f t="shared" ca="1" si="182"/>
        <v>0</v>
      </c>
      <c r="F3049" s="17">
        <f t="shared" ca="1" si="183"/>
        <v>0</v>
      </c>
      <c r="H3049" s="17">
        <v>3034</v>
      </c>
      <c r="I3049" s="43">
        <v>0.66866472583802627</v>
      </c>
      <c r="J3049" s="43">
        <v>1.9269761587353936E-2</v>
      </c>
      <c r="K3049" s="43"/>
      <c r="L3049" s="43">
        <v>0.24879999999999999</v>
      </c>
      <c r="O3049" s="50"/>
    </row>
    <row r="3050" spans="2:15" x14ac:dyDescent="0.2">
      <c r="B3050">
        <v>3035</v>
      </c>
      <c r="C3050" s="48">
        <f ca="1"/>
        <v>-8.0792958481701108E-2</v>
      </c>
      <c r="D3050" s="48">
        <f t="shared" ca="1" si="181"/>
        <v>0.65923381460695185</v>
      </c>
      <c r="E3050" s="48">
        <f t="shared" ca="1" si="182"/>
        <v>0</v>
      </c>
      <c r="F3050" s="17">
        <f t="shared" ca="1" si="183"/>
        <v>0</v>
      </c>
      <c r="H3050" s="17">
        <v>3035</v>
      </c>
      <c r="I3050" s="43">
        <v>0.66936442924095407</v>
      </c>
      <c r="J3050" s="43">
        <v>1.9657072993701719E-2</v>
      </c>
      <c r="K3050" s="43"/>
      <c r="L3050" s="43">
        <v>0.25280000000000002</v>
      </c>
      <c r="O3050" s="50"/>
    </row>
    <row r="3051" spans="2:15" x14ac:dyDescent="0.2">
      <c r="B3051">
        <v>3036</v>
      </c>
      <c r="C3051" s="48">
        <f ca="1"/>
        <v>-3.0508999813557932E-3</v>
      </c>
      <c r="D3051" s="48">
        <f t="shared" ca="1" si="181"/>
        <v>0.66430585375704687</v>
      </c>
      <c r="E3051" s="48">
        <f t="shared" ca="1" si="182"/>
        <v>0</v>
      </c>
      <c r="F3051" s="17">
        <f t="shared" ca="1" si="183"/>
        <v>0</v>
      </c>
      <c r="H3051" s="17">
        <v>3036</v>
      </c>
      <c r="I3051" s="43">
        <v>0.66903580820653985</v>
      </c>
      <c r="J3051" s="43">
        <v>1.9363354548843307E-2</v>
      </c>
      <c r="K3051" s="43"/>
      <c r="L3051" s="43">
        <v>0.25040000000000001</v>
      </c>
      <c r="O3051" s="50"/>
    </row>
    <row r="3052" spans="2:15" x14ac:dyDescent="0.2">
      <c r="B3052">
        <v>3037</v>
      </c>
      <c r="C3052" s="48">
        <f ca="1"/>
        <v>0.65683682561096834</v>
      </c>
      <c r="D3052" s="48">
        <f t="shared" ca="1" si="181"/>
        <v>0.70896015616946628</v>
      </c>
      <c r="E3052" s="48">
        <f t="shared" ca="1" si="182"/>
        <v>0</v>
      </c>
      <c r="F3052" s="17">
        <f t="shared" ca="1" si="183"/>
        <v>0</v>
      </c>
      <c r="H3052" s="17">
        <v>3037</v>
      </c>
      <c r="I3052" s="43">
        <v>0.6686630138612597</v>
      </c>
      <c r="J3052" s="43">
        <v>1.9129403145192292E-2</v>
      </c>
      <c r="K3052" s="43"/>
      <c r="L3052" s="43">
        <v>0.24859999999999999</v>
      </c>
      <c r="O3052" s="50"/>
    </row>
    <row r="3053" spans="2:15" x14ac:dyDescent="0.2">
      <c r="B3053">
        <v>3038</v>
      </c>
      <c r="C3053" s="48">
        <f ca="1"/>
        <v>0.49494713587198602</v>
      </c>
      <c r="D3053" s="48">
        <f t="shared" ca="1" si="181"/>
        <v>0.69773476160332637</v>
      </c>
      <c r="E3053" s="48">
        <f t="shared" ca="1" si="182"/>
        <v>0</v>
      </c>
      <c r="F3053" s="17">
        <f t="shared" ca="1" si="183"/>
        <v>0</v>
      </c>
      <c r="H3053" s="17">
        <v>3038</v>
      </c>
      <c r="I3053" s="43">
        <v>0.66843566764493212</v>
      </c>
      <c r="J3053" s="43">
        <v>1.9156801812927348E-2</v>
      </c>
      <c r="K3053" s="43"/>
      <c r="L3053" s="43">
        <v>0.24859999999999999</v>
      </c>
      <c r="O3053" s="50"/>
    </row>
    <row r="3054" spans="2:15" x14ac:dyDescent="0.2">
      <c r="B3054">
        <v>3039</v>
      </c>
      <c r="C3054" s="48">
        <f ca="1"/>
        <v>2.6647435300210454</v>
      </c>
      <c r="D3054" s="48">
        <f t="shared" ca="1" si="181"/>
        <v>0.86415639849443748</v>
      </c>
      <c r="E3054" s="48">
        <f t="shared" ca="1" si="182"/>
        <v>7.5956398494437471E-2</v>
      </c>
      <c r="F3054" s="17">
        <f t="shared" ca="1" si="183"/>
        <v>1</v>
      </c>
      <c r="H3054" s="17">
        <v>3039</v>
      </c>
      <c r="I3054" s="43">
        <v>0.66927999802437277</v>
      </c>
      <c r="J3054" s="43">
        <v>1.9596709100534217E-2</v>
      </c>
      <c r="K3054" s="43"/>
      <c r="L3054" s="43">
        <v>0.25459999999999999</v>
      </c>
      <c r="O3054" s="50"/>
    </row>
    <row r="3055" spans="2:15" x14ac:dyDescent="0.2">
      <c r="B3055">
        <v>3040</v>
      </c>
      <c r="C3055" s="48">
        <f ca="1"/>
        <v>-0.57517185388148795</v>
      </c>
      <c r="D3055" s="48">
        <f t="shared" ca="1" si="181"/>
        <v>0.62787349765270828</v>
      </c>
      <c r="E3055" s="48">
        <f t="shared" ca="1" si="182"/>
        <v>0</v>
      </c>
      <c r="F3055" s="17">
        <f t="shared" ca="1" si="183"/>
        <v>0</v>
      </c>
      <c r="H3055" s="17">
        <v>3040</v>
      </c>
      <c r="I3055" s="43">
        <v>0.66950467528195401</v>
      </c>
      <c r="J3055" s="43">
        <v>1.9767520058883648E-2</v>
      </c>
      <c r="K3055" s="43"/>
      <c r="L3055" s="43">
        <v>0.249</v>
      </c>
      <c r="O3055" s="50"/>
    </row>
    <row r="3056" spans="2:15" x14ac:dyDescent="0.2">
      <c r="B3056">
        <v>3041</v>
      </c>
      <c r="C3056" s="48">
        <f ca="1"/>
        <v>2.4024287881634891</v>
      </c>
      <c r="D3056" s="48">
        <f t="shared" ca="1" si="181"/>
        <v>0.84209498992959597</v>
      </c>
      <c r="E3056" s="48">
        <f t="shared" ca="1" si="182"/>
        <v>5.389498992959596E-2</v>
      </c>
      <c r="F3056" s="17">
        <f t="shared" ca="1" si="183"/>
        <v>1</v>
      </c>
      <c r="H3056" s="17">
        <v>3041</v>
      </c>
      <c r="I3056" s="43">
        <v>0.66859931046869692</v>
      </c>
      <c r="J3056" s="43">
        <v>1.9004874480543877E-2</v>
      </c>
      <c r="K3056" s="43"/>
      <c r="L3056" s="43">
        <v>0.24979999999999999</v>
      </c>
      <c r="O3056" s="50"/>
    </row>
    <row r="3057" spans="2:15" x14ac:dyDescent="0.2">
      <c r="B3057">
        <v>3042</v>
      </c>
      <c r="C3057" s="48">
        <f ca="1"/>
        <v>0.31880028708932029</v>
      </c>
      <c r="D3057" s="48">
        <f t="shared" ca="1" si="181"/>
        <v>0.68572259173714145</v>
      </c>
      <c r="E3057" s="48">
        <f t="shared" ca="1" si="182"/>
        <v>0</v>
      </c>
      <c r="F3057" s="17">
        <f t="shared" ca="1" si="183"/>
        <v>0</v>
      </c>
      <c r="H3057" s="17">
        <v>3042</v>
      </c>
      <c r="I3057" s="43">
        <v>0.66853206788262864</v>
      </c>
      <c r="J3057" s="43">
        <v>1.8925747163676208E-2</v>
      </c>
      <c r="K3057" s="43"/>
      <c r="L3057" s="43">
        <v>0.24959999999999999</v>
      </c>
      <c r="O3057" s="50"/>
    </row>
    <row r="3058" spans="2:15" x14ac:dyDescent="0.2">
      <c r="B3058">
        <v>3043</v>
      </c>
      <c r="C3058" s="48">
        <f ca="1"/>
        <v>-1.1873037156852524</v>
      </c>
      <c r="D3058" s="48">
        <f t="shared" ca="1" si="181"/>
        <v>0.59110293782379919</v>
      </c>
      <c r="E3058" s="48">
        <f t="shared" ca="1" si="182"/>
        <v>0</v>
      </c>
      <c r="F3058" s="17">
        <f t="shared" ca="1" si="183"/>
        <v>0</v>
      </c>
      <c r="H3058" s="17">
        <v>3043</v>
      </c>
      <c r="I3058" s="43">
        <v>0.66892339087707575</v>
      </c>
      <c r="J3058" s="43">
        <v>1.9360207371377471E-2</v>
      </c>
      <c r="K3058" s="43"/>
      <c r="L3058" s="43">
        <v>0.25480000000000003</v>
      </c>
      <c r="O3058" s="50"/>
    </row>
    <row r="3059" spans="2:15" x14ac:dyDescent="0.2">
      <c r="B3059">
        <v>3044</v>
      </c>
      <c r="C3059" s="48">
        <f ca="1"/>
        <v>1.1959162712116962</v>
      </c>
      <c r="D3059" s="48">
        <f t="shared" ca="1" si="181"/>
        <v>0.74765811371614554</v>
      </c>
      <c r="E3059" s="48">
        <f t="shared" ca="1" si="182"/>
        <v>0</v>
      </c>
      <c r="F3059" s="17">
        <f t="shared" ca="1" si="183"/>
        <v>0</v>
      </c>
      <c r="H3059" s="17">
        <v>3044</v>
      </c>
      <c r="I3059" s="43">
        <v>0.66827751613392905</v>
      </c>
      <c r="J3059" s="43">
        <v>1.891344589917034E-2</v>
      </c>
      <c r="K3059" s="43"/>
      <c r="L3059" s="43">
        <v>0.25140000000000001</v>
      </c>
      <c r="O3059" s="50"/>
    </row>
    <row r="3060" spans="2:15" x14ac:dyDescent="0.2">
      <c r="B3060">
        <v>3045</v>
      </c>
      <c r="C3060" s="48">
        <f ca="1"/>
        <v>-1.9828545768714769</v>
      </c>
      <c r="D3060" s="48">
        <f t="shared" ca="1" si="181"/>
        <v>0.54651340244361635</v>
      </c>
      <c r="E3060" s="48">
        <f t="shared" ca="1" si="182"/>
        <v>0</v>
      </c>
      <c r="F3060" s="17">
        <f t="shared" ca="1" si="183"/>
        <v>0</v>
      </c>
      <c r="H3060" s="17">
        <v>3045</v>
      </c>
      <c r="I3060" s="43">
        <v>0.66969468800960741</v>
      </c>
      <c r="J3060" s="43">
        <v>2.0060098590241552E-2</v>
      </c>
      <c r="K3060" s="43"/>
      <c r="L3060" s="43">
        <v>0.249</v>
      </c>
      <c r="O3060" s="50"/>
    </row>
    <row r="3061" spans="2:15" x14ac:dyDescent="0.2">
      <c r="B3061">
        <v>3046</v>
      </c>
      <c r="C3061" s="48">
        <f ca="1"/>
        <v>1.2350406335735842</v>
      </c>
      <c r="D3061" s="48">
        <f t="shared" ca="1" si="181"/>
        <v>0.75054752847848671</v>
      </c>
      <c r="E3061" s="48">
        <f t="shared" ca="1" si="182"/>
        <v>0</v>
      </c>
      <c r="F3061" s="17">
        <f t="shared" ca="1" si="183"/>
        <v>0</v>
      </c>
      <c r="H3061" s="17">
        <v>3046</v>
      </c>
      <c r="I3061" s="43">
        <v>0.66958775976321394</v>
      </c>
      <c r="J3061" s="43">
        <v>1.9699329173566472E-2</v>
      </c>
      <c r="K3061" s="43"/>
      <c r="L3061" s="43">
        <v>0.26340000000000002</v>
      </c>
      <c r="O3061" s="50"/>
    </row>
    <row r="3062" spans="2:15" x14ac:dyDescent="0.2">
      <c r="B3062">
        <v>3047</v>
      </c>
      <c r="C3062" s="48">
        <f ca="1"/>
        <v>-0.18973365283321272</v>
      </c>
      <c r="D3062" s="48">
        <f t="shared" ca="1" si="181"/>
        <v>0.65219140598247394</v>
      </c>
      <c r="E3062" s="48">
        <f t="shared" ca="1" si="182"/>
        <v>0</v>
      </c>
      <c r="F3062" s="17">
        <f t="shared" ca="1" si="183"/>
        <v>0</v>
      </c>
      <c r="H3062" s="17">
        <v>3047</v>
      </c>
      <c r="I3062" s="43">
        <v>0.66876384529809385</v>
      </c>
      <c r="J3062" s="43">
        <v>1.9247956863941762E-2</v>
      </c>
      <c r="K3062" s="43"/>
      <c r="L3062" s="43">
        <v>0.25</v>
      </c>
      <c r="O3062" s="50"/>
    </row>
    <row r="3063" spans="2:15" x14ac:dyDescent="0.2">
      <c r="B3063">
        <v>3048</v>
      </c>
      <c r="C3063" s="48">
        <f ca="1"/>
        <v>-0.11878054037602676</v>
      </c>
      <c r="D3063" s="48">
        <f t="shared" ca="1" si="181"/>
        <v>0.6567695356895944</v>
      </c>
      <c r="E3063" s="48">
        <f t="shared" ca="1" si="182"/>
        <v>0</v>
      </c>
      <c r="F3063" s="17">
        <f t="shared" ca="1" si="183"/>
        <v>0</v>
      </c>
      <c r="H3063" s="17">
        <v>3048</v>
      </c>
      <c r="I3063" s="43">
        <v>0.66931778071207348</v>
      </c>
      <c r="J3063" s="43">
        <v>1.9701122037894637E-2</v>
      </c>
      <c r="K3063" s="43"/>
      <c r="L3063" s="43">
        <v>0.25219999999999998</v>
      </c>
      <c r="O3063" s="50"/>
    </row>
    <row r="3064" spans="2:15" x14ac:dyDescent="0.2">
      <c r="B3064">
        <v>3049</v>
      </c>
      <c r="C3064" s="48">
        <f ca="1"/>
        <v>-0.23904974262643289</v>
      </c>
      <c r="D3064" s="48">
        <f t="shared" ca="1" si="181"/>
        <v>0.64902818089761993</v>
      </c>
      <c r="E3064" s="48">
        <f t="shared" ca="1" si="182"/>
        <v>0</v>
      </c>
      <c r="F3064" s="17">
        <f t="shared" ca="1" si="183"/>
        <v>0</v>
      </c>
      <c r="H3064" s="17">
        <v>3049</v>
      </c>
      <c r="I3064" s="43">
        <v>0.66851245117668356</v>
      </c>
      <c r="J3064" s="43">
        <v>1.9056535564269835E-2</v>
      </c>
      <c r="K3064" s="43"/>
      <c r="L3064" s="43">
        <v>0.25459999999999999</v>
      </c>
      <c r="O3064" s="50"/>
    </row>
    <row r="3065" spans="2:15" x14ac:dyDescent="0.2">
      <c r="B3065">
        <v>3050</v>
      </c>
      <c r="C3065" s="48">
        <f ca="1"/>
        <v>-0.86108401725814399</v>
      </c>
      <c r="D3065" s="48">
        <f t="shared" ca="1" si="181"/>
        <v>0.61042250744513638</v>
      </c>
      <c r="E3065" s="48">
        <f t="shared" ca="1" si="182"/>
        <v>0</v>
      </c>
      <c r="F3065" s="17">
        <f t="shared" ca="1" si="183"/>
        <v>0</v>
      </c>
      <c r="H3065" s="17">
        <v>3050</v>
      </c>
      <c r="I3065" s="43">
        <v>0.66837861316754921</v>
      </c>
      <c r="J3065" s="43">
        <v>1.8958100882782106E-2</v>
      </c>
      <c r="K3065" s="43"/>
      <c r="L3065" s="43">
        <v>0.25259999999999999</v>
      </c>
      <c r="O3065" s="50"/>
    </row>
    <row r="3066" spans="2:15" x14ac:dyDescent="0.2">
      <c r="B3066">
        <v>3051</v>
      </c>
      <c r="C3066" s="48">
        <f ca="1"/>
        <v>0.41206142412732322</v>
      </c>
      <c r="D3066" s="48">
        <f t="shared" ca="1" si="181"/>
        <v>0.69205645886394462</v>
      </c>
      <c r="E3066" s="48">
        <f t="shared" ca="1" si="182"/>
        <v>0</v>
      </c>
      <c r="F3066" s="17">
        <f t="shared" ca="1" si="183"/>
        <v>0</v>
      </c>
      <c r="H3066" s="17">
        <v>3051</v>
      </c>
      <c r="I3066" s="43">
        <v>0.66902632076488522</v>
      </c>
      <c r="J3066" s="43">
        <v>1.9190714410405197E-2</v>
      </c>
      <c r="K3066" s="43"/>
      <c r="L3066" s="43">
        <v>0.24740000000000001</v>
      </c>
      <c r="O3066" s="50"/>
    </row>
    <row r="3067" spans="2:15" x14ac:dyDescent="0.2">
      <c r="B3067">
        <v>3052</v>
      </c>
      <c r="C3067" s="48">
        <f ca="1"/>
        <v>-0.34706700123223144</v>
      </c>
      <c r="D3067" s="48">
        <f t="shared" ca="1" si="181"/>
        <v>0.64215325462867312</v>
      </c>
      <c r="E3067" s="48">
        <f t="shared" ca="1" si="182"/>
        <v>0</v>
      </c>
      <c r="F3067" s="17">
        <f t="shared" ca="1" si="183"/>
        <v>0</v>
      </c>
      <c r="H3067" s="17">
        <v>3052</v>
      </c>
      <c r="I3067" s="43">
        <v>0.6692310108455003</v>
      </c>
      <c r="J3067" s="43">
        <v>1.9717893312097057E-2</v>
      </c>
      <c r="K3067" s="43"/>
      <c r="L3067" s="43">
        <v>0.25559999999999999</v>
      </c>
      <c r="O3067" s="50"/>
    </row>
    <row r="3068" spans="2:15" x14ac:dyDescent="0.2">
      <c r="B3068">
        <v>3053</v>
      </c>
      <c r="C3068" s="48">
        <f ca="1"/>
        <v>1.0106187769866672</v>
      </c>
      <c r="D3068" s="48">
        <f t="shared" ca="1" si="181"/>
        <v>0.73412388509620286</v>
      </c>
      <c r="E3068" s="48">
        <f t="shared" ca="1" si="182"/>
        <v>0</v>
      </c>
      <c r="F3068" s="17">
        <f t="shared" ca="1" si="183"/>
        <v>0</v>
      </c>
      <c r="H3068" s="17">
        <v>3053</v>
      </c>
      <c r="I3068" s="43">
        <v>0.66929809822906616</v>
      </c>
      <c r="J3068" s="43">
        <v>1.9615364513720014E-2</v>
      </c>
      <c r="K3068" s="43"/>
      <c r="L3068" s="43">
        <v>0.252</v>
      </c>
      <c r="O3068" s="50"/>
    </row>
    <row r="3069" spans="2:15" x14ac:dyDescent="0.2">
      <c r="B3069">
        <v>3054</v>
      </c>
      <c r="C3069" s="48">
        <f ca="1"/>
        <v>-1.0786825304864389</v>
      </c>
      <c r="D3069" s="48">
        <f t="shared" ca="1" si="181"/>
        <v>0.59746688861327524</v>
      </c>
      <c r="E3069" s="48">
        <f t="shared" ca="1" si="182"/>
        <v>0</v>
      </c>
      <c r="F3069" s="17">
        <f t="shared" ca="1" si="183"/>
        <v>0</v>
      </c>
      <c r="H3069" s="17">
        <v>3054</v>
      </c>
      <c r="I3069" s="43">
        <v>0.6694666249208846</v>
      </c>
      <c r="J3069" s="43">
        <v>1.961669794513177E-2</v>
      </c>
      <c r="K3069" s="43"/>
      <c r="L3069" s="43">
        <v>0.25040000000000001</v>
      </c>
      <c r="O3069" s="50"/>
    </row>
    <row r="3070" spans="2:15" x14ac:dyDescent="0.2">
      <c r="B3070">
        <v>3055</v>
      </c>
      <c r="C3070" s="48">
        <f ca="1"/>
        <v>0.4505648817494593</v>
      </c>
      <c r="D3070" s="48">
        <f t="shared" ca="1" si="181"/>
        <v>0.69468846877576396</v>
      </c>
      <c r="E3070" s="48">
        <f t="shared" ca="1" si="182"/>
        <v>0</v>
      </c>
      <c r="F3070" s="17">
        <f t="shared" ca="1" si="183"/>
        <v>0</v>
      </c>
      <c r="H3070" s="17">
        <v>3055</v>
      </c>
      <c r="I3070" s="43">
        <v>0.66960589829735728</v>
      </c>
      <c r="J3070" s="43">
        <v>1.9690129272091773E-2</v>
      </c>
      <c r="K3070" s="43"/>
      <c r="L3070" s="43">
        <v>0.2482</v>
      </c>
      <c r="O3070" s="50"/>
    </row>
    <row r="3071" spans="2:15" x14ac:dyDescent="0.2">
      <c r="B3071">
        <v>3056</v>
      </c>
      <c r="C3071" s="48">
        <f ca="1"/>
        <v>-0.11881984242037616</v>
      </c>
      <c r="D3071" s="48">
        <f t="shared" ca="1" si="181"/>
        <v>0.65676699091675805</v>
      </c>
      <c r="E3071" s="48">
        <f t="shared" ca="1" si="182"/>
        <v>0</v>
      </c>
      <c r="F3071" s="17">
        <f t="shared" ca="1" si="183"/>
        <v>0</v>
      </c>
      <c r="H3071" s="17">
        <v>3056</v>
      </c>
      <c r="I3071" s="43">
        <v>0.66833822473317739</v>
      </c>
      <c r="J3071" s="43">
        <v>1.8807236055202511E-2</v>
      </c>
      <c r="K3071" s="43"/>
      <c r="L3071" s="43">
        <v>0.2462</v>
      </c>
      <c r="O3071" s="50"/>
    </row>
    <row r="3072" spans="2:15" x14ac:dyDescent="0.2">
      <c r="B3072">
        <v>3057</v>
      </c>
      <c r="C3072" s="48">
        <f ca="1"/>
        <v>-0.74628199714658994</v>
      </c>
      <c r="D3072" s="48">
        <f t="shared" ca="1" si="181"/>
        <v>0.61737053910247519</v>
      </c>
      <c r="E3072" s="48">
        <f t="shared" ca="1" si="182"/>
        <v>0</v>
      </c>
      <c r="F3072" s="17">
        <f t="shared" ca="1" si="183"/>
        <v>0</v>
      </c>
      <c r="H3072" s="17">
        <v>3057</v>
      </c>
      <c r="I3072" s="43">
        <v>0.6695786174899816</v>
      </c>
      <c r="J3072" s="43">
        <v>1.9766480883425634E-2</v>
      </c>
      <c r="K3072" s="43"/>
      <c r="L3072" s="43">
        <v>0.24879999999999999</v>
      </c>
      <c r="O3072" s="50"/>
    </row>
    <row r="3073" spans="2:15" x14ac:dyDescent="0.2">
      <c r="B3073">
        <v>3058</v>
      </c>
      <c r="C3073" s="48">
        <f ca="1"/>
        <v>-9.6575121290330454E-2</v>
      </c>
      <c r="D3073" s="48">
        <f t="shared" ca="1" si="181"/>
        <v>0.65820889477907329</v>
      </c>
      <c r="E3073" s="48">
        <f t="shared" ca="1" si="182"/>
        <v>0</v>
      </c>
      <c r="F3073" s="17">
        <f t="shared" ca="1" si="183"/>
        <v>0</v>
      </c>
      <c r="H3073" s="17">
        <v>3058</v>
      </c>
      <c r="I3073" s="43">
        <v>0.66796736172269244</v>
      </c>
      <c r="J3073" s="43">
        <v>1.8561000316286016E-2</v>
      </c>
      <c r="K3073" s="43"/>
      <c r="L3073" s="43">
        <v>0.24660000000000001</v>
      </c>
      <c r="O3073" s="50"/>
    </row>
    <row r="3074" spans="2:15" x14ac:dyDescent="0.2">
      <c r="B3074">
        <v>3059</v>
      </c>
      <c r="C3074" s="48">
        <f ca="1"/>
        <v>-1.4981562439809599</v>
      </c>
      <c r="D3074" s="48">
        <f t="shared" ca="1" si="181"/>
        <v>0.57326266434918594</v>
      </c>
      <c r="E3074" s="48">
        <f t="shared" ca="1" si="182"/>
        <v>0</v>
      </c>
      <c r="F3074" s="17">
        <f t="shared" ca="1" si="183"/>
        <v>0</v>
      </c>
      <c r="H3074" s="17">
        <v>3059</v>
      </c>
      <c r="I3074" s="43">
        <v>0.66745616535418983</v>
      </c>
      <c r="J3074" s="43">
        <v>1.8093331550389429E-2</v>
      </c>
      <c r="K3074" s="43"/>
      <c r="L3074" s="43">
        <v>0.24099999999999999</v>
      </c>
      <c r="O3074" s="50"/>
    </row>
    <row r="3075" spans="2:15" x14ac:dyDescent="0.2">
      <c r="B3075">
        <v>3060</v>
      </c>
      <c r="C3075" s="48">
        <f ca="1"/>
        <v>-1.326216924027525</v>
      </c>
      <c r="D3075" s="48">
        <f t="shared" ca="1" si="181"/>
        <v>0.58306290316951892</v>
      </c>
      <c r="E3075" s="48">
        <f t="shared" ca="1" si="182"/>
        <v>0</v>
      </c>
      <c r="F3075" s="17">
        <f t="shared" ca="1" si="183"/>
        <v>0</v>
      </c>
      <c r="H3075" s="17">
        <v>3060</v>
      </c>
      <c r="I3075" s="43">
        <v>0.6694283746379327</v>
      </c>
      <c r="J3075" s="43">
        <v>1.9680531966844678E-2</v>
      </c>
      <c r="K3075" s="43"/>
      <c r="L3075" s="43">
        <v>0.255</v>
      </c>
      <c r="O3075" s="50"/>
    </row>
    <row r="3076" spans="2:15" x14ac:dyDescent="0.2">
      <c r="B3076">
        <v>3061</v>
      </c>
      <c r="C3076" s="48">
        <f ca="1"/>
        <v>1.0551726980710634</v>
      </c>
      <c r="D3076" s="48">
        <f t="shared" ca="1" si="181"/>
        <v>0.73735558604285334</v>
      </c>
      <c r="E3076" s="48">
        <f t="shared" ca="1" si="182"/>
        <v>0</v>
      </c>
      <c r="F3076" s="17">
        <f t="shared" ca="1" si="183"/>
        <v>0</v>
      </c>
      <c r="H3076" s="17">
        <v>3061</v>
      </c>
      <c r="I3076" s="43">
        <v>0.66796430061668111</v>
      </c>
      <c r="J3076" s="43">
        <v>1.9132685122148635E-2</v>
      </c>
      <c r="K3076" s="43"/>
      <c r="L3076" s="43">
        <v>0.25559999999999999</v>
      </c>
      <c r="O3076" s="50"/>
    </row>
    <row r="3077" spans="2:15" x14ac:dyDescent="0.2">
      <c r="B3077">
        <v>3062</v>
      </c>
      <c r="C3077" s="48">
        <f ca="1"/>
        <v>-1.2126763380691434</v>
      </c>
      <c r="D3077" s="48">
        <f t="shared" ca="1" si="181"/>
        <v>0.58962618731022953</v>
      </c>
      <c r="E3077" s="48">
        <f t="shared" ca="1" si="182"/>
        <v>0</v>
      </c>
      <c r="F3077" s="17">
        <f t="shared" ca="1" si="183"/>
        <v>0</v>
      </c>
      <c r="H3077" s="17">
        <v>3062</v>
      </c>
      <c r="I3077" s="43">
        <v>0.66987239585419489</v>
      </c>
      <c r="J3077" s="43">
        <v>1.9882311700375639E-2</v>
      </c>
      <c r="K3077" s="43"/>
      <c r="L3077" s="43">
        <v>0.247</v>
      </c>
      <c r="O3077" s="50"/>
    </row>
    <row r="3078" spans="2:15" x14ac:dyDescent="0.2">
      <c r="B3078">
        <v>3063</v>
      </c>
      <c r="C3078" s="48">
        <f ca="1"/>
        <v>1.2383989961074768</v>
      </c>
      <c r="D3078" s="48">
        <f t="shared" ca="1" si="181"/>
        <v>0.75079607025244577</v>
      </c>
      <c r="E3078" s="48">
        <f t="shared" ca="1" si="182"/>
        <v>0</v>
      </c>
      <c r="F3078" s="17">
        <f t="shared" ca="1" si="183"/>
        <v>0</v>
      </c>
      <c r="H3078" s="17">
        <v>3063</v>
      </c>
      <c r="I3078" s="43">
        <v>0.66955129724013462</v>
      </c>
      <c r="J3078" s="43">
        <v>1.9704356695234487E-2</v>
      </c>
      <c r="K3078" s="43"/>
      <c r="L3078" s="43">
        <v>0.24779999999999999</v>
      </c>
      <c r="O3078" s="50"/>
    </row>
    <row r="3079" spans="2:15" x14ac:dyDescent="0.2">
      <c r="B3079">
        <v>3064</v>
      </c>
      <c r="C3079" s="48">
        <f ca="1"/>
        <v>-0.5720292471292675</v>
      </c>
      <c r="D3079" s="48">
        <f t="shared" ca="1" si="181"/>
        <v>0.62806805659227771</v>
      </c>
      <c r="E3079" s="48">
        <f t="shared" ca="1" si="182"/>
        <v>0</v>
      </c>
      <c r="F3079" s="17">
        <f t="shared" ca="1" si="183"/>
        <v>0</v>
      </c>
      <c r="H3079" s="17">
        <v>3064</v>
      </c>
      <c r="I3079" s="43">
        <v>0.6687151949161676</v>
      </c>
      <c r="J3079" s="43">
        <v>1.8954070957460822E-2</v>
      </c>
      <c r="K3079" s="43"/>
      <c r="L3079" s="43">
        <v>0.2472</v>
      </c>
      <c r="O3079" s="50"/>
    </row>
    <row r="3080" spans="2:15" x14ac:dyDescent="0.2">
      <c r="B3080">
        <v>3065</v>
      </c>
      <c r="C3080" s="48">
        <f ca="1"/>
        <v>-1.1996485457957065</v>
      </c>
      <c r="D3080" s="48">
        <f t="shared" ca="1" si="181"/>
        <v>0.59038397620813132</v>
      </c>
      <c r="E3080" s="48">
        <f t="shared" ca="1" si="182"/>
        <v>0</v>
      </c>
      <c r="F3080" s="17">
        <f t="shared" ca="1" si="183"/>
        <v>0</v>
      </c>
      <c r="H3080" s="17">
        <v>3065</v>
      </c>
      <c r="I3080" s="43">
        <v>0.6683938720954461</v>
      </c>
      <c r="J3080" s="43">
        <v>1.8964005450410163E-2</v>
      </c>
      <c r="K3080" s="43"/>
      <c r="L3080" s="43">
        <v>0.251</v>
      </c>
      <c r="O3080" s="50"/>
    </row>
    <row r="3081" spans="2:15" x14ac:dyDescent="0.2">
      <c r="B3081">
        <v>3066</v>
      </c>
      <c r="C3081" s="48">
        <f ca="1"/>
        <v>1.6199802091414879</v>
      </c>
      <c r="D3081" s="48">
        <f t="shared" ca="1" si="181"/>
        <v>0.77957835024677724</v>
      </c>
      <c r="E3081" s="48">
        <f t="shared" ca="1" si="182"/>
        <v>0</v>
      </c>
      <c r="F3081" s="17">
        <f t="shared" ca="1" si="183"/>
        <v>0</v>
      </c>
      <c r="H3081" s="17">
        <v>3066</v>
      </c>
      <c r="I3081" s="43">
        <v>0.66941231080423702</v>
      </c>
      <c r="J3081" s="43">
        <v>1.9796149074499593E-2</v>
      </c>
      <c r="K3081" s="43"/>
      <c r="L3081" s="43">
        <v>0.254</v>
      </c>
      <c r="O3081" s="50"/>
    </row>
    <row r="3082" spans="2:15" x14ac:dyDescent="0.2">
      <c r="B3082">
        <v>3067</v>
      </c>
      <c r="C3082" s="48">
        <f ca="1"/>
        <v>0.97707357858996136</v>
      </c>
      <c r="D3082" s="48">
        <f t="shared" ca="1" si="181"/>
        <v>0.73170004758663698</v>
      </c>
      <c r="E3082" s="48">
        <f t="shared" ca="1" si="182"/>
        <v>0</v>
      </c>
      <c r="F3082" s="17">
        <f t="shared" ca="1" si="183"/>
        <v>0</v>
      </c>
      <c r="H3082" s="17">
        <v>3067</v>
      </c>
      <c r="I3082" s="43">
        <v>0.66928315368198155</v>
      </c>
      <c r="J3082" s="43">
        <v>1.9605983366936523E-2</v>
      </c>
      <c r="K3082" s="43"/>
      <c r="L3082" s="43">
        <v>0.25059999999999999</v>
      </c>
      <c r="O3082" s="50"/>
    </row>
    <row r="3083" spans="2:15" x14ac:dyDescent="0.2">
      <c r="B3083">
        <v>3068</v>
      </c>
      <c r="C3083" s="48">
        <f ca="1"/>
        <v>-0.80178389267030747</v>
      </c>
      <c r="D3083" s="48">
        <f t="shared" ca="1" si="181"/>
        <v>0.61400164162557014</v>
      </c>
      <c r="E3083" s="48">
        <f t="shared" ca="1" si="182"/>
        <v>0</v>
      </c>
      <c r="F3083" s="17">
        <f t="shared" ca="1" si="183"/>
        <v>0</v>
      </c>
      <c r="H3083" s="17">
        <v>3068</v>
      </c>
      <c r="I3083" s="43">
        <v>0.669818152199813</v>
      </c>
      <c r="J3083" s="43">
        <v>2.0157132083604055E-2</v>
      </c>
      <c r="K3083" s="43"/>
      <c r="L3083" s="43">
        <v>0.25240000000000001</v>
      </c>
      <c r="O3083" s="50"/>
    </row>
    <row r="3084" spans="2:15" x14ac:dyDescent="0.2">
      <c r="B3084">
        <v>3069</v>
      </c>
      <c r="C3084" s="48">
        <f ca="1"/>
        <v>-0.85181616066994548</v>
      </c>
      <c r="D3084" s="48">
        <f t="shared" ca="1" si="181"/>
        <v>0.61098050203125165</v>
      </c>
      <c r="E3084" s="48">
        <f t="shared" ca="1" si="182"/>
        <v>0</v>
      </c>
      <c r="F3084" s="17">
        <f t="shared" ca="1" si="183"/>
        <v>0</v>
      </c>
      <c r="H3084" s="17">
        <v>3069</v>
      </c>
      <c r="I3084" s="43">
        <v>0.66829993494892792</v>
      </c>
      <c r="J3084" s="43">
        <v>1.9100571532679907E-2</v>
      </c>
      <c r="K3084" s="43"/>
      <c r="L3084" s="43">
        <v>0.24660000000000001</v>
      </c>
      <c r="O3084" s="50"/>
    </row>
    <row r="3085" spans="2:15" x14ac:dyDescent="0.2">
      <c r="B3085">
        <v>3070</v>
      </c>
      <c r="C3085" s="48">
        <f ca="1"/>
        <v>-2.5603538434322228</v>
      </c>
      <c r="D3085" s="48">
        <f t="shared" ca="1" si="181"/>
        <v>0.51626729245198422</v>
      </c>
      <c r="E3085" s="48">
        <f t="shared" ca="1" si="182"/>
        <v>0</v>
      </c>
      <c r="F3085" s="17">
        <f t="shared" ca="1" si="183"/>
        <v>0</v>
      </c>
      <c r="H3085" s="17">
        <v>3070</v>
      </c>
      <c r="I3085" s="43">
        <v>0.66985385399231745</v>
      </c>
      <c r="J3085" s="43">
        <v>2.0032660387807537E-2</v>
      </c>
      <c r="K3085" s="43"/>
      <c r="L3085" s="43">
        <v>0.25080000000000002</v>
      </c>
      <c r="O3085" s="50"/>
    </row>
    <row r="3086" spans="2:15" x14ac:dyDescent="0.2">
      <c r="B3086">
        <v>3071</v>
      </c>
      <c r="C3086" s="48">
        <f ca="1"/>
        <v>1.5672837638746138</v>
      </c>
      <c r="D3086" s="48">
        <f t="shared" ca="1" si="181"/>
        <v>0.77553877991907727</v>
      </c>
      <c r="E3086" s="48">
        <f t="shared" ca="1" si="182"/>
        <v>0</v>
      </c>
      <c r="F3086" s="17">
        <f t="shared" ca="1" si="183"/>
        <v>0</v>
      </c>
      <c r="H3086" s="17">
        <v>3071</v>
      </c>
      <c r="I3086" s="43">
        <v>0.66905158543983478</v>
      </c>
      <c r="J3086" s="43">
        <v>1.9379248250862735E-2</v>
      </c>
      <c r="K3086" s="43"/>
      <c r="L3086" s="43">
        <v>0.25140000000000001</v>
      </c>
      <c r="O3086" s="50"/>
    </row>
    <row r="3087" spans="2:15" x14ac:dyDescent="0.2">
      <c r="B3087">
        <v>3072</v>
      </c>
      <c r="C3087" s="48">
        <f ca="1"/>
        <v>0.53546936690729785</v>
      </c>
      <c r="D3087" s="48">
        <f t="shared" ca="1" si="181"/>
        <v>0.70052777628004348</v>
      </c>
      <c r="E3087" s="48">
        <f t="shared" ca="1" si="182"/>
        <v>0</v>
      </c>
      <c r="F3087" s="17">
        <f t="shared" ca="1" si="183"/>
        <v>0</v>
      </c>
      <c r="H3087" s="17">
        <v>3072</v>
      </c>
      <c r="I3087" s="43">
        <v>0.66981139156034319</v>
      </c>
      <c r="J3087" s="43">
        <v>1.9930942616787437E-2</v>
      </c>
      <c r="K3087" s="43"/>
      <c r="L3087" s="43">
        <v>0.25540000000000002</v>
      </c>
      <c r="O3087" s="50"/>
    </row>
    <row r="3088" spans="2:15" x14ac:dyDescent="0.2">
      <c r="B3088">
        <v>3073</v>
      </c>
      <c r="C3088" s="48">
        <f ca="1"/>
        <v>-0.77136083482525319</v>
      </c>
      <c r="D3088" s="48">
        <f t="shared" ref="D3088:D3151" ca="1" si="184">S0*EXP((μ-0.5*σ*σ)*T+σ*SQRT(T)*$C3088)</f>
        <v>0.61584600111919219</v>
      </c>
      <c r="E3088" s="48">
        <f t="shared" ref="E3088:E3151" ca="1" si="185">MAX(0,CP*(D3088-K))</f>
        <v>0</v>
      </c>
      <c r="F3088" s="17">
        <f t="shared" ref="F3088:F3151" ca="1" si="186">(CP*(D3088-K)&gt;0)*1</f>
        <v>0</v>
      </c>
      <c r="H3088" s="17">
        <v>3073</v>
      </c>
      <c r="I3088" s="43">
        <v>0.6688369252266172</v>
      </c>
      <c r="J3088" s="43">
        <v>1.9168718664885506E-2</v>
      </c>
      <c r="K3088" s="43"/>
      <c r="L3088" s="43">
        <v>0.25019999999999998</v>
      </c>
      <c r="O3088" s="50"/>
    </row>
    <row r="3089" spans="2:15" x14ac:dyDescent="0.2">
      <c r="B3089">
        <v>3074</v>
      </c>
      <c r="C3089" s="48">
        <f ca="1"/>
        <v>-0.69457151906127146</v>
      </c>
      <c r="D3089" s="48">
        <f t="shared" ca="1" si="184"/>
        <v>0.62052593359199537</v>
      </c>
      <c r="E3089" s="48">
        <f t="shared" ca="1" si="185"/>
        <v>0</v>
      </c>
      <c r="F3089" s="17">
        <f t="shared" ca="1" si="186"/>
        <v>0</v>
      </c>
      <c r="H3089" s="17">
        <v>3074</v>
      </c>
      <c r="I3089" s="43">
        <v>0.66886516504996507</v>
      </c>
      <c r="J3089" s="43">
        <v>1.9319579283664682E-2</v>
      </c>
      <c r="K3089" s="43"/>
      <c r="L3089" s="43">
        <v>0.25519999999999998</v>
      </c>
      <c r="O3089" s="50"/>
    </row>
    <row r="3090" spans="2:15" x14ac:dyDescent="0.2">
      <c r="B3090">
        <v>3075</v>
      </c>
      <c r="C3090" s="48">
        <f ca="1"/>
        <v>0.39148953255294766</v>
      </c>
      <c r="D3090" s="48">
        <f t="shared" ca="1" si="184"/>
        <v>0.69065430024831265</v>
      </c>
      <c r="E3090" s="48">
        <f t="shared" ca="1" si="185"/>
        <v>0</v>
      </c>
      <c r="F3090" s="17">
        <f t="shared" ca="1" si="186"/>
        <v>0</v>
      </c>
      <c r="H3090" s="17">
        <v>3075</v>
      </c>
      <c r="I3090" s="43">
        <v>0.66952166899492072</v>
      </c>
      <c r="J3090" s="43">
        <v>1.9749984143304478E-2</v>
      </c>
      <c r="K3090" s="43"/>
      <c r="L3090" s="43">
        <v>0.24779999999999999</v>
      </c>
      <c r="O3090" s="50"/>
    </row>
    <row r="3091" spans="2:15" x14ac:dyDescent="0.2">
      <c r="B3091">
        <v>3076</v>
      </c>
      <c r="C3091" s="48">
        <f ca="1"/>
        <v>1.2375298781795738</v>
      </c>
      <c r="D3091" s="48">
        <f t="shared" ca="1" si="184"/>
        <v>0.75073174169479562</v>
      </c>
      <c r="E3091" s="48">
        <f t="shared" ca="1" si="185"/>
        <v>0</v>
      </c>
      <c r="F3091" s="17">
        <f t="shared" ca="1" si="186"/>
        <v>0</v>
      </c>
      <c r="H3091" s="17">
        <v>3076</v>
      </c>
      <c r="I3091" s="43">
        <v>0.66834528476520294</v>
      </c>
      <c r="J3091" s="43">
        <v>1.874275423118351E-2</v>
      </c>
      <c r="K3091" s="43"/>
      <c r="L3091" s="43">
        <v>0.24199999999999999</v>
      </c>
      <c r="O3091" s="50"/>
    </row>
    <row r="3092" spans="2:15" x14ac:dyDescent="0.2">
      <c r="B3092">
        <v>3077</v>
      </c>
      <c r="C3092" s="48">
        <f ca="1"/>
        <v>0.64609151308516766</v>
      </c>
      <c r="D3092" s="48">
        <f t="shared" ca="1" si="184"/>
        <v>0.70820951464557147</v>
      </c>
      <c r="E3092" s="48">
        <f t="shared" ca="1" si="185"/>
        <v>0</v>
      </c>
      <c r="F3092" s="17">
        <f t="shared" ca="1" si="186"/>
        <v>0</v>
      </c>
      <c r="H3092" s="17">
        <v>3077</v>
      </c>
      <c r="I3092" s="43">
        <v>0.66884611430777918</v>
      </c>
      <c r="J3092" s="43">
        <v>1.9387044090792425E-2</v>
      </c>
      <c r="K3092" s="43"/>
      <c r="L3092" s="43">
        <v>0.25140000000000001</v>
      </c>
      <c r="O3092" s="50"/>
    </row>
    <row r="3093" spans="2:15" x14ac:dyDescent="0.2">
      <c r="B3093">
        <v>3078</v>
      </c>
      <c r="C3093" s="48">
        <f ca="1"/>
        <v>0.39975870722165019</v>
      </c>
      <c r="D3093" s="48">
        <f t="shared" ca="1" si="184"/>
        <v>0.69121757676396312</v>
      </c>
      <c r="E3093" s="48">
        <f t="shared" ca="1" si="185"/>
        <v>0</v>
      </c>
      <c r="F3093" s="17">
        <f t="shared" ca="1" si="186"/>
        <v>0</v>
      </c>
      <c r="H3093" s="17">
        <v>3078</v>
      </c>
      <c r="I3093" s="43">
        <v>0.66876852258163355</v>
      </c>
      <c r="J3093" s="43">
        <v>1.9157414709884416E-2</v>
      </c>
      <c r="K3093" s="43"/>
      <c r="L3093" s="43">
        <v>0.25240000000000001</v>
      </c>
      <c r="O3093" s="50"/>
    </row>
    <row r="3094" spans="2:15" x14ac:dyDescent="0.2">
      <c r="B3094">
        <v>3079</v>
      </c>
      <c r="C3094" s="48">
        <f ca="1"/>
        <v>-0.83230305485008671</v>
      </c>
      <c r="D3094" s="48">
        <f t="shared" ca="1" si="184"/>
        <v>0.61215700567013565</v>
      </c>
      <c r="E3094" s="48">
        <f t="shared" ca="1" si="185"/>
        <v>0</v>
      </c>
      <c r="F3094" s="17">
        <f t="shared" ca="1" si="186"/>
        <v>0</v>
      </c>
      <c r="H3094" s="17">
        <v>3079</v>
      </c>
      <c r="I3094" s="43">
        <v>0.66723367544413181</v>
      </c>
      <c r="J3094" s="43">
        <v>1.794840984923889E-2</v>
      </c>
      <c r="K3094" s="43"/>
      <c r="L3094" s="43">
        <v>0.24479999999999999</v>
      </c>
      <c r="O3094" s="50"/>
    </row>
    <row r="3095" spans="2:15" x14ac:dyDescent="0.2">
      <c r="B3095">
        <v>3080</v>
      </c>
      <c r="C3095" s="48">
        <f ca="1"/>
        <v>0.90660319702829495</v>
      </c>
      <c r="D3095" s="48">
        <f t="shared" ca="1" si="184"/>
        <v>0.72663418190528917</v>
      </c>
      <c r="E3095" s="48">
        <f t="shared" ca="1" si="185"/>
        <v>0</v>
      </c>
      <c r="F3095" s="17">
        <f t="shared" ca="1" si="186"/>
        <v>0</v>
      </c>
      <c r="H3095" s="17">
        <v>3080</v>
      </c>
      <c r="I3095" s="43">
        <v>0.67040099689552313</v>
      </c>
      <c r="J3095" s="43">
        <v>2.0726089713922594E-2</v>
      </c>
      <c r="K3095" s="43"/>
      <c r="L3095" s="43">
        <v>0.255</v>
      </c>
      <c r="O3095" s="50"/>
    </row>
    <row r="3096" spans="2:15" x14ac:dyDescent="0.2">
      <c r="B3096">
        <v>3081</v>
      </c>
      <c r="C3096" s="48">
        <f ca="1"/>
        <v>0.27609172596786508</v>
      </c>
      <c r="D3096" s="48">
        <f t="shared" ca="1" si="184"/>
        <v>0.68284140680714611</v>
      </c>
      <c r="E3096" s="48">
        <f t="shared" ca="1" si="185"/>
        <v>0</v>
      </c>
      <c r="F3096" s="17">
        <f t="shared" ca="1" si="186"/>
        <v>0</v>
      </c>
      <c r="H3096" s="17">
        <v>3081</v>
      </c>
      <c r="I3096" s="43">
        <v>0.66782697001843028</v>
      </c>
      <c r="J3096" s="43">
        <v>1.856946561006672E-2</v>
      </c>
      <c r="K3096" s="43"/>
      <c r="L3096" s="43">
        <v>0.2412</v>
      </c>
      <c r="O3096" s="50"/>
    </row>
    <row r="3097" spans="2:15" x14ac:dyDescent="0.2">
      <c r="B3097">
        <v>3082</v>
      </c>
      <c r="C3097" s="48">
        <f ca="1"/>
        <v>-1.2035350840411767</v>
      </c>
      <c r="D3097" s="48">
        <f t="shared" ca="1" si="184"/>
        <v>0.59015780567195875</v>
      </c>
      <c r="E3097" s="48">
        <f t="shared" ca="1" si="185"/>
        <v>0</v>
      </c>
      <c r="F3097" s="17">
        <f t="shared" ca="1" si="186"/>
        <v>0</v>
      </c>
      <c r="H3097" s="17">
        <v>3082</v>
      </c>
      <c r="I3097" s="43">
        <v>0.66961481710663107</v>
      </c>
      <c r="J3097" s="43">
        <v>1.9803119730017166E-2</v>
      </c>
      <c r="K3097" s="43"/>
      <c r="L3097" s="43">
        <v>0.24979999999999999</v>
      </c>
      <c r="O3097" s="50"/>
    </row>
    <row r="3098" spans="2:15" x14ac:dyDescent="0.2">
      <c r="B3098">
        <v>3083</v>
      </c>
      <c r="C3098" s="48">
        <f ca="1"/>
        <v>1.1679757393802537</v>
      </c>
      <c r="D3098" s="48">
        <f t="shared" ca="1" si="184"/>
        <v>0.74560145880890549</v>
      </c>
      <c r="E3098" s="48">
        <f t="shared" ca="1" si="185"/>
        <v>0</v>
      </c>
      <c r="F3098" s="17">
        <f t="shared" ca="1" si="186"/>
        <v>0</v>
      </c>
      <c r="H3098" s="17">
        <v>3083</v>
      </c>
      <c r="I3098" s="43">
        <v>0.6683609816111723</v>
      </c>
      <c r="J3098" s="43">
        <v>1.8611529259381733E-2</v>
      </c>
      <c r="K3098" s="43"/>
      <c r="L3098" s="43">
        <v>0.24640000000000001</v>
      </c>
      <c r="O3098" s="50"/>
    </row>
    <row r="3099" spans="2:15" x14ac:dyDescent="0.2">
      <c r="B3099">
        <v>3084</v>
      </c>
      <c r="C3099" s="48">
        <f ca="1"/>
        <v>-0.92682538029573358</v>
      </c>
      <c r="D3099" s="48">
        <f t="shared" ca="1" si="184"/>
        <v>0.60647898485941365</v>
      </c>
      <c r="E3099" s="48">
        <f t="shared" ca="1" si="185"/>
        <v>0</v>
      </c>
      <c r="F3099" s="17">
        <f t="shared" ca="1" si="186"/>
        <v>0</v>
      </c>
      <c r="H3099" s="17">
        <v>3084</v>
      </c>
      <c r="I3099" s="43">
        <v>0.66920439038490309</v>
      </c>
      <c r="J3099" s="43">
        <v>1.9485774549258848E-2</v>
      </c>
      <c r="K3099" s="43"/>
      <c r="L3099" s="43">
        <v>0.25359999999999999</v>
      </c>
      <c r="O3099" s="50"/>
    </row>
    <row r="3100" spans="2:15" x14ac:dyDescent="0.2">
      <c r="B3100">
        <v>3085</v>
      </c>
      <c r="C3100" s="48">
        <f ca="1"/>
        <v>-0.70375131166200011</v>
      </c>
      <c r="D3100" s="48">
        <f t="shared" ca="1" si="184"/>
        <v>0.61996460389335628</v>
      </c>
      <c r="E3100" s="48">
        <f t="shared" ca="1" si="185"/>
        <v>0</v>
      </c>
      <c r="F3100" s="17">
        <f t="shared" ca="1" si="186"/>
        <v>0</v>
      </c>
      <c r="H3100" s="17">
        <v>3085</v>
      </c>
      <c r="I3100" s="43">
        <v>0.66906534446193677</v>
      </c>
      <c r="J3100" s="43">
        <v>1.9551325448336702E-2</v>
      </c>
      <c r="K3100" s="43"/>
      <c r="L3100" s="43">
        <v>0.24759999999999999</v>
      </c>
      <c r="O3100" s="50"/>
    </row>
    <row r="3101" spans="2:15" x14ac:dyDescent="0.2">
      <c r="B3101">
        <v>3086</v>
      </c>
      <c r="C3101" s="48">
        <f ca="1"/>
        <v>-4.6327061612864338E-2</v>
      </c>
      <c r="D3101" s="48">
        <f t="shared" ca="1" si="184"/>
        <v>0.66147763884660304</v>
      </c>
      <c r="E3101" s="48">
        <f t="shared" ca="1" si="185"/>
        <v>0</v>
      </c>
      <c r="F3101" s="17">
        <f t="shared" ca="1" si="186"/>
        <v>0</v>
      </c>
      <c r="H3101" s="17">
        <v>3086</v>
      </c>
      <c r="I3101" s="43">
        <v>0.66974331550056299</v>
      </c>
      <c r="J3101" s="43">
        <v>2.0060439511651828E-2</v>
      </c>
      <c r="K3101" s="43"/>
      <c r="L3101" s="43">
        <v>0.25679999999999997</v>
      </c>
      <c r="O3101" s="50"/>
    </row>
    <row r="3102" spans="2:15" x14ac:dyDescent="0.2">
      <c r="B3102">
        <v>3087</v>
      </c>
      <c r="C3102" s="48">
        <f ca="1"/>
        <v>-0.31592371206099468</v>
      </c>
      <c r="D3102" s="48">
        <f t="shared" ca="1" si="184"/>
        <v>0.64412791210058695</v>
      </c>
      <c r="E3102" s="48">
        <f t="shared" ca="1" si="185"/>
        <v>0</v>
      </c>
      <c r="F3102" s="17">
        <f t="shared" ca="1" si="186"/>
        <v>0</v>
      </c>
      <c r="H3102" s="17">
        <v>3087</v>
      </c>
      <c r="I3102" s="43">
        <v>0.67025036932072957</v>
      </c>
      <c r="J3102" s="43">
        <v>2.0115522110014949E-2</v>
      </c>
      <c r="K3102" s="43"/>
      <c r="L3102" s="43">
        <v>0.25280000000000002</v>
      </c>
      <c r="O3102" s="50"/>
    </row>
    <row r="3103" spans="2:15" x14ac:dyDescent="0.2">
      <c r="B3103">
        <v>3088</v>
      </c>
      <c r="C3103" s="48">
        <f ca="1"/>
        <v>-0.99577874136704814</v>
      </c>
      <c r="D3103" s="48">
        <f t="shared" ca="1" si="184"/>
        <v>0.60237016027616386</v>
      </c>
      <c r="E3103" s="48">
        <f t="shared" ca="1" si="185"/>
        <v>0</v>
      </c>
      <c r="F3103" s="17">
        <f t="shared" ca="1" si="186"/>
        <v>0</v>
      </c>
      <c r="H3103" s="17">
        <v>3088</v>
      </c>
      <c r="I3103" s="43">
        <v>0.66954970181760398</v>
      </c>
      <c r="J3103" s="43">
        <v>1.9760108943443922E-2</v>
      </c>
      <c r="K3103" s="43"/>
      <c r="L3103" s="43">
        <v>0.2586</v>
      </c>
      <c r="O3103" s="50"/>
    </row>
    <row r="3104" spans="2:15" x14ac:dyDescent="0.2">
      <c r="B3104">
        <v>3089</v>
      </c>
      <c r="C3104" s="48">
        <f ca="1"/>
        <v>-7.8346926089201477E-2</v>
      </c>
      <c r="D3104" s="48">
        <f t="shared" ca="1" si="184"/>
        <v>0.65939280678769074</v>
      </c>
      <c r="E3104" s="48">
        <f t="shared" ca="1" si="185"/>
        <v>0</v>
      </c>
      <c r="F3104" s="17">
        <f t="shared" ca="1" si="186"/>
        <v>0</v>
      </c>
      <c r="H3104" s="17">
        <v>3089</v>
      </c>
      <c r="I3104" s="43">
        <v>0.67056951965586487</v>
      </c>
      <c r="J3104" s="43">
        <v>2.0970931441567964E-2</v>
      </c>
      <c r="K3104" s="43"/>
      <c r="L3104" s="43">
        <v>0.26440000000000002</v>
      </c>
      <c r="O3104" s="50"/>
    </row>
    <row r="3105" spans="2:15" x14ac:dyDescent="0.2">
      <c r="B3105">
        <v>3090</v>
      </c>
      <c r="C3105" s="48">
        <f ca="1"/>
        <v>-0.26203832914478087</v>
      </c>
      <c r="D3105" s="48">
        <f t="shared" ca="1" si="184"/>
        <v>0.64755889775052999</v>
      </c>
      <c r="E3105" s="48">
        <f t="shared" ca="1" si="185"/>
        <v>0</v>
      </c>
      <c r="F3105" s="17">
        <f t="shared" ca="1" si="186"/>
        <v>0</v>
      </c>
      <c r="H3105" s="17">
        <v>3090</v>
      </c>
      <c r="I3105" s="43">
        <v>0.66936927176225958</v>
      </c>
      <c r="J3105" s="43">
        <v>1.999612029338876E-2</v>
      </c>
      <c r="K3105" s="43"/>
      <c r="L3105" s="43">
        <v>0.25719999999999998</v>
      </c>
      <c r="O3105" s="50"/>
    </row>
    <row r="3106" spans="2:15" x14ac:dyDescent="0.2">
      <c r="B3106">
        <v>3091</v>
      </c>
      <c r="C3106" s="48">
        <f ca="1"/>
        <v>0.45039443079555785</v>
      </c>
      <c r="D3106" s="48">
        <f t="shared" ca="1" si="184"/>
        <v>0.6946767951007804</v>
      </c>
      <c r="E3106" s="48">
        <f t="shared" ca="1" si="185"/>
        <v>0</v>
      </c>
      <c r="F3106" s="17">
        <f t="shared" ca="1" si="186"/>
        <v>0</v>
      </c>
      <c r="H3106" s="17">
        <v>3091</v>
      </c>
      <c r="I3106" s="43">
        <v>0.66863155552075759</v>
      </c>
      <c r="J3106" s="43">
        <v>1.9069726358738399E-2</v>
      </c>
      <c r="K3106" s="43"/>
      <c r="L3106" s="43">
        <v>0.24399999999999999</v>
      </c>
      <c r="O3106" s="50"/>
    </row>
    <row r="3107" spans="2:15" x14ac:dyDescent="0.2">
      <c r="B3107">
        <v>3092</v>
      </c>
      <c r="C3107" s="48">
        <f ca="1"/>
        <v>-0.55720414916446936</v>
      </c>
      <c r="D3107" s="48">
        <f t="shared" ca="1" si="184"/>
        <v>0.62898669249031447</v>
      </c>
      <c r="E3107" s="48">
        <f t="shared" ca="1" si="185"/>
        <v>0</v>
      </c>
      <c r="F3107" s="17">
        <f t="shared" ca="1" si="186"/>
        <v>0</v>
      </c>
      <c r="H3107" s="17">
        <v>3092</v>
      </c>
      <c r="I3107" s="43">
        <v>0.66913457801280118</v>
      </c>
      <c r="J3107" s="43">
        <v>1.9478194649064615E-2</v>
      </c>
      <c r="K3107" s="43"/>
      <c r="L3107" s="43">
        <v>0.25</v>
      </c>
      <c r="O3107" s="50"/>
    </row>
    <row r="3108" spans="2:15" x14ac:dyDescent="0.2">
      <c r="B3108">
        <v>3093</v>
      </c>
      <c r="C3108" s="48">
        <f ca="1"/>
        <v>5.0537205423776828E-2</v>
      </c>
      <c r="D3108" s="48">
        <f t="shared" ca="1" si="184"/>
        <v>0.66782474562780114</v>
      </c>
      <c r="E3108" s="48">
        <f t="shared" ca="1" si="185"/>
        <v>0</v>
      </c>
      <c r="F3108" s="17">
        <f t="shared" ca="1" si="186"/>
        <v>0</v>
      </c>
      <c r="H3108" s="17">
        <v>3093</v>
      </c>
      <c r="I3108" s="43">
        <v>0.66899376005478428</v>
      </c>
      <c r="J3108" s="43">
        <v>1.9470684494209026E-2</v>
      </c>
      <c r="K3108" s="43"/>
      <c r="L3108" s="43">
        <v>0.25080000000000002</v>
      </c>
      <c r="O3108" s="50"/>
    </row>
    <row r="3109" spans="2:15" x14ac:dyDescent="0.2">
      <c r="B3109">
        <v>3094</v>
      </c>
      <c r="C3109" s="48">
        <f ca="1"/>
        <v>1.2665721216452646</v>
      </c>
      <c r="D3109" s="48">
        <f t="shared" ca="1" si="184"/>
        <v>0.75288431795178556</v>
      </c>
      <c r="E3109" s="48">
        <f t="shared" ca="1" si="185"/>
        <v>0</v>
      </c>
      <c r="F3109" s="17">
        <f t="shared" ca="1" si="186"/>
        <v>0</v>
      </c>
      <c r="H3109" s="17">
        <v>3094</v>
      </c>
      <c r="I3109" s="43">
        <v>0.66927076664384955</v>
      </c>
      <c r="J3109" s="43">
        <v>1.971360305587332E-2</v>
      </c>
      <c r="K3109" s="43"/>
      <c r="L3109" s="43">
        <v>0.252</v>
      </c>
      <c r="O3109" s="50"/>
    </row>
    <row r="3110" spans="2:15" x14ac:dyDescent="0.2">
      <c r="B3110">
        <v>3095</v>
      </c>
      <c r="C3110" s="48">
        <f ca="1"/>
        <v>-0.35173278837324645</v>
      </c>
      <c r="D3110" s="48">
        <f t="shared" ca="1" si="184"/>
        <v>0.64185793966786253</v>
      </c>
      <c r="E3110" s="48">
        <f t="shared" ca="1" si="185"/>
        <v>0</v>
      </c>
      <c r="F3110" s="17">
        <f t="shared" ca="1" si="186"/>
        <v>0</v>
      </c>
      <c r="H3110" s="17">
        <v>3095</v>
      </c>
      <c r="I3110" s="43">
        <v>0.66871108879782137</v>
      </c>
      <c r="J3110" s="43">
        <v>1.8986635468580065E-2</v>
      </c>
      <c r="K3110" s="43"/>
      <c r="L3110" s="43">
        <v>0.24840000000000001</v>
      </c>
      <c r="O3110" s="50"/>
    </row>
    <row r="3111" spans="2:15" x14ac:dyDescent="0.2">
      <c r="B3111">
        <v>3096</v>
      </c>
      <c r="C3111" s="48">
        <f ca="1"/>
        <v>2.0599136399403215</v>
      </c>
      <c r="D3111" s="48">
        <f t="shared" ca="1" si="184"/>
        <v>0.81413412138055075</v>
      </c>
      <c r="E3111" s="48">
        <f t="shared" ca="1" si="185"/>
        <v>2.5934121380550734E-2</v>
      </c>
      <c r="F3111" s="17">
        <f t="shared" ca="1" si="186"/>
        <v>1</v>
      </c>
      <c r="H3111" s="17">
        <v>3096</v>
      </c>
      <c r="I3111" s="43">
        <v>0.66915657004621687</v>
      </c>
      <c r="J3111" s="43">
        <v>1.9628846304766818E-2</v>
      </c>
      <c r="K3111" s="43"/>
      <c r="L3111" s="43">
        <v>0.25640000000000002</v>
      </c>
      <c r="O3111" s="50"/>
    </row>
    <row r="3112" spans="2:15" x14ac:dyDescent="0.2">
      <c r="B3112">
        <v>3097</v>
      </c>
      <c r="C3112" s="48">
        <f ca="1"/>
        <v>-0.16777713978642092</v>
      </c>
      <c r="D3112" s="48">
        <f t="shared" ca="1" si="184"/>
        <v>0.6536046927483804</v>
      </c>
      <c r="E3112" s="48">
        <f t="shared" ca="1" si="185"/>
        <v>0</v>
      </c>
      <c r="F3112" s="17">
        <f t="shared" ca="1" si="186"/>
        <v>0</v>
      </c>
      <c r="H3112" s="17">
        <v>3097</v>
      </c>
      <c r="I3112" s="43">
        <v>0.66939378770093172</v>
      </c>
      <c r="J3112" s="43">
        <v>1.9588257397878131E-2</v>
      </c>
      <c r="K3112" s="43"/>
      <c r="L3112" s="43">
        <v>0.2402</v>
      </c>
      <c r="O3112" s="50"/>
    </row>
    <row r="3113" spans="2:15" x14ac:dyDescent="0.2">
      <c r="B3113">
        <v>3098</v>
      </c>
      <c r="C3113" s="48">
        <f ca="1"/>
        <v>-0.91076683150215931</v>
      </c>
      <c r="D3113" s="48">
        <f t="shared" ca="1" si="184"/>
        <v>0.60743990567143313</v>
      </c>
      <c r="E3113" s="48">
        <f t="shared" ca="1" si="185"/>
        <v>0</v>
      </c>
      <c r="F3113" s="17">
        <f t="shared" ca="1" si="186"/>
        <v>0</v>
      </c>
      <c r="H3113" s="17">
        <v>3098</v>
      </c>
      <c r="I3113" s="43">
        <v>0.66884216543226893</v>
      </c>
      <c r="J3113" s="43">
        <v>1.9272547265030839E-2</v>
      </c>
      <c r="K3113" s="43"/>
      <c r="L3113" s="43">
        <v>0.25</v>
      </c>
      <c r="O3113" s="50"/>
    </row>
    <row r="3114" spans="2:15" x14ac:dyDescent="0.2">
      <c r="B3114">
        <v>3099</v>
      </c>
      <c r="C3114" s="48">
        <f ca="1"/>
        <v>-0.8278485949034885</v>
      </c>
      <c r="D3114" s="48">
        <f t="shared" ca="1" si="184"/>
        <v>0.61242589586591223</v>
      </c>
      <c r="E3114" s="48">
        <f t="shared" ca="1" si="185"/>
        <v>0</v>
      </c>
      <c r="F3114" s="17">
        <f t="shared" ca="1" si="186"/>
        <v>0</v>
      </c>
      <c r="H3114" s="17">
        <v>3099</v>
      </c>
      <c r="I3114" s="43">
        <v>0.6689691944210312</v>
      </c>
      <c r="J3114" s="43">
        <v>1.9613122728172432E-2</v>
      </c>
      <c r="K3114" s="43"/>
      <c r="L3114" s="43">
        <v>0.25319999999999998</v>
      </c>
      <c r="O3114" s="50"/>
    </row>
    <row r="3115" spans="2:15" x14ac:dyDescent="0.2">
      <c r="B3115">
        <v>3100</v>
      </c>
      <c r="C3115" s="48">
        <f ca="1"/>
        <v>0.1589522143613801</v>
      </c>
      <c r="D3115" s="48">
        <f t="shared" ca="1" si="184"/>
        <v>0.67500098064830238</v>
      </c>
      <c r="E3115" s="48">
        <f t="shared" ca="1" si="185"/>
        <v>0</v>
      </c>
      <c r="F3115" s="17">
        <f t="shared" ca="1" si="186"/>
        <v>0</v>
      </c>
      <c r="H3115" s="17">
        <v>3100</v>
      </c>
      <c r="I3115" s="43">
        <v>0.6688367713190746</v>
      </c>
      <c r="J3115" s="43">
        <v>1.9520233567637456E-2</v>
      </c>
      <c r="K3115" s="43"/>
      <c r="L3115" s="43">
        <v>0.24879999999999999</v>
      </c>
      <c r="O3115" s="50"/>
    </row>
    <row r="3116" spans="2:15" x14ac:dyDescent="0.2">
      <c r="B3116">
        <v>3101</v>
      </c>
      <c r="C3116" s="48">
        <f ca="1"/>
        <v>8.4819601685741319E-2</v>
      </c>
      <c r="D3116" s="48">
        <f t="shared" ca="1" si="184"/>
        <v>0.67008568815403846</v>
      </c>
      <c r="E3116" s="48">
        <f t="shared" ca="1" si="185"/>
        <v>0</v>
      </c>
      <c r="F3116" s="17">
        <f t="shared" ca="1" si="186"/>
        <v>0</v>
      </c>
      <c r="H3116" s="17">
        <v>3101</v>
      </c>
      <c r="I3116" s="43">
        <v>0.66858944750195515</v>
      </c>
      <c r="J3116" s="43">
        <v>1.9194877293163173E-2</v>
      </c>
      <c r="K3116" s="43"/>
      <c r="L3116" s="43">
        <v>0.25219999999999998</v>
      </c>
      <c r="O3116" s="50"/>
    </row>
    <row r="3117" spans="2:15" x14ac:dyDescent="0.2">
      <c r="B3117">
        <v>3102</v>
      </c>
      <c r="C3117" s="48">
        <f ca="1"/>
        <v>1.5875587486547349</v>
      </c>
      <c r="D3117" s="48">
        <f t="shared" ca="1" si="184"/>
        <v>0.77709052327881456</v>
      </c>
      <c r="E3117" s="48">
        <f t="shared" ca="1" si="185"/>
        <v>0</v>
      </c>
      <c r="F3117" s="17">
        <f t="shared" ca="1" si="186"/>
        <v>0</v>
      </c>
      <c r="H3117" s="17">
        <v>3102</v>
      </c>
      <c r="I3117" s="43">
        <v>0.66950450281370855</v>
      </c>
      <c r="J3117" s="43">
        <v>1.9990106675708542E-2</v>
      </c>
      <c r="K3117" s="43"/>
      <c r="L3117" s="43">
        <v>0.25840000000000002</v>
      </c>
      <c r="O3117" s="50"/>
    </row>
    <row r="3118" spans="2:15" x14ac:dyDescent="0.2">
      <c r="B3118">
        <v>3103</v>
      </c>
      <c r="C3118" s="48">
        <f ca="1"/>
        <v>-0.45127888295575685</v>
      </c>
      <c r="D3118" s="48">
        <f t="shared" ca="1" si="184"/>
        <v>0.63558955665550243</v>
      </c>
      <c r="E3118" s="48">
        <f t="shared" ca="1" si="185"/>
        <v>0</v>
      </c>
      <c r="F3118" s="17">
        <f t="shared" ca="1" si="186"/>
        <v>0</v>
      </c>
      <c r="H3118" s="17">
        <v>3103</v>
      </c>
      <c r="I3118" s="43">
        <v>0.66900645389778735</v>
      </c>
      <c r="J3118" s="43">
        <v>1.9489918402337904E-2</v>
      </c>
      <c r="K3118" s="43"/>
      <c r="L3118" s="43">
        <v>0.24460000000000001</v>
      </c>
      <c r="O3118" s="50"/>
    </row>
    <row r="3119" spans="2:15" x14ac:dyDescent="0.2">
      <c r="B3119">
        <v>3104</v>
      </c>
      <c r="C3119" s="48">
        <f ca="1"/>
        <v>-1.2089356595479721</v>
      </c>
      <c r="D3119" s="48">
        <f t="shared" ca="1" si="184"/>
        <v>0.58984367213208799</v>
      </c>
      <c r="E3119" s="48">
        <f t="shared" ca="1" si="185"/>
        <v>0</v>
      </c>
      <c r="F3119" s="17">
        <f t="shared" ca="1" si="186"/>
        <v>0</v>
      </c>
      <c r="H3119" s="17">
        <v>3104</v>
      </c>
      <c r="I3119" s="43">
        <v>0.66859235325544919</v>
      </c>
      <c r="J3119" s="43">
        <v>1.9280152100645813E-2</v>
      </c>
      <c r="K3119" s="43"/>
      <c r="L3119" s="43">
        <v>0.247</v>
      </c>
      <c r="O3119" s="50"/>
    </row>
    <row r="3120" spans="2:15" x14ac:dyDescent="0.2">
      <c r="B3120">
        <v>3105</v>
      </c>
      <c r="C3120" s="48">
        <f ca="1"/>
        <v>-1.3676516424861076</v>
      </c>
      <c r="D3120" s="48">
        <f t="shared" ca="1" si="184"/>
        <v>0.58068598193147247</v>
      </c>
      <c r="E3120" s="48">
        <f t="shared" ca="1" si="185"/>
        <v>0</v>
      </c>
      <c r="F3120" s="17">
        <f t="shared" ca="1" si="186"/>
        <v>0</v>
      </c>
      <c r="H3120" s="17">
        <v>3105</v>
      </c>
      <c r="I3120" s="43">
        <v>0.66847398192995411</v>
      </c>
      <c r="J3120" s="43">
        <v>1.9233790930855144E-2</v>
      </c>
      <c r="K3120" s="43"/>
      <c r="L3120" s="43">
        <v>0.25540000000000002</v>
      </c>
      <c r="O3120" s="50"/>
    </row>
    <row r="3121" spans="2:15" x14ac:dyDescent="0.2">
      <c r="B3121">
        <v>3106</v>
      </c>
      <c r="C3121" s="48">
        <f ca="1"/>
        <v>1.4696403236046924</v>
      </c>
      <c r="D3121" s="48">
        <f t="shared" ca="1" si="184"/>
        <v>0.76810893688902249</v>
      </c>
      <c r="E3121" s="48">
        <f t="shared" ca="1" si="185"/>
        <v>0</v>
      </c>
      <c r="F3121" s="17">
        <f t="shared" ca="1" si="186"/>
        <v>0</v>
      </c>
      <c r="H3121" s="17">
        <v>3106</v>
      </c>
      <c r="I3121" s="43">
        <v>0.66790316934474558</v>
      </c>
      <c r="J3121" s="43">
        <v>1.8595246733262058E-2</v>
      </c>
      <c r="K3121" s="43"/>
      <c r="L3121" s="43">
        <v>0.24360000000000001</v>
      </c>
      <c r="O3121" s="50"/>
    </row>
    <row r="3122" spans="2:15" x14ac:dyDescent="0.2">
      <c r="B3122">
        <v>3107</v>
      </c>
      <c r="C3122" s="48">
        <f ca="1"/>
        <v>-0.99659048068028333</v>
      </c>
      <c r="D3122" s="48">
        <f t="shared" ca="1" si="184"/>
        <v>0.60232195613243766</v>
      </c>
      <c r="E3122" s="48">
        <f t="shared" ca="1" si="185"/>
        <v>0</v>
      </c>
      <c r="F3122" s="17">
        <f t="shared" ca="1" si="186"/>
        <v>0</v>
      </c>
      <c r="H3122" s="17">
        <v>3107</v>
      </c>
      <c r="I3122" s="43">
        <v>0.66852739697510999</v>
      </c>
      <c r="J3122" s="43">
        <v>1.877612702844245E-2</v>
      </c>
      <c r="K3122" s="43"/>
      <c r="L3122" s="43">
        <v>0.2422</v>
      </c>
      <c r="O3122" s="50"/>
    </row>
    <row r="3123" spans="2:15" x14ac:dyDescent="0.2">
      <c r="B3123">
        <v>3108</v>
      </c>
      <c r="C3123" s="48">
        <f ca="1"/>
        <v>1.746233695606934</v>
      </c>
      <c r="D3123" s="48">
        <f t="shared" ca="1" si="184"/>
        <v>0.78934241178746922</v>
      </c>
      <c r="E3123" s="48">
        <f t="shared" ca="1" si="185"/>
        <v>1.1424117874692108E-3</v>
      </c>
      <c r="F3123" s="17">
        <f t="shared" ca="1" si="186"/>
        <v>1</v>
      </c>
      <c r="H3123" s="17">
        <v>3108</v>
      </c>
      <c r="I3123" s="43">
        <v>0.66865968729042258</v>
      </c>
      <c r="J3123" s="43">
        <v>1.9395135319372165E-2</v>
      </c>
      <c r="K3123" s="43"/>
      <c r="L3123" s="43">
        <v>0.25059999999999999</v>
      </c>
      <c r="O3123" s="50"/>
    </row>
    <row r="3124" spans="2:15" x14ac:dyDescent="0.2">
      <c r="B3124">
        <v>3109</v>
      </c>
      <c r="C3124" s="48">
        <f ca="1"/>
        <v>-4.2939344318524489E-2</v>
      </c>
      <c r="D3124" s="48">
        <f t="shared" ca="1" si="184"/>
        <v>0.66169860032934125</v>
      </c>
      <c r="E3124" s="48">
        <f t="shared" ca="1" si="185"/>
        <v>0</v>
      </c>
      <c r="F3124" s="17">
        <f t="shared" ca="1" si="186"/>
        <v>0</v>
      </c>
      <c r="H3124" s="17">
        <v>3109</v>
      </c>
      <c r="I3124" s="43">
        <v>0.66926747065738279</v>
      </c>
      <c r="J3124" s="43">
        <v>1.9768289542182623E-2</v>
      </c>
      <c r="K3124" s="43"/>
      <c r="L3124" s="43">
        <v>0.247</v>
      </c>
      <c r="O3124" s="50"/>
    </row>
    <row r="3125" spans="2:15" x14ac:dyDescent="0.2">
      <c r="B3125">
        <v>3110</v>
      </c>
      <c r="C3125" s="48">
        <f ca="1"/>
        <v>0.70326543648210549</v>
      </c>
      <c r="D3125" s="48">
        <f t="shared" ca="1" si="184"/>
        <v>0.71221270302401674</v>
      </c>
      <c r="E3125" s="48">
        <f t="shared" ca="1" si="185"/>
        <v>0</v>
      </c>
      <c r="F3125" s="17">
        <f t="shared" ca="1" si="186"/>
        <v>0</v>
      </c>
      <c r="H3125" s="17">
        <v>3110</v>
      </c>
      <c r="I3125" s="43">
        <v>0.66954003711202736</v>
      </c>
      <c r="J3125" s="43">
        <v>1.9946245337073253E-2</v>
      </c>
      <c r="K3125" s="43"/>
      <c r="L3125" s="43">
        <v>0.25679999999999997</v>
      </c>
      <c r="O3125" s="50"/>
    </row>
    <row r="3126" spans="2:15" x14ac:dyDescent="0.2">
      <c r="B3126">
        <v>3111</v>
      </c>
      <c r="C3126" s="48">
        <f ca="1"/>
        <v>-0.65346535963910746</v>
      </c>
      <c r="D3126" s="48">
        <f t="shared" ca="1" si="184"/>
        <v>0.62304574975400118</v>
      </c>
      <c r="E3126" s="48">
        <f t="shared" ca="1" si="185"/>
        <v>0</v>
      </c>
      <c r="F3126" s="17">
        <f t="shared" ca="1" si="186"/>
        <v>0</v>
      </c>
      <c r="H3126" s="17">
        <v>3111</v>
      </c>
      <c r="I3126" s="43">
        <v>0.66891646377744718</v>
      </c>
      <c r="J3126" s="43">
        <v>1.9475831207905279E-2</v>
      </c>
      <c r="K3126" s="43"/>
      <c r="L3126" s="43">
        <v>0.25159999999999999</v>
      </c>
      <c r="O3126" s="50"/>
    </row>
    <row r="3127" spans="2:15" x14ac:dyDescent="0.2">
      <c r="B3127">
        <v>3112</v>
      </c>
      <c r="C3127" s="48">
        <f ca="1"/>
        <v>0.99472565167460258</v>
      </c>
      <c r="D3127" s="48">
        <f t="shared" ca="1" si="184"/>
        <v>0.73297451422378412</v>
      </c>
      <c r="E3127" s="48">
        <f t="shared" ca="1" si="185"/>
        <v>0</v>
      </c>
      <c r="F3127" s="17">
        <f t="shared" ca="1" si="186"/>
        <v>0</v>
      </c>
      <c r="H3127" s="17">
        <v>3112</v>
      </c>
      <c r="I3127" s="43">
        <v>0.66894988547701417</v>
      </c>
      <c r="J3127" s="43">
        <v>1.9160168318169978E-2</v>
      </c>
      <c r="K3127" s="43"/>
      <c r="L3127" s="43">
        <v>0.24179999999999999</v>
      </c>
      <c r="O3127" s="50"/>
    </row>
    <row r="3128" spans="2:15" x14ac:dyDescent="0.2">
      <c r="B3128">
        <v>3113</v>
      </c>
      <c r="C3128" s="48">
        <f ca="1"/>
        <v>1.1451450091827566</v>
      </c>
      <c r="D3128" s="48">
        <f t="shared" ca="1" si="184"/>
        <v>0.74392512847865122</v>
      </c>
      <c r="E3128" s="48">
        <f t="shared" ca="1" si="185"/>
        <v>0</v>
      </c>
      <c r="F3128" s="17">
        <f t="shared" ca="1" si="186"/>
        <v>0</v>
      </c>
      <c r="H3128" s="17">
        <v>3113</v>
      </c>
      <c r="I3128" s="43">
        <v>0.66747107673317863</v>
      </c>
      <c r="J3128" s="43">
        <v>1.7876097777034292E-2</v>
      </c>
      <c r="K3128" s="43"/>
      <c r="L3128" s="43">
        <v>0.23599999999999999</v>
      </c>
      <c r="O3128" s="50"/>
    </row>
    <row r="3129" spans="2:15" x14ac:dyDescent="0.2">
      <c r="B3129">
        <v>3114</v>
      </c>
      <c r="C3129" s="48">
        <f ca="1"/>
        <v>-5.1293537643559796E-2</v>
      </c>
      <c r="D3129" s="48">
        <f t="shared" ca="1" si="184"/>
        <v>0.66115383730363764</v>
      </c>
      <c r="E3129" s="48">
        <f t="shared" ca="1" si="185"/>
        <v>0</v>
      </c>
      <c r="F3129" s="17">
        <f t="shared" ca="1" si="186"/>
        <v>0</v>
      </c>
      <c r="H3129" s="17">
        <v>3114</v>
      </c>
      <c r="I3129" s="43">
        <v>0.66817557942397465</v>
      </c>
      <c r="J3129" s="43">
        <v>1.9074081060257347E-2</v>
      </c>
      <c r="K3129" s="43"/>
      <c r="L3129" s="43">
        <v>0.25419999999999998</v>
      </c>
      <c r="O3129" s="50"/>
    </row>
    <row r="3130" spans="2:15" x14ac:dyDescent="0.2">
      <c r="B3130">
        <v>3115</v>
      </c>
      <c r="C3130" s="48">
        <f ca="1"/>
        <v>-0.19297403664729898</v>
      </c>
      <c r="D3130" s="48">
        <f t="shared" ca="1" si="184"/>
        <v>0.65198308938271288</v>
      </c>
      <c r="E3130" s="48">
        <f t="shared" ca="1" si="185"/>
        <v>0</v>
      </c>
      <c r="F3130" s="17">
        <f t="shared" ca="1" si="186"/>
        <v>0</v>
      </c>
      <c r="H3130" s="17">
        <v>3115</v>
      </c>
      <c r="I3130" s="43">
        <v>0.66985297370424079</v>
      </c>
      <c r="J3130" s="43">
        <v>1.9900071423412564E-2</v>
      </c>
      <c r="K3130" s="43"/>
      <c r="L3130" s="43">
        <v>0.2462</v>
      </c>
      <c r="O3130" s="50"/>
    </row>
    <row r="3131" spans="2:15" x14ac:dyDescent="0.2">
      <c r="B3131">
        <v>3116</v>
      </c>
      <c r="C3131" s="48">
        <f ca="1"/>
        <v>-0.47081530834345209</v>
      </c>
      <c r="D3131" s="48">
        <f t="shared" ca="1" si="184"/>
        <v>0.63436655961042443</v>
      </c>
      <c r="E3131" s="48">
        <f t="shared" ca="1" si="185"/>
        <v>0</v>
      </c>
      <c r="F3131" s="17">
        <f t="shared" ca="1" si="186"/>
        <v>0</v>
      </c>
      <c r="H3131" s="17">
        <v>3116</v>
      </c>
      <c r="I3131" s="43">
        <v>0.66819202076599582</v>
      </c>
      <c r="J3131" s="43">
        <v>1.8884820046052787E-2</v>
      </c>
      <c r="K3131" s="43"/>
      <c r="L3131" s="43">
        <v>0.24660000000000001</v>
      </c>
      <c r="O3131" s="50"/>
    </row>
    <row r="3132" spans="2:15" x14ac:dyDescent="0.2">
      <c r="B3132">
        <v>3117</v>
      </c>
      <c r="C3132" s="48">
        <f ca="1"/>
        <v>-0.61317892916410521</v>
      </c>
      <c r="D3132" s="48">
        <f t="shared" ca="1" si="184"/>
        <v>0.62552524445524116</v>
      </c>
      <c r="E3132" s="48">
        <f t="shared" ca="1" si="185"/>
        <v>0</v>
      </c>
      <c r="F3132" s="17">
        <f t="shared" ca="1" si="186"/>
        <v>0</v>
      </c>
      <c r="H3132" s="17">
        <v>3117</v>
      </c>
      <c r="I3132" s="43">
        <v>0.66836516686350167</v>
      </c>
      <c r="J3132" s="43">
        <v>1.8977962135151061E-2</v>
      </c>
      <c r="K3132" s="43"/>
      <c r="L3132" s="43">
        <v>0.2492</v>
      </c>
      <c r="O3132" s="50"/>
    </row>
    <row r="3133" spans="2:15" x14ac:dyDescent="0.2">
      <c r="B3133">
        <v>3118</v>
      </c>
      <c r="C3133" s="48">
        <f ca="1"/>
        <v>0.42423086176422559</v>
      </c>
      <c r="D3133" s="48">
        <f t="shared" ca="1" si="184"/>
        <v>0.69288725468922885</v>
      </c>
      <c r="E3133" s="48">
        <f t="shared" ca="1" si="185"/>
        <v>0</v>
      </c>
      <c r="F3133" s="17">
        <f t="shared" ca="1" si="186"/>
        <v>0</v>
      </c>
      <c r="H3133" s="17">
        <v>3118</v>
      </c>
      <c r="I3133" s="43">
        <v>0.67010657081084135</v>
      </c>
      <c r="J3133" s="43">
        <v>2.0578005625069392E-2</v>
      </c>
      <c r="K3133" s="43"/>
      <c r="L3133" s="43">
        <v>0.2576</v>
      </c>
      <c r="O3133" s="50"/>
    </row>
    <row r="3134" spans="2:15" x14ac:dyDescent="0.2">
      <c r="B3134">
        <v>3119</v>
      </c>
      <c r="C3134" s="48">
        <f ca="1"/>
        <v>-0.24700477235629503</v>
      </c>
      <c r="D3134" s="48">
        <f t="shared" ca="1" si="184"/>
        <v>0.64851936954609346</v>
      </c>
      <c r="E3134" s="48">
        <f t="shared" ca="1" si="185"/>
        <v>0</v>
      </c>
      <c r="F3134" s="17">
        <f t="shared" ca="1" si="186"/>
        <v>0</v>
      </c>
      <c r="H3134" s="17">
        <v>3119</v>
      </c>
      <c r="I3134" s="43">
        <v>0.66786133589261987</v>
      </c>
      <c r="J3134" s="43">
        <v>1.8602691490267054E-2</v>
      </c>
      <c r="K3134" s="43"/>
      <c r="L3134" s="43">
        <v>0.2422</v>
      </c>
      <c r="O3134" s="50"/>
    </row>
    <row r="3135" spans="2:15" x14ac:dyDescent="0.2">
      <c r="B3135">
        <v>3120</v>
      </c>
      <c r="C3135" s="48">
        <f ca="1"/>
        <v>-0.37202987750413208</v>
      </c>
      <c r="D3135" s="48">
        <f t="shared" ca="1" si="184"/>
        <v>0.64057484130885389</v>
      </c>
      <c r="E3135" s="48">
        <f t="shared" ca="1" si="185"/>
        <v>0</v>
      </c>
      <c r="F3135" s="17">
        <f t="shared" ca="1" si="186"/>
        <v>0</v>
      </c>
      <c r="H3135" s="17">
        <v>3120</v>
      </c>
      <c r="I3135" s="43">
        <v>0.6693345305111813</v>
      </c>
      <c r="J3135" s="43">
        <v>1.9516496070750695E-2</v>
      </c>
      <c r="K3135" s="43"/>
      <c r="L3135" s="43">
        <v>0.253</v>
      </c>
      <c r="O3135" s="50"/>
    </row>
    <row r="3136" spans="2:15" x14ac:dyDescent="0.2">
      <c r="B3136">
        <v>3121</v>
      </c>
      <c r="C3136" s="48">
        <f ca="1"/>
        <v>-1.5725322761047236</v>
      </c>
      <c r="D3136" s="48">
        <f t="shared" ca="1" si="184"/>
        <v>0.56907456365402631</v>
      </c>
      <c r="E3136" s="48">
        <f t="shared" ca="1" si="185"/>
        <v>0</v>
      </c>
      <c r="F3136" s="17">
        <f t="shared" ca="1" si="186"/>
        <v>0</v>
      </c>
      <c r="H3136" s="17">
        <v>3121</v>
      </c>
      <c r="I3136" s="43">
        <v>0.66850065210287912</v>
      </c>
      <c r="J3136" s="43">
        <v>1.9037563166936524E-2</v>
      </c>
      <c r="K3136" s="43"/>
      <c r="L3136" s="43">
        <v>0.25180000000000002</v>
      </c>
      <c r="O3136" s="50"/>
    </row>
    <row r="3137" spans="2:15" x14ac:dyDescent="0.2">
      <c r="B3137">
        <v>3122</v>
      </c>
      <c r="C3137" s="48">
        <f ca="1"/>
        <v>0.39155143028464195</v>
      </c>
      <c r="D3137" s="48">
        <f t="shared" ca="1" si="184"/>
        <v>0.69065851486905305</v>
      </c>
      <c r="E3137" s="48">
        <f t="shared" ca="1" si="185"/>
        <v>0</v>
      </c>
      <c r="F3137" s="17">
        <f t="shared" ca="1" si="186"/>
        <v>0</v>
      </c>
      <c r="H3137" s="17">
        <v>3122</v>
      </c>
      <c r="I3137" s="43">
        <v>0.66921199350596539</v>
      </c>
      <c r="J3137" s="43">
        <v>1.9501400996323751E-2</v>
      </c>
      <c r="K3137" s="43"/>
      <c r="L3137" s="43">
        <v>0.248</v>
      </c>
      <c r="O3137" s="50"/>
    </row>
    <row r="3138" spans="2:15" x14ac:dyDescent="0.2">
      <c r="B3138">
        <v>3123</v>
      </c>
      <c r="C3138" s="48">
        <f ca="1"/>
        <v>-1.6087717778231485</v>
      </c>
      <c r="D3138" s="48">
        <f t="shared" ca="1" si="184"/>
        <v>0.56704502406116986</v>
      </c>
      <c r="E3138" s="48">
        <f t="shared" ca="1" si="185"/>
        <v>0</v>
      </c>
      <c r="F3138" s="17">
        <f t="shared" ca="1" si="186"/>
        <v>0</v>
      </c>
      <c r="H3138" s="17">
        <v>3123</v>
      </c>
      <c r="I3138" s="43">
        <v>0.66906054496998901</v>
      </c>
      <c r="J3138" s="43">
        <v>1.9527754638702686E-2</v>
      </c>
      <c r="K3138" s="43"/>
      <c r="L3138" s="43">
        <v>0.25019999999999998</v>
      </c>
      <c r="O3138" s="50"/>
    </row>
    <row r="3139" spans="2:15" x14ac:dyDescent="0.2">
      <c r="B3139">
        <v>3124</v>
      </c>
      <c r="C3139" s="48">
        <f ca="1"/>
        <v>-0.77138050640799727</v>
      </c>
      <c r="D3139" s="48">
        <f t="shared" ca="1" si="184"/>
        <v>0.61584480676612519</v>
      </c>
      <c r="E3139" s="48">
        <f t="shared" ca="1" si="185"/>
        <v>0</v>
      </c>
      <c r="F3139" s="17">
        <f t="shared" ca="1" si="186"/>
        <v>0</v>
      </c>
      <c r="H3139" s="17">
        <v>3124</v>
      </c>
      <c r="I3139" s="43">
        <v>0.66964636822092438</v>
      </c>
      <c r="J3139" s="43">
        <v>1.9965359038852562E-2</v>
      </c>
      <c r="K3139" s="43"/>
      <c r="L3139" s="43">
        <v>0.25240000000000001</v>
      </c>
      <c r="O3139" s="50"/>
    </row>
    <row r="3140" spans="2:15" x14ac:dyDescent="0.2">
      <c r="B3140">
        <v>3125</v>
      </c>
      <c r="C3140" s="48">
        <f ca="1"/>
        <v>-0.31781970438505602</v>
      </c>
      <c r="D3140" s="48">
        <f t="shared" ca="1" si="184"/>
        <v>0.64400752226386071</v>
      </c>
      <c r="E3140" s="48">
        <f t="shared" ca="1" si="185"/>
        <v>0</v>
      </c>
      <c r="F3140" s="17">
        <f t="shared" ca="1" si="186"/>
        <v>0</v>
      </c>
      <c r="H3140" s="17">
        <v>3125</v>
      </c>
      <c r="I3140" s="43">
        <v>0.66929923586677265</v>
      </c>
      <c r="J3140" s="43">
        <v>1.9461505386306251E-2</v>
      </c>
      <c r="K3140" s="43"/>
      <c r="L3140" s="43">
        <v>0.251</v>
      </c>
      <c r="O3140" s="50"/>
    </row>
    <row r="3141" spans="2:15" x14ac:dyDescent="0.2">
      <c r="B3141">
        <v>3126</v>
      </c>
      <c r="C3141" s="48">
        <f ca="1"/>
        <v>-1.3472494872200893</v>
      </c>
      <c r="D3141" s="48">
        <f t="shared" ca="1" si="184"/>
        <v>0.58185514732869803</v>
      </c>
      <c r="E3141" s="48">
        <f t="shared" ca="1" si="185"/>
        <v>0</v>
      </c>
      <c r="F3141" s="17">
        <f t="shared" ca="1" si="186"/>
        <v>0</v>
      </c>
      <c r="H3141" s="17">
        <v>3126</v>
      </c>
      <c r="I3141" s="43">
        <v>0.66974527679813101</v>
      </c>
      <c r="J3141" s="43">
        <v>1.9719056896189371E-2</v>
      </c>
      <c r="K3141" s="43"/>
      <c r="L3141" s="43">
        <v>0.25359999999999999</v>
      </c>
      <c r="O3141" s="50"/>
    </row>
    <row r="3142" spans="2:15" x14ac:dyDescent="0.2">
      <c r="B3142">
        <v>3127</v>
      </c>
      <c r="C3142" s="48">
        <f ca="1"/>
        <v>0.27007737129399878</v>
      </c>
      <c r="D3142" s="48">
        <f t="shared" ca="1" si="184"/>
        <v>0.68243664282918981</v>
      </c>
      <c r="E3142" s="48">
        <f t="shared" ca="1" si="185"/>
        <v>0</v>
      </c>
      <c r="F3142" s="17">
        <f t="shared" ca="1" si="186"/>
        <v>0</v>
      </c>
      <c r="H3142" s="17">
        <v>3127</v>
      </c>
      <c r="I3142" s="43">
        <v>0.66865574532227934</v>
      </c>
      <c r="J3142" s="43">
        <v>1.9097007541420571E-2</v>
      </c>
      <c r="K3142" s="43"/>
      <c r="L3142" s="43">
        <v>0.2482</v>
      </c>
      <c r="O3142" s="50"/>
    </row>
    <row r="3143" spans="2:15" x14ac:dyDescent="0.2">
      <c r="B3143">
        <v>3128</v>
      </c>
      <c r="C3143" s="48">
        <f ca="1"/>
        <v>0.89856290415434703</v>
      </c>
      <c r="D3143" s="48">
        <f t="shared" ca="1" si="184"/>
        <v>0.72605842746266902</v>
      </c>
      <c r="E3143" s="48">
        <f t="shared" ca="1" si="185"/>
        <v>0</v>
      </c>
      <c r="F3143" s="17">
        <f t="shared" ca="1" si="186"/>
        <v>0</v>
      </c>
      <c r="H3143" s="17">
        <v>3128</v>
      </c>
      <c r="I3143" s="43">
        <v>0.66905020834751205</v>
      </c>
      <c r="J3143" s="43">
        <v>1.9624355401271262E-2</v>
      </c>
      <c r="K3143" s="43"/>
      <c r="L3143" s="43">
        <v>0.25640000000000002</v>
      </c>
      <c r="O3143" s="50"/>
    </row>
    <row r="3144" spans="2:15" x14ac:dyDescent="0.2">
      <c r="B3144">
        <v>3129</v>
      </c>
      <c r="C3144" s="48">
        <f ca="1"/>
        <v>-0.45740931712425648</v>
      </c>
      <c r="D3144" s="48">
        <f t="shared" ca="1" si="184"/>
        <v>0.63520553256197687</v>
      </c>
      <c r="E3144" s="48">
        <f t="shared" ca="1" si="185"/>
        <v>0</v>
      </c>
      <c r="F3144" s="17">
        <f t="shared" ca="1" si="186"/>
        <v>0</v>
      </c>
      <c r="H3144" s="17">
        <v>3129</v>
      </c>
      <c r="I3144" s="43">
        <v>0.66959484069592068</v>
      </c>
      <c r="J3144" s="43">
        <v>1.9621221781194593E-2</v>
      </c>
      <c r="K3144" s="43"/>
      <c r="L3144" s="43">
        <v>0.25419999999999998</v>
      </c>
      <c r="O3144" s="50"/>
    </row>
    <row r="3145" spans="2:15" x14ac:dyDescent="0.2">
      <c r="B3145">
        <v>3130</v>
      </c>
      <c r="C3145" s="48">
        <f ca="1"/>
        <v>4.4436781121837923E-2</v>
      </c>
      <c r="D3145" s="48">
        <f t="shared" ca="1" si="184"/>
        <v>0.66742321962158369</v>
      </c>
      <c r="E3145" s="48">
        <f t="shared" ca="1" si="185"/>
        <v>0</v>
      </c>
      <c r="F3145" s="17">
        <f t="shared" ca="1" si="186"/>
        <v>0</v>
      </c>
      <c r="H3145" s="17">
        <v>3130</v>
      </c>
      <c r="I3145" s="43">
        <v>0.66978672271839201</v>
      </c>
      <c r="J3145" s="43">
        <v>2.0055656774681758E-2</v>
      </c>
      <c r="K3145" s="43"/>
      <c r="L3145" s="43">
        <v>0.25359999999999999</v>
      </c>
      <c r="O3145" s="50"/>
    </row>
    <row r="3146" spans="2:15" x14ac:dyDescent="0.2">
      <c r="B3146">
        <v>3131</v>
      </c>
      <c r="C3146" s="48">
        <f ca="1"/>
        <v>-0.47977704775631969</v>
      </c>
      <c r="D3146" s="48">
        <f t="shared" ca="1" si="184"/>
        <v>0.63380633462434854</v>
      </c>
      <c r="E3146" s="48">
        <f t="shared" ca="1" si="185"/>
        <v>0</v>
      </c>
      <c r="F3146" s="17">
        <f t="shared" ca="1" si="186"/>
        <v>0</v>
      </c>
      <c r="H3146" s="17">
        <v>3131</v>
      </c>
      <c r="I3146" s="43">
        <v>0.67005567395355836</v>
      </c>
      <c r="J3146" s="43">
        <v>2.0372318550618808E-2</v>
      </c>
      <c r="K3146" s="43"/>
      <c r="L3146" s="43">
        <v>0.25819999999999999</v>
      </c>
      <c r="O3146" s="50"/>
    </row>
    <row r="3147" spans="2:15" x14ac:dyDescent="0.2">
      <c r="B3147">
        <v>3132</v>
      </c>
      <c r="C3147" s="48">
        <f ca="1"/>
        <v>-0.43008883666625081</v>
      </c>
      <c r="D3147" s="48">
        <f t="shared" ca="1" si="184"/>
        <v>0.63691873756213158</v>
      </c>
      <c r="E3147" s="48">
        <f t="shared" ca="1" si="185"/>
        <v>0</v>
      </c>
      <c r="F3147" s="17">
        <f t="shared" ca="1" si="186"/>
        <v>0</v>
      </c>
      <c r="H3147" s="17">
        <v>3132</v>
      </c>
      <c r="I3147" s="43">
        <v>0.66892249181643515</v>
      </c>
      <c r="J3147" s="43">
        <v>1.9259149677477196E-2</v>
      </c>
      <c r="K3147" s="43"/>
      <c r="L3147" s="43">
        <v>0.25040000000000001</v>
      </c>
      <c r="O3147" s="50"/>
    </row>
    <row r="3148" spans="2:15" x14ac:dyDescent="0.2">
      <c r="B3148">
        <v>3133</v>
      </c>
      <c r="C3148" s="48">
        <f ca="1"/>
        <v>-1.464584095124414</v>
      </c>
      <c r="D3148" s="48">
        <f t="shared" ca="1" si="184"/>
        <v>0.57516318865921656</v>
      </c>
      <c r="E3148" s="48">
        <f t="shared" ca="1" si="185"/>
        <v>0</v>
      </c>
      <c r="F3148" s="17">
        <f t="shared" ca="1" si="186"/>
        <v>0</v>
      </c>
      <c r="H3148" s="17">
        <v>3133</v>
      </c>
      <c r="I3148" s="43">
        <v>0.66955318991199753</v>
      </c>
      <c r="J3148" s="43">
        <v>2.0005182122455355E-2</v>
      </c>
      <c r="K3148" s="43"/>
      <c r="L3148" s="43">
        <v>0.25619999999999998</v>
      </c>
      <c r="O3148" s="50"/>
    </row>
    <row r="3149" spans="2:15" x14ac:dyDescent="0.2">
      <c r="B3149">
        <v>3134</v>
      </c>
      <c r="C3149" s="48">
        <f ca="1"/>
        <v>-0.61996224832384927</v>
      </c>
      <c r="D3149" s="48">
        <f t="shared" ca="1" si="184"/>
        <v>0.62510706412229844</v>
      </c>
      <c r="E3149" s="48">
        <f t="shared" ca="1" si="185"/>
        <v>0</v>
      </c>
      <c r="F3149" s="17">
        <f t="shared" ca="1" si="186"/>
        <v>0</v>
      </c>
      <c r="H3149" s="17">
        <v>3134</v>
      </c>
      <c r="I3149" s="43">
        <v>0.66871672520100867</v>
      </c>
      <c r="J3149" s="43">
        <v>1.9205027449310255E-2</v>
      </c>
      <c r="K3149" s="43"/>
      <c r="L3149" s="43">
        <v>0.25819999999999999</v>
      </c>
      <c r="O3149" s="50"/>
    </row>
    <row r="3150" spans="2:15" x14ac:dyDescent="0.2">
      <c r="B3150">
        <v>3135</v>
      </c>
      <c r="C3150" s="48">
        <f ca="1"/>
        <v>-0.35959788884925903</v>
      </c>
      <c r="D3150" s="48">
        <f t="shared" ca="1" si="184"/>
        <v>0.64136043570075674</v>
      </c>
      <c r="E3150" s="48">
        <f t="shared" ca="1" si="185"/>
        <v>0</v>
      </c>
      <c r="F3150" s="17">
        <f t="shared" ca="1" si="186"/>
        <v>0</v>
      </c>
      <c r="H3150" s="17">
        <v>3135</v>
      </c>
      <c r="I3150" s="43">
        <v>0.6691286315659607</v>
      </c>
      <c r="J3150" s="43">
        <v>1.9592415175016004E-2</v>
      </c>
      <c r="K3150" s="43"/>
      <c r="L3150" s="43">
        <v>0.25019999999999998</v>
      </c>
      <c r="O3150" s="50"/>
    </row>
    <row r="3151" spans="2:15" x14ac:dyDescent="0.2">
      <c r="B3151">
        <v>3136</v>
      </c>
      <c r="C3151" s="48">
        <f ca="1"/>
        <v>0.44006900474664157</v>
      </c>
      <c r="D3151" s="48">
        <f t="shared" ca="1" si="184"/>
        <v>0.69397000336114278</v>
      </c>
      <c r="E3151" s="48">
        <f t="shared" ca="1" si="185"/>
        <v>0</v>
      </c>
      <c r="F3151" s="17">
        <f t="shared" ca="1" si="186"/>
        <v>0</v>
      </c>
      <c r="H3151" s="17">
        <v>3136</v>
      </c>
      <c r="I3151" s="43">
        <v>0.67023662322561117</v>
      </c>
      <c r="J3151" s="43">
        <v>2.0388477627866532E-2</v>
      </c>
      <c r="K3151" s="43"/>
      <c r="L3151" s="43">
        <v>0.25619999999999998</v>
      </c>
      <c r="O3151" s="50"/>
    </row>
    <row r="3152" spans="2:15" x14ac:dyDescent="0.2">
      <c r="B3152">
        <v>3137</v>
      </c>
      <c r="C3152" s="48">
        <f ca="1"/>
        <v>-0.24926615147242742</v>
      </c>
      <c r="D3152" s="48">
        <f t="shared" ref="D3152:D3215" ca="1" si="187">S0*EXP((μ-0.5*σ*σ)*T+σ*SQRT(T)*$C3152)</f>
        <v>0.64837480238963441</v>
      </c>
      <c r="E3152" s="48">
        <f t="shared" ref="E3152:E3215" ca="1" si="188">MAX(0,CP*(D3152-K))</f>
        <v>0</v>
      </c>
      <c r="F3152" s="17">
        <f t="shared" ref="F3152:F3215" ca="1" si="189">(CP*(D3152-K)&gt;0)*1</f>
        <v>0</v>
      </c>
      <c r="H3152" s="17">
        <v>3137</v>
      </c>
      <c r="I3152" s="43">
        <v>0.66869806979714908</v>
      </c>
      <c r="J3152" s="43">
        <v>1.9007547472039751E-2</v>
      </c>
      <c r="K3152" s="43"/>
      <c r="L3152" s="43">
        <v>0.2384</v>
      </c>
      <c r="O3152" s="50"/>
    </row>
    <row r="3153" spans="2:15" x14ac:dyDescent="0.2">
      <c r="B3153">
        <v>3138</v>
      </c>
      <c r="C3153" s="48">
        <f ca="1"/>
        <v>0.37094066863426883</v>
      </c>
      <c r="D3153" s="48">
        <f t="shared" ca="1" si="187"/>
        <v>0.68925654728669994</v>
      </c>
      <c r="E3153" s="48">
        <f t="shared" ca="1" si="188"/>
        <v>0</v>
      </c>
      <c r="F3153" s="17">
        <f t="shared" ca="1" si="189"/>
        <v>0</v>
      </c>
      <c r="H3153" s="17">
        <v>3138</v>
      </c>
      <c r="I3153" s="43">
        <v>0.67066839192102456</v>
      </c>
      <c r="J3153" s="43">
        <v>2.0849789474650122E-2</v>
      </c>
      <c r="K3153" s="43"/>
      <c r="L3153" s="43">
        <v>0.2596</v>
      </c>
      <c r="O3153" s="50"/>
    </row>
    <row r="3154" spans="2:15" x14ac:dyDescent="0.2">
      <c r="B3154">
        <v>3139</v>
      </c>
      <c r="C3154" s="48">
        <f ca="1"/>
        <v>-0.41237325850774864</v>
      </c>
      <c r="D3154" s="48">
        <f t="shared" ca="1" si="187"/>
        <v>0.63803210979710523</v>
      </c>
      <c r="E3154" s="48">
        <f t="shared" ca="1" si="188"/>
        <v>0</v>
      </c>
      <c r="F3154" s="17">
        <f t="shared" ca="1" si="189"/>
        <v>0</v>
      </c>
      <c r="H3154" s="17">
        <v>3139</v>
      </c>
      <c r="I3154" s="43">
        <v>0.66930728781927074</v>
      </c>
      <c r="J3154" s="43">
        <v>1.9743687091261834E-2</v>
      </c>
      <c r="K3154" s="43"/>
      <c r="L3154" s="43">
        <v>0.252</v>
      </c>
      <c r="O3154" s="50"/>
    </row>
    <row r="3155" spans="2:15" x14ac:dyDescent="0.2">
      <c r="B3155">
        <v>3140</v>
      </c>
      <c r="C3155" s="48">
        <f ca="1"/>
        <v>0.74138200316610559</v>
      </c>
      <c r="D3155" s="48">
        <f t="shared" ca="1" si="187"/>
        <v>0.71489410216519522</v>
      </c>
      <c r="E3155" s="48">
        <f t="shared" ca="1" si="188"/>
        <v>0</v>
      </c>
      <c r="F3155" s="17">
        <f t="shared" ca="1" si="189"/>
        <v>0</v>
      </c>
      <c r="H3155" s="17">
        <v>3140</v>
      </c>
      <c r="I3155" s="43">
        <v>0.66872320667688934</v>
      </c>
      <c r="J3155" s="43">
        <v>1.9208618889307805E-2</v>
      </c>
      <c r="K3155" s="43"/>
      <c r="L3155" s="43">
        <v>0.24959999999999999</v>
      </c>
      <c r="O3155" s="50"/>
    </row>
    <row r="3156" spans="2:15" x14ac:dyDescent="0.2">
      <c r="B3156">
        <v>3141</v>
      </c>
      <c r="C3156" s="48">
        <f ca="1"/>
        <v>-1.4249461170769897</v>
      </c>
      <c r="D3156" s="48">
        <f t="shared" ca="1" si="187"/>
        <v>0.57741521332104551</v>
      </c>
      <c r="E3156" s="48">
        <f t="shared" ca="1" si="188"/>
        <v>0</v>
      </c>
      <c r="F3156" s="17">
        <f t="shared" ca="1" si="189"/>
        <v>0</v>
      </c>
      <c r="H3156" s="17">
        <v>3141</v>
      </c>
      <c r="I3156" s="43">
        <v>0.66892332066882287</v>
      </c>
      <c r="J3156" s="43">
        <v>1.9406632212416598E-2</v>
      </c>
      <c r="K3156" s="43"/>
      <c r="L3156" s="43">
        <v>0.24959999999999999</v>
      </c>
      <c r="O3156" s="50"/>
    </row>
    <row r="3157" spans="2:15" x14ac:dyDescent="0.2">
      <c r="B3157">
        <v>3142</v>
      </c>
      <c r="C3157" s="48">
        <f ca="1"/>
        <v>0.70212606009965006</v>
      </c>
      <c r="D3157" s="48">
        <f t="shared" ca="1" si="187"/>
        <v>0.71213270592145506</v>
      </c>
      <c r="E3157" s="48">
        <f t="shared" ca="1" si="188"/>
        <v>0</v>
      </c>
      <c r="F3157" s="17">
        <f t="shared" ca="1" si="189"/>
        <v>0</v>
      </c>
      <c r="H3157" s="17">
        <v>3142</v>
      </c>
      <c r="I3157" s="43">
        <v>0.67083021984528046</v>
      </c>
      <c r="J3157" s="43">
        <v>2.0859433080671719E-2</v>
      </c>
      <c r="K3157" s="43"/>
      <c r="L3157" s="43">
        <v>0.26200000000000001</v>
      </c>
      <c r="O3157" s="50"/>
    </row>
    <row r="3158" spans="2:15" x14ac:dyDescent="0.2">
      <c r="B3158">
        <v>3143</v>
      </c>
      <c r="C3158" s="48">
        <f ca="1"/>
        <v>-1.6620891002849865</v>
      </c>
      <c r="D3158" s="48">
        <f t="shared" ca="1" si="187"/>
        <v>0.56407221730918355</v>
      </c>
      <c r="E3158" s="48">
        <f t="shared" ca="1" si="188"/>
        <v>0</v>
      </c>
      <c r="F3158" s="17">
        <f t="shared" ca="1" si="189"/>
        <v>0</v>
      </c>
      <c r="H3158" s="17">
        <v>3143</v>
      </c>
      <c r="I3158" s="43">
        <v>0.66803771175622095</v>
      </c>
      <c r="J3158" s="43">
        <v>1.8667739364023387E-2</v>
      </c>
      <c r="K3158" s="43"/>
      <c r="L3158" s="43">
        <v>0.2462</v>
      </c>
      <c r="O3158" s="50"/>
    </row>
    <row r="3159" spans="2:15" x14ac:dyDescent="0.2">
      <c r="B3159">
        <v>3144</v>
      </c>
      <c r="C3159" s="48">
        <f ca="1"/>
        <v>-0.39813684191253962</v>
      </c>
      <c r="D3159" s="48">
        <f t="shared" ca="1" si="187"/>
        <v>0.63892823719023073</v>
      </c>
      <c r="E3159" s="48">
        <f t="shared" ca="1" si="188"/>
        <v>0</v>
      </c>
      <c r="F3159" s="17">
        <f t="shared" ca="1" si="189"/>
        <v>0</v>
      </c>
      <c r="H3159" s="17">
        <v>3144</v>
      </c>
      <c r="I3159" s="43">
        <v>0.66897034640941</v>
      </c>
      <c r="J3159" s="43">
        <v>1.9499435757302418E-2</v>
      </c>
      <c r="K3159" s="43"/>
      <c r="L3159" s="43">
        <v>0.247</v>
      </c>
      <c r="O3159" s="50"/>
    </row>
    <row r="3160" spans="2:15" x14ac:dyDescent="0.2">
      <c r="B3160">
        <v>3145</v>
      </c>
      <c r="C3160" s="48">
        <f ca="1"/>
        <v>-1.8565281810416678</v>
      </c>
      <c r="D3160" s="48">
        <f t="shared" ca="1" si="187"/>
        <v>0.55336235006524748</v>
      </c>
      <c r="E3160" s="48">
        <f t="shared" ca="1" si="188"/>
        <v>0</v>
      </c>
      <c r="F3160" s="17">
        <f t="shared" ca="1" si="189"/>
        <v>0</v>
      </c>
      <c r="H3160" s="17">
        <v>3145</v>
      </c>
      <c r="I3160" s="43">
        <v>0.66952383557718176</v>
      </c>
      <c r="J3160" s="43">
        <v>1.9743418169758897E-2</v>
      </c>
      <c r="K3160" s="43"/>
      <c r="L3160" s="43">
        <v>0.25440000000000002</v>
      </c>
      <c r="O3160" s="50"/>
    </row>
    <row r="3161" spans="2:15" x14ac:dyDescent="0.2">
      <c r="B3161">
        <v>3146</v>
      </c>
      <c r="C3161" s="48">
        <f ca="1"/>
        <v>-0.93368780703540077</v>
      </c>
      <c r="D3161" s="48">
        <f t="shared" ca="1" si="187"/>
        <v>0.6060688107008434</v>
      </c>
      <c r="E3161" s="48">
        <f t="shared" ca="1" si="188"/>
        <v>0</v>
      </c>
      <c r="F3161" s="17">
        <f t="shared" ca="1" si="189"/>
        <v>0</v>
      </c>
      <c r="H3161" s="17">
        <v>3146</v>
      </c>
      <c r="I3161" s="43">
        <v>0.66974412940935535</v>
      </c>
      <c r="J3161" s="43">
        <v>1.9855232865268795E-2</v>
      </c>
      <c r="K3161" s="43"/>
      <c r="L3161" s="43">
        <v>0.25280000000000002</v>
      </c>
      <c r="O3161" s="50"/>
    </row>
    <row r="3162" spans="2:15" x14ac:dyDescent="0.2">
      <c r="B3162">
        <v>3147</v>
      </c>
      <c r="C3162" s="48">
        <f ca="1"/>
        <v>-4.2572639976572804E-2</v>
      </c>
      <c r="D3162" s="48">
        <f t="shared" ca="1" si="187"/>
        <v>0.66172252278945853</v>
      </c>
      <c r="E3162" s="48">
        <f t="shared" ca="1" si="188"/>
        <v>0</v>
      </c>
      <c r="F3162" s="17">
        <f t="shared" ca="1" si="189"/>
        <v>0</v>
      </c>
      <c r="H3162" s="17">
        <v>3147</v>
      </c>
      <c r="I3162" s="43">
        <v>0.67007346113549049</v>
      </c>
      <c r="J3162" s="43">
        <v>2.0419023442376543E-2</v>
      </c>
      <c r="K3162" s="43"/>
      <c r="L3162" s="43">
        <v>0.25879999999999997</v>
      </c>
      <c r="O3162" s="50"/>
    </row>
    <row r="3163" spans="2:15" x14ac:dyDescent="0.2">
      <c r="B3163">
        <v>3148</v>
      </c>
      <c r="C3163" s="48">
        <f ca="1"/>
        <v>-0.14960963644752959</v>
      </c>
      <c r="D3163" s="48">
        <f t="shared" ca="1" si="187"/>
        <v>0.65477640539880311</v>
      </c>
      <c r="E3163" s="48">
        <f t="shared" ca="1" si="188"/>
        <v>0</v>
      </c>
      <c r="F3163" s="17">
        <f t="shared" ca="1" si="189"/>
        <v>0</v>
      </c>
      <c r="H3163" s="17">
        <v>3148</v>
      </c>
      <c r="I3163" s="43">
        <v>0.66883555041926368</v>
      </c>
      <c r="J3163" s="43">
        <v>1.9196321435721062E-2</v>
      </c>
      <c r="K3163" s="43"/>
      <c r="L3163" s="43">
        <v>0.249</v>
      </c>
      <c r="O3163" s="50"/>
    </row>
    <row r="3164" spans="2:15" x14ac:dyDescent="0.2">
      <c r="B3164">
        <v>3149</v>
      </c>
      <c r="C3164" s="48">
        <f ca="1"/>
        <v>0.27331725541715812</v>
      </c>
      <c r="D3164" s="48">
        <f t="shared" ca="1" si="187"/>
        <v>0.68265465608327902</v>
      </c>
      <c r="E3164" s="48">
        <f t="shared" ca="1" si="188"/>
        <v>0</v>
      </c>
      <c r="F3164" s="17">
        <f t="shared" ca="1" si="189"/>
        <v>0</v>
      </c>
      <c r="H3164" s="17">
        <v>3149</v>
      </c>
      <c r="I3164" s="43">
        <v>0.66848693147520122</v>
      </c>
      <c r="J3164" s="43">
        <v>1.903754587896651E-2</v>
      </c>
      <c r="K3164" s="43"/>
      <c r="L3164" s="43">
        <v>0.24679999999999999</v>
      </c>
      <c r="O3164" s="50"/>
    </row>
    <row r="3165" spans="2:15" x14ac:dyDescent="0.2">
      <c r="B3165">
        <v>3150</v>
      </c>
      <c r="C3165" s="48">
        <f ca="1"/>
        <v>-1.7371783681257269</v>
      </c>
      <c r="D3165" s="48">
        <f t="shared" ca="1" si="187"/>
        <v>0.55991188730672758</v>
      </c>
      <c r="E3165" s="48">
        <f t="shared" ca="1" si="188"/>
        <v>0</v>
      </c>
      <c r="F3165" s="17">
        <f t="shared" ca="1" si="189"/>
        <v>0</v>
      </c>
      <c r="H3165" s="17">
        <v>3150</v>
      </c>
      <c r="I3165" s="43">
        <v>0.66916695854215924</v>
      </c>
      <c r="J3165" s="43">
        <v>1.9517028663982767E-2</v>
      </c>
      <c r="K3165" s="43"/>
      <c r="L3165" s="43">
        <v>0.25180000000000002</v>
      </c>
      <c r="O3165" s="50"/>
    </row>
    <row r="3166" spans="2:15" x14ac:dyDescent="0.2">
      <c r="B3166">
        <v>3151</v>
      </c>
      <c r="C3166" s="48">
        <f ca="1"/>
        <v>-1.0809966874829222</v>
      </c>
      <c r="D3166" s="48">
        <f t="shared" ca="1" si="187"/>
        <v>0.59733059395321153</v>
      </c>
      <c r="E3166" s="48">
        <f t="shared" ca="1" si="188"/>
        <v>0</v>
      </c>
      <c r="F3166" s="17">
        <f t="shared" ca="1" si="189"/>
        <v>0</v>
      </c>
      <c r="H3166" s="17">
        <v>3151</v>
      </c>
      <c r="I3166" s="43">
        <v>0.66948379922286216</v>
      </c>
      <c r="J3166" s="43">
        <v>1.9724598688052864E-2</v>
      </c>
      <c r="K3166" s="43"/>
      <c r="L3166" s="43">
        <v>0.25359999999999999</v>
      </c>
      <c r="O3166" s="50"/>
    </row>
    <row r="3167" spans="2:15" x14ac:dyDescent="0.2">
      <c r="B3167">
        <v>3152</v>
      </c>
      <c r="C3167" s="48">
        <f ca="1"/>
        <v>1.2780183668326304</v>
      </c>
      <c r="D3167" s="48">
        <f t="shared" ca="1" si="187"/>
        <v>0.75373439458898828</v>
      </c>
      <c r="E3167" s="48">
        <f t="shared" ca="1" si="188"/>
        <v>0</v>
      </c>
      <c r="F3167" s="17">
        <f t="shared" ca="1" si="189"/>
        <v>0</v>
      </c>
      <c r="H3167" s="17">
        <v>3152</v>
      </c>
      <c r="I3167" s="43">
        <v>0.66846732263083486</v>
      </c>
      <c r="J3167" s="43">
        <v>1.8821367915523347E-2</v>
      </c>
      <c r="K3167" s="43"/>
      <c r="L3167" s="43">
        <v>0.2472</v>
      </c>
      <c r="O3167" s="50"/>
    </row>
    <row r="3168" spans="2:15" x14ac:dyDescent="0.2">
      <c r="B3168">
        <v>3153</v>
      </c>
      <c r="C3168" s="48">
        <f ca="1"/>
        <v>0.85103380281591112</v>
      </c>
      <c r="D3168" s="48">
        <f t="shared" ca="1" si="187"/>
        <v>0.72266424028398057</v>
      </c>
      <c r="E3168" s="48">
        <f t="shared" ca="1" si="188"/>
        <v>0</v>
      </c>
      <c r="F3168" s="17">
        <f t="shared" ca="1" si="189"/>
        <v>0</v>
      </c>
      <c r="H3168" s="17">
        <v>3153</v>
      </c>
      <c r="I3168" s="43">
        <v>0.66848953185380833</v>
      </c>
      <c r="J3168" s="43">
        <v>1.9311062481035132E-2</v>
      </c>
      <c r="K3168" s="43"/>
      <c r="L3168" s="43">
        <v>0.25059999999999999</v>
      </c>
      <c r="O3168" s="50"/>
    </row>
    <row r="3169" spans="2:15" x14ac:dyDescent="0.2">
      <c r="B3169">
        <v>3154</v>
      </c>
      <c r="C3169" s="48">
        <f ca="1"/>
        <v>0.60668332911299516</v>
      </c>
      <c r="D3169" s="48">
        <f t="shared" ca="1" si="187"/>
        <v>0.70546335031125251</v>
      </c>
      <c r="E3169" s="48">
        <f t="shared" ca="1" si="188"/>
        <v>0</v>
      </c>
      <c r="F3169" s="17">
        <f t="shared" ca="1" si="189"/>
        <v>0</v>
      </c>
      <c r="H3169" s="17">
        <v>3154</v>
      </c>
      <c r="I3169" s="43">
        <v>0.66812760855575415</v>
      </c>
      <c r="J3169" s="43">
        <v>1.872515194772351E-2</v>
      </c>
      <c r="K3169" s="43"/>
      <c r="L3169" s="43">
        <v>0.25219999999999998</v>
      </c>
      <c r="O3169" s="50"/>
    </row>
    <row r="3170" spans="2:15" x14ac:dyDescent="0.2">
      <c r="B3170">
        <v>3155</v>
      </c>
      <c r="C3170" s="48">
        <f ca="1"/>
        <v>0.30270765627057483</v>
      </c>
      <c r="D3170" s="48">
        <f t="shared" ca="1" si="187"/>
        <v>0.68463553362508955</v>
      </c>
      <c r="E3170" s="48">
        <f t="shared" ca="1" si="188"/>
        <v>0</v>
      </c>
      <c r="F3170" s="17">
        <f t="shared" ca="1" si="189"/>
        <v>0</v>
      </c>
      <c r="H3170" s="17">
        <v>3155</v>
      </c>
      <c r="I3170" s="43">
        <v>0.67073980855925186</v>
      </c>
      <c r="J3170" s="43">
        <v>2.0609274551478523E-2</v>
      </c>
      <c r="K3170" s="43"/>
      <c r="L3170" s="43">
        <v>0.25900000000000001</v>
      </c>
      <c r="O3170" s="50"/>
    </row>
    <row r="3171" spans="2:15" x14ac:dyDescent="0.2">
      <c r="B3171">
        <v>3156</v>
      </c>
      <c r="C3171" s="48">
        <f ca="1"/>
        <v>-1.7644181802029357</v>
      </c>
      <c r="D3171" s="48">
        <f t="shared" ca="1" si="187"/>
        <v>0.55841025882753625</v>
      </c>
      <c r="E3171" s="48">
        <f t="shared" ca="1" si="188"/>
        <v>0</v>
      </c>
      <c r="F3171" s="17">
        <f t="shared" ca="1" si="189"/>
        <v>0</v>
      </c>
      <c r="H3171" s="17">
        <v>3156</v>
      </c>
      <c r="I3171" s="43">
        <v>0.66860319918690425</v>
      </c>
      <c r="J3171" s="43">
        <v>1.9180471623389376E-2</v>
      </c>
      <c r="K3171" s="43"/>
      <c r="L3171" s="43">
        <v>0.24979999999999999</v>
      </c>
      <c r="O3171" s="50"/>
    </row>
    <row r="3172" spans="2:15" x14ac:dyDescent="0.2">
      <c r="B3172">
        <v>3157</v>
      </c>
      <c r="C3172" s="48">
        <f ca="1"/>
        <v>1.6131174759411036</v>
      </c>
      <c r="D3172" s="48">
        <f t="shared" ca="1" si="187"/>
        <v>0.77905108190458439</v>
      </c>
      <c r="E3172" s="48">
        <f t="shared" ca="1" si="188"/>
        <v>0</v>
      </c>
      <c r="F3172" s="17">
        <f t="shared" ca="1" si="189"/>
        <v>0</v>
      </c>
      <c r="H3172" s="17">
        <v>3157</v>
      </c>
      <c r="I3172" s="43">
        <v>0.66895790155444068</v>
      </c>
      <c r="J3172" s="43">
        <v>1.9290441790173078E-2</v>
      </c>
      <c r="K3172" s="43"/>
      <c r="L3172" s="43">
        <v>0.252</v>
      </c>
      <c r="O3172" s="50"/>
    </row>
    <row r="3173" spans="2:15" x14ac:dyDescent="0.2">
      <c r="B3173">
        <v>3158</v>
      </c>
      <c r="C3173" s="48">
        <f ca="1"/>
        <v>0.36815228603985789</v>
      </c>
      <c r="D3173" s="48">
        <f t="shared" ca="1" si="187"/>
        <v>0.68906709698922497</v>
      </c>
      <c r="E3173" s="48">
        <f t="shared" ca="1" si="188"/>
        <v>0</v>
      </c>
      <c r="F3173" s="17">
        <f t="shared" ca="1" si="189"/>
        <v>0</v>
      </c>
      <c r="H3173" s="17">
        <v>3158</v>
      </c>
      <c r="I3173" s="43">
        <v>0.66941424017086515</v>
      </c>
      <c r="J3173" s="43">
        <v>1.9676667086315699E-2</v>
      </c>
      <c r="K3173" s="43"/>
      <c r="L3173" s="43">
        <v>0.25180000000000002</v>
      </c>
      <c r="O3173" s="50"/>
    </row>
    <row r="3174" spans="2:15" x14ac:dyDescent="0.2">
      <c r="B3174">
        <v>3159</v>
      </c>
      <c r="C3174" s="48">
        <f ca="1"/>
        <v>-1.6454917390339325</v>
      </c>
      <c r="D3174" s="48">
        <f t="shared" ca="1" si="187"/>
        <v>0.56499595963117333</v>
      </c>
      <c r="E3174" s="48">
        <f t="shared" ca="1" si="188"/>
        <v>0</v>
      </c>
      <c r="F3174" s="17">
        <f t="shared" ca="1" si="189"/>
        <v>0</v>
      </c>
      <c r="H3174" s="17">
        <v>3159</v>
      </c>
      <c r="I3174" s="43">
        <v>0.66981958972067901</v>
      </c>
      <c r="J3174" s="43">
        <v>1.9979779419583812E-2</v>
      </c>
      <c r="K3174" s="43"/>
      <c r="L3174" s="43">
        <v>0.25640000000000002</v>
      </c>
      <c r="O3174" s="50"/>
    </row>
    <row r="3175" spans="2:15" x14ac:dyDescent="0.2">
      <c r="B3175">
        <v>3160</v>
      </c>
      <c r="C3175" s="48">
        <f ca="1"/>
        <v>-0.12842738654767061</v>
      </c>
      <c r="D3175" s="48">
        <f t="shared" ca="1" si="187"/>
        <v>0.65614520660037612</v>
      </c>
      <c r="E3175" s="48">
        <f t="shared" ca="1" si="188"/>
        <v>0</v>
      </c>
      <c r="F3175" s="17">
        <f t="shared" ca="1" si="189"/>
        <v>0</v>
      </c>
      <c r="H3175" s="17">
        <v>3160</v>
      </c>
      <c r="I3175" s="43">
        <v>0.66797694555478671</v>
      </c>
      <c r="J3175" s="43">
        <v>1.8739912416683224E-2</v>
      </c>
      <c r="K3175" s="43"/>
      <c r="L3175" s="43">
        <v>0.24740000000000001</v>
      </c>
      <c r="O3175" s="50"/>
    </row>
    <row r="3176" spans="2:15" x14ac:dyDescent="0.2">
      <c r="B3176">
        <v>3161</v>
      </c>
      <c r="C3176" s="48">
        <f ca="1"/>
        <v>-0.50048235647788386</v>
      </c>
      <c r="D3176" s="48">
        <f t="shared" ca="1" si="187"/>
        <v>0.63251387548308613</v>
      </c>
      <c r="E3176" s="48">
        <f t="shared" ca="1" si="188"/>
        <v>0</v>
      </c>
      <c r="F3176" s="17">
        <f t="shared" ca="1" si="189"/>
        <v>0</v>
      </c>
      <c r="H3176" s="17">
        <v>3161</v>
      </c>
      <c r="I3176" s="43">
        <v>0.6682936220995831</v>
      </c>
      <c r="J3176" s="43">
        <v>1.8708586717995447E-2</v>
      </c>
      <c r="K3176" s="43"/>
      <c r="L3176" s="43">
        <v>0.2432</v>
      </c>
      <c r="O3176" s="50"/>
    </row>
    <row r="3177" spans="2:15" x14ac:dyDescent="0.2">
      <c r="B3177">
        <v>3162</v>
      </c>
      <c r="C3177" s="48">
        <f ca="1"/>
        <v>1.1229000623518339</v>
      </c>
      <c r="D3177" s="48">
        <f t="shared" ca="1" si="187"/>
        <v>0.74229543402118292</v>
      </c>
      <c r="E3177" s="48">
        <f t="shared" ca="1" si="188"/>
        <v>0</v>
      </c>
      <c r="F3177" s="17">
        <f t="shared" ca="1" si="189"/>
        <v>0</v>
      </c>
      <c r="H3177" s="17">
        <v>3162</v>
      </c>
      <c r="I3177" s="43">
        <v>0.66871928915909418</v>
      </c>
      <c r="J3177" s="43">
        <v>1.9131852876328643E-2</v>
      </c>
      <c r="K3177" s="43"/>
      <c r="L3177" s="43">
        <v>0.24679999999999999</v>
      </c>
      <c r="O3177" s="50"/>
    </row>
    <row r="3178" spans="2:15" x14ac:dyDescent="0.2">
      <c r="B3178">
        <v>3163</v>
      </c>
      <c r="C3178" s="48">
        <f ca="1"/>
        <v>0.1118744112422794</v>
      </c>
      <c r="D3178" s="48">
        <f t="shared" ca="1" si="187"/>
        <v>0.67187537012070642</v>
      </c>
      <c r="E3178" s="48">
        <f t="shared" ca="1" si="188"/>
        <v>0</v>
      </c>
      <c r="F3178" s="17">
        <f t="shared" ca="1" si="189"/>
        <v>0</v>
      </c>
      <c r="H3178" s="17">
        <v>3163</v>
      </c>
      <c r="I3178" s="43">
        <v>0.66864471684711768</v>
      </c>
      <c r="J3178" s="43">
        <v>1.9146144963648772E-2</v>
      </c>
      <c r="K3178" s="43"/>
      <c r="L3178" s="43">
        <v>0.25140000000000001</v>
      </c>
      <c r="O3178" s="50"/>
    </row>
    <row r="3179" spans="2:15" x14ac:dyDescent="0.2">
      <c r="B3179">
        <v>3164</v>
      </c>
      <c r="C3179" s="48">
        <f ca="1"/>
        <v>1.04367000790871</v>
      </c>
      <c r="D3179" s="48">
        <f t="shared" ca="1" si="187"/>
        <v>0.7365198831784604</v>
      </c>
      <c r="E3179" s="48">
        <f t="shared" ca="1" si="188"/>
        <v>0</v>
      </c>
      <c r="F3179" s="17">
        <f t="shared" ca="1" si="189"/>
        <v>0</v>
      </c>
      <c r="H3179" s="17">
        <v>3164</v>
      </c>
      <c r="I3179" s="43">
        <v>0.66946173509729212</v>
      </c>
      <c r="J3179" s="43">
        <v>1.9743861466184877E-2</v>
      </c>
      <c r="K3179" s="43"/>
      <c r="L3179" s="43">
        <v>0.25779999999999997</v>
      </c>
      <c r="O3179" s="50"/>
    </row>
    <row r="3180" spans="2:15" x14ac:dyDescent="0.2">
      <c r="B3180">
        <v>3165</v>
      </c>
      <c r="C3180" s="48">
        <f ca="1"/>
        <v>-2.1680523513192158</v>
      </c>
      <c r="D3180" s="48">
        <f t="shared" ca="1" si="187"/>
        <v>0.53662560366501899</v>
      </c>
      <c r="E3180" s="48">
        <f t="shared" ca="1" si="188"/>
        <v>0</v>
      </c>
      <c r="F3180" s="17">
        <f t="shared" ca="1" si="189"/>
        <v>0</v>
      </c>
      <c r="H3180" s="17">
        <v>3165</v>
      </c>
      <c r="I3180" s="43">
        <v>0.66803863702210975</v>
      </c>
      <c r="J3180" s="43">
        <v>1.8825725691194221E-2</v>
      </c>
      <c r="K3180" s="43"/>
      <c r="L3180" s="43">
        <v>0.24859999999999999</v>
      </c>
      <c r="O3180" s="50"/>
    </row>
    <row r="3181" spans="2:15" x14ac:dyDescent="0.2">
      <c r="B3181">
        <v>3166</v>
      </c>
      <c r="C3181" s="48">
        <f ca="1"/>
        <v>-1.8326236458125849</v>
      </c>
      <c r="D3181" s="48">
        <f t="shared" ca="1" si="187"/>
        <v>0.55466799016674451</v>
      </c>
      <c r="E3181" s="48">
        <f t="shared" ca="1" si="188"/>
        <v>0</v>
      </c>
      <c r="F3181" s="17">
        <f t="shared" ca="1" si="189"/>
        <v>0</v>
      </c>
      <c r="H3181" s="17">
        <v>3166</v>
      </c>
      <c r="I3181" s="43">
        <v>0.6693120892358706</v>
      </c>
      <c r="J3181" s="43">
        <v>1.9504984435109462E-2</v>
      </c>
      <c r="K3181" s="43"/>
      <c r="L3181" s="43">
        <v>0.251</v>
      </c>
      <c r="O3181" s="50"/>
    </row>
    <row r="3182" spans="2:15" x14ac:dyDescent="0.2">
      <c r="B3182">
        <v>3167</v>
      </c>
      <c r="C3182" s="48">
        <f ca="1"/>
        <v>1.7365541945683833</v>
      </c>
      <c r="D3182" s="48">
        <f t="shared" ca="1" si="187"/>
        <v>0.78858951936295207</v>
      </c>
      <c r="E3182" s="48">
        <f t="shared" ca="1" si="188"/>
        <v>3.8951936295206213E-4</v>
      </c>
      <c r="F3182" s="17">
        <f t="shared" ca="1" si="189"/>
        <v>1</v>
      </c>
      <c r="H3182" s="17">
        <v>3167</v>
      </c>
      <c r="I3182" s="43">
        <v>0.66797826043437669</v>
      </c>
      <c r="J3182" s="43">
        <v>1.846986276891394E-2</v>
      </c>
      <c r="K3182" s="43"/>
      <c r="L3182" s="43">
        <v>0.2424</v>
      </c>
      <c r="O3182" s="50"/>
    </row>
    <row r="3183" spans="2:15" x14ac:dyDescent="0.2">
      <c r="B3183">
        <v>3168</v>
      </c>
      <c r="C3183" s="48">
        <f ca="1"/>
        <v>-0.46739253409550607</v>
      </c>
      <c r="D3183" s="48">
        <f t="shared" ca="1" si="187"/>
        <v>0.63458065806596786</v>
      </c>
      <c r="E3183" s="48">
        <f t="shared" ca="1" si="188"/>
        <v>0</v>
      </c>
      <c r="F3183" s="17">
        <f t="shared" ca="1" si="189"/>
        <v>0</v>
      </c>
      <c r="H3183" s="17">
        <v>3168</v>
      </c>
      <c r="I3183" s="43">
        <v>0.66913280569602873</v>
      </c>
      <c r="J3183" s="43">
        <v>1.9580633454128638E-2</v>
      </c>
      <c r="K3183" s="43"/>
      <c r="L3183" s="43">
        <v>0.25080000000000002</v>
      </c>
      <c r="O3183" s="50"/>
    </row>
    <row r="3184" spans="2:15" x14ac:dyDescent="0.2">
      <c r="B3184">
        <v>3169</v>
      </c>
      <c r="C3184" s="48">
        <f ca="1"/>
        <v>-0.47265142151308298</v>
      </c>
      <c r="D3184" s="48">
        <f t="shared" ca="1" si="187"/>
        <v>0.63425173839479443</v>
      </c>
      <c r="E3184" s="48">
        <f t="shared" ca="1" si="188"/>
        <v>0</v>
      </c>
      <c r="F3184" s="17">
        <f t="shared" ca="1" si="189"/>
        <v>0</v>
      </c>
      <c r="H3184" s="17">
        <v>3169</v>
      </c>
      <c r="I3184" s="43">
        <v>0.66912411093568602</v>
      </c>
      <c r="J3184" s="43">
        <v>1.9554216662832951E-2</v>
      </c>
      <c r="K3184" s="43"/>
      <c r="L3184" s="43">
        <v>0.253</v>
      </c>
      <c r="O3184" s="50"/>
    </row>
    <row r="3185" spans="2:15" x14ac:dyDescent="0.2">
      <c r="B3185">
        <v>3170</v>
      </c>
      <c r="C3185" s="48">
        <f ca="1"/>
        <v>-0.50591426281843388</v>
      </c>
      <c r="D3185" s="48">
        <f t="shared" ca="1" si="187"/>
        <v>0.632175243659299</v>
      </c>
      <c r="E3185" s="48">
        <f t="shared" ca="1" si="188"/>
        <v>0</v>
      </c>
      <c r="F3185" s="17">
        <f t="shared" ca="1" si="189"/>
        <v>0</v>
      </c>
      <c r="H3185" s="17">
        <v>3170</v>
      </c>
      <c r="I3185" s="43">
        <v>0.66871193103206383</v>
      </c>
      <c r="J3185" s="43">
        <v>1.9146268572227648E-2</v>
      </c>
      <c r="K3185" s="43"/>
      <c r="L3185" s="43">
        <v>0.24879999999999999</v>
      </c>
      <c r="O3185" s="50"/>
    </row>
    <row r="3186" spans="2:15" x14ac:dyDescent="0.2">
      <c r="B3186">
        <v>3171</v>
      </c>
      <c r="C3186" s="48">
        <f ca="1"/>
        <v>-2.4957179742453093</v>
      </c>
      <c r="D3186" s="48">
        <f t="shared" ca="1" si="187"/>
        <v>0.51956759978853928</v>
      </c>
      <c r="E3186" s="48">
        <f t="shared" ca="1" si="188"/>
        <v>0</v>
      </c>
      <c r="F3186" s="17">
        <f t="shared" ca="1" si="189"/>
        <v>0</v>
      </c>
      <c r="H3186" s="17">
        <v>3171</v>
      </c>
      <c r="I3186" s="43">
        <v>0.66829907460780491</v>
      </c>
      <c r="J3186" s="43">
        <v>1.8965962207165704E-2</v>
      </c>
      <c r="K3186" s="43"/>
      <c r="L3186" s="43">
        <v>0.24840000000000001</v>
      </c>
      <c r="O3186" s="50"/>
    </row>
    <row r="3187" spans="2:15" x14ac:dyDescent="0.2">
      <c r="B3187">
        <v>3172</v>
      </c>
      <c r="C3187" s="48">
        <f ca="1"/>
        <v>-0.690931729436148</v>
      </c>
      <c r="D3187" s="48">
        <f t="shared" ca="1" si="187"/>
        <v>0.62074864161510457</v>
      </c>
      <c r="E3187" s="48">
        <f t="shared" ca="1" si="188"/>
        <v>0</v>
      </c>
      <c r="F3187" s="17">
        <f t="shared" ca="1" si="189"/>
        <v>0</v>
      </c>
      <c r="H3187" s="17">
        <v>3172</v>
      </c>
      <c r="I3187" s="43">
        <v>0.66898043899026538</v>
      </c>
      <c r="J3187" s="43">
        <v>1.9322093731389135E-2</v>
      </c>
      <c r="K3187" s="43"/>
      <c r="L3187" s="43">
        <v>0.25219999999999998</v>
      </c>
      <c r="O3187" s="50"/>
    </row>
    <row r="3188" spans="2:15" x14ac:dyDescent="0.2">
      <c r="B3188">
        <v>3173</v>
      </c>
      <c r="C3188" s="48">
        <f ca="1"/>
        <v>-0.87516910849183116</v>
      </c>
      <c r="D3188" s="48">
        <f t="shared" ca="1" si="187"/>
        <v>0.6095754547575486</v>
      </c>
      <c r="E3188" s="48">
        <f t="shared" ca="1" si="188"/>
        <v>0</v>
      </c>
      <c r="F3188" s="17">
        <f t="shared" ca="1" si="189"/>
        <v>0</v>
      </c>
      <c r="H3188" s="17">
        <v>3173</v>
      </c>
      <c r="I3188" s="43">
        <v>0.66950373433195964</v>
      </c>
      <c r="J3188" s="43">
        <v>1.97510193319431E-2</v>
      </c>
      <c r="K3188" s="43"/>
      <c r="L3188" s="43">
        <v>0.24959999999999999</v>
      </c>
      <c r="O3188" s="50"/>
    </row>
    <row r="3189" spans="2:15" x14ac:dyDescent="0.2">
      <c r="B3189">
        <v>3174</v>
      </c>
      <c r="C3189" s="48">
        <f ca="1"/>
        <v>0.91181128584727822</v>
      </c>
      <c r="D3189" s="48">
        <f t="shared" ca="1" si="187"/>
        <v>0.72700736969528446</v>
      </c>
      <c r="E3189" s="48">
        <f t="shared" ca="1" si="188"/>
        <v>0</v>
      </c>
      <c r="F3189" s="17">
        <f t="shared" ca="1" si="189"/>
        <v>0</v>
      </c>
      <c r="H3189" s="17">
        <v>3174</v>
      </c>
      <c r="I3189" s="43">
        <v>0.66986312721763486</v>
      </c>
      <c r="J3189" s="43">
        <v>1.9782827121806689E-2</v>
      </c>
      <c r="K3189" s="43"/>
      <c r="L3189" s="43">
        <v>0.24859999999999999</v>
      </c>
      <c r="O3189" s="50"/>
    </row>
    <row r="3190" spans="2:15" x14ac:dyDescent="0.2">
      <c r="B3190">
        <v>3175</v>
      </c>
      <c r="C3190" s="48">
        <f ca="1"/>
        <v>-0.74525146618533522</v>
      </c>
      <c r="D3190" s="48">
        <f t="shared" ca="1" si="187"/>
        <v>0.61743326555512545</v>
      </c>
      <c r="E3190" s="48">
        <f t="shared" ca="1" si="188"/>
        <v>0</v>
      </c>
      <c r="F3190" s="17">
        <f t="shared" ca="1" si="189"/>
        <v>0</v>
      </c>
      <c r="H3190" s="17">
        <v>3175</v>
      </c>
      <c r="I3190" s="43">
        <v>0.66858152402050308</v>
      </c>
      <c r="J3190" s="43">
        <v>1.9151444551332532E-2</v>
      </c>
      <c r="K3190" s="43"/>
      <c r="L3190" s="43">
        <v>0.24540000000000001</v>
      </c>
      <c r="O3190" s="50"/>
    </row>
    <row r="3191" spans="2:15" x14ac:dyDescent="0.2">
      <c r="B3191">
        <v>3176</v>
      </c>
      <c r="C3191" s="48">
        <f ca="1"/>
        <v>1.314422017161234</v>
      </c>
      <c r="D3191" s="48">
        <f t="shared" ca="1" si="187"/>
        <v>0.75644436500959877</v>
      </c>
      <c r="E3191" s="48">
        <f t="shared" ca="1" si="188"/>
        <v>0</v>
      </c>
      <c r="F3191" s="17">
        <f t="shared" ca="1" si="189"/>
        <v>0</v>
      </c>
      <c r="H3191" s="17">
        <v>3176</v>
      </c>
      <c r="I3191" s="43">
        <v>0.66891692669591762</v>
      </c>
      <c r="J3191" s="43">
        <v>1.9179208470883322E-2</v>
      </c>
      <c r="K3191" s="43"/>
      <c r="L3191" s="43">
        <v>0.25080000000000002</v>
      </c>
      <c r="O3191" s="50"/>
    </row>
    <row r="3192" spans="2:15" x14ac:dyDescent="0.2">
      <c r="B3192">
        <v>3177</v>
      </c>
      <c r="C3192" s="48">
        <f ca="1"/>
        <v>-1.3381628601152658</v>
      </c>
      <c r="D3192" s="48">
        <f t="shared" ca="1" si="187"/>
        <v>0.58237662275535174</v>
      </c>
      <c r="E3192" s="48">
        <f t="shared" ca="1" si="188"/>
        <v>0</v>
      </c>
      <c r="F3192" s="17">
        <f t="shared" ca="1" si="189"/>
        <v>0</v>
      </c>
      <c r="H3192" s="17">
        <v>3177</v>
      </c>
      <c r="I3192" s="43">
        <v>0.67029036612716597</v>
      </c>
      <c r="J3192" s="43">
        <v>2.0523995308448492E-2</v>
      </c>
      <c r="K3192" s="43"/>
      <c r="L3192" s="43">
        <v>0.25740000000000002</v>
      </c>
      <c r="O3192" s="50"/>
    </row>
    <row r="3193" spans="2:15" x14ac:dyDescent="0.2">
      <c r="B3193">
        <v>3178</v>
      </c>
      <c r="C3193" s="48">
        <f ca="1"/>
        <v>0.24953949721284061</v>
      </c>
      <c r="D3193" s="48">
        <f t="shared" ca="1" si="187"/>
        <v>0.68105625874043829</v>
      </c>
      <c r="E3193" s="48">
        <f t="shared" ca="1" si="188"/>
        <v>0</v>
      </c>
      <c r="F3193" s="17">
        <f t="shared" ca="1" si="189"/>
        <v>0</v>
      </c>
      <c r="H3193" s="17">
        <v>3178</v>
      </c>
      <c r="I3193" s="43">
        <v>0.66928523977400023</v>
      </c>
      <c r="J3193" s="43">
        <v>1.9568820269221875E-2</v>
      </c>
      <c r="K3193" s="43"/>
      <c r="L3193" s="43">
        <v>0.25580000000000003</v>
      </c>
      <c r="O3193" s="50"/>
    </row>
    <row r="3194" spans="2:15" x14ac:dyDescent="0.2">
      <c r="B3194">
        <v>3179</v>
      </c>
      <c r="C3194" s="48">
        <f ca="1"/>
        <v>-1.0662973068080662E-2</v>
      </c>
      <c r="D3194" s="48">
        <f t="shared" ca="1" si="187"/>
        <v>0.66380750910689101</v>
      </c>
      <c r="E3194" s="48">
        <f t="shared" ca="1" si="188"/>
        <v>0</v>
      </c>
      <c r="F3194" s="17">
        <f t="shared" ca="1" si="189"/>
        <v>0</v>
      </c>
      <c r="H3194" s="17">
        <v>3179</v>
      </c>
      <c r="I3194" s="43">
        <v>0.66912647474151343</v>
      </c>
      <c r="J3194" s="43">
        <v>1.9519939930361215E-2</v>
      </c>
      <c r="K3194" s="43"/>
      <c r="L3194" s="43">
        <v>0.25700000000000001</v>
      </c>
      <c r="O3194" s="50"/>
    </row>
    <row r="3195" spans="2:15" x14ac:dyDescent="0.2">
      <c r="B3195">
        <v>3180</v>
      </c>
      <c r="C3195" s="48">
        <f ca="1"/>
        <v>0.75408577489996709</v>
      </c>
      <c r="D3195" s="48">
        <f t="shared" ca="1" si="187"/>
        <v>0.71579001984515167</v>
      </c>
      <c r="E3195" s="48">
        <f t="shared" ca="1" si="188"/>
        <v>0</v>
      </c>
      <c r="F3195" s="17">
        <f t="shared" ca="1" si="189"/>
        <v>0</v>
      </c>
      <c r="H3195" s="17">
        <v>3180</v>
      </c>
      <c r="I3195" s="43">
        <v>0.66866709419873527</v>
      </c>
      <c r="J3195" s="43">
        <v>1.9401077831133019E-2</v>
      </c>
      <c r="K3195" s="43"/>
      <c r="L3195" s="43">
        <v>0.25159999999999999</v>
      </c>
      <c r="O3195" s="50"/>
    </row>
    <row r="3196" spans="2:15" x14ac:dyDescent="0.2">
      <c r="B3196">
        <v>3181</v>
      </c>
      <c r="C3196" s="48">
        <f ca="1"/>
        <v>0.54894654815658495</v>
      </c>
      <c r="D3196" s="48">
        <f t="shared" ca="1" si="187"/>
        <v>0.70145917299313476</v>
      </c>
      <c r="E3196" s="48">
        <f t="shared" ca="1" si="188"/>
        <v>0</v>
      </c>
      <c r="F3196" s="17">
        <f t="shared" ca="1" si="189"/>
        <v>0</v>
      </c>
      <c r="H3196" s="17">
        <v>3181</v>
      </c>
      <c r="I3196" s="43">
        <v>0.66926974685644847</v>
      </c>
      <c r="J3196" s="43">
        <v>1.9994645302262127E-2</v>
      </c>
      <c r="K3196" s="43"/>
      <c r="L3196" s="43">
        <v>0.25879999999999997</v>
      </c>
      <c r="O3196" s="50"/>
    </row>
    <row r="3197" spans="2:15" x14ac:dyDescent="0.2">
      <c r="B3197">
        <v>3182</v>
      </c>
      <c r="C3197" s="48">
        <f ca="1"/>
        <v>0.70118376537403959</v>
      </c>
      <c r="D3197" s="48">
        <f t="shared" ca="1" si="187"/>
        <v>0.71206655296772314</v>
      </c>
      <c r="E3197" s="48">
        <f t="shared" ca="1" si="188"/>
        <v>0</v>
      </c>
      <c r="F3197" s="17">
        <f t="shared" ca="1" si="189"/>
        <v>0</v>
      </c>
      <c r="H3197" s="17">
        <v>3182</v>
      </c>
      <c r="I3197" s="43">
        <v>0.66992939044267064</v>
      </c>
      <c r="J3197" s="43">
        <v>1.9857324182903348E-2</v>
      </c>
      <c r="K3197" s="43"/>
      <c r="L3197" s="43">
        <v>0.247</v>
      </c>
      <c r="O3197" s="50"/>
    </row>
    <row r="3198" spans="2:15" x14ac:dyDescent="0.2">
      <c r="B3198">
        <v>3183</v>
      </c>
      <c r="C3198" s="48">
        <f ca="1"/>
        <v>0.68561521179866269</v>
      </c>
      <c r="D3198" s="48">
        <f t="shared" ca="1" si="187"/>
        <v>0.71097446575034595</v>
      </c>
      <c r="E3198" s="48">
        <f t="shared" ca="1" si="188"/>
        <v>0</v>
      </c>
      <c r="F3198" s="17">
        <f t="shared" ca="1" si="189"/>
        <v>0</v>
      </c>
      <c r="H3198" s="17">
        <v>3183</v>
      </c>
      <c r="I3198" s="43">
        <v>0.66893792098694316</v>
      </c>
      <c r="J3198" s="43">
        <v>1.9550269558108603E-2</v>
      </c>
      <c r="K3198" s="43"/>
      <c r="L3198" s="43">
        <v>0.25</v>
      </c>
      <c r="O3198" s="50"/>
    </row>
    <row r="3199" spans="2:15" x14ac:dyDescent="0.2">
      <c r="B3199">
        <v>3184</v>
      </c>
      <c r="C3199" s="48">
        <f ca="1"/>
        <v>-1.6963312042222012</v>
      </c>
      <c r="D3199" s="48">
        <f t="shared" ca="1" si="187"/>
        <v>0.56217120896695605</v>
      </c>
      <c r="E3199" s="48">
        <f t="shared" ca="1" si="188"/>
        <v>0</v>
      </c>
      <c r="F3199" s="17">
        <f t="shared" ca="1" si="189"/>
        <v>0</v>
      </c>
      <c r="H3199" s="17">
        <v>3184</v>
      </c>
      <c r="I3199" s="43">
        <v>0.66963147007631663</v>
      </c>
      <c r="J3199" s="43">
        <v>2.0001760106325723E-2</v>
      </c>
      <c r="K3199" s="43"/>
      <c r="L3199" s="43">
        <v>0.25679999999999997</v>
      </c>
      <c r="O3199" s="50"/>
    </row>
    <row r="3200" spans="2:15" x14ac:dyDescent="0.2">
      <c r="B3200">
        <v>3185</v>
      </c>
      <c r="C3200" s="48">
        <f ca="1"/>
        <v>0.89754046174512947</v>
      </c>
      <c r="D3200" s="48">
        <f t="shared" ca="1" si="187"/>
        <v>0.7259852444543462</v>
      </c>
      <c r="E3200" s="48">
        <f t="shared" ca="1" si="188"/>
        <v>0</v>
      </c>
      <c r="F3200" s="17">
        <f t="shared" ca="1" si="189"/>
        <v>0</v>
      </c>
      <c r="H3200" s="17">
        <v>3185</v>
      </c>
      <c r="I3200" s="43">
        <v>0.66827083706100954</v>
      </c>
      <c r="J3200" s="43">
        <v>1.9028874591987675E-2</v>
      </c>
      <c r="K3200" s="43"/>
      <c r="L3200" s="43">
        <v>0.2472</v>
      </c>
      <c r="O3200" s="50"/>
    </row>
    <row r="3201" spans="2:15" x14ac:dyDescent="0.2">
      <c r="B3201">
        <v>3186</v>
      </c>
      <c r="C3201" s="48">
        <f ca="1"/>
        <v>-1.6351741882237405</v>
      </c>
      <c r="D3201" s="48">
        <f t="shared" ca="1" si="187"/>
        <v>0.56557095530321233</v>
      </c>
      <c r="E3201" s="48">
        <f t="shared" ca="1" si="188"/>
        <v>0</v>
      </c>
      <c r="F3201" s="17">
        <f t="shared" ca="1" si="189"/>
        <v>0</v>
      </c>
      <c r="H3201" s="17">
        <v>3186</v>
      </c>
      <c r="I3201" s="43">
        <v>0.66835838794359026</v>
      </c>
      <c r="J3201" s="43">
        <v>1.8916269162043319E-2</v>
      </c>
      <c r="K3201" s="43"/>
      <c r="L3201" s="43">
        <v>0.24740000000000001</v>
      </c>
      <c r="O3201" s="50"/>
    </row>
    <row r="3202" spans="2:15" x14ac:dyDescent="0.2">
      <c r="B3202">
        <v>3187</v>
      </c>
      <c r="C3202" s="48">
        <f ca="1"/>
        <v>-1.6577821107851748E-2</v>
      </c>
      <c r="D3202" s="48">
        <f t="shared" ca="1" si="187"/>
        <v>0.66342053593783445</v>
      </c>
      <c r="E3202" s="48">
        <f t="shared" ca="1" si="188"/>
        <v>0</v>
      </c>
      <c r="F3202" s="17">
        <f t="shared" ca="1" si="189"/>
        <v>0</v>
      </c>
      <c r="H3202" s="17">
        <v>3187</v>
      </c>
      <c r="I3202" s="43">
        <v>0.67021894196453635</v>
      </c>
      <c r="J3202" s="43">
        <v>2.0262897800722116E-2</v>
      </c>
      <c r="K3202" s="43"/>
      <c r="L3202" s="43">
        <v>0.25119999999999998</v>
      </c>
      <c r="O3202" s="50"/>
    </row>
    <row r="3203" spans="2:15" x14ac:dyDescent="0.2">
      <c r="B3203">
        <v>3188</v>
      </c>
      <c r="C3203" s="48">
        <f ca="1"/>
        <v>4.6645452180409885E-2</v>
      </c>
      <c r="D3203" s="48">
        <f t="shared" ca="1" si="187"/>
        <v>0.66756856504342466</v>
      </c>
      <c r="E3203" s="48">
        <f t="shared" ca="1" si="188"/>
        <v>0</v>
      </c>
      <c r="F3203" s="17">
        <f t="shared" ca="1" si="189"/>
        <v>0</v>
      </c>
      <c r="H3203" s="17">
        <v>3188</v>
      </c>
      <c r="I3203" s="43">
        <v>0.66936626502558516</v>
      </c>
      <c r="J3203" s="43">
        <v>1.972480271233688E-2</v>
      </c>
      <c r="K3203" s="43"/>
      <c r="L3203" s="43">
        <v>0.25540000000000002</v>
      </c>
      <c r="O3203" s="50"/>
    </row>
    <row r="3204" spans="2:15" x14ac:dyDescent="0.2">
      <c r="B3204">
        <v>3189</v>
      </c>
      <c r="C3204" s="48">
        <f ca="1"/>
        <v>1.078505733849441</v>
      </c>
      <c r="D3204" s="48">
        <f t="shared" ca="1" si="187"/>
        <v>0.73905371063541692</v>
      </c>
      <c r="E3204" s="48">
        <f t="shared" ca="1" si="188"/>
        <v>0</v>
      </c>
      <c r="F3204" s="17">
        <f t="shared" ca="1" si="189"/>
        <v>0</v>
      </c>
      <c r="H3204" s="17">
        <v>3189</v>
      </c>
      <c r="I3204" s="43">
        <v>0.66946775276234927</v>
      </c>
      <c r="J3204" s="43">
        <v>1.9896364921513636E-2</v>
      </c>
      <c r="K3204" s="43"/>
      <c r="L3204" s="43">
        <v>0.25119999999999998</v>
      </c>
      <c r="O3204" s="50"/>
    </row>
    <row r="3205" spans="2:15" x14ac:dyDescent="0.2">
      <c r="B3205">
        <v>3190</v>
      </c>
      <c r="C3205" s="48">
        <f ca="1"/>
        <v>0.75284316153241848</v>
      </c>
      <c r="D3205" s="48">
        <f t="shared" ca="1" si="187"/>
        <v>0.71570233656681415</v>
      </c>
      <c r="E3205" s="48">
        <f t="shared" ca="1" si="188"/>
        <v>0</v>
      </c>
      <c r="F3205" s="17">
        <f t="shared" ca="1" si="189"/>
        <v>0</v>
      </c>
      <c r="H3205" s="17">
        <v>3190</v>
      </c>
      <c r="I3205" s="43">
        <v>0.66877364183773758</v>
      </c>
      <c r="J3205" s="43">
        <v>1.9226569205840208E-2</v>
      </c>
      <c r="K3205" s="43"/>
      <c r="L3205" s="43">
        <v>0.252</v>
      </c>
      <c r="O3205" s="50"/>
    </row>
    <row r="3206" spans="2:15" x14ac:dyDescent="0.2">
      <c r="B3206">
        <v>3191</v>
      </c>
      <c r="C3206" s="48">
        <f ca="1"/>
        <v>-0.18056270762310675</v>
      </c>
      <c r="D3206" s="48">
        <f t="shared" ca="1" si="187"/>
        <v>0.65278134515881892</v>
      </c>
      <c r="E3206" s="48">
        <f t="shared" ca="1" si="188"/>
        <v>0</v>
      </c>
      <c r="F3206" s="17">
        <f t="shared" ca="1" si="189"/>
        <v>0</v>
      </c>
      <c r="H3206" s="17">
        <v>3191</v>
      </c>
      <c r="I3206" s="43">
        <v>0.66919277843293745</v>
      </c>
      <c r="J3206" s="43">
        <v>1.9642385396163895E-2</v>
      </c>
      <c r="K3206" s="43"/>
      <c r="L3206" s="43">
        <v>0.25040000000000001</v>
      </c>
      <c r="O3206" s="50"/>
    </row>
    <row r="3207" spans="2:15" x14ac:dyDescent="0.2">
      <c r="B3207">
        <v>3192</v>
      </c>
      <c r="C3207" s="48">
        <f ca="1"/>
        <v>1.1196391030032584</v>
      </c>
      <c r="D3207" s="48">
        <f t="shared" ca="1" si="187"/>
        <v>0.74205683201779682</v>
      </c>
      <c r="E3207" s="48">
        <f t="shared" ca="1" si="188"/>
        <v>0</v>
      </c>
      <c r="F3207" s="17">
        <f t="shared" ca="1" si="189"/>
        <v>0</v>
      </c>
      <c r="H3207" s="17">
        <v>3192</v>
      </c>
      <c r="I3207" s="43">
        <v>0.66985566687095843</v>
      </c>
      <c r="J3207" s="43">
        <v>2.0135433894062697E-2</v>
      </c>
      <c r="K3207" s="43"/>
      <c r="L3207" s="43">
        <v>0.25800000000000001</v>
      </c>
      <c r="O3207" s="50"/>
    </row>
    <row r="3208" spans="2:15" x14ac:dyDescent="0.2">
      <c r="B3208">
        <v>3193</v>
      </c>
      <c r="C3208" s="48">
        <f ca="1"/>
        <v>-0.54716428655647575</v>
      </c>
      <c r="D3208" s="48">
        <f t="shared" ca="1" si="187"/>
        <v>0.62960957465899436</v>
      </c>
      <c r="E3208" s="48">
        <f t="shared" ca="1" si="188"/>
        <v>0</v>
      </c>
      <c r="F3208" s="17">
        <f t="shared" ca="1" si="189"/>
        <v>0</v>
      </c>
      <c r="H3208" s="17">
        <v>3193</v>
      </c>
      <c r="I3208" s="43">
        <v>0.66824461940191393</v>
      </c>
      <c r="J3208" s="43">
        <v>1.8886397477168228E-2</v>
      </c>
      <c r="K3208" s="43"/>
      <c r="L3208" s="43">
        <v>0.24759999999999999</v>
      </c>
      <c r="O3208" s="50"/>
    </row>
    <row r="3209" spans="2:15" x14ac:dyDescent="0.2">
      <c r="B3209">
        <v>3194</v>
      </c>
      <c r="C3209" s="48">
        <f ca="1"/>
        <v>-4.7648021311168824E-3</v>
      </c>
      <c r="D3209" s="48">
        <f t="shared" ca="1" si="187"/>
        <v>0.66419361596031123</v>
      </c>
      <c r="E3209" s="48">
        <f t="shared" ca="1" si="188"/>
        <v>0</v>
      </c>
      <c r="F3209" s="17">
        <f t="shared" ca="1" si="189"/>
        <v>0</v>
      </c>
      <c r="H3209" s="17">
        <v>3194</v>
      </c>
      <c r="I3209" s="43">
        <v>0.66880764072274801</v>
      </c>
      <c r="J3209" s="43">
        <v>1.9211386172199432E-2</v>
      </c>
      <c r="K3209" s="43"/>
      <c r="L3209" s="43">
        <v>0.2492</v>
      </c>
      <c r="O3209" s="50"/>
    </row>
    <row r="3210" spans="2:15" x14ac:dyDescent="0.2">
      <c r="B3210">
        <v>3195</v>
      </c>
      <c r="C3210" s="48">
        <f ca="1"/>
        <v>0.5802717145020494</v>
      </c>
      <c r="D3210" s="48">
        <f t="shared" ca="1" si="187"/>
        <v>0.70362881603033611</v>
      </c>
      <c r="E3210" s="48">
        <f t="shared" ca="1" si="188"/>
        <v>0</v>
      </c>
      <c r="F3210" s="17">
        <f t="shared" ca="1" si="189"/>
        <v>0</v>
      </c>
      <c r="H3210" s="17">
        <v>3195</v>
      </c>
      <c r="I3210" s="43">
        <v>0.66794857575097644</v>
      </c>
      <c r="J3210" s="43">
        <v>1.8623790641934222E-2</v>
      </c>
      <c r="K3210" s="43"/>
      <c r="L3210" s="43">
        <v>0.24199999999999999</v>
      </c>
      <c r="O3210" s="50"/>
    </row>
    <row r="3211" spans="2:15" x14ac:dyDescent="0.2">
      <c r="B3211">
        <v>3196</v>
      </c>
      <c r="C3211" s="48">
        <f ca="1"/>
        <v>-0.44983013096120283</v>
      </c>
      <c r="D3211" s="48">
        <f t="shared" ca="1" si="187"/>
        <v>0.63568034362833759</v>
      </c>
      <c r="E3211" s="48">
        <f t="shared" ca="1" si="188"/>
        <v>0</v>
      </c>
      <c r="F3211" s="17">
        <f t="shared" ca="1" si="189"/>
        <v>0</v>
      </c>
      <c r="H3211" s="17">
        <v>3196</v>
      </c>
      <c r="I3211" s="43">
        <v>0.66916912024507236</v>
      </c>
      <c r="J3211" s="43">
        <v>1.9722294154029974E-2</v>
      </c>
      <c r="K3211" s="43"/>
      <c r="L3211" s="43">
        <v>0.25040000000000001</v>
      </c>
      <c r="O3211" s="50"/>
    </row>
    <row r="3212" spans="2:15" x14ac:dyDescent="0.2">
      <c r="B3212">
        <v>3197</v>
      </c>
      <c r="C3212" s="48">
        <f ca="1"/>
        <v>0.862649493335919</v>
      </c>
      <c r="D3212" s="48">
        <f t="shared" ca="1" si="187"/>
        <v>0.72349228160666035</v>
      </c>
      <c r="E3212" s="48">
        <f t="shared" ca="1" si="188"/>
        <v>0</v>
      </c>
      <c r="F3212" s="17">
        <f t="shared" ca="1" si="189"/>
        <v>0</v>
      </c>
      <c r="H3212" s="17">
        <v>3197</v>
      </c>
      <c r="I3212" s="43">
        <v>0.66879252899936514</v>
      </c>
      <c r="J3212" s="43">
        <v>1.9323833004239739E-2</v>
      </c>
      <c r="K3212" s="43"/>
      <c r="L3212" s="43">
        <v>0.248</v>
      </c>
      <c r="O3212" s="50"/>
    </row>
    <row r="3213" spans="2:15" x14ac:dyDescent="0.2">
      <c r="B3213">
        <v>3198</v>
      </c>
      <c r="C3213" s="48">
        <f ca="1"/>
        <v>1.2277592853559194</v>
      </c>
      <c r="D3213" s="48">
        <f t="shared" ca="1" si="187"/>
        <v>0.75000894149789032</v>
      </c>
      <c r="E3213" s="48">
        <f t="shared" ca="1" si="188"/>
        <v>0</v>
      </c>
      <c r="F3213" s="17">
        <f t="shared" ca="1" si="189"/>
        <v>0</v>
      </c>
      <c r="H3213" s="17">
        <v>3198</v>
      </c>
      <c r="I3213" s="43">
        <v>0.66978372097788674</v>
      </c>
      <c r="J3213" s="43">
        <v>2.0066975875866616E-2</v>
      </c>
      <c r="K3213" s="43"/>
      <c r="L3213" s="43">
        <v>0.25319999999999998</v>
      </c>
      <c r="O3213" s="50"/>
    </row>
    <row r="3214" spans="2:15" x14ac:dyDescent="0.2">
      <c r="B3214">
        <v>3199</v>
      </c>
      <c r="C3214" s="48">
        <f ca="1"/>
        <v>0.62939998579238177</v>
      </c>
      <c r="D3214" s="48">
        <f t="shared" ca="1" si="187"/>
        <v>0.70704506082160046</v>
      </c>
      <c r="E3214" s="48">
        <f t="shared" ca="1" si="188"/>
        <v>0</v>
      </c>
      <c r="F3214" s="17">
        <f t="shared" ca="1" si="189"/>
        <v>0</v>
      </c>
      <c r="H3214" s="17">
        <v>3199</v>
      </c>
      <c r="I3214" s="43">
        <v>0.66910004876649087</v>
      </c>
      <c r="J3214" s="43">
        <v>1.9508975847664905E-2</v>
      </c>
      <c r="K3214" s="43"/>
      <c r="L3214" s="43">
        <v>0.25459999999999999</v>
      </c>
      <c r="O3214" s="50"/>
    </row>
    <row r="3215" spans="2:15" x14ac:dyDescent="0.2">
      <c r="B3215">
        <v>3200</v>
      </c>
      <c r="C3215" s="48">
        <f ca="1"/>
        <v>0.41454452768021405</v>
      </c>
      <c r="D3215" s="48">
        <f t="shared" ca="1" si="187"/>
        <v>0.69222589702816995</v>
      </c>
      <c r="E3215" s="48">
        <f t="shared" ca="1" si="188"/>
        <v>0</v>
      </c>
      <c r="F3215" s="17">
        <f t="shared" ca="1" si="189"/>
        <v>0</v>
      </c>
      <c r="H3215" s="17">
        <v>3200</v>
      </c>
      <c r="I3215" s="43">
        <v>0.66875503960514693</v>
      </c>
      <c r="J3215" s="43">
        <v>1.9342980497779445E-2</v>
      </c>
      <c r="K3215" s="43"/>
      <c r="L3215" s="43">
        <v>0.25159999999999999</v>
      </c>
      <c r="O3215" s="50"/>
    </row>
    <row r="3216" spans="2:15" x14ac:dyDescent="0.2">
      <c r="B3216">
        <v>3201</v>
      </c>
      <c r="C3216" s="48">
        <f ca="1"/>
        <v>0.45499216742620285</v>
      </c>
      <c r="D3216" s="48">
        <f t="shared" ref="D3216:D3279" ca="1" si="190">S0*EXP((μ-0.5*σ*σ)*T+σ*SQRT(T)*$C3216)</f>
        <v>0.69499174903292638</v>
      </c>
      <c r="E3216" s="48">
        <f t="shared" ref="E3216:E3279" ca="1" si="191">MAX(0,CP*(D3216-K))</f>
        <v>0</v>
      </c>
      <c r="F3216" s="17">
        <f t="shared" ref="F3216:F3279" ca="1" si="192">(CP*(D3216-K)&gt;0)*1</f>
        <v>0</v>
      </c>
      <c r="H3216" s="17">
        <v>3201</v>
      </c>
      <c r="I3216" s="43">
        <v>0.66912224258323427</v>
      </c>
      <c r="J3216" s="43">
        <v>1.9256172781919618E-2</v>
      </c>
      <c r="K3216" s="43"/>
      <c r="L3216" s="43">
        <v>0.25280000000000002</v>
      </c>
      <c r="O3216" s="50"/>
    </row>
    <row r="3217" spans="2:15" x14ac:dyDescent="0.2">
      <c r="B3217">
        <v>3202</v>
      </c>
      <c r="C3217" s="48">
        <f ca="1"/>
        <v>-1.682850499334672</v>
      </c>
      <c r="D3217" s="48">
        <f t="shared" ca="1" si="190"/>
        <v>0.56291884727975405</v>
      </c>
      <c r="E3217" s="48">
        <f t="shared" ca="1" si="191"/>
        <v>0</v>
      </c>
      <c r="F3217" s="17">
        <f t="shared" ca="1" si="192"/>
        <v>0</v>
      </c>
      <c r="H3217" s="17">
        <v>3202</v>
      </c>
      <c r="I3217" s="43">
        <v>0.66908830919812545</v>
      </c>
      <c r="J3217" s="43">
        <v>1.927178010107234E-2</v>
      </c>
      <c r="K3217" s="43"/>
      <c r="L3217" s="43">
        <v>0.2482</v>
      </c>
      <c r="O3217" s="50"/>
    </row>
    <row r="3218" spans="2:15" x14ac:dyDescent="0.2">
      <c r="B3218">
        <v>3203</v>
      </c>
      <c r="C3218" s="48">
        <f ca="1"/>
        <v>0.78625122943320758</v>
      </c>
      <c r="D3218" s="48">
        <f t="shared" ca="1" si="190"/>
        <v>0.71806347206940435</v>
      </c>
      <c r="E3218" s="48">
        <f t="shared" ca="1" si="191"/>
        <v>0</v>
      </c>
      <c r="F3218" s="17">
        <f t="shared" ca="1" si="192"/>
        <v>0</v>
      </c>
      <c r="H3218" s="17">
        <v>3203</v>
      </c>
      <c r="I3218" s="43">
        <v>0.66925221563077919</v>
      </c>
      <c r="J3218" s="43">
        <v>1.9545782646358024E-2</v>
      </c>
      <c r="K3218" s="43"/>
      <c r="L3218" s="43">
        <v>0.24779999999999999</v>
      </c>
      <c r="O3218" s="50"/>
    </row>
    <row r="3219" spans="2:15" x14ac:dyDescent="0.2">
      <c r="B3219">
        <v>3204</v>
      </c>
      <c r="C3219" s="48">
        <f ca="1"/>
        <v>0.11349175175465689</v>
      </c>
      <c r="D3219" s="48">
        <f t="shared" ca="1" si="190"/>
        <v>0.67198250885984856</v>
      </c>
      <c r="E3219" s="48">
        <f t="shared" ca="1" si="191"/>
        <v>0</v>
      </c>
      <c r="F3219" s="17">
        <f t="shared" ca="1" si="192"/>
        <v>0</v>
      </c>
      <c r="H3219" s="17">
        <v>3204</v>
      </c>
      <c r="I3219" s="43">
        <v>0.66794267244651551</v>
      </c>
      <c r="J3219" s="43">
        <v>1.8677958573593573E-2</v>
      </c>
      <c r="K3219" s="43"/>
      <c r="L3219" s="43">
        <v>0.24840000000000001</v>
      </c>
      <c r="O3219" s="50"/>
    </row>
    <row r="3220" spans="2:15" x14ac:dyDescent="0.2">
      <c r="B3220">
        <v>3205</v>
      </c>
      <c r="C3220" s="48">
        <f ca="1"/>
        <v>-0.16654087027703901</v>
      </c>
      <c r="D3220" s="48">
        <f t="shared" ca="1" si="190"/>
        <v>0.65368435938946035</v>
      </c>
      <c r="E3220" s="48">
        <f t="shared" ca="1" si="191"/>
        <v>0</v>
      </c>
      <c r="F3220" s="17">
        <f t="shared" ca="1" si="192"/>
        <v>0</v>
      </c>
      <c r="H3220" s="17">
        <v>3205</v>
      </c>
      <c r="I3220" s="43">
        <v>0.6689573552188911</v>
      </c>
      <c r="J3220" s="43">
        <v>1.9270510503393644E-2</v>
      </c>
      <c r="K3220" s="43"/>
      <c r="L3220" s="43">
        <v>0.24779999999999999</v>
      </c>
      <c r="O3220" s="50"/>
    </row>
    <row r="3221" spans="2:15" x14ac:dyDescent="0.2">
      <c r="B3221">
        <v>3206</v>
      </c>
      <c r="C3221" s="48">
        <f ca="1"/>
        <v>-0.64157939438614375</v>
      </c>
      <c r="D3221" s="48">
        <f t="shared" ca="1" si="190"/>
        <v>0.62377626720348001</v>
      </c>
      <c r="E3221" s="48">
        <f t="shared" ca="1" si="191"/>
        <v>0</v>
      </c>
      <c r="F3221" s="17">
        <f t="shared" ca="1" si="192"/>
        <v>0</v>
      </c>
      <c r="H3221" s="17">
        <v>3206</v>
      </c>
      <c r="I3221" s="43">
        <v>0.6687166711588417</v>
      </c>
      <c r="J3221" s="43">
        <v>1.9341084662200834E-2</v>
      </c>
      <c r="K3221" s="43"/>
      <c r="L3221" s="43">
        <v>0.248</v>
      </c>
      <c r="O3221" s="50"/>
    </row>
    <row r="3222" spans="2:15" x14ac:dyDescent="0.2">
      <c r="B3222">
        <v>3207</v>
      </c>
      <c r="C3222" s="48">
        <f ca="1"/>
        <v>0.86878825860819431</v>
      </c>
      <c r="D3222" s="48">
        <f t="shared" ca="1" si="190"/>
        <v>0.72393027552046829</v>
      </c>
      <c r="E3222" s="48">
        <f t="shared" ca="1" si="191"/>
        <v>0</v>
      </c>
      <c r="F3222" s="17">
        <f t="shared" ca="1" si="192"/>
        <v>0</v>
      </c>
      <c r="H3222" s="17">
        <v>3207</v>
      </c>
      <c r="I3222" s="43">
        <v>0.66896813910238684</v>
      </c>
      <c r="J3222" s="43">
        <v>1.956819793463644E-2</v>
      </c>
      <c r="K3222" s="43"/>
      <c r="L3222" s="43">
        <v>0.25080000000000002</v>
      </c>
      <c r="O3222" s="50"/>
    </row>
    <row r="3223" spans="2:15" x14ac:dyDescent="0.2">
      <c r="B3223">
        <v>3208</v>
      </c>
      <c r="C3223" s="48">
        <f ca="1"/>
        <v>0.26925112544106738</v>
      </c>
      <c r="D3223" s="48">
        <f t="shared" ca="1" si="190"/>
        <v>0.6823810555185601</v>
      </c>
      <c r="E3223" s="48">
        <f t="shared" ca="1" si="191"/>
        <v>0</v>
      </c>
      <c r="F3223" s="17">
        <f t="shared" ca="1" si="192"/>
        <v>0</v>
      </c>
      <c r="H3223" s="17">
        <v>3208</v>
      </c>
      <c r="I3223" s="43">
        <v>0.66814823053789474</v>
      </c>
      <c r="J3223" s="43">
        <v>1.8649308954073143E-2</v>
      </c>
      <c r="K3223" s="43"/>
      <c r="L3223" s="43">
        <v>0.2492</v>
      </c>
      <c r="O3223" s="50"/>
    </row>
    <row r="3224" spans="2:15" x14ac:dyDescent="0.2">
      <c r="B3224">
        <v>3209</v>
      </c>
      <c r="C3224" s="48">
        <f ca="1"/>
        <v>0.46605924037347707</v>
      </c>
      <c r="D3224" s="48">
        <f t="shared" ca="1" si="190"/>
        <v>0.69575045078532538</v>
      </c>
      <c r="E3224" s="48">
        <f t="shared" ca="1" si="191"/>
        <v>0</v>
      </c>
      <c r="F3224" s="17">
        <f t="shared" ca="1" si="192"/>
        <v>0</v>
      </c>
      <c r="H3224" s="17">
        <v>3209</v>
      </c>
      <c r="I3224" s="43">
        <v>0.66824723537672348</v>
      </c>
      <c r="J3224" s="43">
        <v>1.8855366679196951E-2</v>
      </c>
      <c r="K3224" s="43"/>
      <c r="L3224" s="43">
        <v>0.25019999999999998</v>
      </c>
      <c r="O3224" s="50"/>
    </row>
    <row r="3225" spans="2:15" x14ac:dyDescent="0.2">
      <c r="B3225">
        <v>3210</v>
      </c>
      <c r="C3225" s="48">
        <f ca="1"/>
        <v>-0.10752412780792893</v>
      </c>
      <c r="D3225" s="48">
        <f t="shared" ca="1" si="190"/>
        <v>0.65749878448812682</v>
      </c>
      <c r="E3225" s="48">
        <f t="shared" ca="1" si="191"/>
        <v>0</v>
      </c>
      <c r="F3225" s="17">
        <f t="shared" ca="1" si="192"/>
        <v>0</v>
      </c>
      <c r="H3225" s="17">
        <v>3210</v>
      </c>
      <c r="I3225" s="43">
        <v>0.66847335432687294</v>
      </c>
      <c r="J3225" s="43">
        <v>1.8927670960325285E-2</v>
      </c>
      <c r="K3225" s="43"/>
      <c r="L3225" s="43">
        <v>0.248</v>
      </c>
      <c r="O3225" s="50"/>
    </row>
    <row r="3226" spans="2:15" x14ac:dyDescent="0.2">
      <c r="B3226">
        <v>3211</v>
      </c>
      <c r="C3226" s="48">
        <f ca="1"/>
        <v>0.70366116271073431</v>
      </c>
      <c r="D3226" s="48">
        <f t="shared" ca="1" si="190"/>
        <v>0.71224048958144659</v>
      </c>
      <c r="E3226" s="48">
        <f t="shared" ca="1" si="191"/>
        <v>0</v>
      </c>
      <c r="F3226" s="17">
        <f t="shared" ca="1" si="192"/>
        <v>0</v>
      </c>
      <c r="H3226" s="17">
        <v>3211</v>
      </c>
      <c r="I3226" s="43">
        <v>0.6694630123789137</v>
      </c>
      <c r="J3226" s="43">
        <v>1.9864760541163373E-2</v>
      </c>
      <c r="K3226" s="43"/>
      <c r="L3226" s="43">
        <v>0.25459999999999999</v>
      </c>
      <c r="O3226" s="50"/>
    </row>
    <row r="3227" spans="2:15" x14ac:dyDescent="0.2">
      <c r="B3227">
        <v>3212</v>
      </c>
      <c r="C3227" s="48">
        <f ca="1"/>
        <v>7.5118163009672126E-2</v>
      </c>
      <c r="D3227" s="48">
        <f t="shared" ca="1" si="190"/>
        <v>0.6694450975949795</v>
      </c>
      <c r="E3227" s="48">
        <f t="shared" ca="1" si="191"/>
        <v>0</v>
      </c>
      <c r="F3227" s="17">
        <f t="shared" ca="1" si="192"/>
        <v>0</v>
      </c>
      <c r="H3227" s="17">
        <v>3212</v>
      </c>
      <c r="I3227" s="43">
        <v>0.67029660379991252</v>
      </c>
      <c r="J3227" s="43">
        <v>2.0482077604319842E-2</v>
      </c>
      <c r="K3227" s="43"/>
      <c r="L3227" s="43">
        <v>0.26219999999999999</v>
      </c>
      <c r="O3227" s="50"/>
    </row>
    <row r="3228" spans="2:15" x14ac:dyDescent="0.2">
      <c r="B3228">
        <v>3213</v>
      </c>
      <c r="C3228" s="48">
        <f ca="1"/>
        <v>0.33634352685160557</v>
      </c>
      <c r="D3228" s="48">
        <f t="shared" ca="1" si="190"/>
        <v>0.68690960507003407</v>
      </c>
      <c r="E3228" s="48">
        <f t="shared" ca="1" si="191"/>
        <v>0</v>
      </c>
      <c r="F3228" s="17">
        <f t="shared" ca="1" si="192"/>
        <v>0</v>
      </c>
      <c r="H3228" s="17">
        <v>3213</v>
      </c>
      <c r="I3228" s="43">
        <v>0.66750873029383284</v>
      </c>
      <c r="J3228" s="43">
        <v>1.8366150940471344E-2</v>
      </c>
      <c r="K3228" s="43"/>
      <c r="L3228" s="43">
        <v>0.24779999999999999</v>
      </c>
      <c r="O3228" s="50"/>
    </row>
    <row r="3229" spans="2:15" x14ac:dyDescent="0.2">
      <c r="B3229">
        <v>3214</v>
      </c>
      <c r="C3229" s="48">
        <f ca="1"/>
        <v>-0.38690707141970299</v>
      </c>
      <c r="D3229" s="48">
        <f t="shared" ca="1" si="190"/>
        <v>0.6396359957201001</v>
      </c>
      <c r="E3229" s="48">
        <f t="shared" ca="1" si="191"/>
        <v>0</v>
      </c>
      <c r="F3229" s="17">
        <f t="shared" ca="1" si="192"/>
        <v>0</v>
      </c>
      <c r="H3229" s="17">
        <v>3214</v>
      </c>
      <c r="I3229" s="43">
        <v>0.66880297907144681</v>
      </c>
      <c r="J3229" s="43">
        <v>1.9051092142850695E-2</v>
      </c>
      <c r="K3229" s="43"/>
      <c r="L3229" s="43">
        <v>0.2482</v>
      </c>
      <c r="O3229" s="50"/>
    </row>
    <row r="3230" spans="2:15" x14ac:dyDescent="0.2">
      <c r="B3230">
        <v>3215</v>
      </c>
      <c r="C3230" s="48">
        <f ca="1"/>
        <v>-1.1857415108973581</v>
      </c>
      <c r="D3230" s="48">
        <f t="shared" ca="1" si="190"/>
        <v>0.59119398285456271</v>
      </c>
      <c r="E3230" s="48">
        <f t="shared" ca="1" si="191"/>
        <v>0</v>
      </c>
      <c r="F3230" s="17">
        <f t="shared" ca="1" si="192"/>
        <v>0</v>
      </c>
      <c r="H3230" s="17">
        <v>3215</v>
      </c>
      <c r="I3230" s="43">
        <v>0.66927804204237784</v>
      </c>
      <c r="J3230" s="43">
        <v>1.9678711847109075E-2</v>
      </c>
      <c r="K3230" s="43"/>
      <c r="L3230" s="43">
        <v>0.24779999999999999</v>
      </c>
      <c r="O3230" s="50"/>
    </row>
    <row r="3231" spans="2:15" x14ac:dyDescent="0.2">
      <c r="B3231">
        <v>3216</v>
      </c>
      <c r="C3231" s="48">
        <f ca="1"/>
        <v>0.8550028123328649</v>
      </c>
      <c r="D3231" s="48">
        <f t="shared" ca="1" si="190"/>
        <v>0.72294707023421689</v>
      </c>
      <c r="E3231" s="48">
        <f t="shared" ca="1" si="191"/>
        <v>0</v>
      </c>
      <c r="F3231" s="17">
        <f t="shared" ca="1" si="192"/>
        <v>0</v>
      </c>
      <c r="H3231" s="17">
        <v>3216</v>
      </c>
      <c r="I3231" s="43">
        <v>0.66797065796750144</v>
      </c>
      <c r="J3231" s="43">
        <v>1.8495286167905613E-2</v>
      </c>
      <c r="K3231" s="43"/>
      <c r="L3231" s="43">
        <v>0.246</v>
      </c>
      <c r="O3231" s="50"/>
    </row>
    <row r="3232" spans="2:15" x14ac:dyDescent="0.2">
      <c r="B3232">
        <v>3217</v>
      </c>
      <c r="C3232" s="48">
        <f ca="1"/>
        <v>-1.0488782723138306</v>
      </c>
      <c r="D3232" s="48">
        <f t="shared" ca="1" si="190"/>
        <v>0.59922502306719139</v>
      </c>
      <c r="E3232" s="48">
        <f t="shared" ca="1" si="191"/>
        <v>0</v>
      </c>
      <c r="F3232" s="17">
        <f t="shared" ca="1" si="192"/>
        <v>0</v>
      </c>
      <c r="H3232" s="17">
        <v>3217</v>
      </c>
      <c r="I3232" s="43">
        <v>0.66803577834187577</v>
      </c>
      <c r="J3232" s="43">
        <v>1.8509596833354167E-2</v>
      </c>
      <c r="K3232" s="43"/>
      <c r="L3232" s="43">
        <v>0.24840000000000001</v>
      </c>
      <c r="O3232" s="50"/>
    </row>
    <row r="3233" spans="2:15" x14ac:dyDescent="0.2">
      <c r="B3233">
        <v>3218</v>
      </c>
      <c r="C3233" s="48">
        <f ca="1"/>
        <v>-1.949930474583577E-2</v>
      </c>
      <c r="D3233" s="48">
        <f t="shared" ca="1" si="190"/>
        <v>0.66322948395556081</v>
      </c>
      <c r="E3233" s="48">
        <f t="shared" ca="1" si="191"/>
        <v>0</v>
      </c>
      <c r="F3233" s="17">
        <f t="shared" ca="1" si="192"/>
        <v>0</v>
      </c>
      <c r="H3233" s="17">
        <v>3218</v>
      </c>
      <c r="I3233" s="43">
        <v>0.66874282545045993</v>
      </c>
      <c r="J3233" s="43">
        <v>1.9206317784727502E-2</v>
      </c>
      <c r="K3233" s="43"/>
      <c r="L3233" s="43">
        <v>0.25</v>
      </c>
      <c r="O3233" s="50"/>
    </row>
    <row r="3234" spans="2:15" x14ac:dyDescent="0.2">
      <c r="B3234">
        <v>3219</v>
      </c>
      <c r="C3234" s="48">
        <f ca="1"/>
        <v>-0.5068379579320712</v>
      </c>
      <c r="D3234" s="48">
        <f t="shared" ca="1" si="190"/>
        <v>0.63211767739105507</v>
      </c>
      <c r="E3234" s="48">
        <f t="shared" ca="1" si="191"/>
        <v>0</v>
      </c>
      <c r="F3234" s="17">
        <f t="shared" ca="1" si="192"/>
        <v>0</v>
      </c>
      <c r="H3234" s="17">
        <v>3219</v>
      </c>
      <c r="I3234" s="43">
        <v>0.66743842843177315</v>
      </c>
      <c r="J3234" s="43">
        <v>1.8264945616204703E-2</v>
      </c>
      <c r="K3234" s="43"/>
      <c r="L3234" s="43">
        <v>0.2414</v>
      </c>
      <c r="O3234" s="50"/>
    </row>
    <row r="3235" spans="2:15" x14ac:dyDescent="0.2">
      <c r="B3235">
        <v>3220</v>
      </c>
      <c r="C3235" s="48">
        <f ca="1"/>
        <v>-0.59031894993255818</v>
      </c>
      <c r="D3235" s="48">
        <f t="shared" ca="1" si="190"/>
        <v>0.62693658517408979</v>
      </c>
      <c r="E3235" s="48">
        <f t="shared" ca="1" si="191"/>
        <v>0</v>
      </c>
      <c r="F3235" s="17">
        <f t="shared" ca="1" si="192"/>
        <v>0</v>
      </c>
      <c r="H3235" s="17">
        <v>3220</v>
      </c>
      <c r="I3235" s="43">
        <v>0.66943807322452775</v>
      </c>
      <c r="J3235" s="43">
        <v>1.9821268044212335E-2</v>
      </c>
      <c r="K3235" s="43"/>
      <c r="L3235" s="43">
        <v>0.25600000000000001</v>
      </c>
      <c r="O3235" s="50"/>
    </row>
    <row r="3236" spans="2:15" x14ac:dyDescent="0.2">
      <c r="B3236">
        <v>3221</v>
      </c>
      <c r="C3236" s="48">
        <f ca="1"/>
        <v>1.2668507661318373</v>
      </c>
      <c r="D3236" s="48">
        <f t="shared" ca="1" si="190"/>
        <v>0.75290500061171606</v>
      </c>
      <c r="E3236" s="48">
        <f t="shared" ca="1" si="191"/>
        <v>0</v>
      </c>
      <c r="F3236" s="17">
        <f t="shared" ca="1" si="192"/>
        <v>0</v>
      </c>
      <c r="H3236" s="17">
        <v>3221</v>
      </c>
      <c r="I3236" s="43">
        <v>0.66869194202533599</v>
      </c>
      <c r="J3236" s="43">
        <v>1.9378082056738986E-2</v>
      </c>
      <c r="K3236" s="43"/>
      <c r="L3236" s="43">
        <v>0.25540000000000002</v>
      </c>
      <c r="O3236" s="50"/>
    </row>
    <row r="3237" spans="2:15" x14ac:dyDescent="0.2">
      <c r="B3237">
        <v>3222</v>
      </c>
      <c r="C3237" s="48">
        <f ca="1"/>
        <v>0.49990114917286838</v>
      </c>
      <c r="D3237" s="48">
        <f t="shared" ca="1" si="190"/>
        <v>0.69807562102985687</v>
      </c>
      <c r="E3237" s="48">
        <f t="shared" ca="1" si="191"/>
        <v>0</v>
      </c>
      <c r="F3237" s="17">
        <f t="shared" ca="1" si="192"/>
        <v>0</v>
      </c>
      <c r="H3237" s="17">
        <v>3222</v>
      </c>
      <c r="I3237" s="43">
        <v>0.66822856261327557</v>
      </c>
      <c r="J3237" s="43">
        <v>1.8649425789445465E-2</v>
      </c>
      <c r="K3237" s="43"/>
      <c r="L3237" s="43">
        <v>0.24979999999999999</v>
      </c>
      <c r="O3237" s="50"/>
    </row>
    <row r="3238" spans="2:15" x14ac:dyDescent="0.2">
      <c r="B3238">
        <v>3223</v>
      </c>
      <c r="C3238" s="48">
        <f ca="1"/>
        <v>1.4231778449848687</v>
      </c>
      <c r="D3238" s="48">
        <f t="shared" ca="1" si="190"/>
        <v>0.76459856907445189</v>
      </c>
      <c r="E3238" s="48">
        <f t="shared" ca="1" si="191"/>
        <v>0</v>
      </c>
      <c r="F3238" s="17">
        <f t="shared" ca="1" si="192"/>
        <v>0</v>
      </c>
      <c r="H3238" s="17">
        <v>3223</v>
      </c>
      <c r="I3238" s="43">
        <v>0.66909188549695142</v>
      </c>
      <c r="J3238" s="43">
        <v>1.9250787544429614E-2</v>
      </c>
      <c r="K3238" s="43"/>
      <c r="L3238" s="43">
        <v>0.25019999999999998</v>
      </c>
      <c r="O3238" s="50"/>
    </row>
    <row r="3239" spans="2:15" x14ac:dyDescent="0.2">
      <c r="B3239">
        <v>3224</v>
      </c>
      <c r="C3239" s="48">
        <f ca="1"/>
        <v>0.56581328126804753</v>
      </c>
      <c r="D3239" s="48">
        <f t="shared" ca="1" si="190"/>
        <v>0.70262656368297793</v>
      </c>
      <c r="E3239" s="48">
        <f t="shared" ca="1" si="191"/>
        <v>0</v>
      </c>
      <c r="F3239" s="17">
        <f t="shared" ca="1" si="192"/>
        <v>0</v>
      </c>
      <c r="H3239" s="17">
        <v>3224</v>
      </c>
      <c r="I3239" s="43">
        <v>0.66973166372272352</v>
      </c>
      <c r="J3239" s="43">
        <v>2.0068505094981037E-2</v>
      </c>
      <c r="K3239" s="43"/>
      <c r="L3239" s="43">
        <v>0.25380000000000003</v>
      </c>
      <c r="O3239" s="50"/>
    </row>
    <row r="3240" spans="2:15" x14ac:dyDescent="0.2">
      <c r="B3240">
        <v>3225</v>
      </c>
      <c r="C3240" s="48">
        <f ca="1"/>
        <v>-0.64748278671365</v>
      </c>
      <c r="D3240" s="48">
        <f t="shared" ca="1" si="190"/>
        <v>0.62341333471999194</v>
      </c>
      <c r="E3240" s="48">
        <f t="shared" ca="1" si="191"/>
        <v>0</v>
      </c>
      <c r="F3240" s="17">
        <f t="shared" ca="1" si="192"/>
        <v>0</v>
      </c>
      <c r="H3240" s="17">
        <v>3225</v>
      </c>
      <c r="I3240" s="43">
        <v>0.66845600700629837</v>
      </c>
      <c r="J3240" s="43">
        <v>1.884263194721611E-2</v>
      </c>
      <c r="K3240" s="43"/>
      <c r="L3240" s="43">
        <v>0.24759999999999999</v>
      </c>
      <c r="O3240" s="50"/>
    </row>
    <row r="3241" spans="2:15" x14ac:dyDescent="0.2">
      <c r="B3241">
        <v>3226</v>
      </c>
      <c r="C3241" s="48">
        <f ca="1"/>
        <v>-0.11444666124504418</v>
      </c>
      <c r="D3241" s="48">
        <f t="shared" ca="1" si="190"/>
        <v>0.6570502110560108</v>
      </c>
      <c r="E3241" s="48">
        <f t="shared" ca="1" si="191"/>
        <v>0</v>
      </c>
      <c r="F3241" s="17">
        <f t="shared" ca="1" si="192"/>
        <v>0</v>
      </c>
      <c r="H3241" s="17">
        <v>3226</v>
      </c>
      <c r="I3241" s="43">
        <v>0.6682662830650653</v>
      </c>
      <c r="J3241" s="43">
        <v>1.8938294170485089E-2</v>
      </c>
      <c r="K3241" s="43"/>
      <c r="L3241" s="43">
        <v>0.254</v>
      </c>
      <c r="O3241" s="50"/>
    </row>
    <row r="3242" spans="2:15" x14ac:dyDescent="0.2">
      <c r="B3242">
        <v>3227</v>
      </c>
      <c r="C3242" s="48">
        <f ca="1"/>
        <v>-0.53689939761348682</v>
      </c>
      <c r="D3242" s="48">
        <f t="shared" ca="1" si="190"/>
        <v>0.63024705539984838</v>
      </c>
      <c r="E3242" s="48">
        <f t="shared" ca="1" si="191"/>
        <v>0</v>
      </c>
      <c r="F3242" s="17">
        <f t="shared" ca="1" si="192"/>
        <v>0</v>
      </c>
      <c r="H3242" s="17">
        <v>3227</v>
      </c>
      <c r="I3242" s="43">
        <v>0.66870727980944544</v>
      </c>
      <c r="J3242" s="43">
        <v>1.8782900715523167E-2</v>
      </c>
      <c r="K3242" s="43"/>
      <c r="L3242" s="43">
        <v>0.2424</v>
      </c>
      <c r="O3242" s="50"/>
    </row>
    <row r="3243" spans="2:15" x14ac:dyDescent="0.2">
      <c r="B3243">
        <v>3228</v>
      </c>
      <c r="C3243" s="48">
        <f ca="1"/>
        <v>-0.36898734800402344</v>
      </c>
      <c r="D3243" s="48">
        <f t="shared" ca="1" si="190"/>
        <v>0.6407670139381213</v>
      </c>
      <c r="E3243" s="48">
        <f t="shared" ca="1" si="191"/>
        <v>0</v>
      </c>
      <c r="F3243" s="17">
        <f t="shared" ca="1" si="192"/>
        <v>0</v>
      </c>
      <c r="H3243" s="17">
        <v>3228</v>
      </c>
      <c r="I3243" s="43">
        <v>0.66871169725985402</v>
      </c>
      <c r="J3243" s="43">
        <v>1.9016202526134292E-2</v>
      </c>
      <c r="K3243" s="43"/>
      <c r="L3243" s="43">
        <v>0.24299999999999999</v>
      </c>
      <c r="O3243" s="50"/>
    </row>
    <row r="3244" spans="2:15" x14ac:dyDescent="0.2">
      <c r="B3244">
        <v>3229</v>
      </c>
      <c r="C3244" s="48">
        <f ca="1"/>
        <v>1.8682325644874833</v>
      </c>
      <c r="D3244" s="48">
        <f t="shared" ca="1" si="190"/>
        <v>0.79889359843676655</v>
      </c>
      <c r="E3244" s="48">
        <f t="shared" ca="1" si="191"/>
        <v>1.0693598436766538E-2</v>
      </c>
      <c r="F3244" s="17">
        <f t="shared" ca="1" si="192"/>
        <v>1</v>
      </c>
      <c r="H3244" s="17">
        <v>3229</v>
      </c>
      <c r="I3244" s="43">
        <v>0.66951664129439836</v>
      </c>
      <c r="J3244" s="43">
        <v>1.9918609565138128E-2</v>
      </c>
      <c r="K3244" s="43"/>
      <c r="L3244" s="43">
        <v>0.25719999999999998</v>
      </c>
      <c r="O3244" s="50"/>
    </row>
    <row r="3245" spans="2:15" x14ac:dyDescent="0.2">
      <c r="B3245">
        <v>3230</v>
      </c>
      <c r="C3245" s="48">
        <f ca="1"/>
        <v>-0.15048611145220483</v>
      </c>
      <c r="D3245" s="48">
        <f t="shared" ca="1" si="190"/>
        <v>0.65471982897217706</v>
      </c>
      <c r="E3245" s="48">
        <f t="shared" ca="1" si="191"/>
        <v>0</v>
      </c>
      <c r="F3245" s="17">
        <f t="shared" ca="1" si="192"/>
        <v>0</v>
      </c>
      <c r="H3245" s="17">
        <v>3230</v>
      </c>
      <c r="I3245" s="43">
        <v>0.66977693409644279</v>
      </c>
      <c r="J3245" s="43">
        <v>1.9702663483583356E-2</v>
      </c>
      <c r="K3245" s="43"/>
      <c r="L3245" s="43">
        <v>0.251</v>
      </c>
      <c r="O3245" s="50"/>
    </row>
    <row r="3246" spans="2:15" x14ac:dyDescent="0.2">
      <c r="B3246">
        <v>3231</v>
      </c>
      <c r="C3246" s="48">
        <f ca="1"/>
        <v>-1.1651960932051582</v>
      </c>
      <c r="D3246" s="48">
        <f t="shared" ca="1" si="190"/>
        <v>0.59239267210635238</v>
      </c>
      <c r="E3246" s="48">
        <f t="shared" ca="1" si="191"/>
        <v>0</v>
      </c>
      <c r="F3246" s="17">
        <f t="shared" ca="1" si="192"/>
        <v>0</v>
      </c>
      <c r="H3246" s="17">
        <v>3231</v>
      </c>
      <c r="I3246" s="43">
        <v>0.66968974022343142</v>
      </c>
      <c r="J3246" s="43">
        <v>1.9897669592156102E-2</v>
      </c>
      <c r="K3246" s="43"/>
      <c r="L3246" s="43">
        <v>0.24959999999999999</v>
      </c>
      <c r="O3246" s="50"/>
    </row>
    <row r="3247" spans="2:15" x14ac:dyDescent="0.2">
      <c r="B3247">
        <v>3232</v>
      </c>
      <c r="C3247" s="48">
        <f ca="1"/>
        <v>1.7288434891723874</v>
      </c>
      <c r="D3247" s="48">
        <f t="shared" ca="1" si="190"/>
        <v>0.78799027801621158</v>
      </c>
      <c r="E3247" s="48">
        <f t="shared" ca="1" si="191"/>
        <v>0</v>
      </c>
      <c r="F3247" s="17">
        <f t="shared" ca="1" si="192"/>
        <v>0</v>
      </c>
      <c r="H3247" s="17">
        <v>3232</v>
      </c>
      <c r="I3247" s="43">
        <v>0.66902062775902404</v>
      </c>
      <c r="J3247" s="43">
        <v>1.9359209744770366E-2</v>
      </c>
      <c r="K3247" s="43"/>
      <c r="L3247" s="43">
        <v>0.25580000000000003</v>
      </c>
      <c r="O3247" s="50"/>
    </row>
    <row r="3248" spans="2:15" x14ac:dyDescent="0.2">
      <c r="B3248">
        <v>3233</v>
      </c>
      <c r="C3248" s="48">
        <f ca="1"/>
        <v>-0.34457490518082234</v>
      </c>
      <c r="D3248" s="48">
        <f t="shared" ca="1" si="190"/>
        <v>0.6423110442876403</v>
      </c>
      <c r="E3248" s="48">
        <f t="shared" ca="1" si="191"/>
        <v>0</v>
      </c>
      <c r="F3248" s="17">
        <f t="shared" ca="1" si="192"/>
        <v>0</v>
      </c>
      <c r="H3248" s="17">
        <v>3233</v>
      </c>
      <c r="I3248" s="43">
        <v>0.66889694105963449</v>
      </c>
      <c r="J3248" s="43">
        <v>1.9384660889591235E-2</v>
      </c>
      <c r="K3248" s="43"/>
      <c r="L3248" s="43">
        <v>0.25019999999999998</v>
      </c>
      <c r="O3248" s="50"/>
    </row>
    <row r="3249" spans="2:15" x14ac:dyDescent="0.2">
      <c r="B3249">
        <v>3234</v>
      </c>
      <c r="C3249" s="48">
        <f ca="1"/>
        <v>0.43717756992562662</v>
      </c>
      <c r="D3249" s="48">
        <f t="shared" ca="1" si="190"/>
        <v>0.69377220899026437</v>
      </c>
      <c r="E3249" s="48">
        <f t="shared" ca="1" si="191"/>
        <v>0</v>
      </c>
      <c r="F3249" s="17">
        <f t="shared" ca="1" si="192"/>
        <v>0</v>
      </c>
      <c r="H3249" s="17">
        <v>3234</v>
      </c>
      <c r="I3249" s="43">
        <v>0.66798722464689997</v>
      </c>
      <c r="J3249" s="43">
        <v>1.8575076899585416E-2</v>
      </c>
      <c r="K3249" s="43"/>
      <c r="L3249" s="43">
        <v>0.24959999999999999</v>
      </c>
      <c r="O3249" s="50"/>
    </row>
    <row r="3250" spans="2:15" x14ac:dyDescent="0.2">
      <c r="B3250">
        <v>3235</v>
      </c>
      <c r="C3250" s="48">
        <f ca="1"/>
        <v>-0.18527374872661198</v>
      </c>
      <c r="D3250" s="48">
        <f t="shared" ca="1" si="190"/>
        <v>0.65247823150560813</v>
      </c>
      <c r="E3250" s="48">
        <f t="shared" ca="1" si="191"/>
        <v>0</v>
      </c>
      <c r="F3250" s="17">
        <f t="shared" ca="1" si="192"/>
        <v>0</v>
      </c>
      <c r="H3250" s="17">
        <v>3235</v>
      </c>
      <c r="I3250" s="43">
        <v>0.66860713206065936</v>
      </c>
      <c r="J3250" s="43">
        <v>1.952464536226994E-2</v>
      </c>
      <c r="K3250" s="43"/>
      <c r="L3250" s="43">
        <v>0.24279999999999999</v>
      </c>
      <c r="O3250" s="50"/>
    </row>
    <row r="3251" spans="2:15" x14ac:dyDescent="0.2">
      <c r="B3251">
        <v>3236</v>
      </c>
      <c r="C3251" s="48">
        <f ca="1"/>
        <v>-0.425628673335673</v>
      </c>
      <c r="D3251" s="48">
        <f t="shared" ca="1" si="190"/>
        <v>0.63719886264346182</v>
      </c>
      <c r="E3251" s="48">
        <f t="shared" ca="1" si="191"/>
        <v>0</v>
      </c>
      <c r="F3251" s="17">
        <f t="shared" ca="1" si="192"/>
        <v>0</v>
      </c>
      <c r="H3251" s="17">
        <v>3236</v>
      </c>
      <c r="I3251" s="43">
        <v>0.67058079157392692</v>
      </c>
      <c r="J3251" s="43">
        <v>2.0539004950014827E-2</v>
      </c>
      <c r="K3251" s="43"/>
      <c r="L3251" s="43">
        <v>0.25459999999999999</v>
      </c>
      <c r="O3251" s="50"/>
    </row>
    <row r="3252" spans="2:15" x14ac:dyDescent="0.2">
      <c r="B3252">
        <v>3237</v>
      </c>
      <c r="C3252" s="48">
        <f ca="1"/>
        <v>-0.12185610581162984</v>
      </c>
      <c r="D3252" s="48">
        <f t="shared" ca="1" si="190"/>
        <v>0.65657042533224841</v>
      </c>
      <c r="E3252" s="48">
        <f t="shared" ca="1" si="191"/>
        <v>0</v>
      </c>
      <c r="F3252" s="17">
        <f t="shared" ca="1" si="192"/>
        <v>0</v>
      </c>
      <c r="H3252" s="17">
        <v>3237</v>
      </c>
      <c r="I3252" s="43">
        <v>0.66928880030359017</v>
      </c>
      <c r="J3252" s="43">
        <v>1.9732637977178773E-2</v>
      </c>
      <c r="K3252" s="43"/>
      <c r="L3252" s="43">
        <v>0.25419999999999998</v>
      </c>
      <c r="O3252" s="50"/>
    </row>
    <row r="3253" spans="2:15" x14ac:dyDescent="0.2">
      <c r="B3253">
        <v>3238</v>
      </c>
      <c r="C3253" s="48">
        <f ca="1"/>
        <v>-8.1804696678012739E-2</v>
      </c>
      <c r="D3253" s="48">
        <f t="shared" ca="1" si="190"/>
        <v>0.65916806280132367</v>
      </c>
      <c r="E3253" s="48">
        <f t="shared" ca="1" si="191"/>
        <v>0</v>
      </c>
      <c r="F3253" s="17">
        <f t="shared" ca="1" si="192"/>
        <v>0</v>
      </c>
      <c r="H3253" s="17">
        <v>3238</v>
      </c>
      <c r="I3253" s="43">
        <v>0.66969204833969953</v>
      </c>
      <c r="J3253" s="43">
        <v>1.9811658691581056E-2</v>
      </c>
      <c r="K3253" s="43"/>
      <c r="L3253" s="43">
        <v>0.25059999999999999</v>
      </c>
      <c r="O3253" s="50"/>
    </row>
    <row r="3254" spans="2:15" x14ac:dyDescent="0.2">
      <c r="B3254">
        <v>3239</v>
      </c>
      <c r="C3254" s="48">
        <f ca="1"/>
        <v>-0.79415538010755993</v>
      </c>
      <c r="D3254" s="48">
        <f t="shared" ca="1" si="190"/>
        <v>0.61446359106030568</v>
      </c>
      <c r="E3254" s="48">
        <f t="shared" ca="1" si="191"/>
        <v>0</v>
      </c>
      <c r="F3254" s="17">
        <f t="shared" ca="1" si="192"/>
        <v>0</v>
      </c>
      <c r="H3254" s="17">
        <v>3239</v>
      </c>
      <c r="I3254" s="43">
        <v>0.66963472699242299</v>
      </c>
      <c r="J3254" s="43">
        <v>1.9689010176091405E-2</v>
      </c>
      <c r="K3254" s="43"/>
      <c r="L3254" s="43">
        <v>0.25619999999999998</v>
      </c>
      <c r="O3254" s="50"/>
    </row>
    <row r="3255" spans="2:15" x14ac:dyDescent="0.2">
      <c r="B3255">
        <v>3240</v>
      </c>
      <c r="C3255" s="48">
        <f ca="1"/>
        <v>0.77677714997939806</v>
      </c>
      <c r="D3255" s="48">
        <f t="shared" ca="1" si="190"/>
        <v>0.71739309558354858</v>
      </c>
      <c r="E3255" s="48">
        <f t="shared" ca="1" si="191"/>
        <v>0</v>
      </c>
      <c r="F3255" s="17">
        <f t="shared" ca="1" si="192"/>
        <v>0</v>
      </c>
      <c r="H3255" s="17">
        <v>3240</v>
      </c>
      <c r="I3255" s="43">
        <v>0.66914104931254414</v>
      </c>
      <c r="J3255" s="43">
        <v>1.9349070511926417E-2</v>
      </c>
      <c r="K3255" s="43"/>
      <c r="L3255" s="43">
        <v>0.248</v>
      </c>
      <c r="O3255" s="50"/>
    </row>
    <row r="3256" spans="2:15" x14ac:dyDescent="0.2">
      <c r="B3256">
        <v>3241</v>
      </c>
      <c r="C3256" s="48">
        <f ca="1"/>
        <v>-0.38911126267345697</v>
      </c>
      <c r="D3256" s="48">
        <f t="shared" ca="1" si="190"/>
        <v>0.63949701431288741</v>
      </c>
      <c r="E3256" s="48">
        <f t="shared" ca="1" si="191"/>
        <v>0</v>
      </c>
      <c r="F3256" s="17">
        <f t="shared" ca="1" si="192"/>
        <v>0</v>
      </c>
      <c r="H3256" s="17">
        <v>3241</v>
      </c>
      <c r="I3256" s="43">
        <v>0.66925782661018052</v>
      </c>
      <c r="J3256" s="43">
        <v>1.9713598449243405E-2</v>
      </c>
      <c r="K3256" s="43"/>
      <c r="L3256" s="43">
        <v>0.25059999999999999</v>
      </c>
      <c r="O3256" s="50"/>
    </row>
    <row r="3257" spans="2:15" x14ac:dyDescent="0.2">
      <c r="B3257">
        <v>3242</v>
      </c>
      <c r="C3257" s="48">
        <f ca="1"/>
        <v>-1.0181981059738674</v>
      </c>
      <c r="D3257" s="48">
        <f t="shared" ca="1" si="190"/>
        <v>0.60104023081980307</v>
      </c>
      <c r="E3257" s="48">
        <f t="shared" ca="1" si="191"/>
        <v>0</v>
      </c>
      <c r="F3257" s="17">
        <f t="shared" ca="1" si="192"/>
        <v>0</v>
      </c>
      <c r="H3257" s="17">
        <v>3242</v>
      </c>
      <c r="I3257" s="43">
        <v>0.66948746277447924</v>
      </c>
      <c r="J3257" s="43">
        <v>1.9690431760595973E-2</v>
      </c>
      <c r="K3257" s="43"/>
      <c r="L3257" s="43">
        <v>0.252</v>
      </c>
      <c r="O3257" s="50"/>
    </row>
    <row r="3258" spans="2:15" x14ac:dyDescent="0.2">
      <c r="B3258">
        <v>3243</v>
      </c>
      <c r="C3258" s="48">
        <f ca="1"/>
        <v>0.35242200782165928</v>
      </c>
      <c r="D3258" s="48">
        <f t="shared" ca="1" si="190"/>
        <v>0.68799931417398597</v>
      </c>
      <c r="E3258" s="48">
        <f t="shared" ca="1" si="191"/>
        <v>0</v>
      </c>
      <c r="F3258" s="17">
        <f t="shared" ca="1" si="192"/>
        <v>0</v>
      </c>
      <c r="H3258" s="17">
        <v>3243</v>
      </c>
      <c r="I3258" s="43">
        <v>0.66992740491339842</v>
      </c>
      <c r="J3258" s="43">
        <v>2.0161671387784758E-2</v>
      </c>
      <c r="K3258" s="43"/>
      <c r="L3258" s="43">
        <v>0.25159999999999999</v>
      </c>
      <c r="O3258" s="50"/>
    </row>
    <row r="3259" spans="2:15" x14ac:dyDescent="0.2">
      <c r="B3259">
        <v>3244</v>
      </c>
      <c r="C3259" s="48">
        <f ca="1"/>
        <v>-0.65353996806412107</v>
      </c>
      <c r="D3259" s="48">
        <f t="shared" ca="1" si="190"/>
        <v>0.6230411669853545</v>
      </c>
      <c r="E3259" s="48">
        <f t="shared" ca="1" si="191"/>
        <v>0</v>
      </c>
      <c r="F3259" s="17">
        <f t="shared" ca="1" si="192"/>
        <v>0</v>
      </c>
      <c r="H3259" s="17">
        <v>3244</v>
      </c>
      <c r="I3259" s="43">
        <v>0.66942058972062624</v>
      </c>
      <c r="J3259" s="43">
        <v>1.9432940295017038E-2</v>
      </c>
      <c r="K3259" s="43"/>
      <c r="L3259" s="43">
        <v>0.24579999999999999</v>
      </c>
      <c r="O3259" s="50"/>
    </row>
    <row r="3260" spans="2:15" x14ac:dyDescent="0.2">
      <c r="B3260">
        <v>3245</v>
      </c>
      <c r="C3260" s="48">
        <f ca="1"/>
        <v>0.53676987900392059</v>
      </c>
      <c r="D3260" s="48">
        <f t="shared" ca="1" si="190"/>
        <v>0.70061759964453074</v>
      </c>
      <c r="E3260" s="48">
        <f t="shared" ca="1" si="191"/>
        <v>0</v>
      </c>
      <c r="F3260" s="17">
        <f t="shared" ca="1" si="192"/>
        <v>0</v>
      </c>
      <c r="H3260" s="17">
        <v>3245</v>
      </c>
      <c r="I3260" s="43">
        <v>0.66861898884409465</v>
      </c>
      <c r="J3260" s="43">
        <v>1.9051758255798783E-2</v>
      </c>
      <c r="K3260" s="43"/>
      <c r="L3260" s="43">
        <v>0.25480000000000003</v>
      </c>
      <c r="O3260" s="50"/>
    </row>
    <row r="3261" spans="2:15" x14ac:dyDescent="0.2">
      <c r="B3261">
        <v>3246</v>
      </c>
      <c r="C3261" s="48">
        <f ca="1"/>
        <v>-1.7139673136367946</v>
      </c>
      <c r="D3261" s="48">
        <f t="shared" ca="1" si="190"/>
        <v>0.56119461147214411</v>
      </c>
      <c r="E3261" s="48">
        <f t="shared" ca="1" si="191"/>
        <v>0</v>
      </c>
      <c r="F3261" s="17">
        <f t="shared" ca="1" si="192"/>
        <v>0</v>
      </c>
      <c r="H3261" s="17">
        <v>3246</v>
      </c>
      <c r="I3261" s="43">
        <v>0.66792763625231188</v>
      </c>
      <c r="J3261" s="43">
        <v>1.851213488336562E-2</v>
      </c>
      <c r="K3261" s="43"/>
      <c r="L3261" s="43">
        <v>0.24640000000000001</v>
      </c>
      <c r="O3261" s="50"/>
    </row>
    <row r="3262" spans="2:15" x14ac:dyDescent="0.2">
      <c r="B3262">
        <v>3247</v>
      </c>
      <c r="C3262" s="48">
        <f ca="1"/>
        <v>0.62927738043149617</v>
      </c>
      <c r="D3262" s="48">
        <f t="shared" ca="1" si="190"/>
        <v>0.70703651457050443</v>
      </c>
      <c r="E3262" s="48">
        <f t="shared" ca="1" si="191"/>
        <v>0</v>
      </c>
      <c r="F3262" s="17">
        <f t="shared" ca="1" si="192"/>
        <v>0</v>
      </c>
      <c r="H3262" s="17">
        <v>3247</v>
      </c>
      <c r="I3262" s="43">
        <v>0.66907116937688893</v>
      </c>
      <c r="J3262" s="43">
        <v>1.9520338486889686E-2</v>
      </c>
      <c r="K3262" s="43"/>
      <c r="L3262" s="43">
        <v>0.25359999999999999</v>
      </c>
      <c r="O3262" s="50"/>
    </row>
    <row r="3263" spans="2:15" x14ac:dyDescent="0.2">
      <c r="B3263">
        <v>3248</v>
      </c>
      <c r="C3263" s="48">
        <f ca="1"/>
        <v>1.7859056463682172</v>
      </c>
      <c r="D3263" s="48">
        <f t="shared" ca="1" si="190"/>
        <v>0.79243569930410596</v>
      </c>
      <c r="E3263" s="48">
        <f t="shared" ca="1" si="191"/>
        <v>4.2356993041059443E-3</v>
      </c>
      <c r="F3263" s="17">
        <f t="shared" ca="1" si="192"/>
        <v>1</v>
      </c>
      <c r="H3263" s="17">
        <v>3248</v>
      </c>
      <c r="I3263" s="43">
        <v>0.66938044355876358</v>
      </c>
      <c r="J3263" s="43">
        <v>1.9608570319616877E-2</v>
      </c>
      <c r="K3263" s="43"/>
      <c r="L3263" s="43">
        <v>0.24440000000000001</v>
      </c>
      <c r="O3263" s="50"/>
    </row>
    <row r="3264" spans="2:15" x14ac:dyDescent="0.2">
      <c r="B3264">
        <v>3249</v>
      </c>
      <c r="C3264" s="48">
        <f ca="1"/>
        <v>-0.25384390864344691</v>
      </c>
      <c r="D3264" s="48">
        <f t="shared" ca="1" si="190"/>
        <v>0.64808225070460979</v>
      </c>
      <c r="E3264" s="48">
        <f t="shared" ca="1" si="191"/>
        <v>0</v>
      </c>
      <c r="F3264" s="17">
        <f t="shared" ca="1" si="192"/>
        <v>0</v>
      </c>
      <c r="H3264" s="17">
        <v>3249</v>
      </c>
      <c r="I3264" s="43">
        <v>0.66883496656423203</v>
      </c>
      <c r="J3264" s="43">
        <v>1.9098689296412671E-2</v>
      </c>
      <c r="K3264" s="43"/>
      <c r="L3264" s="43">
        <v>0.25019999999999998</v>
      </c>
      <c r="O3264" s="50"/>
    </row>
    <row r="3265" spans="2:15" x14ac:dyDescent="0.2">
      <c r="B3265">
        <v>3250</v>
      </c>
      <c r="C3265" s="48">
        <f ca="1"/>
        <v>0.69722112368361822</v>
      </c>
      <c r="D3265" s="48">
        <f t="shared" ca="1" si="190"/>
        <v>0.71178842652436813</v>
      </c>
      <c r="E3265" s="48">
        <f t="shared" ca="1" si="191"/>
        <v>0</v>
      </c>
      <c r="F3265" s="17">
        <f t="shared" ca="1" si="192"/>
        <v>0</v>
      </c>
      <c r="H3265" s="17">
        <v>3250</v>
      </c>
      <c r="I3265" s="43">
        <v>0.66941579332755108</v>
      </c>
      <c r="J3265" s="43">
        <v>1.9704634642711761E-2</v>
      </c>
      <c r="K3265" s="43"/>
      <c r="L3265" s="43">
        <v>0.25259999999999999</v>
      </c>
      <c r="O3265" s="50"/>
    </row>
    <row r="3266" spans="2:15" x14ac:dyDescent="0.2">
      <c r="B3266">
        <v>3251</v>
      </c>
      <c r="C3266" s="48">
        <f ca="1"/>
        <v>4.5755580765880835E-2</v>
      </c>
      <c r="D3266" s="48">
        <f t="shared" ca="1" si="190"/>
        <v>0.667510001707879</v>
      </c>
      <c r="E3266" s="48">
        <f t="shared" ca="1" si="191"/>
        <v>0</v>
      </c>
      <c r="F3266" s="17">
        <f t="shared" ca="1" si="192"/>
        <v>0</v>
      </c>
      <c r="H3266" s="17">
        <v>3251</v>
      </c>
      <c r="I3266" s="43">
        <v>0.66849961556259674</v>
      </c>
      <c r="J3266" s="43">
        <v>1.9024447919156334E-2</v>
      </c>
      <c r="K3266" s="43"/>
      <c r="L3266" s="43">
        <v>0.2492</v>
      </c>
      <c r="O3266" s="50"/>
    </row>
    <row r="3267" spans="2:15" x14ac:dyDescent="0.2">
      <c r="B3267">
        <v>3252</v>
      </c>
      <c r="C3267" s="48">
        <f ca="1"/>
        <v>-0.11813183696095729</v>
      </c>
      <c r="D3267" s="48">
        <f t="shared" ca="1" si="190"/>
        <v>0.65681154009023091</v>
      </c>
      <c r="E3267" s="48">
        <f t="shared" ca="1" si="191"/>
        <v>0</v>
      </c>
      <c r="F3267" s="17">
        <f t="shared" ca="1" si="192"/>
        <v>0</v>
      </c>
      <c r="H3267" s="17">
        <v>3252</v>
      </c>
      <c r="I3267" s="43">
        <v>0.6696593886791975</v>
      </c>
      <c r="J3267" s="43">
        <v>1.9844405699444151E-2</v>
      </c>
      <c r="K3267" s="43"/>
      <c r="L3267" s="43">
        <v>0.25280000000000002</v>
      </c>
      <c r="O3267" s="50"/>
    </row>
    <row r="3268" spans="2:15" x14ac:dyDescent="0.2">
      <c r="B3268">
        <v>3253</v>
      </c>
      <c r="C3268" s="48">
        <f ca="1"/>
        <v>0.74932258469132684</v>
      </c>
      <c r="D3268" s="48">
        <f t="shared" ca="1" si="190"/>
        <v>0.71545397029565994</v>
      </c>
      <c r="E3268" s="48">
        <f t="shared" ca="1" si="191"/>
        <v>0</v>
      </c>
      <c r="F3268" s="17">
        <f t="shared" ca="1" si="192"/>
        <v>0</v>
      </c>
      <c r="H3268" s="17">
        <v>3253</v>
      </c>
      <c r="I3268" s="43">
        <v>0.66829997367283978</v>
      </c>
      <c r="J3268" s="43">
        <v>1.8795880882586918E-2</v>
      </c>
      <c r="K3268" s="43"/>
      <c r="L3268" s="43">
        <v>0.25140000000000001</v>
      </c>
      <c r="O3268" s="50"/>
    </row>
    <row r="3269" spans="2:15" x14ac:dyDescent="0.2">
      <c r="B3269">
        <v>3254</v>
      </c>
      <c r="C3269" s="48">
        <f ca="1"/>
        <v>0.63243339250561303</v>
      </c>
      <c r="D3269" s="48">
        <f t="shared" ca="1" si="190"/>
        <v>0.70725653843358049</v>
      </c>
      <c r="E3269" s="48">
        <f t="shared" ca="1" si="191"/>
        <v>0</v>
      </c>
      <c r="F3269" s="17">
        <f t="shared" ca="1" si="192"/>
        <v>0</v>
      </c>
      <c r="H3269" s="17">
        <v>3254</v>
      </c>
      <c r="I3269" s="43">
        <v>0.66991056220896239</v>
      </c>
      <c r="J3269" s="43">
        <v>1.9993100302840489E-2</v>
      </c>
      <c r="K3269" s="43"/>
      <c r="L3269" s="43">
        <v>0.26019999999999999</v>
      </c>
      <c r="O3269" s="50"/>
    </row>
    <row r="3270" spans="2:15" x14ac:dyDescent="0.2">
      <c r="B3270">
        <v>3255</v>
      </c>
      <c r="C3270" s="48">
        <f ca="1"/>
        <v>-1.3368388388520656</v>
      </c>
      <c r="D3270" s="48">
        <f t="shared" ca="1" si="190"/>
        <v>0.58245264644771155</v>
      </c>
      <c r="E3270" s="48">
        <f t="shared" ca="1" si="191"/>
        <v>0</v>
      </c>
      <c r="F3270" s="17">
        <f t="shared" ca="1" si="192"/>
        <v>0</v>
      </c>
      <c r="H3270" s="17">
        <v>3255</v>
      </c>
      <c r="I3270" s="43">
        <v>0.66890732576550693</v>
      </c>
      <c r="J3270" s="43">
        <v>1.9017033443041089E-2</v>
      </c>
      <c r="K3270" s="43"/>
      <c r="L3270" s="43">
        <v>0.25080000000000002</v>
      </c>
      <c r="O3270" s="50"/>
    </row>
    <row r="3271" spans="2:15" x14ac:dyDescent="0.2">
      <c r="B3271">
        <v>3256</v>
      </c>
      <c r="C3271" s="48">
        <f ca="1"/>
        <v>-1.1189452422527646</v>
      </c>
      <c r="D3271" s="48">
        <f t="shared" ca="1" si="190"/>
        <v>0.59510000487652037</v>
      </c>
      <c r="E3271" s="48">
        <f t="shared" ca="1" si="191"/>
        <v>0</v>
      </c>
      <c r="F3271" s="17">
        <f t="shared" ca="1" si="192"/>
        <v>0</v>
      </c>
      <c r="H3271" s="17">
        <v>3256</v>
      </c>
      <c r="I3271" s="43">
        <v>0.66910701023125085</v>
      </c>
      <c r="J3271" s="43">
        <v>1.9392318824672954E-2</v>
      </c>
      <c r="K3271" s="43"/>
      <c r="L3271" s="43">
        <v>0.252</v>
      </c>
      <c r="O3271" s="50"/>
    </row>
    <row r="3272" spans="2:15" x14ac:dyDescent="0.2">
      <c r="B3272">
        <v>3257</v>
      </c>
      <c r="C3272" s="48">
        <f ca="1"/>
        <v>0.40136134372042703</v>
      </c>
      <c r="D3272" s="48">
        <f t="shared" ca="1" si="190"/>
        <v>0.69132679768452043</v>
      </c>
      <c r="E3272" s="48">
        <f t="shared" ca="1" si="191"/>
        <v>0</v>
      </c>
      <c r="F3272" s="17">
        <f t="shared" ca="1" si="192"/>
        <v>0</v>
      </c>
      <c r="H3272" s="17">
        <v>3257</v>
      </c>
      <c r="I3272" s="43">
        <v>0.66878733125256062</v>
      </c>
      <c r="J3272" s="43">
        <v>1.9380922524714416E-2</v>
      </c>
      <c r="K3272" s="43"/>
      <c r="L3272" s="43">
        <v>0.24940000000000001</v>
      </c>
      <c r="O3272" s="50"/>
    </row>
    <row r="3273" spans="2:15" x14ac:dyDescent="0.2">
      <c r="B3273">
        <v>3258</v>
      </c>
      <c r="C3273" s="48">
        <f ca="1"/>
        <v>-0.42515333352220919</v>
      </c>
      <c r="D3273" s="48">
        <f t="shared" ca="1" si="190"/>
        <v>0.6372287241063761</v>
      </c>
      <c r="E3273" s="48">
        <f t="shared" ca="1" si="191"/>
        <v>0</v>
      </c>
      <c r="F3273" s="17">
        <f t="shared" ca="1" si="192"/>
        <v>0</v>
      </c>
      <c r="H3273" s="17">
        <v>3258</v>
      </c>
      <c r="I3273" s="43">
        <v>0.6691861079672321</v>
      </c>
      <c r="J3273" s="43">
        <v>1.9646270811034486E-2</v>
      </c>
      <c r="K3273" s="43"/>
      <c r="L3273" s="43">
        <v>0.24660000000000001</v>
      </c>
      <c r="O3273" s="50"/>
    </row>
    <row r="3274" spans="2:15" x14ac:dyDescent="0.2">
      <c r="B3274">
        <v>3259</v>
      </c>
      <c r="C3274" s="48">
        <f ca="1"/>
        <v>3.5273581151774792E-2</v>
      </c>
      <c r="D3274" s="48">
        <f t="shared" ca="1" si="190"/>
        <v>0.66682055729261258</v>
      </c>
      <c r="E3274" s="48">
        <f t="shared" ca="1" si="191"/>
        <v>0</v>
      </c>
      <c r="F3274" s="17">
        <f t="shared" ca="1" si="192"/>
        <v>0</v>
      </c>
      <c r="H3274" s="17">
        <v>3259</v>
      </c>
      <c r="I3274" s="43">
        <v>0.66974065299325813</v>
      </c>
      <c r="J3274" s="43">
        <v>1.9823069730299913E-2</v>
      </c>
      <c r="K3274" s="43"/>
      <c r="L3274" s="43">
        <v>0.2482</v>
      </c>
      <c r="O3274" s="50"/>
    </row>
    <row r="3275" spans="2:15" x14ac:dyDescent="0.2">
      <c r="B3275">
        <v>3260</v>
      </c>
      <c r="C3275" s="48">
        <f ca="1"/>
        <v>0.6569664448467144</v>
      </c>
      <c r="D3275" s="48">
        <f t="shared" ca="1" si="190"/>
        <v>0.70896921591042483</v>
      </c>
      <c r="E3275" s="48">
        <f t="shared" ca="1" si="191"/>
        <v>0</v>
      </c>
      <c r="F3275" s="17">
        <f t="shared" ca="1" si="192"/>
        <v>0</v>
      </c>
      <c r="H3275" s="17">
        <v>3260</v>
      </c>
      <c r="I3275" s="43">
        <v>0.66825220485652703</v>
      </c>
      <c r="J3275" s="43">
        <v>1.8966023584147156E-2</v>
      </c>
      <c r="K3275" s="43"/>
      <c r="L3275" s="43">
        <v>0.2472</v>
      </c>
      <c r="O3275" s="50"/>
    </row>
    <row r="3276" spans="2:15" x14ac:dyDescent="0.2">
      <c r="B3276">
        <v>3261</v>
      </c>
      <c r="C3276" s="48">
        <f ca="1"/>
        <v>-1.6149374735684978</v>
      </c>
      <c r="D3276" s="48">
        <f t="shared" ca="1" si="190"/>
        <v>0.56670044461719515</v>
      </c>
      <c r="E3276" s="48">
        <f t="shared" ca="1" si="191"/>
        <v>0</v>
      </c>
      <c r="F3276" s="17">
        <f t="shared" ca="1" si="192"/>
        <v>0</v>
      </c>
      <c r="H3276" s="17">
        <v>3261</v>
      </c>
      <c r="I3276" s="43">
        <v>0.66975783993510185</v>
      </c>
      <c r="J3276" s="43">
        <v>2.0314589069824071E-2</v>
      </c>
      <c r="K3276" s="43"/>
      <c r="L3276" s="43">
        <v>0.254</v>
      </c>
      <c r="O3276" s="50"/>
    </row>
    <row r="3277" spans="2:15" x14ac:dyDescent="0.2">
      <c r="B3277">
        <v>3262</v>
      </c>
      <c r="C3277" s="48">
        <f ca="1"/>
        <v>-0.55601634893534924</v>
      </c>
      <c r="D3277" s="48">
        <f t="shared" ca="1" si="190"/>
        <v>0.62906035254061377</v>
      </c>
      <c r="E3277" s="48">
        <f t="shared" ca="1" si="191"/>
        <v>0</v>
      </c>
      <c r="F3277" s="17">
        <f t="shared" ca="1" si="192"/>
        <v>0</v>
      </c>
      <c r="H3277" s="17">
        <v>3262</v>
      </c>
      <c r="I3277" s="43">
        <v>0.66772997754565999</v>
      </c>
      <c r="J3277" s="43">
        <v>1.8355921706463229E-2</v>
      </c>
      <c r="K3277" s="43"/>
      <c r="L3277" s="43">
        <v>0.24379999999999999</v>
      </c>
      <c r="O3277" s="50"/>
    </row>
    <row r="3278" spans="2:15" x14ac:dyDescent="0.2">
      <c r="B3278">
        <v>3263</v>
      </c>
      <c r="C3278" s="48">
        <f ca="1"/>
        <v>0.25536897107889245</v>
      </c>
      <c r="D3278" s="48">
        <f t="shared" ca="1" si="190"/>
        <v>0.68144778317578358</v>
      </c>
      <c r="E3278" s="48">
        <f t="shared" ca="1" si="191"/>
        <v>0</v>
      </c>
      <c r="F3278" s="17">
        <f t="shared" ca="1" si="192"/>
        <v>0</v>
      </c>
      <c r="H3278" s="17">
        <v>3263</v>
      </c>
      <c r="I3278" s="43">
        <v>0.66740388409268836</v>
      </c>
      <c r="J3278" s="43">
        <v>1.8195343508355503E-2</v>
      </c>
      <c r="K3278" s="43"/>
      <c r="L3278" s="43">
        <v>0.24179999999999999</v>
      </c>
      <c r="O3278" s="50"/>
    </row>
    <row r="3279" spans="2:15" x14ac:dyDescent="0.2">
      <c r="B3279">
        <v>3264</v>
      </c>
      <c r="C3279" s="48">
        <f ca="1"/>
        <v>-0.23634866902777973</v>
      </c>
      <c r="D3279" s="48">
        <f t="shared" ca="1" si="190"/>
        <v>0.64920103493135128</v>
      </c>
      <c r="E3279" s="48">
        <f t="shared" ca="1" si="191"/>
        <v>0</v>
      </c>
      <c r="F3279" s="17">
        <f t="shared" ca="1" si="192"/>
        <v>0</v>
      </c>
      <c r="H3279" s="17">
        <v>3264</v>
      </c>
      <c r="I3279" s="43">
        <v>0.66923796779754208</v>
      </c>
      <c r="J3279" s="43">
        <v>1.9693886244371288E-2</v>
      </c>
      <c r="K3279" s="43"/>
      <c r="L3279" s="43">
        <v>0.248</v>
      </c>
      <c r="O3279" s="50"/>
    </row>
    <row r="3280" spans="2:15" x14ac:dyDescent="0.2">
      <c r="B3280">
        <v>3265</v>
      </c>
      <c r="C3280" s="48">
        <f ca="1"/>
        <v>-1.3186130975461849</v>
      </c>
      <c r="D3280" s="48">
        <f t="shared" ref="D3280:D3343" ca="1" si="193">S0*EXP((μ-0.5*σ*σ)*T+σ*SQRT(T)*$C3280)</f>
        <v>0.58350015548892753</v>
      </c>
      <c r="E3280" s="48">
        <f t="shared" ref="E3280:E3343" ca="1" si="194">MAX(0,CP*(D3280-K))</f>
        <v>0</v>
      </c>
      <c r="F3280" s="17">
        <f t="shared" ref="F3280:F3343" ca="1" si="195">(CP*(D3280-K)&gt;0)*1</f>
        <v>0</v>
      </c>
      <c r="H3280" s="17">
        <v>3265</v>
      </c>
      <c r="I3280" s="43">
        <v>0.66858686765316477</v>
      </c>
      <c r="J3280" s="43">
        <v>1.9225153680898652E-2</v>
      </c>
      <c r="K3280" s="43"/>
      <c r="L3280" s="43">
        <v>0.24759999999999999</v>
      </c>
      <c r="O3280" s="50"/>
    </row>
    <row r="3281" spans="2:15" x14ac:dyDescent="0.2">
      <c r="B3281">
        <v>3266</v>
      </c>
      <c r="C3281" s="48">
        <f ca="1"/>
        <v>-1.4337955618136677</v>
      </c>
      <c r="D3281" s="48">
        <f t="shared" ca="1" si="193"/>
        <v>0.57691167036034086</v>
      </c>
      <c r="E3281" s="48">
        <f t="shared" ca="1" si="194"/>
        <v>0</v>
      </c>
      <c r="F3281" s="17">
        <f t="shared" ca="1" si="195"/>
        <v>0</v>
      </c>
      <c r="H3281" s="17">
        <v>3266</v>
      </c>
      <c r="I3281" s="43">
        <v>0.66798327234012123</v>
      </c>
      <c r="J3281" s="43">
        <v>1.8820079211118047E-2</v>
      </c>
      <c r="K3281" s="43"/>
      <c r="L3281" s="43">
        <v>0.24859999999999999</v>
      </c>
      <c r="O3281" s="50"/>
    </row>
    <row r="3282" spans="2:15" x14ac:dyDescent="0.2">
      <c r="B3282">
        <v>3267</v>
      </c>
      <c r="C3282" s="48">
        <f ca="1"/>
        <v>5.1940533970595636E-2</v>
      </c>
      <c r="D3282" s="48">
        <f t="shared" ca="1" si="193"/>
        <v>0.66791714598084029</v>
      </c>
      <c r="E3282" s="48">
        <f t="shared" ca="1" si="194"/>
        <v>0</v>
      </c>
      <c r="F3282" s="17">
        <f t="shared" ca="1" si="195"/>
        <v>0</v>
      </c>
      <c r="H3282" s="17">
        <v>3267</v>
      </c>
      <c r="I3282" s="43">
        <v>0.66792188484314952</v>
      </c>
      <c r="J3282" s="43">
        <v>1.857810934879614E-2</v>
      </c>
      <c r="K3282" s="43"/>
      <c r="L3282" s="43">
        <v>0.23860000000000001</v>
      </c>
      <c r="O3282" s="50"/>
    </row>
    <row r="3283" spans="2:15" x14ac:dyDescent="0.2">
      <c r="B3283">
        <v>3268</v>
      </c>
      <c r="C3283" s="48">
        <f ca="1"/>
        <v>-1.6215473175281801E-2</v>
      </c>
      <c r="D3283" s="48">
        <f t="shared" ca="1" si="193"/>
        <v>0.66344423571028699</v>
      </c>
      <c r="E3283" s="48">
        <f t="shared" ca="1" si="194"/>
        <v>0</v>
      </c>
      <c r="F3283" s="17">
        <f t="shared" ca="1" si="195"/>
        <v>0</v>
      </c>
      <c r="H3283" s="17">
        <v>3268</v>
      </c>
      <c r="I3283" s="43">
        <v>0.66826924869037474</v>
      </c>
      <c r="J3283" s="43">
        <v>1.9072455858026222E-2</v>
      </c>
      <c r="K3283" s="43"/>
      <c r="L3283" s="43">
        <v>0.25419999999999998</v>
      </c>
      <c r="O3283" s="50"/>
    </row>
    <row r="3284" spans="2:15" x14ac:dyDescent="0.2">
      <c r="B3284">
        <v>3269</v>
      </c>
      <c r="C3284" s="48">
        <f ca="1"/>
        <v>-0.48299170946625275</v>
      </c>
      <c r="D3284" s="48">
        <f t="shared" ca="1" si="193"/>
        <v>0.63360549714792924</v>
      </c>
      <c r="E3284" s="48">
        <f t="shared" ca="1" si="194"/>
        <v>0</v>
      </c>
      <c r="F3284" s="17">
        <f t="shared" ca="1" si="195"/>
        <v>0</v>
      </c>
      <c r="H3284" s="17">
        <v>3269</v>
      </c>
      <c r="I3284" s="43">
        <v>0.67017658852336348</v>
      </c>
      <c r="J3284" s="43">
        <v>2.0268729027100609E-2</v>
      </c>
      <c r="K3284" s="43"/>
      <c r="L3284" s="43">
        <v>0.25280000000000002</v>
      </c>
      <c r="O3284" s="50"/>
    </row>
    <row r="3285" spans="2:15" x14ac:dyDescent="0.2">
      <c r="B3285">
        <v>3270</v>
      </c>
      <c r="C3285" s="48">
        <f ca="1"/>
        <v>0.39419791465319937</v>
      </c>
      <c r="D3285" s="48">
        <f t="shared" ca="1" si="193"/>
        <v>0.69083873822868258</v>
      </c>
      <c r="E3285" s="48">
        <f t="shared" ca="1" si="194"/>
        <v>0</v>
      </c>
      <c r="F3285" s="17">
        <f t="shared" ca="1" si="195"/>
        <v>0</v>
      </c>
      <c r="H3285" s="17">
        <v>3270</v>
      </c>
      <c r="I3285" s="43">
        <v>0.66844430460986803</v>
      </c>
      <c r="J3285" s="43">
        <v>1.8879580724319441E-2</v>
      </c>
      <c r="K3285" s="43"/>
      <c r="L3285" s="43">
        <v>0.2462</v>
      </c>
      <c r="O3285" s="50"/>
    </row>
    <row r="3286" spans="2:15" x14ac:dyDescent="0.2">
      <c r="B3286">
        <v>3271</v>
      </c>
      <c r="C3286" s="48">
        <f ca="1"/>
        <v>0.990916710386467</v>
      </c>
      <c r="D3286" s="48">
        <f t="shared" ca="1" si="193"/>
        <v>0.73269932378922553</v>
      </c>
      <c r="E3286" s="48">
        <f t="shared" ca="1" si="194"/>
        <v>0</v>
      </c>
      <c r="F3286" s="17">
        <f t="shared" ca="1" si="195"/>
        <v>0</v>
      </c>
      <c r="H3286" s="17">
        <v>3271</v>
      </c>
      <c r="I3286" s="43">
        <v>0.66832341632759351</v>
      </c>
      <c r="J3286" s="43">
        <v>1.915299179095236E-2</v>
      </c>
      <c r="K3286" s="43"/>
      <c r="L3286" s="43">
        <v>0.25280000000000002</v>
      </c>
      <c r="O3286" s="50"/>
    </row>
    <row r="3287" spans="2:15" x14ac:dyDescent="0.2">
      <c r="B3287">
        <v>3272</v>
      </c>
      <c r="C3287" s="48">
        <f ca="1"/>
        <v>-1.8942693270171524E-2</v>
      </c>
      <c r="D3287" s="48">
        <f t="shared" ca="1" si="193"/>
        <v>0.66326587961705041</v>
      </c>
      <c r="E3287" s="48">
        <f t="shared" ca="1" si="194"/>
        <v>0</v>
      </c>
      <c r="F3287" s="17">
        <f t="shared" ca="1" si="195"/>
        <v>0</v>
      </c>
      <c r="H3287" s="17">
        <v>3272</v>
      </c>
      <c r="I3287" s="43">
        <v>0.66876399391308583</v>
      </c>
      <c r="J3287" s="43">
        <v>1.9131735364964406E-2</v>
      </c>
      <c r="K3287" s="43"/>
      <c r="L3287" s="43">
        <v>0.254</v>
      </c>
      <c r="O3287" s="50"/>
    </row>
    <row r="3288" spans="2:15" x14ac:dyDescent="0.2">
      <c r="B3288">
        <v>3273</v>
      </c>
      <c r="C3288" s="48">
        <f ca="1"/>
        <v>0.61252467717481807</v>
      </c>
      <c r="D3288" s="48">
        <f t="shared" ca="1" si="193"/>
        <v>0.70586973217661453</v>
      </c>
      <c r="E3288" s="48">
        <f t="shared" ca="1" si="194"/>
        <v>0</v>
      </c>
      <c r="F3288" s="17">
        <f t="shared" ca="1" si="195"/>
        <v>0</v>
      </c>
      <c r="H3288" s="17">
        <v>3273</v>
      </c>
      <c r="I3288" s="43">
        <v>0.66912018184088706</v>
      </c>
      <c r="J3288" s="43">
        <v>1.9912009552413425E-2</v>
      </c>
      <c r="K3288" s="43"/>
      <c r="L3288" s="43">
        <v>0.25440000000000002</v>
      </c>
      <c r="O3288" s="50"/>
    </row>
    <row r="3289" spans="2:15" x14ac:dyDescent="0.2">
      <c r="B3289">
        <v>3274</v>
      </c>
      <c r="C3289" s="48">
        <f ca="1"/>
        <v>0.2807357864856887</v>
      </c>
      <c r="D3289" s="48">
        <f t="shared" ca="1" si="193"/>
        <v>0.6831541147145177</v>
      </c>
      <c r="E3289" s="48">
        <f t="shared" ca="1" si="194"/>
        <v>0</v>
      </c>
      <c r="F3289" s="17">
        <f t="shared" ca="1" si="195"/>
        <v>0</v>
      </c>
      <c r="H3289" s="17">
        <v>3274</v>
      </c>
      <c r="I3289" s="43">
        <v>0.66800586918091409</v>
      </c>
      <c r="J3289" s="43">
        <v>1.8550563282038572E-2</v>
      </c>
      <c r="K3289" s="43"/>
      <c r="L3289" s="43">
        <v>0.24079999999999999</v>
      </c>
      <c r="O3289" s="50"/>
    </row>
    <row r="3290" spans="2:15" x14ac:dyDescent="0.2">
      <c r="B3290">
        <v>3275</v>
      </c>
      <c r="C3290" s="48">
        <f ca="1"/>
        <v>0.25956897230421316</v>
      </c>
      <c r="D3290" s="48">
        <f t="shared" ca="1" si="193"/>
        <v>0.68173000697728414</v>
      </c>
      <c r="E3290" s="48">
        <f t="shared" ca="1" si="194"/>
        <v>0</v>
      </c>
      <c r="F3290" s="17">
        <f t="shared" ca="1" si="195"/>
        <v>0</v>
      </c>
      <c r="H3290" s="17">
        <v>3275</v>
      </c>
      <c r="I3290" s="43">
        <v>0.66850770808975279</v>
      </c>
      <c r="J3290" s="43">
        <v>1.8946305656904191E-2</v>
      </c>
      <c r="K3290" s="43"/>
      <c r="L3290" s="43">
        <v>0.246</v>
      </c>
      <c r="O3290" s="50"/>
    </row>
    <row r="3291" spans="2:15" x14ac:dyDescent="0.2">
      <c r="B3291">
        <v>3276</v>
      </c>
      <c r="C3291" s="48">
        <f ca="1"/>
        <v>-7.0439050464668071E-2</v>
      </c>
      <c r="D3291" s="48">
        <f t="shared" ca="1" si="193"/>
        <v>0.65990708136818832</v>
      </c>
      <c r="E3291" s="48">
        <f t="shared" ca="1" si="194"/>
        <v>0</v>
      </c>
      <c r="F3291" s="17">
        <f t="shared" ca="1" si="195"/>
        <v>0</v>
      </c>
      <c r="H3291" s="17">
        <v>3276</v>
      </c>
      <c r="I3291" s="43">
        <v>0.66894863466118071</v>
      </c>
      <c r="J3291" s="43">
        <v>1.9236381275409265E-2</v>
      </c>
      <c r="K3291" s="43"/>
      <c r="L3291" s="43">
        <v>0.25219999999999998</v>
      </c>
      <c r="O3291" s="50"/>
    </row>
    <row r="3292" spans="2:15" x14ac:dyDescent="0.2">
      <c r="B3292">
        <v>3277</v>
      </c>
      <c r="C3292" s="48">
        <f ca="1"/>
        <v>0.86446556722794043</v>
      </c>
      <c r="D3292" s="48">
        <f t="shared" ca="1" si="193"/>
        <v>0.7236218288025682</v>
      </c>
      <c r="E3292" s="48">
        <f t="shared" ca="1" si="194"/>
        <v>0</v>
      </c>
      <c r="F3292" s="17">
        <f t="shared" ca="1" si="195"/>
        <v>0</v>
      </c>
      <c r="H3292" s="17">
        <v>3277</v>
      </c>
      <c r="I3292" s="43">
        <v>0.66681805972634522</v>
      </c>
      <c r="J3292" s="43">
        <v>1.7499132528905146E-2</v>
      </c>
      <c r="K3292" s="43"/>
      <c r="L3292" s="43">
        <v>0.23719999999999999</v>
      </c>
      <c r="O3292" s="50"/>
    </row>
    <row r="3293" spans="2:15" x14ac:dyDescent="0.2">
      <c r="B3293">
        <v>3278</v>
      </c>
      <c r="C3293" s="48">
        <f ca="1"/>
        <v>-1.5990544575466263</v>
      </c>
      <c r="D3293" s="48">
        <f t="shared" ca="1" si="193"/>
        <v>0.56758851690025769</v>
      </c>
      <c r="E3293" s="48">
        <f t="shared" ca="1" si="194"/>
        <v>0</v>
      </c>
      <c r="F3293" s="17">
        <f t="shared" ca="1" si="195"/>
        <v>0</v>
      </c>
      <c r="H3293" s="17">
        <v>3278</v>
      </c>
      <c r="I3293" s="43">
        <v>0.66936936692580407</v>
      </c>
      <c r="J3293" s="43">
        <v>1.9995276877970175E-2</v>
      </c>
      <c r="K3293" s="43"/>
      <c r="L3293" s="43">
        <v>0.253</v>
      </c>
      <c r="O3293" s="50"/>
    </row>
    <row r="3294" spans="2:15" x14ac:dyDescent="0.2">
      <c r="B3294">
        <v>3279</v>
      </c>
      <c r="C3294" s="48">
        <f ca="1"/>
        <v>1.3480933074213324</v>
      </c>
      <c r="D3294" s="48">
        <f t="shared" ca="1" si="193"/>
        <v>0.75895960544053442</v>
      </c>
      <c r="E3294" s="48">
        <f t="shared" ca="1" si="194"/>
        <v>0</v>
      </c>
      <c r="F3294" s="17">
        <f t="shared" ca="1" si="195"/>
        <v>0</v>
      </c>
      <c r="H3294" s="17">
        <v>3279</v>
      </c>
      <c r="I3294" s="43">
        <v>0.66863179614278756</v>
      </c>
      <c r="J3294" s="43">
        <v>1.9129621229026048E-2</v>
      </c>
      <c r="K3294" s="43"/>
      <c r="L3294" s="43">
        <v>0.2492</v>
      </c>
      <c r="O3294" s="50"/>
    </row>
    <row r="3295" spans="2:15" x14ac:dyDescent="0.2">
      <c r="B3295">
        <v>3280</v>
      </c>
      <c r="C3295" s="48">
        <f ca="1"/>
        <v>-1.9319964361476962</v>
      </c>
      <c r="D3295" s="48">
        <f t="shared" ca="1" si="193"/>
        <v>0.54926048836007368</v>
      </c>
      <c r="E3295" s="48">
        <f t="shared" ca="1" si="194"/>
        <v>0</v>
      </c>
      <c r="F3295" s="17">
        <f t="shared" ca="1" si="195"/>
        <v>0</v>
      </c>
      <c r="H3295" s="17">
        <v>3280</v>
      </c>
      <c r="I3295" s="43">
        <v>0.66922848127020262</v>
      </c>
      <c r="J3295" s="43">
        <v>1.9457991499348772E-2</v>
      </c>
      <c r="K3295" s="43"/>
      <c r="L3295" s="43">
        <v>0.25380000000000003</v>
      </c>
      <c r="O3295" s="50"/>
    </row>
    <row r="3296" spans="2:15" x14ac:dyDescent="0.2">
      <c r="B3296">
        <v>3281</v>
      </c>
      <c r="C3296" s="48">
        <f ca="1"/>
        <v>-1.631116315473554</v>
      </c>
      <c r="D3296" s="48">
        <f t="shared" ca="1" si="193"/>
        <v>0.56579726028615984</v>
      </c>
      <c r="E3296" s="48">
        <f t="shared" ca="1" si="194"/>
        <v>0</v>
      </c>
      <c r="F3296" s="17">
        <f t="shared" ca="1" si="195"/>
        <v>0</v>
      </c>
      <c r="H3296" s="17">
        <v>3281</v>
      </c>
      <c r="I3296" s="43">
        <v>0.66923901299187827</v>
      </c>
      <c r="J3296" s="43">
        <v>1.9794150298650622E-2</v>
      </c>
      <c r="K3296" s="43"/>
      <c r="L3296" s="43">
        <v>0.25340000000000001</v>
      </c>
      <c r="O3296" s="50"/>
    </row>
    <row r="3297" spans="2:15" x14ac:dyDescent="0.2">
      <c r="B3297">
        <v>3282</v>
      </c>
      <c r="C3297" s="48">
        <f ca="1"/>
        <v>1.8476715979059515</v>
      </c>
      <c r="D3297" s="48">
        <f t="shared" ca="1" si="193"/>
        <v>0.79727583843264116</v>
      </c>
      <c r="E3297" s="48">
        <f t="shared" ca="1" si="194"/>
        <v>9.0758384326411479E-3</v>
      </c>
      <c r="F3297" s="17">
        <f t="shared" ca="1" si="195"/>
        <v>1</v>
      </c>
      <c r="H3297" s="17">
        <v>3282</v>
      </c>
      <c r="I3297" s="43">
        <v>0.6678307817009872</v>
      </c>
      <c r="J3297" s="43">
        <v>1.8681204848238639E-2</v>
      </c>
      <c r="K3297" s="43"/>
      <c r="L3297" s="43">
        <v>0.24579999999999999</v>
      </c>
      <c r="O3297" s="50"/>
    </row>
    <row r="3298" spans="2:15" x14ac:dyDescent="0.2">
      <c r="B3298">
        <v>3283</v>
      </c>
      <c r="C3298" s="48">
        <f ca="1"/>
        <v>0.67985746595963625</v>
      </c>
      <c r="D3298" s="48">
        <f t="shared" ca="1" si="193"/>
        <v>0.71057100159388464</v>
      </c>
      <c r="E3298" s="48">
        <f t="shared" ca="1" si="194"/>
        <v>0</v>
      </c>
      <c r="F3298" s="17">
        <f t="shared" ca="1" si="195"/>
        <v>0</v>
      </c>
      <c r="H3298" s="17">
        <v>3283</v>
      </c>
      <c r="I3298" s="43">
        <v>0.66945295746454248</v>
      </c>
      <c r="J3298" s="43">
        <v>1.9804259732446285E-2</v>
      </c>
      <c r="K3298" s="43"/>
      <c r="L3298" s="43">
        <v>0.24360000000000001</v>
      </c>
      <c r="O3298" s="50"/>
    </row>
    <row r="3299" spans="2:15" x14ac:dyDescent="0.2">
      <c r="B3299">
        <v>3284</v>
      </c>
      <c r="C3299" s="48">
        <f ca="1"/>
        <v>0.12962972326462435</v>
      </c>
      <c r="D3299" s="48">
        <f t="shared" ca="1" si="193"/>
        <v>0.67305248516759919</v>
      </c>
      <c r="E3299" s="48">
        <f t="shared" ca="1" si="194"/>
        <v>0</v>
      </c>
      <c r="F3299" s="17">
        <f t="shared" ca="1" si="195"/>
        <v>0</v>
      </c>
      <c r="H3299" s="17">
        <v>3284</v>
      </c>
      <c r="I3299" s="43">
        <v>0.66868672734716206</v>
      </c>
      <c r="J3299" s="43">
        <v>1.8974313419843406E-2</v>
      </c>
      <c r="K3299" s="43"/>
      <c r="L3299" s="43">
        <v>0.2492</v>
      </c>
      <c r="O3299" s="50"/>
    </row>
    <row r="3300" spans="2:15" x14ac:dyDescent="0.2">
      <c r="B3300">
        <v>3285</v>
      </c>
      <c r="C3300" s="48">
        <f ca="1"/>
        <v>-1.0779607468864985</v>
      </c>
      <c r="D3300" s="48">
        <f t="shared" ca="1" si="193"/>
        <v>0.59750940516404893</v>
      </c>
      <c r="E3300" s="48">
        <f t="shared" ca="1" si="194"/>
        <v>0</v>
      </c>
      <c r="F3300" s="17">
        <f t="shared" ca="1" si="195"/>
        <v>0</v>
      </c>
      <c r="H3300" s="17">
        <v>3285</v>
      </c>
      <c r="I3300" s="43">
        <v>0.66897607772199008</v>
      </c>
      <c r="J3300" s="43">
        <v>1.9076379594152319E-2</v>
      </c>
      <c r="K3300" s="43"/>
      <c r="L3300" s="43">
        <v>0.25080000000000002</v>
      </c>
      <c r="O3300" s="50"/>
    </row>
    <row r="3301" spans="2:15" x14ac:dyDescent="0.2">
      <c r="B3301">
        <v>3286</v>
      </c>
      <c r="C3301" s="48">
        <f ca="1"/>
        <v>-0.14760568604287855</v>
      </c>
      <c r="D3301" s="48">
        <f t="shared" ca="1" si="193"/>
        <v>0.65490577868575162</v>
      </c>
      <c r="E3301" s="48">
        <f t="shared" ca="1" si="194"/>
        <v>0</v>
      </c>
      <c r="F3301" s="17">
        <f t="shared" ca="1" si="195"/>
        <v>0</v>
      </c>
      <c r="H3301" s="17">
        <v>3286</v>
      </c>
      <c r="I3301" s="43">
        <v>0.66811121538640461</v>
      </c>
      <c r="J3301" s="43">
        <v>1.8621756717220703E-2</v>
      </c>
      <c r="K3301" s="43"/>
      <c r="L3301" s="43">
        <v>0.24679999999999999</v>
      </c>
      <c r="O3301" s="50"/>
    </row>
    <row r="3302" spans="2:15" x14ac:dyDescent="0.2">
      <c r="B3302">
        <v>3287</v>
      </c>
      <c r="C3302" s="48">
        <f ca="1"/>
        <v>-1.1075079451719583</v>
      </c>
      <c r="D3302" s="48">
        <f t="shared" ca="1" si="193"/>
        <v>0.595771402730781</v>
      </c>
      <c r="E3302" s="48">
        <f t="shared" ca="1" si="194"/>
        <v>0</v>
      </c>
      <c r="F3302" s="17">
        <f t="shared" ca="1" si="195"/>
        <v>0</v>
      </c>
      <c r="H3302" s="17">
        <v>3287</v>
      </c>
      <c r="I3302" s="43">
        <v>0.66744572995281926</v>
      </c>
      <c r="J3302" s="43">
        <v>1.8244026183520713E-2</v>
      </c>
      <c r="K3302" s="43"/>
      <c r="L3302" s="43">
        <v>0.24340000000000001</v>
      </c>
      <c r="O3302" s="50"/>
    </row>
    <row r="3303" spans="2:15" x14ac:dyDescent="0.2">
      <c r="B3303">
        <v>3288</v>
      </c>
      <c r="C3303" s="48">
        <f ca="1"/>
        <v>-1.9544672907135119</v>
      </c>
      <c r="D3303" s="48">
        <f t="shared" ca="1" si="193"/>
        <v>0.54804503387364867</v>
      </c>
      <c r="E3303" s="48">
        <f t="shared" ca="1" si="194"/>
        <v>0</v>
      </c>
      <c r="F3303" s="17">
        <f t="shared" ca="1" si="195"/>
        <v>0</v>
      </c>
      <c r="H3303" s="17">
        <v>3288</v>
      </c>
      <c r="I3303" s="43">
        <v>0.6681779618840844</v>
      </c>
      <c r="J3303" s="43">
        <v>1.9036029630138767E-2</v>
      </c>
      <c r="K3303" s="43"/>
      <c r="L3303" s="43">
        <v>0.254</v>
      </c>
      <c r="O3303" s="50"/>
    </row>
    <row r="3304" spans="2:15" x14ac:dyDescent="0.2">
      <c r="B3304">
        <v>3289</v>
      </c>
      <c r="C3304" s="48">
        <f ca="1"/>
        <v>-0.13040481290276304</v>
      </c>
      <c r="D3304" s="48">
        <f t="shared" ca="1" si="193"/>
        <v>0.65601730391372837</v>
      </c>
      <c r="E3304" s="48">
        <f t="shared" ca="1" si="194"/>
        <v>0</v>
      </c>
      <c r="F3304" s="17">
        <f t="shared" ca="1" si="195"/>
        <v>0</v>
      </c>
      <c r="H3304" s="17">
        <v>3289</v>
      </c>
      <c r="I3304" s="43">
        <v>0.66918184632429767</v>
      </c>
      <c r="J3304" s="43">
        <v>1.9413352326580591E-2</v>
      </c>
      <c r="K3304" s="43"/>
      <c r="L3304" s="43">
        <v>0.25240000000000001</v>
      </c>
      <c r="O3304" s="50"/>
    </row>
    <row r="3305" spans="2:15" x14ac:dyDescent="0.2">
      <c r="B3305">
        <v>3290</v>
      </c>
      <c r="C3305" s="48">
        <f ca="1"/>
        <v>0.16848786106386865</v>
      </c>
      <c r="D3305" s="48">
        <f t="shared" ca="1" si="193"/>
        <v>0.67563584425410195</v>
      </c>
      <c r="E3305" s="48">
        <f t="shared" ca="1" si="194"/>
        <v>0</v>
      </c>
      <c r="F3305" s="17">
        <f t="shared" ca="1" si="195"/>
        <v>0</v>
      </c>
      <c r="H3305" s="17">
        <v>3290</v>
      </c>
      <c r="I3305" s="43">
        <v>0.66953893216284766</v>
      </c>
      <c r="J3305" s="43">
        <v>1.9393610860463702E-2</v>
      </c>
      <c r="K3305" s="43"/>
      <c r="L3305" s="43">
        <v>0.24779999999999999</v>
      </c>
      <c r="O3305" s="50"/>
    </row>
    <row r="3306" spans="2:15" x14ac:dyDescent="0.2">
      <c r="B3306">
        <v>3291</v>
      </c>
      <c r="C3306" s="48">
        <f ca="1"/>
        <v>-0.38260475369667613</v>
      </c>
      <c r="D3306" s="48">
        <f t="shared" ca="1" si="193"/>
        <v>0.63990735782742059</v>
      </c>
      <c r="E3306" s="48">
        <f t="shared" ca="1" si="194"/>
        <v>0</v>
      </c>
      <c r="F3306" s="17">
        <f t="shared" ca="1" si="195"/>
        <v>0</v>
      </c>
      <c r="H3306" s="17">
        <v>3291</v>
      </c>
      <c r="I3306" s="43">
        <v>0.66848464869498958</v>
      </c>
      <c r="J3306" s="43">
        <v>1.9091458072917188E-2</v>
      </c>
      <c r="K3306" s="43"/>
      <c r="L3306" s="43">
        <v>0.25080000000000002</v>
      </c>
      <c r="O3306" s="50"/>
    </row>
    <row r="3307" spans="2:15" x14ac:dyDescent="0.2">
      <c r="B3307">
        <v>3292</v>
      </c>
      <c r="C3307" s="48">
        <f ca="1"/>
        <v>1.1145043378844517</v>
      </c>
      <c r="D3307" s="48">
        <f t="shared" ca="1" si="193"/>
        <v>0.7416812804750379</v>
      </c>
      <c r="E3307" s="48">
        <f t="shared" ca="1" si="194"/>
        <v>0</v>
      </c>
      <c r="F3307" s="17">
        <f t="shared" ca="1" si="195"/>
        <v>0</v>
      </c>
      <c r="H3307" s="17">
        <v>3292</v>
      </c>
      <c r="I3307" s="43">
        <v>0.67021046152158992</v>
      </c>
      <c r="J3307" s="43">
        <v>2.0374775318399204E-2</v>
      </c>
      <c r="K3307" s="43"/>
      <c r="L3307" s="43">
        <v>0.2606</v>
      </c>
      <c r="O3307" s="50"/>
    </row>
    <row r="3308" spans="2:15" x14ac:dyDescent="0.2">
      <c r="B3308">
        <v>3293</v>
      </c>
      <c r="C3308" s="48">
        <f ca="1"/>
        <v>-0.1854273095092201</v>
      </c>
      <c r="D3308" s="48">
        <f t="shared" ca="1" si="193"/>
        <v>0.65246835360215838</v>
      </c>
      <c r="E3308" s="48">
        <f t="shared" ca="1" si="194"/>
        <v>0</v>
      </c>
      <c r="F3308" s="17">
        <f t="shared" ca="1" si="195"/>
        <v>0</v>
      </c>
      <c r="H3308" s="17">
        <v>3293</v>
      </c>
      <c r="I3308" s="43">
        <v>0.66809655506116428</v>
      </c>
      <c r="J3308" s="43">
        <v>1.8794845499494495E-2</v>
      </c>
      <c r="K3308" s="43"/>
      <c r="L3308" s="43">
        <v>0.249</v>
      </c>
      <c r="O3308" s="50"/>
    </row>
    <row r="3309" spans="2:15" x14ac:dyDescent="0.2">
      <c r="B3309">
        <v>3294</v>
      </c>
      <c r="C3309" s="48">
        <f ca="1"/>
        <v>-0.81924883406578752</v>
      </c>
      <c r="D3309" s="48">
        <f t="shared" ca="1" si="193"/>
        <v>0.61294534826560132</v>
      </c>
      <c r="E3309" s="48">
        <f t="shared" ca="1" si="194"/>
        <v>0</v>
      </c>
      <c r="F3309" s="17">
        <f t="shared" ca="1" si="195"/>
        <v>0</v>
      </c>
      <c r="H3309" s="17">
        <v>3294</v>
      </c>
      <c r="I3309" s="43">
        <v>0.668559394522106</v>
      </c>
      <c r="J3309" s="43">
        <v>1.9185750003697915E-2</v>
      </c>
      <c r="K3309" s="43"/>
      <c r="L3309" s="43">
        <v>0.24460000000000001</v>
      </c>
      <c r="O3309" s="50"/>
    </row>
    <row r="3310" spans="2:15" x14ac:dyDescent="0.2">
      <c r="B3310">
        <v>3295</v>
      </c>
      <c r="C3310" s="48">
        <f ca="1"/>
        <v>-0.46695100428679526</v>
      </c>
      <c r="D3310" s="48">
        <f t="shared" ca="1" si="193"/>
        <v>0.634608281523242</v>
      </c>
      <c r="E3310" s="48">
        <f t="shared" ca="1" si="194"/>
        <v>0</v>
      </c>
      <c r="F3310" s="17">
        <f t="shared" ca="1" si="195"/>
        <v>0</v>
      </c>
      <c r="H3310" s="17">
        <v>3295</v>
      </c>
      <c r="I3310" s="43">
        <v>0.66883444844873219</v>
      </c>
      <c r="J3310" s="43">
        <v>1.9171230145177267E-2</v>
      </c>
      <c r="K3310" s="43"/>
      <c r="L3310" s="43">
        <v>0.24859999999999999</v>
      </c>
      <c r="O3310" s="50"/>
    </row>
    <row r="3311" spans="2:15" x14ac:dyDescent="0.2">
      <c r="B3311">
        <v>3296</v>
      </c>
      <c r="C3311" s="48">
        <f ca="1"/>
        <v>0.26791569631794337</v>
      </c>
      <c r="D3311" s="48">
        <f t="shared" ca="1" si="193"/>
        <v>0.68229122147746546</v>
      </c>
      <c r="E3311" s="48">
        <f t="shared" ca="1" si="194"/>
        <v>0</v>
      </c>
      <c r="F3311" s="17">
        <f t="shared" ca="1" si="195"/>
        <v>0</v>
      </c>
      <c r="H3311" s="17">
        <v>3296</v>
      </c>
      <c r="I3311" s="43">
        <v>0.66836106033469689</v>
      </c>
      <c r="J3311" s="43">
        <v>1.8716625741665088E-2</v>
      </c>
      <c r="K3311" s="43"/>
      <c r="L3311" s="43">
        <v>0.25059999999999999</v>
      </c>
      <c r="O3311" s="50"/>
    </row>
    <row r="3312" spans="2:15" x14ac:dyDescent="0.2">
      <c r="B3312">
        <v>3297</v>
      </c>
      <c r="C3312" s="48">
        <f ca="1"/>
        <v>-1.190341078596072E-2</v>
      </c>
      <c r="D3312" s="48">
        <f t="shared" ca="1" si="193"/>
        <v>0.66372633597740083</v>
      </c>
      <c r="E3312" s="48">
        <f t="shared" ca="1" si="194"/>
        <v>0</v>
      </c>
      <c r="F3312" s="17">
        <f t="shared" ca="1" si="195"/>
        <v>0</v>
      </c>
      <c r="H3312" s="17">
        <v>3297</v>
      </c>
      <c r="I3312" s="43">
        <v>0.66781332085005252</v>
      </c>
      <c r="J3312" s="43">
        <v>1.8492228281911965E-2</v>
      </c>
      <c r="K3312" s="43"/>
      <c r="L3312" s="43">
        <v>0.245</v>
      </c>
      <c r="O3312" s="50"/>
    </row>
    <row r="3313" spans="2:15" x14ac:dyDescent="0.2">
      <c r="B3313">
        <v>3298</v>
      </c>
      <c r="C3313" s="48">
        <f ca="1"/>
        <v>-0.42849253675566434</v>
      </c>
      <c r="D3313" s="48">
        <f t="shared" ca="1" si="193"/>
        <v>0.63701898064386009</v>
      </c>
      <c r="E3313" s="48">
        <f t="shared" ca="1" si="194"/>
        <v>0</v>
      </c>
      <c r="F3313" s="17">
        <f t="shared" ca="1" si="195"/>
        <v>0</v>
      </c>
      <c r="H3313" s="17">
        <v>3298</v>
      </c>
      <c r="I3313" s="43">
        <v>0.67007335614360253</v>
      </c>
      <c r="J3313" s="43">
        <v>2.0193942402434342E-2</v>
      </c>
      <c r="K3313" s="43"/>
      <c r="L3313" s="43">
        <v>0.255</v>
      </c>
      <c r="O3313" s="50"/>
    </row>
    <row r="3314" spans="2:15" x14ac:dyDescent="0.2">
      <c r="B3314">
        <v>3299</v>
      </c>
      <c r="C3314" s="48">
        <f ca="1"/>
        <v>-0.35499141058223754</v>
      </c>
      <c r="D3314" s="48">
        <f t="shared" ca="1" si="193"/>
        <v>0.64165176994238016</v>
      </c>
      <c r="E3314" s="48">
        <f t="shared" ca="1" si="194"/>
        <v>0</v>
      </c>
      <c r="F3314" s="17">
        <f t="shared" ca="1" si="195"/>
        <v>0</v>
      </c>
      <c r="H3314" s="17">
        <v>3299</v>
      </c>
      <c r="I3314" s="43">
        <v>0.66973035010734461</v>
      </c>
      <c r="J3314" s="43">
        <v>2.0126091751860881E-2</v>
      </c>
      <c r="K3314" s="43"/>
      <c r="L3314" s="43">
        <v>0.25700000000000001</v>
      </c>
      <c r="O3314" s="50"/>
    </row>
    <row r="3315" spans="2:15" x14ac:dyDescent="0.2">
      <c r="B3315">
        <v>3300</v>
      </c>
      <c r="C3315" s="48">
        <f ca="1"/>
        <v>-0.57254466233552936</v>
      </c>
      <c r="D3315" s="48">
        <f t="shared" ca="1" si="193"/>
        <v>0.62803614307880962</v>
      </c>
      <c r="E3315" s="48">
        <f t="shared" ca="1" si="194"/>
        <v>0</v>
      </c>
      <c r="F3315" s="17">
        <f t="shared" ca="1" si="195"/>
        <v>0</v>
      </c>
      <c r="H3315" s="17">
        <v>3300</v>
      </c>
      <c r="I3315" s="43">
        <v>0.66903588693264104</v>
      </c>
      <c r="J3315" s="43">
        <v>1.9179568236158365E-2</v>
      </c>
      <c r="K3315" s="43"/>
      <c r="L3315" s="43">
        <v>0.25140000000000001</v>
      </c>
      <c r="O3315" s="50"/>
    </row>
    <row r="3316" spans="2:15" x14ac:dyDescent="0.2">
      <c r="B3316">
        <v>3301</v>
      </c>
      <c r="C3316" s="48">
        <f ca="1"/>
        <v>2.4635795477709186</v>
      </c>
      <c r="D3316" s="48">
        <f t="shared" ca="1" si="193"/>
        <v>0.84718706072664229</v>
      </c>
      <c r="E3316" s="48">
        <f t="shared" ca="1" si="194"/>
        <v>5.8987060726642282E-2</v>
      </c>
      <c r="F3316" s="17">
        <f t="shared" ca="1" si="195"/>
        <v>1</v>
      </c>
      <c r="H3316" s="17">
        <v>3301</v>
      </c>
      <c r="I3316" s="43">
        <v>0.66917282388121924</v>
      </c>
      <c r="J3316" s="43">
        <v>1.9555804218634395E-2</v>
      </c>
      <c r="K3316" s="43"/>
      <c r="L3316" s="43">
        <v>0.25240000000000001</v>
      </c>
      <c r="O3316" s="50"/>
    </row>
    <row r="3317" spans="2:15" x14ac:dyDescent="0.2">
      <c r="B3317">
        <v>3302</v>
      </c>
      <c r="C3317" s="48">
        <f ca="1"/>
        <v>1.0780242261652146</v>
      </c>
      <c r="D3317" s="48">
        <f t="shared" ca="1" si="193"/>
        <v>0.73901862812712005</v>
      </c>
      <c r="E3317" s="48">
        <f t="shared" ca="1" si="194"/>
        <v>0</v>
      </c>
      <c r="F3317" s="17">
        <f t="shared" ca="1" si="195"/>
        <v>0</v>
      </c>
      <c r="H3317" s="17">
        <v>3302</v>
      </c>
      <c r="I3317" s="43">
        <v>0.66950318598156844</v>
      </c>
      <c r="J3317" s="43">
        <v>1.9667183483641291E-2</v>
      </c>
      <c r="K3317" s="43"/>
      <c r="L3317" s="43">
        <v>0.25140000000000001</v>
      </c>
      <c r="O3317" s="50"/>
    </row>
    <row r="3318" spans="2:15" x14ac:dyDescent="0.2">
      <c r="B3318">
        <v>3303</v>
      </c>
      <c r="C3318" s="48">
        <f ca="1"/>
        <v>-1.4685004372600821</v>
      </c>
      <c r="D3318" s="48">
        <f t="shared" ca="1" si="193"/>
        <v>0.57494115971686599</v>
      </c>
      <c r="E3318" s="48">
        <f t="shared" ca="1" si="194"/>
        <v>0</v>
      </c>
      <c r="F3318" s="17">
        <f t="shared" ca="1" si="195"/>
        <v>0</v>
      </c>
      <c r="H3318" s="17">
        <v>3303</v>
      </c>
      <c r="I3318" s="43">
        <v>0.66938036619755314</v>
      </c>
      <c r="J3318" s="43">
        <v>1.9821904984313101E-2</v>
      </c>
      <c r="K3318" s="43"/>
      <c r="L3318" s="43">
        <v>0.25280000000000002</v>
      </c>
      <c r="O3318" s="50"/>
    </row>
    <row r="3319" spans="2:15" x14ac:dyDescent="0.2">
      <c r="B3319">
        <v>3304</v>
      </c>
      <c r="C3319" s="48">
        <f ca="1"/>
        <v>0.67964688807795315</v>
      </c>
      <c r="D3319" s="48">
        <f t="shared" ca="1" si="193"/>
        <v>0.71055625005103862</v>
      </c>
      <c r="E3319" s="48">
        <f t="shared" ca="1" si="194"/>
        <v>0</v>
      </c>
      <c r="F3319" s="17">
        <f t="shared" ca="1" si="195"/>
        <v>0</v>
      </c>
      <c r="H3319" s="17">
        <v>3304</v>
      </c>
      <c r="I3319" s="43">
        <v>0.66934379582919057</v>
      </c>
      <c r="J3319" s="43">
        <v>1.9504457515729583E-2</v>
      </c>
      <c r="K3319" s="43"/>
      <c r="L3319" s="43">
        <v>0.247</v>
      </c>
      <c r="O3319" s="50"/>
    </row>
    <row r="3320" spans="2:15" x14ac:dyDescent="0.2">
      <c r="B3320">
        <v>3305</v>
      </c>
      <c r="C3320" s="48">
        <f ca="1"/>
        <v>1.5986818367032043</v>
      </c>
      <c r="D3320" s="48">
        <f t="shared" ca="1" si="193"/>
        <v>0.77794314590438385</v>
      </c>
      <c r="E3320" s="48">
        <f t="shared" ca="1" si="194"/>
        <v>0</v>
      </c>
      <c r="F3320" s="17">
        <f t="shared" ca="1" si="195"/>
        <v>0</v>
      </c>
      <c r="H3320" s="17">
        <v>3305</v>
      </c>
      <c r="I3320" s="43">
        <v>0.66987969869549069</v>
      </c>
      <c r="J3320" s="43">
        <v>2.0231541368936873E-2</v>
      </c>
      <c r="K3320" s="43"/>
      <c r="L3320" s="43">
        <v>0.25840000000000002</v>
      </c>
      <c r="O3320" s="50"/>
    </row>
    <row r="3321" spans="2:15" x14ac:dyDescent="0.2">
      <c r="B3321">
        <v>3306</v>
      </c>
      <c r="C3321" s="48">
        <f ca="1"/>
        <v>-0.31934276818740265</v>
      </c>
      <c r="D3321" s="48">
        <f t="shared" ca="1" si="193"/>
        <v>0.64391082856985238</v>
      </c>
      <c r="E3321" s="48">
        <f t="shared" ca="1" si="194"/>
        <v>0</v>
      </c>
      <c r="F3321" s="17">
        <f t="shared" ca="1" si="195"/>
        <v>0</v>
      </c>
      <c r="H3321" s="17">
        <v>3306</v>
      </c>
      <c r="I3321" s="43">
        <v>0.67081869468438116</v>
      </c>
      <c r="J3321" s="43">
        <v>2.0609089879453455E-2</v>
      </c>
      <c r="K3321" s="43"/>
      <c r="L3321" s="43">
        <v>0.25319999999999998</v>
      </c>
      <c r="O3321" s="50"/>
    </row>
    <row r="3322" spans="2:15" x14ac:dyDescent="0.2">
      <c r="B3322">
        <v>3307</v>
      </c>
      <c r="C3322" s="48">
        <f ca="1"/>
        <v>-0.37722846376224356</v>
      </c>
      <c r="D3322" s="48">
        <f t="shared" ca="1" si="193"/>
        <v>0.64024662091211848</v>
      </c>
      <c r="E3322" s="48">
        <f t="shared" ca="1" si="194"/>
        <v>0</v>
      </c>
      <c r="F3322" s="17">
        <f t="shared" ca="1" si="195"/>
        <v>0</v>
      </c>
      <c r="H3322" s="17">
        <v>3307</v>
      </c>
      <c r="I3322" s="43">
        <v>0.66860790389759661</v>
      </c>
      <c r="J3322" s="43">
        <v>1.9205085113024583E-2</v>
      </c>
      <c r="K3322" s="43"/>
      <c r="L3322" s="43">
        <v>0.248</v>
      </c>
      <c r="O3322" s="50"/>
    </row>
    <row r="3323" spans="2:15" x14ac:dyDescent="0.2">
      <c r="B3323">
        <v>3308</v>
      </c>
      <c r="C3323" s="48">
        <f ca="1"/>
        <v>2.0064087245588595</v>
      </c>
      <c r="D3323" s="48">
        <f t="shared" ca="1" si="193"/>
        <v>0.809850940359363</v>
      </c>
      <c r="E3323" s="48">
        <f t="shared" ca="1" si="194"/>
        <v>2.1650940359362991E-2</v>
      </c>
      <c r="F3323" s="17">
        <f t="shared" ca="1" si="195"/>
        <v>1</v>
      </c>
      <c r="H3323" s="17">
        <v>3308</v>
      </c>
      <c r="I3323" s="43">
        <v>0.66929380246849557</v>
      </c>
      <c r="J3323" s="43">
        <v>1.9491537124097812E-2</v>
      </c>
      <c r="K3323" s="43"/>
      <c r="L3323" s="43">
        <v>0.24260000000000001</v>
      </c>
      <c r="O3323" s="50"/>
    </row>
    <row r="3324" spans="2:15" x14ac:dyDescent="0.2">
      <c r="B3324">
        <v>3309</v>
      </c>
      <c r="C3324" s="48">
        <f ca="1"/>
        <v>-0.93385446953475315</v>
      </c>
      <c r="D3324" s="48">
        <f t="shared" ca="1" si="193"/>
        <v>0.60605885256656467</v>
      </c>
      <c r="E3324" s="48">
        <f t="shared" ca="1" si="194"/>
        <v>0</v>
      </c>
      <c r="F3324" s="17">
        <f t="shared" ca="1" si="195"/>
        <v>0</v>
      </c>
      <c r="H3324" s="17">
        <v>3309</v>
      </c>
      <c r="I3324" s="43">
        <v>0.66921256622204006</v>
      </c>
      <c r="J3324" s="43">
        <v>1.970720792250831E-2</v>
      </c>
      <c r="K3324" s="43"/>
      <c r="L3324" s="43">
        <v>0.24940000000000001</v>
      </c>
      <c r="O3324" s="50"/>
    </row>
    <row r="3325" spans="2:15" x14ac:dyDescent="0.2">
      <c r="B3325">
        <v>3310</v>
      </c>
      <c r="C3325" s="48">
        <f ca="1"/>
        <v>-2.0819663908984016</v>
      </c>
      <c r="D3325" s="48">
        <f t="shared" ca="1" si="193"/>
        <v>0.54119932468820731</v>
      </c>
      <c r="E3325" s="48">
        <f t="shared" ca="1" si="194"/>
        <v>0</v>
      </c>
      <c r="F3325" s="17">
        <f t="shared" ca="1" si="195"/>
        <v>0</v>
      </c>
      <c r="H3325" s="17">
        <v>3310</v>
      </c>
      <c r="I3325" s="43">
        <v>0.6681088846473916</v>
      </c>
      <c r="J3325" s="43">
        <v>1.8546593750944466E-2</v>
      </c>
      <c r="K3325" s="43"/>
      <c r="L3325" s="43">
        <v>0.24260000000000001</v>
      </c>
      <c r="O3325" s="50"/>
    </row>
    <row r="3326" spans="2:15" x14ac:dyDescent="0.2">
      <c r="B3326">
        <v>3311</v>
      </c>
      <c r="C3326" s="48">
        <f ca="1"/>
        <v>0.29725574959650269</v>
      </c>
      <c r="D3326" s="48">
        <f t="shared" ca="1" si="193"/>
        <v>0.68426764796451101</v>
      </c>
      <c r="E3326" s="48">
        <f t="shared" ca="1" si="194"/>
        <v>0</v>
      </c>
      <c r="F3326" s="17">
        <f t="shared" ca="1" si="195"/>
        <v>0</v>
      </c>
      <c r="H3326" s="17">
        <v>3311</v>
      </c>
      <c r="I3326" s="43">
        <v>0.66961234058164032</v>
      </c>
      <c r="J3326" s="43">
        <v>1.9786005682158769E-2</v>
      </c>
      <c r="K3326" s="43"/>
      <c r="L3326" s="43">
        <v>0.25240000000000001</v>
      </c>
      <c r="O3326" s="50"/>
    </row>
    <row r="3327" spans="2:15" x14ac:dyDescent="0.2">
      <c r="B3327">
        <v>3312</v>
      </c>
      <c r="C3327" s="48">
        <f ca="1"/>
        <v>2.5743464845799804</v>
      </c>
      <c r="D3327" s="48">
        <f t="shared" ca="1" si="193"/>
        <v>0.85648923853226122</v>
      </c>
      <c r="E3327" s="48">
        <f t="shared" ca="1" si="194"/>
        <v>6.8289238532261209E-2</v>
      </c>
      <c r="F3327" s="17">
        <f t="shared" ca="1" si="195"/>
        <v>1</v>
      </c>
      <c r="H3327" s="17">
        <v>3312</v>
      </c>
      <c r="I3327" s="43">
        <v>0.67022976300181147</v>
      </c>
      <c r="J3327" s="43">
        <v>2.0173711759968717E-2</v>
      </c>
      <c r="K3327" s="43"/>
      <c r="L3327" s="43">
        <v>0.26200000000000001</v>
      </c>
      <c r="O3327" s="50"/>
    </row>
    <row r="3328" spans="2:15" x14ac:dyDescent="0.2">
      <c r="B3328">
        <v>3313</v>
      </c>
      <c r="C3328" s="48">
        <f ca="1"/>
        <v>0.32332828401496139</v>
      </c>
      <c r="D3328" s="48">
        <f t="shared" ca="1" si="193"/>
        <v>0.68602876921464706</v>
      </c>
      <c r="E3328" s="48">
        <f t="shared" ca="1" si="194"/>
        <v>0</v>
      </c>
      <c r="F3328" s="17">
        <f t="shared" ca="1" si="195"/>
        <v>0</v>
      </c>
      <c r="H3328" s="17">
        <v>3313</v>
      </c>
      <c r="I3328" s="43">
        <v>0.66957575338598296</v>
      </c>
      <c r="J3328" s="43">
        <v>1.9778555069642698E-2</v>
      </c>
      <c r="K3328" s="43"/>
      <c r="L3328" s="43">
        <v>0.25280000000000002</v>
      </c>
      <c r="O3328" s="50"/>
    </row>
    <row r="3329" spans="2:15" x14ac:dyDescent="0.2">
      <c r="B3329">
        <v>3314</v>
      </c>
      <c r="C3329" s="48">
        <f ca="1"/>
        <v>-0.56905641663362394</v>
      </c>
      <c r="D3329" s="48">
        <f t="shared" ca="1" si="193"/>
        <v>0.62825216016548491</v>
      </c>
      <c r="E3329" s="48">
        <f t="shared" ca="1" si="194"/>
        <v>0</v>
      </c>
      <c r="F3329" s="17">
        <f t="shared" ca="1" si="195"/>
        <v>0</v>
      </c>
      <c r="H3329" s="17">
        <v>3314</v>
      </c>
      <c r="I3329" s="43">
        <v>0.66907614441470076</v>
      </c>
      <c r="J3329" s="43">
        <v>1.9427608004674465E-2</v>
      </c>
      <c r="K3329" s="43"/>
      <c r="L3329" s="43">
        <v>0.253</v>
      </c>
      <c r="O3329" s="50"/>
    </row>
    <row r="3330" spans="2:15" x14ac:dyDescent="0.2">
      <c r="B3330">
        <v>3315</v>
      </c>
      <c r="C3330" s="48">
        <f ca="1"/>
        <v>2.4862848629260839</v>
      </c>
      <c r="D3330" s="48">
        <f t="shared" ca="1" si="193"/>
        <v>0.849085578796267</v>
      </c>
      <c r="E3330" s="48">
        <f t="shared" ca="1" si="194"/>
        <v>6.0885578796266993E-2</v>
      </c>
      <c r="F3330" s="17">
        <f t="shared" ca="1" si="195"/>
        <v>1</v>
      </c>
      <c r="H3330" s="17">
        <v>3315</v>
      </c>
      <c r="I3330" s="43">
        <v>0.66798706141364073</v>
      </c>
      <c r="J3330" s="43">
        <v>1.8539721744097723E-2</v>
      </c>
      <c r="K3330" s="43"/>
      <c r="L3330" s="43">
        <v>0.24</v>
      </c>
      <c r="O3330" s="50"/>
    </row>
    <row r="3331" spans="2:15" x14ac:dyDescent="0.2">
      <c r="B3331">
        <v>3316</v>
      </c>
      <c r="C3331" s="48">
        <f ca="1"/>
        <v>0.67397812291588</v>
      </c>
      <c r="D3331" s="48">
        <f t="shared" ca="1" si="193"/>
        <v>0.7101592529831966</v>
      </c>
      <c r="E3331" s="48">
        <f t="shared" ca="1" si="194"/>
        <v>0</v>
      </c>
      <c r="F3331" s="17">
        <f t="shared" ca="1" si="195"/>
        <v>0</v>
      </c>
      <c r="H3331" s="17">
        <v>3316</v>
      </c>
      <c r="I3331" s="43">
        <v>0.66970908626135461</v>
      </c>
      <c r="J3331" s="43">
        <v>2.0091988714906656E-2</v>
      </c>
      <c r="K3331" s="43"/>
      <c r="L3331" s="43">
        <v>0.25659999999999999</v>
      </c>
      <c r="O3331" s="50"/>
    </row>
    <row r="3332" spans="2:15" x14ac:dyDescent="0.2">
      <c r="B3332">
        <v>3317</v>
      </c>
      <c r="C3332" s="48">
        <f ca="1"/>
        <v>-0.55611009085878638</v>
      </c>
      <c r="D3332" s="48">
        <f t="shared" ca="1" si="193"/>
        <v>0.62905453893069663</v>
      </c>
      <c r="E3332" s="48">
        <f t="shared" ca="1" si="194"/>
        <v>0</v>
      </c>
      <c r="F3332" s="17">
        <f t="shared" ca="1" si="195"/>
        <v>0</v>
      </c>
      <c r="H3332" s="17">
        <v>3317</v>
      </c>
      <c r="I3332" s="43">
        <v>0.67011169857099939</v>
      </c>
      <c r="J3332" s="43">
        <v>2.0646914542037879E-2</v>
      </c>
      <c r="K3332" s="43"/>
      <c r="L3332" s="43">
        <v>0.252</v>
      </c>
      <c r="O3332" s="50"/>
    </row>
    <row r="3333" spans="2:15" x14ac:dyDescent="0.2">
      <c r="B3333">
        <v>3318</v>
      </c>
      <c r="C3333" s="48">
        <f ca="1"/>
        <v>-0.7866249027449157</v>
      </c>
      <c r="D3333" s="48">
        <f t="shared" ca="1" si="193"/>
        <v>0.61491994479067269</v>
      </c>
      <c r="E3333" s="48">
        <f t="shared" ca="1" si="194"/>
        <v>0</v>
      </c>
      <c r="F3333" s="17">
        <f t="shared" ca="1" si="195"/>
        <v>0</v>
      </c>
      <c r="H3333" s="17">
        <v>3318</v>
      </c>
      <c r="I3333" s="43">
        <v>0.66886946733230102</v>
      </c>
      <c r="J3333" s="43">
        <v>1.9100477663889531E-2</v>
      </c>
      <c r="K3333" s="43"/>
      <c r="L3333" s="43">
        <v>0.251</v>
      </c>
      <c r="O3333" s="50"/>
    </row>
    <row r="3334" spans="2:15" x14ac:dyDescent="0.2">
      <c r="B3334">
        <v>3319</v>
      </c>
      <c r="C3334" s="48">
        <f ca="1"/>
        <v>-0.72609830547094234</v>
      </c>
      <c r="D3334" s="48">
        <f t="shared" ca="1" si="193"/>
        <v>0.61860024254560553</v>
      </c>
      <c r="E3334" s="48">
        <f t="shared" ca="1" si="194"/>
        <v>0</v>
      </c>
      <c r="F3334" s="17">
        <f t="shared" ca="1" si="195"/>
        <v>0</v>
      </c>
      <c r="H3334" s="17">
        <v>3319</v>
      </c>
      <c r="I3334" s="43">
        <v>0.66899404738249335</v>
      </c>
      <c r="J3334" s="43">
        <v>1.9468515248348025E-2</v>
      </c>
      <c r="K3334" s="43"/>
      <c r="L3334" s="43">
        <v>0.24840000000000001</v>
      </c>
      <c r="O3334" s="50"/>
    </row>
    <row r="3335" spans="2:15" x14ac:dyDescent="0.2">
      <c r="B3335">
        <v>3320</v>
      </c>
      <c r="C3335" s="48">
        <f ca="1"/>
        <v>-0.23346808097460683</v>
      </c>
      <c r="D3335" s="48">
        <f t="shared" ca="1" si="193"/>
        <v>0.64938542764184171</v>
      </c>
      <c r="E3335" s="48">
        <f t="shared" ca="1" si="194"/>
        <v>0</v>
      </c>
      <c r="F3335" s="17">
        <f t="shared" ca="1" si="195"/>
        <v>0</v>
      </c>
      <c r="H3335" s="17">
        <v>3320</v>
      </c>
      <c r="I3335" s="43">
        <v>0.6694554156507484</v>
      </c>
      <c r="J3335" s="43">
        <v>1.9889851526830805E-2</v>
      </c>
      <c r="K3335" s="43"/>
      <c r="L3335" s="43">
        <v>0.25740000000000002</v>
      </c>
      <c r="O3335" s="50"/>
    </row>
    <row r="3336" spans="2:15" x14ac:dyDescent="0.2">
      <c r="B3336">
        <v>3321</v>
      </c>
      <c r="C3336" s="48">
        <f ca="1"/>
        <v>-1.3912176900482938</v>
      </c>
      <c r="D3336" s="48">
        <f t="shared" ca="1" si="193"/>
        <v>0.57933843031834775</v>
      </c>
      <c r="E3336" s="48">
        <f t="shared" ca="1" si="194"/>
        <v>0</v>
      </c>
      <c r="F3336" s="17">
        <f t="shared" ca="1" si="195"/>
        <v>0</v>
      </c>
      <c r="H3336" s="17">
        <v>3321</v>
      </c>
      <c r="I3336" s="43">
        <v>0.66880128034679087</v>
      </c>
      <c r="J3336" s="43">
        <v>1.9340540892181804E-2</v>
      </c>
      <c r="K3336" s="43"/>
      <c r="L3336" s="43">
        <v>0.249</v>
      </c>
      <c r="O3336" s="50"/>
    </row>
    <row r="3337" spans="2:15" x14ac:dyDescent="0.2">
      <c r="B3337">
        <v>3322</v>
      </c>
      <c r="C3337" s="48">
        <f ca="1"/>
        <v>0.37034221681903445</v>
      </c>
      <c r="D3337" s="48">
        <f t="shared" ca="1" si="193"/>
        <v>0.68921588245326326</v>
      </c>
      <c r="E3337" s="48">
        <f t="shared" ca="1" si="194"/>
        <v>0</v>
      </c>
      <c r="F3337" s="17">
        <f t="shared" ca="1" si="195"/>
        <v>0</v>
      </c>
      <c r="H3337" s="17">
        <v>3322</v>
      </c>
      <c r="I3337" s="43">
        <v>0.66834697441611468</v>
      </c>
      <c r="J3337" s="43">
        <v>1.9018152706797249E-2</v>
      </c>
      <c r="K3337" s="43"/>
      <c r="L3337" s="43">
        <v>0.24560000000000001</v>
      </c>
      <c r="O3337" s="50"/>
    </row>
    <row r="3338" spans="2:15" x14ac:dyDescent="0.2">
      <c r="B3338">
        <v>3323</v>
      </c>
      <c r="C3338" s="48">
        <f ca="1"/>
        <v>1.4781884387429904</v>
      </c>
      <c r="D3338" s="48">
        <f t="shared" ca="1" si="193"/>
        <v>0.76875652357717572</v>
      </c>
      <c r="E3338" s="48">
        <f t="shared" ca="1" si="194"/>
        <v>0</v>
      </c>
      <c r="F3338" s="17">
        <f t="shared" ca="1" si="195"/>
        <v>0</v>
      </c>
      <c r="H3338" s="17">
        <v>3323</v>
      </c>
      <c r="I3338" s="43">
        <v>0.66890222010148404</v>
      </c>
      <c r="J3338" s="43">
        <v>1.9438247164628077E-2</v>
      </c>
      <c r="K3338" s="43"/>
      <c r="L3338" s="43">
        <v>0.25440000000000002</v>
      </c>
      <c r="O3338" s="50"/>
    </row>
    <row r="3339" spans="2:15" x14ac:dyDescent="0.2">
      <c r="B3339">
        <v>3324</v>
      </c>
      <c r="C3339" s="48">
        <f ca="1"/>
        <v>-0.82768408555739548</v>
      </c>
      <c r="D3339" s="48">
        <f t="shared" ca="1" si="193"/>
        <v>0.61243582861270762</v>
      </c>
      <c r="E3339" s="48">
        <f t="shared" ca="1" si="194"/>
        <v>0</v>
      </c>
      <c r="F3339" s="17">
        <f t="shared" ca="1" si="195"/>
        <v>0</v>
      </c>
      <c r="H3339" s="17">
        <v>3324</v>
      </c>
      <c r="I3339" s="43">
        <v>0.66980203874735167</v>
      </c>
      <c r="J3339" s="43">
        <v>2.0179682643925455E-2</v>
      </c>
      <c r="K3339" s="43"/>
      <c r="L3339" s="43">
        <v>0.25919999999999999</v>
      </c>
      <c r="O3339" s="50"/>
    </row>
    <row r="3340" spans="2:15" x14ac:dyDescent="0.2">
      <c r="B3340">
        <v>3325</v>
      </c>
      <c r="C3340" s="48">
        <f ca="1"/>
        <v>0.46259663264738371</v>
      </c>
      <c r="D3340" s="48">
        <f t="shared" ca="1" si="193"/>
        <v>0.69551298317314669</v>
      </c>
      <c r="E3340" s="48">
        <f t="shared" ca="1" si="194"/>
        <v>0</v>
      </c>
      <c r="F3340" s="17">
        <f t="shared" ca="1" si="195"/>
        <v>0</v>
      </c>
      <c r="H3340" s="17">
        <v>3325</v>
      </c>
      <c r="I3340" s="43">
        <v>0.6681885290841908</v>
      </c>
      <c r="J3340" s="43">
        <v>1.8877712587131897E-2</v>
      </c>
      <c r="K3340" s="43"/>
      <c r="L3340" s="43">
        <v>0.24660000000000001</v>
      </c>
      <c r="O3340" s="50"/>
    </row>
    <row r="3341" spans="2:15" x14ac:dyDescent="0.2">
      <c r="B3341">
        <v>3326</v>
      </c>
      <c r="C3341" s="48">
        <f ca="1"/>
        <v>-0.26947218670954409</v>
      </c>
      <c r="D3341" s="48">
        <f t="shared" ca="1" si="193"/>
        <v>0.64708448527940454</v>
      </c>
      <c r="E3341" s="48">
        <f t="shared" ca="1" si="194"/>
        <v>0</v>
      </c>
      <c r="F3341" s="17">
        <f t="shared" ca="1" si="195"/>
        <v>0</v>
      </c>
      <c r="H3341" s="17">
        <v>3326</v>
      </c>
      <c r="I3341" s="43">
        <v>0.66929805644068152</v>
      </c>
      <c r="J3341" s="43">
        <v>1.9319743757297107E-2</v>
      </c>
      <c r="K3341" s="43"/>
      <c r="L3341" s="43">
        <v>0.24879999999999999</v>
      </c>
      <c r="O3341" s="50"/>
    </row>
    <row r="3342" spans="2:15" x14ac:dyDescent="0.2">
      <c r="B3342">
        <v>3327</v>
      </c>
      <c r="C3342" s="48">
        <f ca="1"/>
        <v>0.76297743796356665</v>
      </c>
      <c r="D3342" s="48">
        <f t="shared" ca="1" si="193"/>
        <v>0.71641776117534128</v>
      </c>
      <c r="E3342" s="48">
        <f t="shared" ca="1" si="194"/>
        <v>0</v>
      </c>
      <c r="F3342" s="17">
        <f t="shared" ca="1" si="195"/>
        <v>0</v>
      </c>
      <c r="H3342" s="17">
        <v>3327</v>
      </c>
      <c r="I3342" s="43">
        <v>0.66782032841249128</v>
      </c>
      <c r="J3342" s="43">
        <v>1.8336223321748321E-2</v>
      </c>
      <c r="K3342" s="43"/>
      <c r="L3342" s="43">
        <v>0.24060000000000001</v>
      </c>
      <c r="O3342" s="50"/>
    </row>
    <row r="3343" spans="2:15" x14ac:dyDescent="0.2">
      <c r="B3343">
        <v>3328</v>
      </c>
      <c r="C3343" s="48">
        <f ca="1"/>
        <v>0.78820782617561946</v>
      </c>
      <c r="D3343" s="48">
        <f t="shared" ca="1" si="193"/>
        <v>0.71820199694501774</v>
      </c>
      <c r="E3343" s="48">
        <f t="shared" ca="1" si="194"/>
        <v>0</v>
      </c>
      <c r="F3343" s="17">
        <f t="shared" ca="1" si="195"/>
        <v>0</v>
      </c>
      <c r="H3343" s="17">
        <v>3328</v>
      </c>
      <c r="I3343" s="43">
        <v>0.66940092897670478</v>
      </c>
      <c r="J3343" s="43">
        <v>1.9898998996438839E-2</v>
      </c>
      <c r="K3343" s="43"/>
      <c r="L3343" s="43">
        <v>0.25380000000000003</v>
      </c>
      <c r="O3343" s="50"/>
    </row>
    <row r="3344" spans="2:15" x14ac:dyDescent="0.2">
      <c r="B3344">
        <v>3329</v>
      </c>
      <c r="C3344" s="48">
        <f ca="1"/>
        <v>-0.90107723422115871</v>
      </c>
      <c r="D3344" s="48">
        <f t="shared" ref="D3344:D3407" ca="1" si="196">S0*EXP((μ-0.5*σ*σ)*T+σ*SQRT(T)*$C3344)</f>
        <v>0.60802045378558478</v>
      </c>
      <c r="E3344" s="48">
        <f t="shared" ref="E3344:E3407" ca="1" si="197">MAX(0,CP*(D3344-K))</f>
        <v>0</v>
      </c>
      <c r="F3344" s="17">
        <f t="shared" ref="F3344:F3407" ca="1" si="198">(CP*(D3344-K)&gt;0)*1</f>
        <v>0</v>
      </c>
      <c r="H3344" s="17">
        <v>3329</v>
      </c>
      <c r="I3344" s="43">
        <v>0.67002532194686548</v>
      </c>
      <c r="J3344" s="43">
        <v>2.0110251955446058E-2</v>
      </c>
      <c r="K3344" s="43"/>
      <c r="L3344" s="43">
        <v>0.25619999999999998</v>
      </c>
      <c r="O3344" s="50"/>
    </row>
    <row r="3345" spans="2:15" x14ac:dyDescent="0.2">
      <c r="B3345">
        <v>3330</v>
      </c>
      <c r="C3345" s="48">
        <f ca="1"/>
        <v>-0.33053689823870713</v>
      </c>
      <c r="D3345" s="48">
        <f t="shared" ca="1" si="196"/>
        <v>0.64320059993933187</v>
      </c>
      <c r="E3345" s="48">
        <f t="shared" ca="1" si="197"/>
        <v>0</v>
      </c>
      <c r="F3345" s="17">
        <f t="shared" ca="1" si="198"/>
        <v>0</v>
      </c>
      <c r="H3345" s="17">
        <v>3330</v>
      </c>
      <c r="I3345" s="43">
        <v>0.66890957880173041</v>
      </c>
      <c r="J3345" s="43">
        <v>1.9146837441275651E-2</v>
      </c>
      <c r="K3345" s="43"/>
      <c r="L3345" s="43">
        <v>0.2462</v>
      </c>
      <c r="O3345" s="50"/>
    </row>
    <row r="3346" spans="2:15" x14ac:dyDescent="0.2">
      <c r="B3346">
        <v>3331</v>
      </c>
      <c r="C3346" s="48">
        <f ca="1"/>
        <v>1.3918098572361057</v>
      </c>
      <c r="D3346" s="48">
        <f t="shared" ca="1" si="196"/>
        <v>0.7622377075827641</v>
      </c>
      <c r="E3346" s="48">
        <f t="shared" ca="1" si="197"/>
        <v>0</v>
      </c>
      <c r="F3346" s="17">
        <f t="shared" ca="1" si="198"/>
        <v>0</v>
      </c>
      <c r="H3346" s="17">
        <v>3331</v>
      </c>
      <c r="I3346" s="43">
        <v>0.6684967442899632</v>
      </c>
      <c r="J3346" s="43">
        <v>1.9332549697192301E-2</v>
      </c>
      <c r="K3346" s="43"/>
      <c r="L3346" s="43">
        <v>0.25080000000000002</v>
      </c>
      <c r="O3346" s="50"/>
    </row>
    <row r="3347" spans="2:15" x14ac:dyDescent="0.2">
      <c r="B3347">
        <v>3332</v>
      </c>
      <c r="C3347" s="48">
        <f ca="1"/>
        <v>0.98330244079301188</v>
      </c>
      <c r="D3347" s="48">
        <f t="shared" ca="1" si="196"/>
        <v>0.73214951362443326</v>
      </c>
      <c r="E3347" s="48">
        <f t="shared" ca="1" si="197"/>
        <v>0</v>
      </c>
      <c r="F3347" s="17">
        <f t="shared" ca="1" si="198"/>
        <v>0</v>
      </c>
      <c r="H3347" s="17">
        <v>3332</v>
      </c>
      <c r="I3347" s="43">
        <v>0.6681803213682479</v>
      </c>
      <c r="J3347" s="43">
        <v>1.9083963789510053E-2</v>
      </c>
      <c r="K3347" s="43"/>
      <c r="L3347" s="43">
        <v>0.252</v>
      </c>
      <c r="O3347" s="50"/>
    </row>
    <row r="3348" spans="2:15" x14ac:dyDescent="0.2">
      <c r="B3348">
        <v>3333</v>
      </c>
      <c r="C3348" s="48">
        <f ca="1"/>
        <v>2.2297622689833489E-2</v>
      </c>
      <c r="D3348" s="48">
        <f t="shared" ca="1" si="196"/>
        <v>0.66596806121852969</v>
      </c>
      <c r="E3348" s="48">
        <f t="shared" ca="1" si="197"/>
        <v>0</v>
      </c>
      <c r="F3348" s="17">
        <f t="shared" ca="1" si="198"/>
        <v>0</v>
      </c>
      <c r="H3348" s="17">
        <v>3333</v>
      </c>
      <c r="I3348" s="43">
        <v>0.66812642139869072</v>
      </c>
      <c r="J3348" s="43">
        <v>1.880949231202091E-2</v>
      </c>
      <c r="K3348" s="43"/>
      <c r="L3348" s="43">
        <v>0.25140000000000001</v>
      </c>
      <c r="O3348" s="50"/>
    </row>
    <row r="3349" spans="2:15" x14ac:dyDescent="0.2">
      <c r="B3349">
        <v>3334</v>
      </c>
      <c r="C3349" s="48">
        <f ca="1"/>
        <v>-0.341213696737733</v>
      </c>
      <c r="D3349" s="48">
        <f t="shared" ca="1" si="196"/>
        <v>0.64252392411760817</v>
      </c>
      <c r="E3349" s="48">
        <f t="shared" ca="1" si="197"/>
        <v>0</v>
      </c>
      <c r="F3349" s="17">
        <f t="shared" ca="1" si="198"/>
        <v>0</v>
      </c>
      <c r="H3349" s="17">
        <v>3334</v>
      </c>
      <c r="I3349" s="43">
        <v>0.66828735665283823</v>
      </c>
      <c r="J3349" s="43">
        <v>1.8935078201872475E-2</v>
      </c>
      <c r="K3349" s="43"/>
      <c r="L3349" s="43">
        <v>0.25080000000000002</v>
      </c>
      <c r="O3349" s="50"/>
    </row>
    <row r="3350" spans="2:15" x14ac:dyDescent="0.2">
      <c r="B3350">
        <v>3335</v>
      </c>
      <c r="C3350" s="48">
        <f ca="1"/>
        <v>-0.25171770111457265</v>
      </c>
      <c r="D3350" s="48">
        <f t="shared" ca="1" si="196"/>
        <v>0.64821811427341047</v>
      </c>
      <c r="E3350" s="48">
        <f t="shared" ca="1" si="197"/>
        <v>0</v>
      </c>
      <c r="F3350" s="17">
        <f t="shared" ca="1" si="198"/>
        <v>0</v>
      </c>
      <c r="H3350" s="17">
        <v>3335</v>
      </c>
      <c r="I3350" s="43">
        <v>0.66942743541937066</v>
      </c>
      <c r="J3350" s="43">
        <v>1.9693837619868704E-2</v>
      </c>
      <c r="K3350" s="43"/>
      <c r="L3350" s="43">
        <v>0.25480000000000003</v>
      </c>
      <c r="O3350" s="50"/>
    </row>
    <row r="3351" spans="2:15" x14ac:dyDescent="0.2">
      <c r="B3351">
        <v>3336</v>
      </c>
      <c r="C3351" s="48">
        <f ca="1"/>
        <v>-0.9931244987034209</v>
      </c>
      <c r="D3351" s="48">
        <f t="shared" ca="1" si="196"/>
        <v>0.60252780615408885</v>
      </c>
      <c r="E3351" s="48">
        <f t="shared" ca="1" si="197"/>
        <v>0</v>
      </c>
      <c r="F3351" s="17">
        <f t="shared" ca="1" si="198"/>
        <v>0</v>
      </c>
      <c r="H3351" s="17">
        <v>3336</v>
      </c>
      <c r="I3351" s="43">
        <v>0.66963455850774045</v>
      </c>
      <c r="J3351" s="43">
        <v>1.991185422239317E-2</v>
      </c>
      <c r="K3351" s="43"/>
      <c r="L3351" s="43">
        <v>0.25919999999999999</v>
      </c>
      <c r="O3351" s="50"/>
    </row>
    <row r="3352" spans="2:15" x14ac:dyDescent="0.2">
      <c r="B3352">
        <v>3337</v>
      </c>
      <c r="C3352" s="48">
        <f ca="1"/>
        <v>0.29032219216759308</v>
      </c>
      <c r="D3352" s="48">
        <f t="shared" ca="1" si="196"/>
        <v>0.68380006851038544</v>
      </c>
      <c r="E3352" s="48">
        <f t="shared" ca="1" si="197"/>
        <v>0</v>
      </c>
      <c r="F3352" s="17">
        <f t="shared" ca="1" si="198"/>
        <v>0</v>
      </c>
      <c r="H3352" s="17">
        <v>3337</v>
      </c>
      <c r="I3352" s="43">
        <v>0.66977193303024085</v>
      </c>
      <c r="J3352" s="43">
        <v>1.9875597968616598E-2</v>
      </c>
      <c r="K3352" s="43"/>
      <c r="L3352" s="43">
        <v>0.25059999999999999</v>
      </c>
      <c r="O3352" s="50"/>
    </row>
    <row r="3353" spans="2:15" x14ac:dyDescent="0.2">
      <c r="B3353">
        <v>3338</v>
      </c>
      <c r="C3353" s="48">
        <f ca="1"/>
        <v>0.13171986662766091</v>
      </c>
      <c r="D3353" s="48">
        <f t="shared" ca="1" si="196"/>
        <v>0.67319118996255722</v>
      </c>
      <c r="E3353" s="48">
        <f t="shared" ca="1" si="197"/>
        <v>0</v>
      </c>
      <c r="F3353" s="17">
        <f t="shared" ca="1" si="198"/>
        <v>0</v>
      </c>
      <c r="H3353" s="17">
        <v>3338</v>
      </c>
      <c r="I3353" s="43">
        <v>0.66912773369255663</v>
      </c>
      <c r="J3353" s="43">
        <v>1.9598378474592386E-2</v>
      </c>
      <c r="K3353" s="43"/>
      <c r="L3353" s="43">
        <v>0.24879999999999999</v>
      </c>
      <c r="O3353" s="50"/>
    </row>
    <row r="3354" spans="2:15" x14ac:dyDescent="0.2">
      <c r="B3354">
        <v>3339</v>
      </c>
      <c r="C3354" s="48">
        <f ca="1"/>
        <v>-1.4792901642860492</v>
      </c>
      <c r="D3354" s="48">
        <f t="shared" ca="1" si="196"/>
        <v>0.57432990163728781</v>
      </c>
      <c r="E3354" s="48">
        <f t="shared" ca="1" si="197"/>
        <v>0</v>
      </c>
      <c r="F3354" s="17">
        <f t="shared" ca="1" si="198"/>
        <v>0</v>
      </c>
      <c r="H3354" s="17">
        <v>3339</v>
      </c>
      <c r="I3354" s="43">
        <v>0.6682687604481512</v>
      </c>
      <c r="J3354" s="43">
        <v>1.872086405782997E-2</v>
      </c>
      <c r="K3354" s="43"/>
      <c r="L3354" s="43">
        <v>0.2452</v>
      </c>
      <c r="O3354" s="50"/>
    </row>
    <row r="3355" spans="2:15" x14ac:dyDescent="0.2">
      <c r="B3355">
        <v>3340</v>
      </c>
      <c r="C3355" s="48">
        <f ca="1"/>
        <v>-0.65307298723212004</v>
      </c>
      <c r="D3355" s="48">
        <f t="shared" ca="1" si="196"/>
        <v>0.62306985150064542</v>
      </c>
      <c r="E3355" s="48">
        <f t="shared" ca="1" si="197"/>
        <v>0</v>
      </c>
      <c r="F3355" s="17">
        <f t="shared" ca="1" si="198"/>
        <v>0</v>
      </c>
      <c r="H3355" s="17">
        <v>3340</v>
      </c>
      <c r="I3355" s="43">
        <v>0.6697264528398732</v>
      </c>
      <c r="J3355" s="43">
        <v>1.9989462449109444E-2</v>
      </c>
      <c r="K3355" s="43"/>
      <c r="L3355" s="43">
        <v>0.26100000000000001</v>
      </c>
      <c r="O3355" s="50"/>
    </row>
    <row r="3356" spans="2:15" x14ac:dyDescent="0.2">
      <c r="B3356">
        <v>3341</v>
      </c>
      <c r="C3356" s="48">
        <f ca="1"/>
        <v>0.89896820016166912</v>
      </c>
      <c r="D3356" s="48">
        <f t="shared" ca="1" si="196"/>
        <v>0.72608743923717645</v>
      </c>
      <c r="E3356" s="48">
        <f t="shared" ca="1" si="197"/>
        <v>0</v>
      </c>
      <c r="F3356" s="17">
        <f t="shared" ca="1" si="198"/>
        <v>0</v>
      </c>
      <c r="H3356" s="17">
        <v>3341</v>
      </c>
      <c r="I3356" s="43">
        <v>0.66904064910742145</v>
      </c>
      <c r="J3356" s="43">
        <v>1.9288692626955876E-2</v>
      </c>
      <c r="K3356" s="43"/>
      <c r="L3356" s="43">
        <v>0.249</v>
      </c>
      <c r="O3356" s="50"/>
    </row>
    <row r="3357" spans="2:15" x14ac:dyDescent="0.2">
      <c r="B3357">
        <v>3342</v>
      </c>
      <c r="C3357" s="48">
        <f ca="1"/>
        <v>-8.6807567621440929E-2</v>
      </c>
      <c r="D3357" s="48">
        <f t="shared" ca="1" si="196"/>
        <v>0.65884302783731241</v>
      </c>
      <c r="E3357" s="48">
        <f t="shared" ca="1" si="197"/>
        <v>0</v>
      </c>
      <c r="F3357" s="17">
        <f t="shared" ca="1" si="198"/>
        <v>0</v>
      </c>
      <c r="H3357" s="17">
        <v>3342</v>
      </c>
      <c r="I3357" s="43">
        <v>0.66837368949003928</v>
      </c>
      <c r="J3357" s="43">
        <v>1.88473618737269E-2</v>
      </c>
      <c r="K3357" s="43"/>
      <c r="L3357" s="43">
        <v>0.24759999999999999</v>
      </c>
      <c r="O3357" s="50"/>
    </row>
    <row r="3358" spans="2:15" x14ac:dyDescent="0.2">
      <c r="B3358">
        <v>3343</v>
      </c>
      <c r="C3358" s="48">
        <f ca="1"/>
        <v>-1.2433490765033073</v>
      </c>
      <c r="D3358" s="48">
        <f t="shared" ca="1" si="196"/>
        <v>0.58784588170570484</v>
      </c>
      <c r="E3358" s="48">
        <f t="shared" ca="1" si="197"/>
        <v>0</v>
      </c>
      <c r="F3358" s="17">
        <f t="shared" ca="1" si="198"/>
        <v>0</v>
      </c>
      <c r="H3358" s="17">
        <v>3343</v>
      </c>
      <c r="I3358" s="43">
        <v>0.66831218749562826</v>
      </c>
      <c r="J3358" s="43">
        <v>1.8788448526941382E-2</v>
      </c>
      <c r="K3358" s="43"/>
      <c r="L3358" s="43">
        <v>0.24660000000000001</v>
      </c>
      <c r="O3358" s="50"/>
    </row>
    <row r="3359" spans="2:15" x14ac:dyDescent="0.2">
      <c r="B3359">
        <v>3344</v>
      </c>
      <c r="C3359" s="48">
        <f ca="1"/>
        <v>0.21204353740538839</v>
      </c>
      <c r="D3359" s="48">
        <f t="shared" ca="1" si="196"/>
        <v>0.67854329213254627</v>
      </c>
      <c r="E3359" s="48">
        <f t="shared" ca="1" si="197"/>
        <v>0</v>
      </c>
      <c r="F3359" s="17">
        <f t="shared" ca="1" si="198"/>
        <v>0</v>
      </c>
      <c r="H3359" s="17">
        <v>3344</v>
      </c>
      <c r="I3359" s="43">
        <v>0.66999540705854421</v>
      </c>
      <c r="J3359" s="43">
        <v>2.0074752077806207E-2</v>
      </c>
      <c r="K3359" s="43"/>
      <c r="L3359" s="43">
        <v>0.25340000000000001</v>
      </c>
      <c r="O3359" s="50"/>
    </row>
    <row r="3360" spans="2:15" x14ac:dyDescent="0.2">
      <c r="B3360">
        <v>3345</v>
      </c>
      <c r="C3360" s="48">
        <f ca="1"/>
        <v>-1.334865055583603</v>
      </c>
      <c r="D3360" s="48">
        <f t="shared" ca="1" si="196"/>
        <v>0.58256599711001733</v>
      </c>
      <c r="E3360" s="48">
        <f t="shared" ca="1" si="197"/>
        <v>0</v>
      </c>
      <c r="F3360" s="17">
        <f t="shared" ca="1" si="198"/>
        <v>0</v>
      </c>
      <c r="H3360" s="17">
        <v>3345</v>
      </c>
      <c r="I3360" s="43">
        <v>0.66972668898308907</v>
      </c>
      <c r="J3360" s="43">
        <v>1.9922574877558972E-2</v>
      </c>
      <c r="K3360" s="43"/>
      <c r="L3360" s="43">
        <v>0.25640000000000002</v>
      </c>
      <c r="O3360" s="50"/>
    </row>
    <row r="3361" spans="2:15" x14ac:dyDescent="0.2">
      <c r="B3361">
        <v>3346</v>
      </c>
      <c r="C3361" s="48">
        <f ca="1"/>
        <v>-0.38416302856949375</v>
      </c>
      <c r="D3361" s="48">
        <f t="shared" ca="1" si="196"/>
        <v>0.63980905872936233</v>
      </c>
      <c r="E3361" s="48">
        <f t="shared" ca="1" si="197"/>
        <v>0</v>
      </c>
      <c r="F3361" s="17">
        <f t="shared" ca="1" si="198"/>
        <v>0</v>
      </c>
      <c r="H3361" s="17">
        <v>3346</v>
      </c>
      <c r="I3361" s="43">
        <v>0.66787894051769925</v>
      </c>
      <c r="J3361" s="43">
        <v>1.873957328871009E-2</v>
      </c>
      <c r="K3361" s="43"/>
      <c r="L3361" s="43">
        <v>0.25140000000000001</v>
      </c>
      <c r="O3361" s="50"/>
    </row>
    <row r="3362" spans="2:15" x14ac:dyDescent="0.2">
      <c r="B3362">
        <v>3347</v>
      </c>
      <c r="C3362" s="48">
        <f ca="1"/>
        <v>-0.58556538042302553</v>
      </c>
      <c r="D3362" s="48">
        <f t="shared" ca="1" si="196"/>
        <v>0.62723046309031061</v>
      </c>
      <c r="E3362" s="48">
        <f t="shared" ca="1" si="197"/>
        <v>0</v>
      </c>
      <c r="F3362" s="17">
        <f t="shared" ca="1" si="198"/>
        <v>0</v>
      </c>
      <c r="H3362" s="17">
        <v>3347</v>
      </c>
      <c r="I3362" s="43">
        <v>0.66893883795177989</v>
      </c>
      <c r="J3362" s="43">
        <v>1.9578262794216688E-2</v>
      </c>
      <c r="K3362" s="43"/>
      <c r="L3362" s="43">
        <v>0.24879999999999999</v>
      </c>
      <c r="O3362" s="50"/>
    </row>
    <row r="3363" spans="2:15" x14ac:dyDescent="0.2">
      <c r="B3363">
        <v>3348</v>
      </c>
      <c r="C3363" s="48">
        <f ca="1"/>
        <v>1.1210811455821184</v>
      </c>
      <c r="D3363" s="48">
        <f t="shared" ca="1" si="196"/>
        <v>0.74216233575506818</v>
      </c>
      <c r="E3363" s="48">
        <f t="shared" ca="1" si="197"/>
        <v>0</v>
      </c>
      <c r="F3363" s="17">
        <f t="shared" ca="1" si="198"/>
        <v>0</v>
      </c>
      <c r="H3363" s="17">
        <v>3348</v>
      </c>
      <c r="I3363" s="43">
        <v>0.66859833358326159</v>
      </c>
      <c r="J3363" s="43">
        <v>1.8955271964224137E-2</v>
      </c>
      <c r="K3363" s="43"/>
      <c r="L3363" s="43">
        <v>0.24379999999999999</v>
      </c>
      <c r="O3363" s="50"/>
    </row>
    <row r="3364" spans="2:15" x14ac:dyDescent="0.2">
      <c r="B3364">
        <v>3349</v>
      </c>
      <c r="C3364" s="48">
        <f ca="1"/>
        <v>-4.8388520791672877E-2</v>
      </c>
      <c r="D3364" s="48">
        <f t="shared" ca="1" si="196"/>
        <v>0.66134321773070504</v>
      </c>
      <c r="E3364" s="48">
        <f t="shared" ca="1" si="197"/>
        <v>0</v>
      </c>
      <c r="F3364" s="17">
        <f t="shared" ca="1" si="198"/>
        <v>0</v>
      </c>
      <c r="H3364" s="17">
        <v>3349</v>
      </c>
      <c r="I3364" s="43">
        <v>0.66867552472574898</v>
      </c>
      <c r="J3364" s="43">
        <v>1.918617092728506E-2</v>
      </c>
      <c r="K3364" s="43"/>
      <c r="L3364" s="43">
        <v>0.24879999999999999</v>
      </c>
      <c r="O3364" s="50"/>
    </row>
    <row r="3365" spans="2:15" x14ac:dyDescent="0.2">
      <c r="B3365">
        <v>3350</v>
      </c>
      <c r="C3365" s="48">
        <f ca="1"/>
        <v>-1.3794982640083961</v>
      </c>
      <c r="D3365" s="48">
        <f t="shared" ca="1" si="196"/>
        <v>0.58000817814815664</v>
      </c>
      <c r="E3365" s="48">
        <f t="shared" ca="1" si="197"/>
        <v>0</v>
      </c>
      <c r="F3365" s="17">
        <f t="shared" ca="1" si="198"/>
        <v>0</v>
      </c>
      <c r="H3365" s="17">
        <v>3350</v>
      </c>
      <c r="I3365" s="43">
        <v>0.66844825818581455</v>
      </c>
      <c r="J3365" s="43">
        <v>1.882976216852492E-2</v>
      </c>
      <c r="K3365" s="43"/>
      <c r="L3365" s="43">
        <v>0.24540000000000001</v>
      </c>
      <c r="O3365" s="50"/>
    </row>
    <row r="3366" spans="2:15" x14ac:dyDescent="0.2">
      <c r="B3366">
        <v>3351</v>
      </c>
      <c r="C3366" s="48">
        <f ca="1"/>
        <v>-2.4810985756833341</v>
      </c>
      <c r="D3366" s="48">
        <f t="shared" ca="1" si="196"/>
        <v>0.52031698703387397</v>
      </c>
      <c r="E3366" s="48">
        <f t="shared" ca="1" si="197"/>
        <v>0</v>
      </c>
      <c r="F3366" s="17">
        <f t="shared" ca="1" si="198"/>
        <v>0</v>
      </c>
      <c r="H3366" s="17">
        <v>3351</v>
      </c>
      <c r="I3366" s="43">
        <v>0.67012282960052394</v>
      </c>
      <c r="J3366" s="43">
        <v>2.0659634052862516E-2</v>
      </c>
      <c r="K3366" s="43"/>
      <c r="L3366" s="43">
        <v>0.26200000000000001</v>
      </c>
      <c r="O3366" s="50"/>
    </row>
    <row r="3367" spans="2:15" x14ac:dyDescent="0.2">
      <c r="B3367">
        <v>3352</v>
      </c>
      <c r="C3367" s="48">
        <f ca="1"/>
        <v>-0.12105019144338419</v>
      </c>
      <c r="D3367" s="48">
        <f t="shared" ca="1" si="196"/>
        <v>0.65662259393304268</v>
      </c>
      <c r="E3367" s="48">
        <f t="shared" ca="1" si="197"/>
        <v>0</v>
      </c>
      <c r="F3367" s="17">
        <f t="shared" ca="1" si="198"/>
        <v>0</v>
      </c>
      <c r="H3367" s="17">
        <v>3352</v>
      </c>
      <c r="I3367" s="43">
        <v>0.66966356353777123</v>
      </c>
      <c r="J3367" s="43">
        <v>2.0033409373054065E-2</v>
      </c>
      <c r="K3367" s="43"/>
      <c r="L3367" s="43">
        <v>0.25719999999999998</v>
      </c>
      <c r="O3367" s="50"/>
    </row>
    <row r="3368" spans="2:15" x14ac:dyDescent="0.2">
      <c r="B3368">
        <v>3353</v>
      </c>
      <c r="C3368" s="48">
        <f ca="1"/>
        <v>-1.5208863789168405</v>
      </c>
      <c r="D3368" s="48">
        <f t="shared" ca="1" si="196"/>
        <v>0.57197947461511167</v>
      </c>
      <c r="E3368" s="48">
        <f t="shared" ca="1" si="197"/>
        <v>0</v>
      </c>
      <c r="F3368" s="17">
        <f t="shared" ca="1" si="198"/>
        <v>0</v>
      </c>
      <c r="H3368" s="17">
        <v>3353</v>
      </c>
      <c r="I3368" s="43">
        <v>0.66865625488383462</v>
      </c>
      <c r="J3368" s="43">
        <v>1.9143368806884411E-2</v>
      </c>
      <c r="K3368" s="43"/>
      <c r="L3368" s="43">
        <v>0.25679999999999997</v>
      </c>
      <c r="O3368" s="50"/>
    </row>
    <row r="3369" spans="2:15" x14ac:dyDescent="0.2">
      <c r="B3369">
        <v>3354</v>
      </c>
      <c r="C3369" s="48">
        <f ca="1"/>
        <v>0.90489124415562572</v>
      </c>
      <c r="D3369" s="48">
        <f t="shared" ca="1" si="196"/>
        <v>0.72651155304259041</v>
      </c>
      <c r="E3369" s="48">
        <f t="shared" ca="1" si="197"/>
        <v>0</v>
      </c>
      <c r="F3369" s="17">
        <f t="shared" ca="1" si="198"/>
        <v>0</v>
      </c>
      <c r="H3369" s="17">
        <v>3354</v>
      </c>
      <c r="I3369" s="43">
        <v>0.66753773302707364</v>
      </c>
      <c r="J3369" s="43">
        <v>1.8449475832500572E-2</v>
      </c>
      <c r="K3369" s="43"/>
      <c r="L3369" s="43">
        <v>0.24379999999999999</v>
      </c>
      <c r="O3369" s="50"/>
    </row>
    <row r="3370" spans="2:15" x14ac:dyDescent="0.2">
      <c r="B3370">
        <v>3355</v>
      </c>
      <c r="C3370" s="48">
        <f ca="1"/>
        <v>0.5012601243107585</v>
      </c>
      <c r="D3370" s="48">
        <f t="shared" ca="1" si="196"/>
        <v>0.69816915401530388</v>
      </c>
      <c r="E3370" s="48">
        <f t="shared" ca="1" si="197"/>
        <v>0</v>
      </c>
      <c r="F3370" s="17">
        <f t="shared" ca="1" si="198"/>
        <v>0</v>
      </c>
      <c r="H3370" s="17">
        <v>3355</v>
      </c>
      <c r="I3370" s="43">
        <v>0.66996916022263997</v>
      </c>
      <c r="J3370" s="43">
        <v>2.0025364871225644E-2</v>
      </c>
      <c r="K3370" s="43"/>
      <c r="L3370" s="43">
        <v>0.25700000000000001</v>
      </c>
      <c r="O3370" s="50"/>
    </row>
    <row r="3371" spans="2:15" x14ac:dyDescent="0.2">
      <c r="B3371">
        <v>3356</v>
      </c>
      <c r="C3371" s="48">
        <f ca="1"/>
        <v>1.4159277800714436</v>
      </c>
      <c r="D3371" s="48">
        <f t="shared" ca="1" si="196"/>
        <v>0.76405225561993462</v>
      </c>
      <c r="E3371" s="48">
        <f t="shared" ca="1" si="197"/>
        <v>0</v>
      </c>
      <c r="F3371" s="17">
        <f t="shared" ca="1" si="198"/>
        <v>0</v>
      </c>
      <c r="H3371" s="17">
        <v>3356</v>
      </c>
      <c r="I3371" s="43">
        <v>0.6693794554645669</v>
      </c>
      <c r="J3371" s="43">
        <v>1.9545219622050296E-2</v>
      </c>
      <c r="K3371" s="43"/>
      <c r="L3371" s="43">
        <v>0.25519999999999998</v>
      </c>
      <c r="O3371" s="50"/>
    </row>
    <row r="3372" spans="2:15" x14ac:dyDescent="0.2">
      <c r="B3372">
        <v>3357</v>
      </c>
      <c r="C3372" s="48">
        <f ca="1"/>
        <v>4.1293961698701885E-2</v>
      </c>
      <c r="D3372" s="48">
        <f t="shared" ca="1" si="196"/>
        <v>0.66721645549986963</v>
      </c>
      <c r="E3372" s="48">
        <f t="shared" ca="1" si="197"/>
        <v>0</v>
      </c>
      <c r="F3372" s="17">
        <f t="shared" ca="1" si="198"/>
        <v>0</v>
      </c>
      <c r="H3372" s="17">
        <v>3357</v>
      </c>
      <c r="I3372" s="43">
        <v>0.66839570946858518</v>
      </c>
      <c r="J3372" s="43">
        <v>1.8949935531906978E-2</v>
      </c>
      <c r="K3372" s="43"/>
      <c r="L3372" s="43">
        <v>0.24859999999999999</v>
      </c>
      <c r="O3372" s="50"/>
    </row>
    <row r="3373" spans="2:15" x14ac:dyDescent="0.2">
      <c r="B3373">
        <v>3358</v>
      </c>
      <c r="C3373" s="48">
        <f ca="1"/>
        <v>-1.3270601649703193</v>
      </c>
      <c r="D3373" s="48">
        <f t="shared" ca="1" si="196"/>
        <v>0.58301443342122139</v>
      </c>
      <c r="E3373" s="48">
        <f t="shared" ca="1" si="197"/>
        <v>0</v>
      </c>
      <c r="F3373" s="17">
        <f t="shared" ca="1" si="198"/>
        <v>0</v>
      </c>
      <c r="H3373" s="17">
        <v>3358</v>
      </c>
      <c r="I3373" s="43">
        <v>0.66963661546799191</v>
      </c>
      <c r="J3373" s="43">
        <v>1.9951517321404925E-2</v>
      </c>
      <c r="K3373" s="43"/>
      <c r="L3373" s="43">
        <v>0.24879999999999999</v>
      </c>
      <c r="O3373" s="50"/>
    </row>
    <row r="3374" spans="2:15" x14ac:dyDescent="0.2">
      <c r="B3374">
        <v>3359</v>
      </c>
      <c r="C3374" s="48">
        <f ca="1"/>
        <v>0.18413488036998257</v>
      </c>
      <c r="D3374" s="48">
        <f t="shared" ca="1" si="196"/>
        <v>0.67667888442617186</v>
      </c>
      <c r="E3374" s="48">
        <f t="shared" ca="1" si="197"/>
        <v>0</v>
      </c>
      <c r="F3374" s="17">
        <f t="shared" ca="1" si="198"/>
        <v>0</v>
      </c>
      <c r="H3374" s="17">
        <v>3359</v>
      </c>
      <c r="I3374" s="43">
        <v>0.67024203163825391</v>
      </c>
      <c r="J3374" s="43">
        <v>2.0143526893770705E-2</v>
      </c>
      <c r="K3374" s="43"/>
      <c r="L3374" s="43">
        <v>0.25419999999999998</v>
      </c>
      <c r="O3374" s="50"/>
    </row>
    <row r="3375" spans="2:15" x14ac:dyDescent="0.2">
      <c r="B3375">
        <v>3360</v>
      </c>
      <c r="C3375" s="48">
        <f ca="1"/>
        <v>1.9501489401244718E-2</v>
      </c>
      <c r="D3375" s="48">
        <f t="shared" ca="1" si="196"/>
        <v>0.66578450329599692</v>
      </c>
      <c r="E3375" s="48">
        <f t="shared" ca="1" si="197"/>
        <v>0</v>
      </c>
      <c r="F3375" s="17">
        <f t="shared" ca="1" si="198"/>
        <v>0</v>
      </c>
      <c r="H3375" s="17">
        <v>3360</v>
      </c>
      <c r="I3375" s="43">
        <v>0.67069522440518681</v>
      </c>
      <c r="J3375" s="43">
        <v>2.0496001816318606E-2</v>
      </c>
      <c r="K3375" s="43"/>
      <c r="L3375" s="43">
        <v>0.25840000000000002</v>
      </c>
      <c r="O3375" s="50"/>
    </row>
    <row r="3376" spans="2:15" x14ac:dyDescent="0.2">
      <c r="B3376">
        <v>3361</v>
      </c>
      <c r="C3376" s="48">
        <f ca="1"/>
        <v>-1.7414917752666734</v>
      </c>
      <c r="D3376" s="48">
        <f t="shared" ca="1" si="196"/>
        <v>0.55967383657358072</v>
      </c>
      <c r="E3376" s="48">
        <f t="shared" ca="1" si="197"/>
        <v>0</v>
      </c>
      <c r="F3376" s="17">
        <f t="shared" ca="1" si="198"/>
        <v>0</v>
      </c>
      <c r="H3376" s="17">
        <v>3361</v>
      </c>
      <c r="I3376" s="43">
        <v>0.6687056847585654</v>
      </c>
      <c r="J3376" s="43">
        <v>1.9213049222695441E-2</v>
      </c>
      <c r="K3376" s="43"/>
      <c r="L3376" s="43">
        <v>0.253</v>
      </c>
      <c r="O3376" s="50"/>
    </row>
    <row r="3377" spans="2:15" x14ac:dyDescent="0.2">
      <c r="B3377">
        <v>3362</v>
      </c>
      <c r="C3377" s="48">
        <f ca="1"/>
        <v>1.2214062715076257</v>
      </c>
      <c r="D3377" s="48">
        <f t="shared" ca="1" si="196"/>
        <v>0.74953933730555067</v>
      </c>
      <c r="E3377" s="48">
        <f t="shared" ca="1" si="197"/>
        <v>0</v>
      </c>
      <c r="F3377" s="17">
        <f t="shared" ca="1" si="198"/>
        <v>0</v>
      </c>
      <c r="H3377" s="17">
        <v>3362</v>
      </c>
      <c r="I3377" s="43">
        <v>0.66952748207249235</v>
      </c>
      <c r="J3377" s="43">
        <v>1.996404364587398E-2</v>
      </c>
      <c r="K3377" s="43"/>
      <c r="L3377" s="43">
        <v>0.25580000000000003</v>
      </c>
      <c r="O3377" s="50"/>
    </row>
    <row r="3378" spans="2:15" x14ac:dyDescent="0.2">
      <c r="B3378">
        <v>3363</v>
      </c>
      <c r="C3378" s="48">
        <f ca="1"/>
        <v>-3.182810713382523E-2</v>
      </c>
      <c r="D3378" s="48">
        <f t="shared" ca="1" si="196"/>
        <v>0.66242384115873965</v>
      </c>
      <c r="E3378" s="48">
        <f t="shared" ca="1" si="197"/>
        <v>0</v>
      </c>
      <c r="F3378" s="17">
        <f t="shared" ca="1" si="198"/>
        <v>0</v>
      </c>
      <c r="H3378" s="17">
        <v>3363</v>
      </c>
      <c r="I3378" s="43">
        <v>0.6674667254768103</v>
      </c>
      <c r="J3378" s="43">
        <v>1.8038729854101491E-2</v>
      </c>
      <c r="K3378" s="43"/>
      <c r="L3378" s="43">
        <v>0.23780000000000001</v>
      </c>
      <c r="O3378" s="50"/>
    </row>
    <row r="3379" spans="2:15" x14ac:dyDescent="0.2">
      <c r="B3379">
        <v>3364</v>
      </c>
      <c r="C3379" s="48">
        <f ca="1"/>
        <v>-0.98232496438876971</v>
      </c>
      <c r="D3379" s="48">
        <f t="shared" ca="1" si="196"/>
        <v>0.60316965839267223</v>
      </c>
      <c r="E3379" s="48">
        <f t="shared" ca="1" si="197"/>
        <v>0</v>
      </c>
      <c r="F3379" s="17">
        <f t="shared" ca="1" si="198"/>
        <v>0</v>
      </c>
      <c r="H3379" s="17">
        <v>3364</v>
      </c>
      <c r="I3379" s="43">
        <v>0.66853681731291303</v>
      </c>
      <c r="J3379" s="43">
        <v>1.9023780541158133E-2</v>
      </c>
      <c r="K3379" s="43"/>
      <c r="L3379" s="43">
        <v>0.24399999999999999</v>
      </c>
      <c r="O3379" s="50"/>
    </row>
    <row r="3380" spans="2:15" x14ac:dyDescent="0.2">
      <c r="B3380">
        <v>3365</v>
      </c>
      <c r="C3380" s="48">
        <f ca="1"/>
        <v>-0.28518630866898853</v>
      </c>
      <c r="D3380" s="48">
        <f t="shared" ca="1" si="196"/>
        <v>0.64608278807275543</v>
      </c>
      <c r="E3380" s="48">
        <f t="shared" ca="1" si="197"/>
        <v>0</v>
      </c>
      <c r="F3380" s="17">
        <f t="shared" ca="1" si="198"/>
        <v>0</v>
      </c>
      <c r="H3380" s="17">
        <v>3365</v>
      </c>
      <c r="I3380" s="43">
        <v>0.66744665839427642</v>
      </c>
      <c r="J3380" s="43">
        <v>1.8436764925550016E-2</v>
      </c>
      <c r="K3380" s="43"/>
      <c r="L3380" s="43">
        <v>0.25019999999999998</v>
      </c>
      <c r="O3380" s="50"/>
    </row>
    <row r="3381" spans="2:15" x14ac:dyDescent="0.2">
      <c r="B3381">
        <v>3366</v>
      </c>
      <c r="C3381" s="48">
        <f ca="1"/>
        <v>-0.28810953984188581</v>
      </c>
      <c r="D3381" s="48">
        <f t="shared" ca="1" si="196"/>
        <v>0.64589661774033713</v>
      </c>
      <c r="E3381" s="48">
        <f t="shared" ca="1" si="197"/>
        <v>0</v>
      </c>
      <c r="F3381" s="17">
        <f t="shared" ca="1" si="198"/>
        <v>0</v>
      </c>
      <c r="H3381" s="17">
        <v>3366</v>
      </c>
      <c r="I3381" s="43">
        <v>0.66871060332451848</v>
      </c>
      <c r="J3381" s="43">
        <v>1.9158010125033278E-2</v>
      </c>
      <c r="K3381" s="43"/>
      <c r="L3381" s="43">
        <v>0.25119999999999998</v>
      </c>
      <c r="O3381" s="50"/>
    </row>
    <row r="3382" spans="2:15" x14ac:dyDescent="0.2">
      <c r="B3382">
        <v>3367</v>
      </c>
      <c r="C3382" s="48">
        <f ca="1"/>
        <v>1.2224444583010861</v>
      </c>
      <c r="D3382" s="48">
        <f t="shared" ca="1" si="196"/>
        <v>0.74961605823873356</v>
      </c>
      <c r="E3382" s="48">
        <f t="shared" ca="1" si="197"/>
        <v>0</v>
      </c>
      <c r="F3382" s="17">
        <f t="shared" ca="1" si="198"/>
        <v>0</v>
      </c>
      <c r="H3382" s="17">
        <v>3367</v>
      </c>
      <c r="I3382" s="43">
        <v>0.66937024257269473</v>
      </c>
      <c r="J3382" s="43">
        <v>1.9776155743931326E-2</v>
      </c>
      <c r="K3382" s="43"/>
      <c r="L3382" s="43">
        <v>0.25</v>
      </c>
      <c r="O3382" s="50"/>
    </row>
    <row r="3383" spans="2:15" x14ac:dyDescent="0.2">
      <c r="B3383">
        <v>3368</v>
      </c>
      <c r="C3383" s="48">
        <f ca="1"/>
        <v>1.0473080090240592</v>
      </c>
      <c r="D3383" s="48">
        <f t="shared" ca="1" si="196"/>
        <v>0.7367840917534314</v>
      </c>
      <c r="E3383" s="48">
        <f t="shared" ca="1" si="197"/>
        <v>0</v>
      </c>
      <c r="F3383" s="17">
        <f t="shared" ca="1" si="198"/>
        <v>0</v>
      </c>
      <c r="H3383" s="17">
        <v>3368</v>
      </c>
      <c r="I3383" s="43">
        <v>0.66975257178806946</v>
      </c>
      <c r="J3383" s="43">
        <v>1.9966478984397275E-2</v>
      </c>
      <c r="K3383" s="43"/>
      <c r="L3383" s="43">
        <v>0.25159999999999999</v>
      </c>
      <c r="O3383" s="50"/>
    </row>
    <row r="3384" spans="2:15" x14ac:dyDescent="0.2">
      <c r="B3384">
        <v>3369</v>
      </c>
      <c r="C3384" s="48">
        <f ca="1"/>
        <v>1.8293701225640864</v>
      </c>
      <c r="D3384" s="48">
        <f t="shared" ca="1" si="196"/>
        <v>0.79583861368908437</v>
      </c>
      <c r="E3384" s="48">
        <f t="shared" ca="1" si="197"/>
        <v>7.6386136890843614E-3</v>
      </c>
      <c r="F3384" s="17">
        <f t="shared" ca="1" si="198"/>
        <v>1</v>
      </c>
      <c r="H3384" s="17">
        <v>3369</v>
      </c>
      <c r="I3384" s="43">
        <v>0.66786684380919037</v>
      </c>
      <c r="J3384" s="43">
        <v>1.8237602814306638E-2</v>
      </c>
      <c r="K3384" s="43"/>
      <c r="L3384" s="43">
        <v>0.24</v>
      </c>
      <c r="O3384" s="50"/>
    </row>
    <row r="3385" spans="2:15" x14ac:dyDescent="0.2">
      <c r="B3385">
        <v>3370</v>
      </c>
      <c r="C3385" s="48">
        <f ca="1"/>
        <v>0.43134049457451623</v>
      </c>
      <c r="D3385" s="48">
        <f t="shared" ca="1" si="196"/>
        <v>0.69337308395944419</v>
      </c>
      <c r="E3385" s="48">
        <f t="shared" ca="1" si="197"/>
        <v>0</v>
      </c>
      <c r="F3385" s="17">
        <f t="shared" ca="1" si="198"/>
        <v>0</v>
      </c>
      <c r="H3385" s="17">
        <v>3370</v>
      </c>
      <c r="I3385" s="43">
        <v>0.66910161016368608</v>
      </c>
      <c r="J3385" s="43">
        <v>1.9730606901268419E-2</v>
      </c>
      <c r="K3385" s="43"/>
      <c r="L3385" s="43">
        <v>0.25359999999999999</v>
      </c>
      <c r="O3385" s="50"/>
    </row>
    <row r="3386" spans="2:15" x14ac:dyDescent="0.2">
      <c r="B3386">
        <v>3371</v>
      </c>
      <c r="C3386" s="48">
        <f ca="1"/>
        <v>-2.04462469816314</v>
      </c>
      <c r="D3386" s="48">
        <f t="shared" ca="1" si="196"/>
        <v>0.54319538023920622</v>
      </c>
      <c r="E3386" s="48">
        <f t="shared" ca="1" si="197"/>
        <v>0</v>
      </c>
      <c r="F3386" s="17">
        <f t="shared" ca="1" si="198"/>
        <v>0</v>
      </c>
      <c r="H3386" s="17">
        <v>3371</v>
      </c>
      <c r="I3386" s="43">
        <v>0.6688604479680792</v>
      </c>
      <c r="J3386" s="43">
        <v>1.9449598807622516E-2</v>
      </c>
      <c r="K3386" s="43"/>
      <c r="L3386" s="43">
        <v>0.25600000000000001</v>
      </c>
      <c r="O3386" s="50"/>
    </row>
    <row r="3387" spans="2:15" x14ac:dyDescent="0.2">
      <c r="B3387">
        <v>3372</v>
      </c>
      <c r="C3387" s="48">
        <f ca="1"/>
        <v>0.47465466935413331</v>
      </c>
      <c r="D3387" s="48">
        <f t="shared" ca="1" si="196"/>
        <v>0.6963402807028457</v>
      </c>
      <c r="E3387" s="48">
        <f t="shared" ca="1" si="197"/>
        <v>0</v>
      </c>
      <c r="F3387" s="17">
        <f t="shared" ca="1" si="198"/>
        <v>0</v>
      </c>
      <c r="H3387" s="17">
        <v>3372</v>
      </c>
      <c r="I3387" s="43">
        <v>0.66907161297820972</v>
      </c>
      <c r="J3387" s="43">
        <v>1.9601589908164567E-2</v>
      </c>
      <c r="K3387" s="43"/>
      <c r="L3387" s="43">
        <v>0.25640000000000002</v>
      </c>
      <c r="O3387" s="50"/>
    </row>
    <row r="3388" spans="2:15" x14ac:dyDescent="0.2">
      <c r="B3388">
        <v>3373</v>
      </c>
      <c r="C3388" s="48">
        <f ca="1"/>
        <v>-1.484263150328863</v>
      </c>
      <c r="D3388" s="48">
        <f t="shared" ca="1" si="196"/>
        <v>0.57404839156951382</v>
      </c>
      <c r="E3388" s="48">
        <f t="shared" ca="1" si="197"/>
        <v>0</v>
      </c>
      <c r="F3388" s="17">
        <f t="shared" ca="1" si="198"/>
        <v>0</v>
      </c>
      <c r="H3388" s="17">
        <v>3373</v>
      </c>
      <c r="I3388" s="43">
        <v>0.66809317855222972</v>
      </c>
      <c r="J3388" s="43">
        <v>1.872783201616942E-2</v>
      </c>
      <c r="K3388" s="43"/>
      <c r="L3388" s="43">
        <v>0.2452</v>
      </c>
      <c r="O3388" s="50"/>
    </row>
    <row r="3389" spans="2:15" x14ac:dyDescent="0.2">
      <c r="B3389">
        <v>3374</v>
      </c>
      <c r="C3389" s="48">
        <f ca="1"/>
        <v>0.78050172723785405</v>
      </c>
      <c r="D3389" s="48">
        <f t="shared" ca="1" si="196"/>
        <v>0.71765656829357005</v>
      </c>
      <c r="E3389" s="48">
        <f t="shared" ca="1" si="197"/>
        <v>0</v>
      </c>
      <c r="F3389" s="17">
        <f t="shared" ca="1" si="198"/>
        <v>0</v>
      </c>
      <c r="H3389" s="17">
        <v>3374</v>
      </c>
      <c r="I3389" s="43">
        <v>0.66976873351781097</v>
      </c>
      <c r="J3389" s="43">
        <v>1.9930802553674867E-2</v>
      </c>
      <c r="K3389" s="43"/>
      <c r="L3389" s="43">
        <v>0.25440000000000002</v>
      </c>
      <c r="O3389" s="50"/>
    </row>
    <row r="3390" spans="2:15" x14ac:dyDescent="0.2">
      <c r="B3390">
        <v>3375</v>
      </c>
      <c r="C3390" s="48">
        <f ca="1"/>
        <v>0.27737215527193337</v>
      </c>
      <c r="D3390" s="48">
        <f t="shared" ca="1" si="196"/>
        <v>0.68292761024488924</v>
      </c>
      <c r="E3390" s="48">
        <f t="shared" ca="1" si="197"/>
        <v>0</v>
      </c>
      <c r="F3390" s="17">
        <f t="shared" ca="1" si="198"/>
        <v>0</v>
      </c>
      <c r="H3390" s="17">
        <v>3375</v>
      </c>
      <c r="I3390" s="43">
        <v>0.66892111294534273</v>
      </c>
      <c r="J3390" s="43">
        <v>1.9148377438584798E-2</v>
      </c>
      <c r="K3390" s="43"/>
      <c r="L3390" s="43">
        <v>0.24859999999999999</v>
      </c>
      <c r="O3390" s="50"/>
    </row>
    <row r="3391" spans="2:15" x14ac:dyDescent="0.2">
      <c r="B3391">
        <v>3376</v>
      </c>
      <c r="C3391" s="48">
        <f ca="1"/>
        <v>-0.46469495122424181</v>
      </c>
      <c r="D3391" s="48">
        <f t="shared" ca="1" si="196"/>
        <v>0.63474944588351867</v>
      </c>
      <c r="E3391" s="48">
        <f t="shared" ca="1" si="197"/>
        <v>0</v>
      </c>
      <c r="F3391" s="17">
        <f t="shared" ca="1" si="198"/>
        <v>0</v>
      </c>
      <c r="H3391" s="17">
        <v>3376</v>
      </c>
      <c r="I3391" s="43">
        <v>0.66908413218271268</v>
      </c>
      <c r="J3391" s="43">
        <v>1.9467404525508256E-2</v>
      </c>
      <c r="K3391" s="43"/>
      <c r="L3391" s="43">
        <v>0.24479999999999999</v>
      </c>
      <c r="O3391" s="50"/>
    </row>
    <row r="3392" spans="2:15" x14ac:dyDescent="0.2">
      <c r="B3392">
        <v>3377</v>
      </c>
      <c r="C3392" s="48">
        <f ca="1"/>
        <v>-0.86956966923860113</v>
      </c>
      <c r="D3392" s="48">
        <f t="shared" ca="1" si="196"/>
        <v>0.60991205436691887</v>
      </c>
      <c r="E3392" s="48">
        <f t="shared" ca="1" si="197"/>
        <v>0</v>
      </c>
      <c r="F3392" s="17">
        <f t="shared" ca="1" si="198"/>
        <v>0</v>
      </c>
      <c r="H3392" s="17">
        <v>3377</v>
      </c>
      <c r="I3392" s="43">
        <v>0.66885678924619896</v>
      </c>
      <c r="J3392" s="43">
        <v>1.9272636457418453E-2</v>
      </c>
      <c r="K3392" s="43"/>
      <c r="L3392" s="43">
        <v>0.25019999999999998</v>
      </c>
      <c r="O3392" s="50"/>
    </row>
    <row r="3393" spans="2:15" x14ac:dyDescent="0.2">
      <c r="B3393">
        <v>3378</v>
      </c>
      <c r="C3393" s="48">
        <f ca="1"/>
        <v>-0.20921207697477506</v>
      </c>
      <c r="D3393" s="48">
        <f t="shared" ca="1" si="196"/>
        <v>0.65094018596631353</v>
      </c>
      <c r="E3393" s="48">
        <f t="shared" ca="1" si="197"/>
        <v>0</v>
      </c>
      <c r="F3393" s="17">
        <f t="shared" ca="1" si="198"/>
        <v>0</v>
      </c>
      <c r="H3393" s="17">
        <v>3378</v>
      </c>
      <c r="I3393" s="43">
        <v>0.66907974261325842</v>
      </c>
      <c r="J3393" s="43">
        <v>1.9038927053059675E-2</v>
      </c>
      <c r="K3393" s="43"/>
      <c r="L3393" s="43">
        <v>0.24279999999999999</v>
      </c>
      <c r="O3393" s="50"/>
    </row>
    <row r="3394" spans="2:15" x14ac:dyDescent="0.2">
      <c r="B3394">
        <v>3379</v>
      </c>
      <c r="C3394" s="48">
        <f ca="1"/>
        <v>1.3236086289375852</v>
      </c>
      <c r="D3394" s="48">
        <f t="shared" ca="1" si="196"/>
        <v>0.75712977551709859</v>
      </c>
      <c r="E3394" s="48">
        <f t="shared" ca="1" si="197"/>
        <v>0</v>
      </c>
      <c r="F3394" s="17">
        <f t="shared" ca="1" si="198"/>
        <v>0</v>
      </c>
      <c r="H3394" s="17">
        <v>3379</v>
      </c>
      <c r="I3394" s="43">
        <v>0.66812347811648332</v>
      </c>
      <c r="J3394" s="43">
        <v>1.8912605402376621E-2</v>
      </c>
      <c r="K3394" s="43"/>
      <c r="L3394" s="43">
        <v>0.25159999999999999</v>
      </c>
      <c r="O3394" s="50"/>
    </row>
    <row r="3395" spans="2:15" x14ac:dyDescent="0.2">
      <c r="B3395">
        <v>3380</v>
      </c>
      <c r="C3395" s="48">
        <f ca="1"/>
        <v>3.9171919006501292E-2</v>
      </c>
      <c r="D3395" s="48">
        <f t="shared" ca="1" si="196"/>
        <v>0.66707688386733377</v>
      </c>
      <c r="E3395" s="48">
        <f t="shared" ca="1" si="197"/>
        <v>0</v>
      </c>
      <c r="F3395" s="17">
        <f t="shared" ca="1" si="198"/>
        <v>0</v>
      </c>
      <c r="H3395" s="17">
        <v>3380</v>
      </c>
      <c r="I3395" s="43">
        <v>0.66800864674186233</v>
      </c>
      <c r="J3395" s="43">
        <v>1.8714429156033486E-2</v>
      </c>
      <c r="K3395" s="43"/>
      <c r="L3395" s="43">
        <v>0.245</v>
      </c>
      <c r="O3395" s="50"/>
    </row>
    <row r="3396" spans="2:15" x14ac:dyDescent="0.2">
      <c r="B3396">
        <v>3381</v>
      </c>
      <c r="C3396" s="48">
        <f ca="1"/>
        <v>-0.94193842831512609</v>
      </c>
      <c r="D3396" s="48">
        <f t="shared" ca="1" si="196"/>
        <v>0.60557602999997906</v>
      </c>
      <c r="E3396" s="48">
        <f t="shared" ca="1" si="197"/>
        <v>0</v>
      </c>
      <c r="F3396" s="17">
        <f t="shared" ca="1" si="198"/>
        <v>0</v>
      </c>
      <c r="H3396" s="17">
        <v>3381</v>
      </c>
      <c r="I3396" s="43">
        <v>0.66787504436044243</v>
      </c>
      <c r="J3396" s="43">
        <v>1.8621524301043243E-2</v>
      </c>
      <c r="K3396" s="43"/>
      <c r="L3396" s="43">
        <v>0.25119999999999998</v>
      </c>
      <c r="O3396" s="50"/>
    </row>
    <row r="3397" spans="2:15" x14ac:dyDescent="0.2">
      <c r="B3397">
        <v>3382</v>
      </c>
      <c r="C3397" s="48">
        <f ca="1"/>
        <v>-0.24595430195082546</v>
      </c>
      <c r="D3397" s="48">
        <f t="shared" ca="1" si="196"/>
        <v>0.64858653577770742</v>
      </c>
      <c r="E3397" s="48">
        <f t="shared" ca="1" si="197"/>
        <v>0</v>
      </c>
      <c r="F3397" s="17">
        <f t="shared" ca="1" si="198"/>
        <v>0</v>
      </c>
      <c r="H3397" s="17">
        <v>3382</v>
      </c>
      <c r="I3397" s="43">
        <v>0.66754557820775118</v>
      </c>
      <c r="J3397" s="43">
        <v>1.8197875335807506E-2</v>
      </c>
      <c r="K3397" s="43"/>
      <c r="L3397" s="43">
        <v>0.23980000000000001</v>
      </c>
      <c r="O3397" s="50"/>
    </row>
    <row r="3398" spans="2:15" x14ac:dyDescent="0.2">
      <c r="B3398">
        <v>3383</v>
      </c>
      <c r="C3398" s="48">
        <f ca="1"/>
        <v>-0.53664406219836291</v>
      </c>
      <c r="D3398" s="48">
        <f t="shared" ca="1" si="196"/>
        <v>0.63026292072831269</v>
      </c>
      <c r="E3398" s="48">
        <f t="shared" ca="1" si="197"/>
        <v>0</v>
      </c>
      <c r="F3398" s="17">
        <f t="shared" ca="1" si="198"/>
        <v>0</v>
      </c>
      <c r="H3398" s="17">
        <v>3383</v>
      </c>
      <c r="I3398" s="43">
        <v>0.66949005614070789</v>
      </c>
      <c r="J3398" s="43">
        <v>1.9597168975602843E-2</v>
      </c>
      <c r="K3398" s="43"/>
      <c r="L3398" s="43">
        <v>0.25159999999999999</v>
      </c>
      <c r="O3398" s="50"/>
    </row>
    <row r="3399" spans="2:15" x14ac:dyDescent="0.2">
      <c r="B3399">
        <v>3384</v>
      </c>
      <c r="C3399" s="48">
        <f ca="1"/>
        <v>-1.3252535252262827</v>
      </c>
      <c r="D3399" s="48">
        <f t="shared" ca="1" si="196"/>
        <v>0.5831182845602445</v>
      </c>
      <c r="E3399" s="48">
        <f t="shared" ca="1" si="197"/>
        <v>0</v>
      </c>
      <c r="F3399" s="17">
        <f t="shared" ca="1" si="198"/>
        <v>0</v>
      </c>
      <c r="H3399" s="17">
        <v>3384</v>
      </c>
      <c r="I3399" s="43">
        <v>0.66948122129796284</v>
      </c>
      <c r="J3399" s="43">
        <v>1.9448388804948785E-2</v>
      </c>
      <c r="K3399" s="43"/>
      <c r="L3399" s="43">
        <v>0.24779999999999999</v>
      </c>
      <c r="O3399" s="50"/>
    </row>
    <row r="3400" spans="2:15" x14ac:dyDescent="0.2">
      <c r="B3400">
        <v>3385</v>
      </c>
      <c r="C3400" s="48">
        <f ca="1"/>
        <v>0.20499897426285776</v>
      </c>
      <c r="D3400" s="48">
        <f t="shared" ca="1" si="196"/>
        <v>0.67807220358431153</v>
      </c>
      <c r="E3400" s="48">
        <f t="shared" ca="1" si="197"/>
        <v>0</v>
      </c>
      <c r="F3400" s="17">
        <f t="shared" ca="1" si="198"/>
        <v>0</v>
      </c>
      <c r="H3400" s="17">
        <v>3385</v>
      </c>
      <c r="I3400" s="43">
        <v>0.66988301884133816</v>
      </c>
      <c r="J3400" s="43">
        <v>2.0111579348425914E-2</v>
      </c>
      <c r="K3400" s="43"/>
      <c r="L3400" s="43">
        <v>0.25540000000000002</v>
      </c>
      <c r="O3400" s="50"/>
    </row>
    <row r="3401" spans="2:15" x14ac:dyDescent="0.2">
      <c r="B3401">
        <v>3386</v>
      </c>
      <c r="C3401" s="48">
        <f ca="1"/>
        <v>-0.92524974813342842</v>
      </c>
      <c r="D3401" s="48">
        <f t="shared" ca="1" si="196"/>
        <v>0.60657320115964852</v>
      </c>
      <c r="E3401" s="48">
        <f t="shared" ca="1" si="197"/>
        <v>0</v>
      </c>
      <c r="F3401" s="17">
        <f t="shared" ca="1" si="198"/>
        <v>0</v>
      </c>
      <c r="H3401" s="17">
        <v>3386</v>
      </c>
      <c r="I3401" s="43">
        <v>0.66815608748241662</v>
      </c>
      <c r="J3401" s="43">
        <v>1.8743730627766932E-2</v>
      </c>
      <c r="K3401" s="43"/>
      <c r="L3401" s="43">
        <v>0.24940000000000001</v>
      </c>
      <c r="O3401" s="50"/>
    </row>
    <row r="3402" spans="2:15" x14ac:dyDescent="0.2">
      <c r="B3402">
        <v>3387</v>
      </c>
      <c r="C3402" s="48">
        <f ca="1"/>
        <v>-1.013314378672352E-2</v>
      </c>
      <c r="D3402" s="48">
        <f t="shared" ca="1" si="196"/>
        <v>0.66384218368457182</v>
      </c>
      <c r="E3402" s="48">
        <f t="shared" ca="1" si="197"/>
        <v>0</v>
      </c>
      <c r="F3402" s="17">
        <f t="shared" ca="1" si="198"/>
        <v>0</v>
      </c>
      <c r="H3402" s="17">
        <v>3387</v>
      </c>
      <c r="I3402" s="43">
        <v>0.66912162556977706</v>
      </c>
      <c r="J3402" s="43">
        <v>1.9126561581161217E-2</v>
      </c>
      <c r="K3402" s="43"/>
      <c r="L3402" s="43">
        <v>0.24540000000000001</v>
      </c>
      <c r="O3402" s="50"/>
    </row>
    <row r="3403" spans="2:15" x14ac:dyDescent="0.2">
      <c r="B3403">
        <v>3388</v>
      </c>
      <c r="C3403" s="48">
        <f ca="1"/>
        <v>1.6755604920793119</v>
      </c>
      <c r="D3403" s="48">
        <f t="shared" ca="1" si="196"/>
        <v>0.7838617898672664</v>
      </c>
      <c r="E3403" s="48">
        <f t="shared" ca="1" si="197"/>
        <v>0</v>
      </c>
      <c r="F3403" s="17">
        <f t="shared" ca="1" si="198"/>
        <v>0</v>
      </c>
      <c r="H3403" s="17">
        <v>3388</v>
      </c>
      <c r="I3403" s="43">
        <v>0.66979636267749343</v>
      </c>
      <c r="J3403" s="43">
        <v>2.0075468866532727E-2</v>
      </c>
      <c r="K3403" s="43"/>
      <c r="L3403" s="43">
        <v>0.25559999999999999</v>
      </c>
      <c r="O3403" s="50"/>
    </row>
    <row r="3404" spans="2:15" x14ac:dyDescent="0.2">
      <c r="B3404">
        <v>3389</v>
      </c>
      <c r="C3404" s="48">
        <f ca="1"/>
        <v>0.78028086070130998</v>
      </c>
      <c r="D3404" s="48">
        <f t="shared" ca="1" si="196"/>
        <v>0.71764094172660953</v>
      </c>
      <c r="E3404" s="48">
        <f t="shared" ca="1" si="197"/>
        <v>0</v>
      </c>
      <c r="F3404" s="17">
        <f t="shared" ca="1" si="198"/>
        <v>0</v>
      </c>
      <c r="H3404" s="17">
        <v>3389</v>
      </c>
      <c r="I3404" s="43">
        <v>0.66983654186068353</v>
      </c>
      <c r="J3404" s="43">
        <v>2.0574649393332495E-2</v>
      </c>
      <c r="K3404" s="43"/>
      <c r="L3404" s="43">
        <v>0.26679999999999998</v>
      </c>
      <c r="O3404" s="50"/>
    </row>
    <row r="3405" spans="2:15" x14ac:dyDescent="0.2">
      <c r="B3405">
        <v>3390</v>
      </c>
      <c r="C3405" s="48">
        <f ca="1"/>
        <v>5.2117113724722497E-2</v>
      </c>
      <c r="D3405" s="48">
        <f t="shared" ca="1" si="196"/>
        <v>0.66792877355186087</v>
      </c>
      <c r="E3405" s="48">
        <f t="shared" ca="1" si="197"/>
        <v>0</v>
      </c>
      <c r="F3405" s="17">
        <f t="shared" ca="1" si="198"/>
        <v>0</v>
      </c>
      <c r="H3405" s="17">
        <v>3390</v>
      </c>
      <c r="I3405" s="43">
        <v>0.66831525458143681</v>
      </c>
      <c r="J3405" s="43">
        <v>1.890261955048524E-2</v>
      </c>
      <c r="K3405" s="43"/>
      <c r="L3405" s="43">
        <v>0.25259999999999999</v>
      </c>
      <c r="O3405" s="50"/>
    </row>
    <row r="3406" spans="2:15" x14ac:dyDescent="0.2">
      <c r="B3406">
        <v>3391</v>
      </c>
      <c r="C3406" s="48">
        <f ca="1"/>
        <v>-0.15871685230529986</v>
      </c>
      <c r="D3406" s="48">
        <f t="shared" ca="1" si="196"/>
        <v>0.65418877342326687</v>
      </c>
      <c r="E3406" s="48">
        <f t="shared" ca="1" si="197"/>
        <v>0</v>
      </c>
      <c r="F3406" s="17">
        <f t="shared" ca="1" si="198"/>
        <v>0</v>
      </c>
      <c r="H3406" s="17">
        <v>3391</v>
      </c>
      <c r="I3406" s="43">
        <v>0.66781133064981457</v>
      </c>
      <c r="J3406" s="43">
        <v>1.8759264275534895E-2</v>
      </c>
      <c r="K3406" s="43"/>
      <c r="L3406" s="43">
        <v>0.25119999999999998</v>
      </c>
      <c r="O3406" s="50"/>
    </row>
    <row r="3407" spans="2:15" x14ac:dyDescent="0.2">
      <c r="B3407">
        <v>3392</v>
      </c>
      <c r="C3407" s="48">
        <f ca="1"/>
        <v>-0.76473809446310625</v>
      </c>
      <c r="D3407" s="48">
        <f t="shared" ca="1" si="196"/>
        <v>0.61624823010407326</v>
      </c>
      <c r="E3407" s="48">
        <f t="shared" ca="1" si="197"/>
        <v>0</v>
      </c>
      <c r="F3407" s="17">
        <f t="shared" ca="1" si="198"/>
        <v>0</v>
      </c>
      <c r="H3407" s="17">
        <v>3392</v>
      </c>
      <c r="I3407" s="43">
        <v>0.66807498296736889</v>
      </c>
      <c r="J3407" s="43">
        <v>1.8860629331409161E-2</v>
      </c>
      <c r="K3407" s="43"/>
      <c r="L3407" s="43">
        <v>0.255</v>
      </c>
      <c r="O3407" s="50"/>
    </row>
    <row r="3408" spans="2:15" x14ac:dyDescent="0.2">
      <c r="B3408">
        <v>3393</v>
      </c>
      <c r="C3408" s="48">
        <f ca="1"/>
        <v>-1.4459599977139554</v>
      </c>
      <c r="D3408" s="48">
        <f t="shared" ref="D3408:D3471" ca="1" si="199">S0*EXP((μ-0.5*σ*σ)*T+σ*SQRT(T)*$C3408)</f>
        <v>0.576220217417998</v>
      </c>
      <c r="E3408" s="48">
        <f t="shared" ref="E3408:E3471" ca="1" si="200">MAX(0,CP*(D3408-K))</f>
        <v>0</v>
      </c>
      <c r="F3408" s="17">
        <f t="shared" ref="F3408:F3471" ca="1" si="201">(CP*(D3408-K)&gt;0)*1</f>
        <v>0</v>
      </c>
      <c r="H3408" s="17">
        <v>3393</v>
      </c>
      <c r="I3408" s="43">
        <v>0.66878739942871457</v>
      </c>
      <c r="J3408" s="43">
        <v>1.9279693411448785E-2</v>
      </c>
      <c r="K3408" s="43"/>
      <c r="L3408" s="43">
        <v>0.25679999999999997</v>
      </c>
      <c r="O3408" s="50"/>
    </row>
    <row r="3409" spans="2:15" x14ac:dyDescent="0.2">
      <c r="B3409">
        <v>3394</v>
      </c>
      <c r="C3409" s="48">
        <f ca="1"/>
        <v>0.50932979129855227</v>
      </c>
      <c r="D3409" s="48">
        <f t="shared" ca="1" si="199"/>
        <v>0.69872481609191972</v>
      </c>
      <c r="E3409" s="48">
        <f t="shared" ca="1" si="200"/>
        <v>0</v>
      </c>
      <c r="F3409" s="17">
        <f t="shared" ca="1" si="201"/>
        <v>0</v>
      </c>
      <c r="H3409" s="17">
        <v>3394</v>
      </c>
      <c r="I3409" s="43">
        <v>0.66894041909220203</v>
      </c>
      <c r="J3409" s="43">
        <v>1.9431935066023018E-2</v>
      </c>
      <c r="K3409" s="43"/>
      <c r="L3409" s="43">
        <v>0.2492</v>
      </c>
      <c r="O3409" s="50"/>
    </row>
    <row r="3410" spans="2:15" x14ac:dyDescent="0.2">
      <c r="B3410">
        <v>3395</v>
      </c>
      <c r="C3410" s="48">
        <f ca="1"/>
        <v>-0.90898764708263191</v>
      </c>
      <c r="D3410" s="48">
        <f t="shared" ca="1" si="199"/>
        <v>0.60754646318942529</v>
      </c>
      <c r="E3410" s="48">
        <f t="shared" ca="1" si="200"/>
        <v>0</v>
      </c>
      <c r="F3410" s="17">
        <f t="shared" ca="1" si="201"/>
        <v>0</v>
      </c>
      <c r="H3410" s="17">
        <v>3395</v>
      </c>
      <c r="I3410" s="43">
        <v>0.66911310393849621</v>
      </c>
      <c r="J3410" s="43">
        <v>1.9458584643167267E-2</v>
      </c>
      <c r="K3410" s="43"/>
      <c r="L3410" s="43">
        <v>0.25359999999999999</v>
      </c>
      <c r="O3410" s="50"/>
    </row>
    <row r="3411" spans="2:15" x14ac:dyDescent="0.2">
      <c r="B3411">
        <v>3396</v>
      </c>
      <c r="C3411" s="48">
        <f ca="1"/>
        <v>1.3726336360550289</v>
      </c>
      <c r="D3411" s="48">
        <f t="shared" ca="1" si="199"/>
        <v>0.76079803173030114</v>
      </c>
      <c r="E3411" s="48">
        <f t="shared" ca="1" si="200"/>
        <v>0</v>
      </c>
      <c r="F3411" s="17">
        <f t="shared" ca="1" si="201"/>
        <v>0</v>
      </c>
      <c r="H3411" s="17">
        <v>3396</v>
      </c>
      <c r="I3411" s="43">
        <v>0.66956862821291674</v>
      </c>
      <c r="J3411" s="43">
        <v>1.969411248600432E-2</v>
      </c>
      <c r="K3411" s="43"/>
      <c r="L3411" s="43">
        <v>0.24840000000000001</v>
      </c>
      <c r="O3411" s="50"/>
    </row>
    <row r="3412" spans="2:15" x14ac:dyDescent="0.2">
      <c r="B3412">
        <v>3397</v>
      </c>
      <c r="C3412" s="48">
        <f ca="1"/>
        <v>-1.6136604043283524</v>
      </c>
      <c r="D3412" s="48">
        <f t="shared" ca="1" si="199"/>
        <v>0.56677179840921732</v>
      </c>
      <c r="E3412" s="48">
        <f t="shared" ca="1" si="200"/>
        <v>0</v>
      </c>
      <c r="F3412" s="17">
        <f t="shared" ca="1" si="201"/>
        <v>0</v>
      </c>
      <c r="H3412" s="17">
        <v>3397</v>
      </c>
      <c r="I3412" s="43">
        <v>0.66840291495169113</v>
      </c>
      <c r="J3412" s="43">
        <v>1.9051070524789819E-2</v>
      </c>
      <c r="K3412" s="43"/>
      <c r="L3412" s="43">
        <v>0.24759999999999999</v>
      </c>
      <c r="O3412" s="50"/>
    </row>
    <row r="3413" spans="2:15" x14ac:dyDescent="0.2">
      <c r="B3413">
        <v>3398</v>
      </c>
      <c r="C3413" s="48">
        <f ca="1"/>
        <v>-0.59821383387353533</v>
      </c>
      <c r="D3413" s="48">
        <f t="shared" ca="1" si="199"/>
        <v>0.62644880731643648</v>
      </c>
      <c r="E3413" s="48">
        <f t="shared" ca="1" si="200"/>
        <v>0</v>
      </c>
      <c r="F3413" s="17">
        <f t="shared" ca="1" si="201"/>
        <v>0</v>
      </c>
      <c r="H3413" s="17">
        <v>3398</v>
      </c>
      <c r="I3413" s="43">
        <v>0.66969623158313851</v>
      </c>
      <c r="J3413" s="43">
        <v>1.9994595192685451E-2</v>
      </c>
      <c r="K3413" s="43"/>
      <c r="L3413" s="43">
        <v>0.25559999999999999</v>
      </c>
      <c r="O3413" s="50"/>
    </row>
    <row r="3414" spans="2:15" x14ac:dyDescent="0.2">
      <c r="B3414">
        <v>3399</v>
      </c>
      <c r="C3414" s="48">
        <f ca="1"/>
        <v>-0.38655915426884968</v>
      </c>
      <c r="D3414" s="48">
        <f t="shared" ca="1" si="199"/>
        <v>0.63965793578474028</v>
      </c>
      <c r="E3414" s="48">
        <f t="shared" ca="1" si="200"/>
        <v>0</v>
      </c>
      <c r="F3414" s="17">
        <f t="shared" ca="1" si="201"/>
        <v>0</v>
      </c>
      <c r="H3414" s="17">
        <v>3399</v>
      </c>
      <c r="I3414" s="43">
        <v>0.66796660907947547</v>
      </c>
      <c r="J3414" s="43">
        <v>1.8607385654003546E-2</v>
      </c>
      <c r="K3414" s="43"/>
      <c r="L3414" s="43">
        <v>0.24460000000000001</v>
      </c>
      <c r="O3414" s="50"/>
    </row>
    <row r="3415" spans="2:15" x14ac:dyDescent="0.2">
      <c r="B3415">
        <v>3400</v>
      </c>
      <c r="C3415" s="48">
        <f ca="1"/>
        <v>-0.86335674779589777</v>
      </c>
      <c r="D3415" s="48">
        <f t="shared" ca="1" si="199"/>
        <v>0.6102857498192662</v>
      </c>
      <c r="E3415" s="48">
        <f t="shared" ca="1" si="200"/>
        <v>0</v>
      </c>
      <c r="F3415" s="17">
        <f t="shared" ca="1" si="201"/>
        <v>0</v>
      </c>
      <c r="H3415" s="17">
        <v>3400</v>
      </c>
      <c r="I3415" s="43">
        <v>0.66928848379305228</v>
      </c>
      <c r="J3415" s="43">
        <v>1.9711279020682492E-2</v>
      </c>
      <c r="K3415" s="43"/>
      <c r="L3415" s="43">
        <v>0.246</v>
      </c>
      <c r="O3415" s="50"/>
    </row>
    <row r="3416" spans="2:15" x14ac:dyDescent="0.2">
      <c r="B3416">
        <v>3401</v>
      </c>
      <c r="C3416" s="48">
        <f ca="1"/>
        <v>0.93970689054030698</v>
      </c>
      <c r="D3416" s="48">
        <f t="shared" ca="1" si="199"/>
        <v>0.72900950599566394</v>
      </c>
      <c r="E3416" s="48">
        <f t="shared" ca="1" si="200"/>
        <v>0</v>
      </c>
      <c r="F3416" s="17">
        <f t="shared" ca="1" si="201"/>
        <v>0</v>
      </c>
      <c r="H3416" s="17">
        <v>3401</v>
      </c>
      <c r="I3416" s="43">
        <v>0.66897697101704456</v>
      </c>
      <c r="J3416" s="43">
        <v>1.9265950964010691E-2</v>
      </c>
      <c r="K3416" s="43"/>
      <c r="L3416" s="43">
        <v>0.25059999999999999</v>
      </c>
      <c r="O3416" s="50"/>
    </row>
    <row r="3417" spans="2:15" x14ac:dyDescent="0.2">
      <c r="B3417">
        <v>3402</v>
      </c>
      <c r="C3417" s="48">
        <f ca="1"/>
        <v>1.9231939270145864</v>
      </c>
      <c r="D3417" s="48">
        <f t="shared" ca="1" si="199"/>
        <v>0.80323415376337826</v>
      </c>
      <c r="E3417" s="48">
        <f t="shared" ca="1" si="200"/>
        <v>1.5034153763378244E-2</v>
      </c>
      <c r="F3417" s="17">
        <f t="shared" ca="1" si="201"/>
        <v>1</v>
      </c>
      <c r="H3417" s="17">
        <v>3402</v>
      </c>
      <c r="I3417" s="43">
        <v>0.66891371249798548</v>
      </c>
      <c r="J3417" s="43">
        <v>1.9256758709229358E-2</v>
      </c>
      <c r="K3417" s="43"/>
      <c r="L3417" s="43">
        <v>0.25019999999999998</v>
      </c>
      <c r="O3417" s="50"/>
    </row>
    <row r="3418" spans="2:15" x14ac:dyDescent="0.2">
      <c r="B3418">
        <v>3403</v>
      </c>
      <c r="C3418" s="48">
        <f ca="1"/>
        <v>0.35878400184889531</v>
      </c>
      <c r="D3418" s="48">
        <f t="shared" ca="1" si="199"/>
        <v>0.68843097157106004</v>
      </c>
      <c r="E3418" s="48">
        <f t="shared" ca="1" si="200"/>
        <v>0</v>
      </c>
      <c r="F3418" s="17">
        <f t="shared" ca="1" si="201"/>
        <v>0</v>
      </c>
      <c r="H3418" s="17">
        <v>3403</v>
      </c>
      <c r="I3418" s="43">
        <v>0.66811038845967496</v>
      </c>
      <c r="J3418" s="43">
        <v>1.8847721798230733E-2</v>
      </c>
      <c r="K3418" s="43"/>
      <c r="L3418" s="43">
        <v>0.2462</v>
      </c>
      <c r="O3418" s="50"/>
    </row>
    <row r="3419" spans="2:15" x14ac:dyDescent="0.2">
      <c r="B3419">
        <v>3404</v>
      </c>
      <c r="C3419" s="48">
        <f ca="1"/>
        <v>-0.64302220830408308</v>
      </c>
      <c r="D3419" s="48">
        <f t="shared" ca="1" si="199"/>
        <v>0.62368754547312522</v>
      </c>
      <c r="E3419" s="48">
        <f t="shared" ca="1" si="200"/>
        <v>0</v>
      </c>
      <c r="F3419" s="17">
        <f t="shared" ca="1" si="201"/>
        <v>0</v>
      </c>
      <c r="H3419" s="17">
        <v>3404</v>
      </c>
      <c r="I3419" s="43">
        <v>0.66906957650931775</v>
      </c>
      <c r="J3419" s="43">
        <v>1.9430387703479522E-2</v>
      </c>
      <c r="K3419" s="43"/>
      <c r="L3419" s="43">
        <v>0.24840000000000001</v>
      </c>
      <c r="O3419" s="50"/>
    </row>
    <row r="3420" spans="2:15" x14ac:dyDescent="0.2">
      <c r="B3420">
        <v>3405</v>
      </c>
      <c r="C3420" s="48">
        <f ca="1"/>
        <v>0.63934891055363186</v>
      </c>
      <c r="D3420" s="48">
        <f t="shared" ca="1" si="199"/>
        <v>0.70773889863354833</v>
      </c>
      <c r="E3420" s="48">
        <f t="shared" ca="1" si="200"/>
        <v>0</v>
      </c>
      <c r="F3420" s="17">
        <f t="shared" ca="1" si="201"/>
        <v>0</v>
      </c>
      <c r="H3420" s="17">
        <v>3405</v>
      </c>
      <c r="I3420" s="43">
        <v>0.66887064832413401</v>
      </c>
      <c r="J3420" s="43">
        <v>1.9376103311737419E-2</v>
      </c>
      <c r="K3420" s="43"/>
      <c r="L3420" s="43">
        <v>0.25040000000000001</v>
      </c>
      <c r="O3420" s="50"/>
    </row>
    <row r="3421" spans="2:15" x14ac:dyDescent="0.2">
      <c r="B3421">
        <v>3406</v>
      </c>
      <c r="C3421" s="48">
        <f ca="1"/>
        <v>-0.1788462270423688</v>
      </c>
      <c r="D3421" s="48">
        <f t="shared" ca="1" si="199"/>
        <v>0.65289182043521654</v>
      </c>
      <c r="E3421" s="48">
        <f t="shared" ca="1" si="200"/>
        <v>0</v>
      </c>
      <c r="F3421" s="17">
        <f t="shared" ca="1" si="201"/>
        <v>0</v>
      </c>
      <c r="H3421" s="17">
        <v>3406</v>
      </c>
      <c r="I3421" s="43">
        <v>0.66904101452102782</v>
      </c>
      <c r="J3421" s="43">
        <v>1.9287615556283038E-2</v>
      </c>
      <c r="K3421" s="43"/>
      <c r="L3421" s="43">
        <v>0.249</v>
      </c>
      <c r="O3421" s="50"/>
    </row>
    <row r="3422" spans="2:15" x14ac:dyDescent="0.2">
      <c r="B3422">
        <v>3407</v>
      </c>
      <c r="C3422" s="48">
        <f ca="1"/>
        <v>-9.4166530820570374E-2</v>
      </c>
      <c r="D3422" s="48">
        <f t="shared" ca="1" si="199"/>
        <v>0.65836520954159761</v>
      </c>
      <c r="E3422" s="48">
        <f t="shared" ca="1" si="200"/>
        <v>0</v>
      </c>
      <c r="F3422" s="17">
        <f t="shared" ca="1" si="201"/>
        <v>0</v>
      </c>
      <c r="H3422" s="17">
        <v>3407</v>
      </c>
      <c r="I3422" s="43">
        <v>0.66832819378209363</v>
      </c>
      <c r="J3422" s="43">
        <v>1.8791457908627178E-2</v>
      </c>
      <c r="K3422" s="43"/>
      <c r="L3422" s="43">
        <v>0.24640000000000001</v>
      </c>
      <c r="O3422" s="50"/>
    </row>
    <row r="3423" spans="2:15" x14ac:dyDescent="0.2">
      <c r="B3423">
        <v>3408</v>
      </c>
      <c r="C3423" s="48">
        <f ca="1"/>
        <v>1.834057830979924</v>
      </c>
      <c r="D3423" s="48">
        <f t="shared" ca="1" si="199"/>
        <v>0.79620649495804341</v>
      </c>
      <c r="E3423" s="48">
        <f t="shared" ca="1" si="200"/>
        <v>8.0064949580433975E-3</v>
      </c>
      <c r="F3423" s="17">
        <f t="shared" ca="1" si="201"/>
        <v>1</v>
      </c>
      <c r="H3423" s="17">
        <v>3408</v>
      </c>
      <c r="I3423" s="43">
        <v>0.66842478046531484</v>
      </c>
      <c r="J3423" s="43">
        <v>1.9016198215414691E-2</v>
      </c>
      <c r="K3423" s="43"/>
      <c r="L3423" s="43">
        <v>0.25340000000000001</v>
      </c>
      <c r="O3423" s="50"/>
    </row>
    <row r="3424" spans="2:15" x14ac:dyDescent="0.2">
      <c r="B3424">
        <v>3409</v>
      </c>
      <c r="C3424" s="48">
        <f ca="1"/>
        <v>0.49865139537969039</v>
      </c>
      <c r="D3424" s="48">
        <f t="shared" ca="1" si="199"/>
        <v>0.69798961638615142</v>
      </c>
      <c r="E3424" s="48">
        <f t="shared" ca="1" si="200"/>
        <v>0</v>
      </c>
      <c r="F3424" s="17">
        <f t="shared" ca="1" si="201"/>
        <v>0</v>
      </c>
      <c r="H3424" s="17">
        <v>3409</v>
      </c>
      <c r="I3424" s="43">
        <v>0.66891565646659767</v>
      </c>
      <c r="J3424" s="43">
        <v>1.9113436235545803E-2</v>
      </c>
      <c r="K3424" s="43"/>
      <c r="L3424" s="43">
        <v>0.24460000000000001</v>
      </c>
      <c r="O3424" s="50"/>
    </row>
    <row r="3425" spans="2:15" x14ac:dyDescent="0.2">
      <c r="B3425">
        <v>3410</v>
      </c>
      <c r="C3425" s="48">
        <f ca="1"/>
        <v>0.17510614668777916</v>
      </c>
      <c r="D3425" s="48">
        <f t="shared" ca="1" si="199"/>
        <v>0.67607682700310257</v>
      </c>
      <c r="E3425" s="48">
        <f t="shared" ca="1" si="200"/>
        <v>0</v>
      </c>
      <c r="F3425" s="17">
        <f t="shared" ca="1" si="201"/>
        <v>0</v>
      </c>
      <c r="H3425" s="17">
        <v>3410</v>
      </c>
      <c r="I3425" s="43">
        <v>0.6696770469761778</v>
      </c>
      <c r="J3425" s="43">
        <v>1.985006739243237E-2</v>
      </c>
      <c r="K3425" s="43"/>
      <c r="L3425" s="43">
        <v>0.25019999999999998</v>
      </c>
      <c r="O3425" s="50"/>
    </row>
    <row r="3426" spans="2:15" x14ac:dyDescent="0.2">
      <c r="B3426">
        <v>3411</v>
      </c>
      <c r="C3426" s="48">
        <f ca="1"/>
        <v>-0.31744922891958643</v>
      </c>
      <c r="D3426" s="48">
        <f t="shared" ca="1" si="199"/>
        <v>0.6440310445779206</v>
      </c>
      <c r="E3426" s="48">
        <f t="shared" ca="1" si="200"/>
        <v>0</v>
      </c>
      <c r="F3426" s="17">
        <f t="shared" ca="1" si="201"/>
        <v>0</v>
      </c>
      <c r="H3426" s="17">
        <v>3411</v>
      </c>
      <c r="I3426" s="43">
        <v>0.66871442031328743</v>
      </c>
      <c r="J3426" s="43">
        <v>1.9100333396211717E-2</v>
      </c>
      <c r="K3426" s="43"/>
      <c r="L3426" s="43">
        <v>0.24099999999999999</v>
      </c>
      <c r="O3426" s="50"/>
    </row>
    <row r="3427" spans="2:15" x14ac:dyDescent="0.2">
      <c r="B3427">
        <v>3412</v>
      </c>
      <c r="C3427" s="48">
        <f ca="1"/>
        <v>0.51702653263150922</v>
      </c>
      <c r="D3427" s="48">
        <f t="shared" ca="1" si="199"/>
        <v>0.69925521126387069</v>
      </c>
      <c r="E3427" s="48">
        <f t="shared" ca="1" si="200"/>
        <v>0</v>
      </c>
      <c r="F3427" s="17">
        <f t="shared" ca="1" si="201"/>
        <v>0</v>
      </c>
      <c r="H3427" s="17">
        <v>3412</v>
      </c>
      <c r="I3427" s="43">
        <v>0.66815296626647092</v>
      </c>
      <c r="J3427" s="43">
        <v>1.8680686544157721E-2</v>
      </c>
      <c r="K3427" s="43"/>
      <c r="L3427" s="43">
        <v>0.25080000000000002</v>
      </c>
      <c r="O3427" s="50"/>
    </row>
    <row r="3428" spans="2:15" x14ac:dyDescent="0.2">
      <c r="B3428">
        <v>3413</v>
      </c>
      <c r="C3428" s="48">
        <f ca="1"/>
        <v>-1.4747940593356188</v>
      </c>
      <c r="D3428" s="48">
        <f t="shared" ca="1" si="199"/>
        <v>0.57458453531617981</v>
      </c>
      <c r="E3428" s="48">
        <f t="shared" ca="1" si="200"/>
        <v>0</v>
      </c>
      <c r="F3428" s="17">
        <f t="shared" ca="1" si="201"/>
        <v>0</v>
      </c>
      <c r="H3428" s="17">
        <v>3413</v>
      </c>
      <c r="I3428" s="43">
        <v>0.66850576385525129</v>
      </c>
      <c r="J3428" s="43">
        <v>1.9235368729932138E-2</v>
      </c>
      <c r="K3428" s="43"/>
      <c r="L3428" s="43">
        <v>0.25059999999999999</v>
      </c>
      <c r="O3428" s="50"/>
    </row>
    <row r="3429" spans="2:15" x14ac:dyDescent="0.2">
      <c r="B3429">
        <v>3414</v>
      </c>
      <c r="C3429" s="48">
        <f ca="1"/>
        <v>-2.9909257670510638E-2</v>
      </c>
      <c r="D3429" s="48">
        <f t="shared" ca="1" si="199"/>
        <v>0.66254916672038644</v>
      </c>
      <c r="E3429" s="48">
        <f t="shared" ca="1" si="200"/>
        <v>0</v>
      </c>
      <c r="F3429" s="17">
        <f t="shared" ca="1" si="201"/>
        <v>0</v>
      </c>
      <c r="H3429" s="17">
        <v>3414</v>
      </c>
      <c r="I3429" s="43">
        <v>0.66846100075834081</v>
      </c>
      <c r="J3429" s="43">
        <v>1.9046333601001827E-2</v>
      </c>
      <c r="K3429" s="43"/>
      <c r="L3429" s="43">
        <v>0.25</v>
      </c>
      <c r="O3429" s="50"/>
    </row>
    <row r="3430" spans="2:15" x14ac:dyDescent="0.2">
      <c r="B3430">
        <v>3415</v>
      </c>
      <c r="C3430" s="48">
        <f ca="1"/>
        <v>-0.36568854366808257</v>
      </c>
      <c r="D3430" s="48">
        <f t="shared" ca="1" si="199"/>
        <v>0.64097543857166073</v>
      </c>
      <c r="E3430" s="48">
        <f t="shared" ca="1" si="200"/>
        <v>0</v>
      </c>
      <c r="F3430" s="17">
        <f t="shared" ca="1" si="201"/>
        <v>0</v>
      </c>
      <c r="H3430" s="17">
        <v>3415</v>
      </c>
      <c r="I3430" s="43">
        <v>0.66888401396833519</v>
      </c>
      <c r="J3430" s="43">
        <v>1.9293179851378718E-2</v>
      </c>
      <c r="K3430" s="43"/>
      <c r="L3430" s="43">
        <v>0.24779999999999999</v>
      </c>
      <c r="O3430" s="50"/>
    </row>
    <row r="3431" spans="2:15" x14ac:dyDescent="0.2">
      <c r="B3431">
        <v>3416</v>
      </c>
      <c r="C3431" s="48">
        <f ca="1"/>
        <v>0.95016952255032672</v>
      </c>
      <c r="D3431" s="48">
        <f t="shared" ca="1" si="199"/>
        <v>0.7297618558926301</v>
      </c>
      <c r="E3431" s="48">
        <f t="shared" ca="1" si="200"/>
        <v>0</v>
      </c>
      <c r="F3431" s="17">
        <f t="shared" ca="1" si="201"/>
        <v>0</v>
      </c>
      <c r="H3431" s="17">
        <v>3416</v>
      </c>
      <c r="I3431" s="43">
        <v>0.66839931935124353</v>
      </c>
      <c r="J3431" s="43">
        <v>1.9064902779311926E-2</v>
      </c>
      <c r="K3431" s="43"/>
      <c r="L3431" s="43">
        <v>0.25080000000000002</v>
      </c>
      <c r="O3431" s="50"/>
    </row>
    <row r="3432" spans="2:15" x14ac:dyDescent="0.2">
      <c r="B3432">
        <v>3417</v>
      </c>
      <c r="C3432" s="48">
        <f ca="1"/>
        <v>-0.43910812999536608</v>
      </c>
      <c r="D3432" s="48">
        <f t="shared" ca="1" si="199"/>
        <v>0.63635264794822211</v>
      </c>
      <c r="E3432" s="48">
        <f t="shared" ca="1" si="200"/>
        <v>0</v>
      </c>
      <c r="F3432" s="17">
        <f t="shared" ca="1" si="201"/>
        <v>0</v>
      </c>
      <c r="H3432" s="17">
        <v>3417</v>
      </c>
      <c r="I3432" s="43">
        <v>0.66774732198551667</v>
      </c>
      <c r="J3432" s="43">
        <v>1.840365543253546E-2</v>
      </c>
      <c r="K3432" s="43"/>
      <c r="L3432" s="43">
        <v>0.24840000000000001</v>
      </c>
      <c r="O3432" s="50"/>
    </row>
    <row r="3433" spans="2:15" x14ac:dyDescent="0.2">
      <c r="B3433">
        <v>3418</v>
      </c>
      <c r="C3433" s="48">
        <f ca="1"/>
        <v>-0.21041988298040776</v>
      </c>
      <c r="D3433" s="48">
        <f t="shared" ca="1" si="199"/>
        <v>0.65086268017895532</v>
      </c>
      <c r="E3433" s="48">
        <f t="shared" ca="1" si="200"/>
        <v>0</v>
      </c>
      <c r="F3433" s="17">
        <f t="shared" ca="1" si="201"/>
        <v>0</v>
      </c>
      <c r="H3433" s="17">
        <v>3418</v>
      </c>
      <c r="I3433" s="43">
        <v>0.67093968702918372</v>
      </c>
      <c r="J3433" s="43">
        <v>2.0717846721327107E-2</v>
      </c>
      <c r="K3433" s="43"/>
      <c r="L3433" s="43">
        <v>0.26100000000000001</v>
      </c>
      <c r="O3433" s="50"/>
    </row>
    <row r="3434" spans="2:15" x14ac:dyDescent="0.2">
      <c r="B3434">
        <v>3419</v>
      </c>
      <c r="C3434" s="48">
        <f ca="1"/>
        <v>0.44551799147809945</v>
      </c>
      <c r="D3434" s="48">
        <f t="shared" ca="1" si="199"/>
        <v>0.69434290545904287</v>
      </c>
      <c r="E3434" s="48">
        <f t="shared" ca="1" si="200"/>
        <v>0</v>
      </c>
      <c r="F3434" s="17">
        <f t="shared" ca="1" si="201"/>
        <v>0</v>
      </c>
      <c r="H3434" s="17">
        <v>3419</v>
      </c>
      <c r="I3434" s="43">
        <v>0.66842664873067348</v>
      </c>
      <c r="J3434" s="43">
        <v>1.9104348268737286E-2</v>
      </c>
      <c r="K3434" s="43"/>
      <c r="L3434" s="43">
        <v>0.24379999999999999</v>
      </c>
      <c r="O3434" s="50"/>
    </row>
    <row r="3435" spans="2:15" x14ac:dyDescent="0.2">
      <c r="B3435">
        <v>3420</v>
      </c>
      <c r="C3435" s="48">
        <f ca="1"/>
        <v>0.96292524537517898</v>
      </c>
      <c r="D3435" s="48">
        <f t="shared" ca="1" si="199"/>
        <v>0.7306801484336346</v>
      </c>
      <c r="E3435" s="48">
        <f t="shared" ca="1" si="200"/>
        <v>0</v>
      </c>
      <c r="F3435" s="17">
        <f t="shared" ca="1" si="201"/>
        <v>0</v>
      </c>
      <c r="H3435" s="17">
        <v>3420</v>
      </c>
      <c r="I3435" s="43">
        <v>0.66982586755128315</v>
      </c>
      <c r="J3435" s="43">
        <v>2.0022008054587138E-2</v>
      </c>
      <c r="K3435" s="43"/>
      <c r="L3435" s="43">
        <v>0.25119999999999998</v>
      </c>
      <c r="O3435" s="50"/>
    </row>
    <row r="3436" spans="2:15" x14ac:dyDescent="0.2">
      <c r="B3436">
        <v>3421</v>
      </c>
      <c r="C3436" s="48">
        <f ca="1"/>
        <v>0.9285654937416371</v>
      </c>
      <c r="D3436" s="48">
        <f t="shared" ca="1" si="199"/>
        <v>0.72820920001829081</v>
      </c>
      <c r="E3436" s="48">
        <f t="shared" ca="1" si="200"/>
        <v>0</v>
      </c>
      <c r="F3436" s="17">
        <f t="shared" ca="1" si="201"/>
        <v>0</v>
      </c>
      <c r="H3436" s="17">
        <v>3421</v>
      </c>
      <c r="I3436" s="43">
        <v>0.66934425312022372</v>
      </c>
      <c r="J3436" s="43">
        <v>1.9405287883342358E-2</v>
      </c>
      <c r="K3436" s="43"/>
      <c r="L3436" s="43">
        <v>0.24959999999999999</v>
      </c>
      <c r="O3436" s="50"/>
    </row>
    <row r="3437" spans="2:15" x14ac:dyDescent="0.2">
      <c r="B3437">
        <v>3422</v>
      </c>
      <c r="C3437" s="48">
        <f ca="1"/>
        <v>-0.23273145361400943</v>
      </c>
      <c r="D3437" s="48">
        <f t="shared" ca="1" si="199"/>
        <v>0.64943258917065105</v>
      </c>
      <c r="E3437" s="48">
        <f t="shared" ca="1" si="200"/>
        <v>0</v>
      </c>
      <c r="F3437" s="17">
        <f t="shared" ca="1" si="201"/>
        <v>0</v>
      </c>
      <c r="H3437" s="17">
        <v>3422</v>
      </c>
      <c r="I3437" s="43">
        <v>0.66983348371735862</v>
      </c>
      <c r="J3437" s="43">
        <v>2.0066697611558156E-2</v>
      </c>
      <c r="K3437" s="43"/>
      <c r="L3437" s="43">
        <v>0.25819999999999999</v>
      </c>
      <c r="O3437" s="50"/>
    </row>
    <row r="3438" spans="2:15" x14ac:dyDescent="0.2">
      <c r="B3438">
        <v>3423</v>
      </c>
      <c r="C3438" s="48">
        <f ca="1"/>
        <v>1.0570081803263303</v>
      </c>
      <c r="D3438" s="48">
        <f t="shared" ca="1" si="199"/>
        <v>0.73748902670248329</v>
      </c>
      <c r="E3438" s="48">
        <f t="shared" ca="1" si="200"/>
        <v>0</v>
      </c>
      <c r="F3438" s="17">
        <f t="shared" ca="1" si="201"/>
        <v>0</v>
      </c>
      <c r="H3438" s="17">
        <v>3423</v>
      </c>
      <c r="I3438" s="43">
        <v>0.66850722001899965</v>
      </c>
      <c r="J3438" s="43">
        <v>1.9159764760118301E-2</v>
      </c>
      <c r="K3438" s="43"/>
      <c r="L3438" s="43">
        <v>0.25819999999999999</v>
      </c>
      <c r="O3438" s="50"/>
    </row>
    <row r="3439" spans="2:15" x14ac:dyDescent="0.2">
      <c r="B3439">
        <v>3424</v>
      </c>
      <c r="C3439" s="48">
        <f ca="1"/>
        <v>-0.388688384726947</v>
      </c>
      <c r="D3439" s="48">
        <f t="shared" ca="1" si="199"/>
        <v>0.63952367579766456</v>
      </c>
      <c r="E3439" s="48">
        <f t="shared" ca="1" si="200"/>
        <v>0</v>
      </c>
      <c r="F3439" s="17">
        <f t="shared" ca="1" si="201"/>
        <v>0</v>
      </c>
      <c r="H3439" s="17">
        <v>3424</v>
      </c>
      <c r="I3439" s="43">
        <v>0.66825410028482601</v>
      </c>
      <c r="J3439" s="43">
        <v>1.8823119121852257E-2</v>
      </c>
      <c r="K3439" s="43"/>
      <c r="L3439" s="43">
        <v>0.25080000000000002</v>
      </c>
      <c r="O3439" s="50"/>
    </row>
    <row r="3440" spans="2:15" x14ac:dyDescent="0.2">
      <c r="B3440">
        <v>3425</v>
      </c>
      <c r="C3440" s="48">
        <f ca="1"/>
        <v>-2.0848612000031355</v>
      </c>
      <c r="D3440" s="48">
        <f t="shared" ca="1" si="199"/>
        <v>0.5410448928197874</v>
      </c>
      <c r="E3440" s="48">
        <f t="shared" ca="1" si="200"/>
        <v>0</v>
      </c>
      <c r="F3440" s="17">
        <f t="shared" ca="1" si="201"/>
        <v>0</v>
      </c>
      <c r="H3440" s="17">
        <v>3425</v>
      </c>
      <c r="I3440" s="43">
        <v>0.66876580128967367</v>
      </c>
      <c r="J3440" s="43">
        <v>1.8903605788683629E-2</v>
      </c>
      <c r="K3440" s="43"/>
      <c r="L3440" s="43">
        <v>0.24179999999999999</v>
      </c>
      <c r="O3440" s="50"/>
    </row>
    <row r="3441" spans="2:15" x14ac:dyDescent="0.2">
      <c r="B3441">
        <v>3426</v>
      </c>
      <c r="C3441" s="48">
        <f ca="1"/>
        <v>-0.27873553852976551</v>
      </c>
      <c r="D3441" s="48">
        <f t="shared" ca="1" si="199"/>
        <v>0.64649380486382013</v>
      </c>
      <c r="E3441" s="48">
        <f t="shared" ca="1" si="200"/>
        <v>0</v>
      </c>
      <c r="F3441" s="17">
        <f t="shared" ca="1" si="201"/>
        <v>0</v>
      </c>
      <c r="H3441" s="17">
        <v>3426</v>
      </c>
      <c r="I3441" s="43">
        <v>0.67016118194093643</v>
      </c>
      <c r="J3441" s="43">
        <v>2.0690536390124272E-2</v>
      </c>
      <c r="K3441" s="43"/>
      <c r="L3441" s="43">
        <v>0.26140000000000002</v>
      </c>
      <c r="O3441" s="50"/>
    </row>
    <row r="3442" spans="2:15" x14ac:dyDescent="0.2">
      <c r="B3442">
        <v>3427</v>
      </c>
      <c r="C3442" s="48">
        <f ca="1"/>
        <v>0.42547965732656873</v>
      </c>
      <c r="D3442" s="48">
        <f t="shared" ca="1" si="199"/>
        <v>0.6929725651670795</v>
      </c>
      <c r="E3442" s="48">
        <f t="shared" ca="1" si="200"/>
        <v>0</v>
      </c>
      <c r="F3442" s="17">
        <f t="shared" ca="1" si="201"/>
        <v>0</v>
      </c>
      <c r="H3442" s="17">
        <v>3427</v>
      </c>
      <c r="I3442" s="43">
        <v>0.66917785475495795</v>
      </c>
      <c r="J3442" s="43">
        <v>1.9489549144254902E-2</v>
      </c>
      <c r="K3442" s="43"/>
      <c r="L3442" s="43">
        <v>0.24959999999999999</v>
      </c>
      <c r="O3442" s="50"/>
    </row>
    <row r="3443" spans="2:15" x14ac:dyDescent="0.2">
      <c r="B3443">
        <v>3428</v>
      </c>
      <c r="C3443" s="48">
        <f ca="1"/>
        <v>-1.0425841293642562</v>
      </c>
      <c r="D3443" s="48">
        <f t="shared" ca="1" si="199"/>
        <v>0.5995969717417885</v>
      </c>
      <c r="E3443" s="48">
        <f t="shared" ca="1" si="200"/>
        <v>0</v>
      </c>
      <c r="F3443" s="17">
        <f t="shared" ca="1" si="201"/>
        <v>0</v>
      </c>
      <c r="H3443" s="17">
        <v>3428</v>
      </c>
      <c r="I3443" s="43">
        <v>0.6688805121597613</v>
      </c>
      <c r="J3443" s="43">
        <v>1.9257749114162965E-2</v>
      </c>
      <c r="K3443" s="43"/>
      <c r="L3443" s="43">
        <v>0.25380000000000003</v>
      </c>
      <c r="O3443" s="50"/>
    </row>
    <row r="3444" spans="2:15" x14ac:dyDescent="0.2">
      <c r="B3444">
        <v>3429</v>
      </c>
      <c r="C3444" s="48">
        <f ca="1"/>
        <v>-0.87052952552971907</v>
      </c>
      <c r="D3444" s="48">
        <f t="shared" ca="1" si="199"/>
        <v>0.60985434124006532</v>
      </c>
      <c r="E3444" s="48">
        <f t="shared" ca="1" si="200"/>
        <v>0</v>
      </c>
      <c r="F3444" s="17">
        <f t="shared" ca="1" si="201"/>
        <v>0</v>
      </c>
      <c r="H3444" s="17">
        <v>3429</v>
      </c>
      <c r="I3444" s="43">
        <v>0.66816354461945759</v>
      </c>
      <c r="J3444" s="43">
        <v>1.8786260603327342E-2</v>
      </c>
      <c r="K3444" s="43"/>
      <c r="L3444" s="43">
        <v>0.246</v>
      </c>
      <c r="O3444" s="50"/>
    </row>
    <row r="3445" spans="2:15" x14ac:dyDescent="0.2">
      <c r="B3445">
        <v>3430</v>
      </c>
      <c r="C3445" s="48">
        <f ca="1"/>
        <v>0.61245966555172815</v>
      </c>
      <c r="D3445" s="48">
        <f t="shared" ca="1" si="199"/>
        <v>0.70586520803805697</v>
      </c>
      <c r="E3445" s="48">
        <f t="shared" ca="1" si="200"/>
        <v>0</v>
      </c>
      <c r="F3445" s="17">
        <f t="shared" ca="1" si="201"/>
        <v>0</v>
      </c>
      <c r="H3445" s="17">
        <v>3430</v>
      </c>
      <c r="I3445" s="43">
        <v>0.67078718129465953</v>
      </c>
      <c r="J3445" s="43">
        <v>2.0910360645304344E-2</v>
      </c>
      <c r="K3445" s="43"/>
      <c r="L3445" s="43">
        <v>0.26140000000000002</v>
      </c>
      <c r="O3445" s="50"/>
    </row>
    <row r="3446" spans="2:15" x14ac:dyDescent="0.2">
      <c r="B3446">
        <v>3431</v>
      </c>
      <c r="C3446" s="48">
        <f ca="1"/>
        <v>0.46885359880025412</v>
      </c>
      <c r="D3446" s="48">
        <f t="shared" ca="1" si="199"/>
        <v>0.69594214859529846</v>
      </c>
      <c r="E3446" s="48">
        <f t="shared" ca="1" si="200"/>
        <v>0</v>
      </c>
      <c r="F3446" s="17">
        <f t="shared" ca="1" si="201"/>
        <v>0</v>
      </c>
      <c r="H3446" s="17">
        <v>3431</v>
      </c>
      <c r="I3446" s="43">
        <v>0.66902317812184287</v>
      </c>
      <c r="J3446" s="43">
        <v>1.9423052716955564E-2</v>
      </c>
      <c r="K3446" s="43"/>
      <c r="L3446" s="43">
        <v>0.25619999999999998</v>
      </c>
      <c r="O3446" s="50"/>
    </row>
    <row r="3447" spans="2:15" x14ac:dyDescent="0.2">
      <c r="B3447">
        <v>3432</v>
      </c>
      <c r="C3447" s="48">
        <f ca="1"/>
        <v>0.81209390561936257</v>
      </c>
      <c r="D3447" s="48">
        <f t="shared" ca="1" si="199"/>
        <v>0.71989526086585198</v>
      </c>
      <c r="E3447" s="48">
        <f t="shared" ca="1" si="200"/>
        <v>0</v>
      </c>
      <c r="F3447" s="17">
        <f t="shared" ca="1" si="201"/>
        <v>0</v>
      </c>
      <c r="H3447" s="17">
        <v>3432</v>
      </c>
      <c r="I3447" s="43">
        <v>0.66931858352656592</v>
      </c>
      <c r="J3447" s="43">
        <v>1.9527226666143604E-2</v>
      </c>
      <c r="K3447" s="43"/>
      <c r="L3447" s="43">
        <v>0.25140000000000001</v>
      </c>
      <c r="O3447" s="50"/>
    </row>
    <row r="3448" spans="2:15" x14ac:dyDescent="0.2">
      <c r="B3448">
        <v>3433</v>
      </c>
      <c r="C3448" s="48">
        <f ca="1"/>
        <v>1.4718115096841209</v>
      </c>
      <c r="D3448" s="48">
        <f t="shared" ca="1" si="199"/>
        <v>0.76827336954286185</v>
      </c>
      <c r="E3448" s="48">
        <f t="shared" ca="1" si="200"/>
        <v>0</v>
      </c>
      <c r="F3448" s="17">
        <f t="shared" ca="1" si="201"/>
        <v>0</v>
      </c>
      <c r="H3448" s="17">
        <v>3433</v>
      </c>
      <c r="I3448" s="43">
        <v>0.67026200899393062</v>
      </c>
      <c r="J3448" s="43">
        <v>2.0099406326807439E-2</v>
      </c>
      <c r="K3448" s="43"/>
      <c r="L3448" s="43">
        <v>0.25419999999999998</v>
      </c>
      <c r="O3448" s="50"/>
    </row>
    <row r="3449" spans="2:15" x14ac:dyDescent="0.2">
      <c r="B3449">
        <v>3434</v>
      </c>
      <c r="C3449" s="48">
        <f ca="1"/>
        <v>6.3402450601660373E-2</v>
      </c>
      <c r="D3449" s="48">
        <f t="shared" ca="1" si="199"/>
        <v>0.66867231985693509</v>
      </c>
      <c r="E3449" s="48">
        <f t="shared" ca="1" si="200"/>
        <v>0</v>
      </c>
      <c r="F3449" s="17">
        <f t="shared" ca="1" si="201"/>
        <v>0</v>
      </c>
      <c r="H3449" s="17">
        <v>3434</v>
      </c>
      <c r="I3449" s="43">
        <v>0.668994872092601</v>
      </c>
      <c r="J3449" s="43">
        <v>1.9598465378986477E-2</v>
      </c>
      <c r="K3449" s="43"/>
      <c r="L3449" s="43">
        <v>0.24940000000000001</v>
      </c>
      <c r="O3449" s="50"/>
    </row>
    <row r="3450" spans="2:15" x14ac:dyDescent="0.2">
      <c r="B3450">
        <v>3435</v>
      </c>
      <c r="C3450" s="48">
        <f ca="1"/>
        <v>-1.4766526679773548</v>
      </c>
      <c r="D3450" s="48">
        <f t="shared" ca="1" si="199"/>
        <v>0.57447926066353316</v>
      </c>
      <c r="E3450" s="48">
        <f t="shared" ca="1" si="200"/>
        <v>0</v>
      </c>
      <c r="F3450" s="17">
        <f t="shared" ca="1" si="201"/>
        <v>0</v>
      </c>
      <c r="H3450" s="17">
        <v>3435</v>
      </c>
      <c r="I3450" s="43">
        <v>0.66888836512375249</v>
      </c>
      <c r="J3450" s="43">
        <v>1.9313366136125755E-2</v>
      </c>
      <c r="K3450" s="43"/>
      <c r="L3450" s="43">
        <v>0.253</v>
      </c>
      <c r="O3450" s="50"/>
    </row>
    <row r="3451" spans="2:15" x14ac:dyDescent="0.2">
      <c r="B3451">
        <v>3436</v>
      </c>
      <c r="C3451" s="48">
        <f ca="1"/>
        <v>0.37479548151973086</v>
      </c>
      <c r="D3451" s="48">
        <f t="shared" ca="1" si="199"/>
        <v>0.68951853953945297</v>
      </c>
      <c r="E3451" s="48">
        <f t="shared" ca="1" si="200"/>
        <v>0</v>
      </c>
      <c r="F3451" s="17">
        <f t="shared" ca="1" si="201"/>
        <v>0</v>
      </c>
      <c r="H3451" s="17">
        <v>3436</v>
      </c>
      <c r="I3451" s="43">
        <v>0.66939660810397017</v>
      </c>
      <c r="J3451" s="43">
        <v>1.9600931112668807E-2</v>
      </c>
      <c r="K3451" s="43"/>
      <c r="L3451" s="43">
        <v>0.25540000000000002</v>
      </c>
      <c r="O3451" s="50"/>
    </row>
    <row r="3452" spans="2:15" x14ac:dyDescent="0.2">
      <c r="B3452">
        <v>3437</v>
      </c>
      <c r="C3452" s="48">
        <f ca="1"/>
        <v>-1.1773562806674605</v>
      </c>
      <c r="D3452" s="48">
        <f t="shared" ca="1" si="199"/>
        <v>0.59168291235324577</v>
      </c>
      <c r="E3452" s="48">
        <f t="shared" ca="1" si="200"/>
        <v>0</v>
      </c>
      <c r="F3452" s="17">
        <f t="shared" ca="1" si="201"/>
        <v>0</v>
      </c>
      <c r="H3452" s="17">
        <v>3437</v>
      </c>
      <c r="I3452" s="43">
        <v>0.66841715627438458</v>
      </c>
      <c r="J3452" s="43">
        <v>1.9135555656093664E-2</v>
      </c>
      <c r="K3452" s="43"/>
      <c r="L3452" s="43">
        <v>0.249</v>
      </c>
      <c r="O3452" s="50"/>
    </row>
    <row r="3453" spans="2:15" x14ac:dyDescent="0.2">
      <c r="B3453">
        <v>3438</v>
      </c>
      <c r="C3453" s="48">
        <f ca="1"/>
        <v>-0.48215081243310393</v>
      </c>
      <c r="D3453" s="48">
        <f t="shared" ca="1" si="199"/>
        <v>0.63365802643170299</v>
      </c>
      <c r="E3453" s="48">
        <f t="shared" ca="1" si="200"/>
        <v>0</v>
      </c>
      <c r="F3453" s="17">
        <f t="shared" ca="1" si="201"/>
        <v>0</v>
      </c>
      <c r="H3453" s="17">
        <v>3438</v>
      </c>
      <c r="I3453" s="43">
        <v>0.66902643792449157</v>
      </c>
      <c r="J3453" s="43">
        <v>1.9502048697274295E-2</v>
      </c>
      <c r="K3453" s="43"/>
      <c r="L3453" s="43">
        <v>0.24740000000000001</v>
      </c>
      <c r="O3453" s="50"/>
    </row>
    <row r="3454" spans="2:15" x14ac:dyDescent="0.2">
      <c r="B3454">
        <v>3439</v>
      </c>
      <c r="C3454" s="48">
        <f ca="1"/>
        <v>0.2003712671418045</v>
      </c>
      <c r="D3454" s="48">
        <f t="shared" ca="1" si="199"/>
        <v>0.67776291459356175</v>
      </c>
      <c r="E3454" s="48">
        <f t="shared" ca="1" si="200"/>
        <v>0</v>
      </c>
      <c r="F3454" s="17">
        <f t="shared" ca="1" si="201"/>
        <v>0</v>
      </c>
      <c r="H3454" s="17">
        <v>3439</v>
      </c>
      <c r="I3454" s="43">
        <v>0.66855893814639433</v>
      </c>
      <c r="J3454" s="43">
        <v>1.9187915354630922E-2</v>
      </c>
      <c r="K3454" s="43"/>
      <c r="L3454" s="43">
        <v>0.252</v>
      </c>
      <c r="O3454" s="50"/>
    </row>
    <row r="3455" spans="2:15" x14ac:dyDescent="0.2">
      <c r="B3455">
        <v>3440</v>
      </c>
      <c r="C3455" s="48">
        <f ca="1"/>
        <v>0.52281781541413741</v>
      </c>
      <c r="D3455" s="48">
        <f t="shared" ca="1" si="199"/>
        <v>0.69965456356340072</v>
      </c>
      <c r="E3455" s="48">
        <f t="shared" ca="1" si="200"/>
        <v>0</v>
      </c>
      <c r="F3455" s="17">
        <f t="shared" ca="1" si="201"/>
        <v>0</v>
      </c>
      <c r="H3455" s="17">
        <v>3440</v>
      </c>
      <c r="I3455" s="43">
        <v>0.66913940436000763</v>
      </c>
      <c r="J3455" s="43">
        <v>1.9363248861678322E-2</v>
      </c>
      <c r="K3455" s="43"/>
      <c r="L3455" s="43">
        <v>0.25580000000000003</v>
      </c>
      <c r="O3455" s="50"/>
    </row>
    <row r="3456" spans="2:15" x14ac:dyDescent="0.2">
      <c r="B3456">
        <v>3441</v>
      </c>
      <c r="C3456" s="48">
        <f ca="1"/>
        <v>-0.34604084275329278</v>
      </c>
      <c r="D3456" s="48">
        <f t="shared" ca="1" si="199"/>
        <v>0.64221822222735192</v>
      </c>
      <c r="E3456" s="48">
        <f t="shared" ca="1" si="200"/>
        <v>0</v>
      </c>
      <c r="F3456" s="17">
        <f t="shared" ca="1" si="201"/>
        <v>0</v>
      </c>
      <c r="H3456" s="17">
        <v>3441</v>
      </c>
      <c r="I3456" s="43">
        <v>0.66914184022194079</v>
      </c>
      <c r="J3456" s="43">
        <v>1.947476199681927E-2</v>
      </c>
      <c r="K3456" s="43"/>
      <c r="L3456" s="43">
        <v>0.25119999999999998</v>
      </c>
      <c r="O3456" s="50"/>
    </row>
    <row r="3457" spans="2:15" x14ac:dyDescent="0.2">
      <c r="B3457">
        <v>3442</v>
      </c>
      <c r="C3457" s="48">
        <f ca="1"/>
        <v>-1.3108613781928469</v>
      </c>
      <c r="D3457" s="48">
        <f t="shared" ca="1" si="199"/>
        <v>0.58394624981244891</v>
      </c>
      <c r="E3457" s="48">
        <f t="shared" ca="1" si="200"/>
        <v>0</v>
      </c>
      <c r="F3457" s="17">
        <f t="shared" ca="1" si="201"/>
        <v>0</v>
      </c>
      <c r="H3457" s="17">
        <v>3442</v>
      </c>
      <c r="I3457" s="43">
        <v>0.66952699103721303</v>
      </c>
      <c r="J3457" s="43">
        <v>2.011904798271558E-2</v>
      </c>
      <c r="K3457" s="43"/>
      <c r="L3457" s="43">
        <v>0.25800000000000001</v>
      </c>
      <c r="O3457" s="50"/>
    </row>
    <row r="3458" spans="2:15" x14ac:dyDescent="0.2">
      <c r="B3458">
        <v>3443</v>
      </c>
      <c r="C3458" s="48">
        <f ca="1"/>
        <v>-1.234582935669472E-2</v>
      </c>
      <c r="D3458" s="48">
        <f t="shared" ca="1" si="199"/>
        <v>0.66369738690529323</v>
      </c>
      <c r="E3458" s="48">
        <f t="shared" ca="1" si="200"/>
        <v>0</v>
      </c>
      <c r="F3458" s="17">
        <f t="shared" ca="1" si="201"/>
        <v>0</v>
      </c>
      <c r="H3458" s="17">
        <v>3443</v>
      </c>
      <c r="I3458" s="43">
        <v>0.66843590736873992</v>
      </c>
      <c r="J3458" s="43">
        <v>1.8725998658100151E-2</v>
      </c>
      <c r="K3458" s="43"/>
      <c r="L3458" s="43">
        <v>0.2422</v>
      </c>
      <c r="O3458" s="50"/>
    </row>
    <row r="3459" spans="2:15" x14ac:dyDescent="0.2">
      <c r="B3459">
        <v>3444</v>
      </c>
      <c r="C3459" s="48">
        <f ca="1"/>
        <v>1.1096463856440688</v>
      </c>
      <c r="D3459" s="48">
        <f t="shared" ca="1" si="199"/>
        <v>0.74132614972027477</v>
      </c>
      <c r="E3459" s="48">
        <f t="shared" ca="1" si="200"/>
        <v>0</v>
      </c>
      <c r="F3459" s="17">
        <f t="shared" ca="1" si="201"/>
        <v>0</v>
      </c>
      <c r="H3459" s="17">
        <v>3444</v>
      </c>
      <c r="I3459" s="43">
        <v>0.66952172723446535</v>
      </c>
      <c r="J3459" s="43">
        <v>1.986454927880732E-2</v>
      </c>
      <c r="K3459" s="43"/>
      <c r="L3459" s="43">
        <v>0.25119999999999998</v>
      </c>
      <c r="O3459" s="50"/>
    </row>
    <row r="3460" spans="2:15" x14ac:dyDescent="0.2">
      <c r="B3460">
        <v>3445</v>
      </c>
      <c r="C3460" s="48">
        <f ca="1"/>
        <v>0.33113853888477779</v>
      </c>
      <c r="D3460" s="48">
        <f t="shared" ca="1" si="199"/>
        <v>0.68655721016887228</v>
      </c>
      <c r="E3460" s="48">
        <f t="shared" ca="1" si="200"/>
        <v>0</v>
      </c>
      <c r="F3460" s="17">
        <f t="shared" ca="1" si="201"/>
        <v>0</v>
      </c>
      <c r="H3460" s="17">
        <v>3445</v>
      </c>
      <c r="I3460" s="43">
        <v>0.66727351487372522</v>
      </c>
      <c r="J3460" s="43">
        <v>1.8151638127429322E-2</v>
      </c>
      <c r="K3460" s="43"/>
      <c r="L3460" s="43">
        <v>0.24840000000000001</v>
      </c>
      <c r="O3460" s="50"/>
    </row>
    <row r="3461" spans="2:15" x14ac:dyDescent="0.2">
      <c r="B3461">
        <v>3446</v>
      </c>
      <c r="C3461" s="48">
        <f ca="1"/>
        <v>-0.73903242956381066</v>
      </c>
      <c r="D3461" s="48">
        <f t="shared" ca="1" si="199"/>
        <v>0.61781194174873777</v>
      </c>
      <c r="E3461" s="48">
        <f t="shared" ca="1" si="200"/>
        <v>0</v>
      </c>
      <c r="F3461" s="17">
        <f t="shared" ca="1" si="201"/>
        <v>0</v>
      </c>
      <c r="H3461" s="17">
        <v>3446</v>
      </c>
      <c r="I3461" s="43">
        <v>0.66846577904451165</v>
      </c>
      <c r="J3461" s="43">
        <v>1.8928266695157858E-2</v>
      </c>
      <c r="K3461" s="43"/>
      <c r="L3461" s="43">
        <v>0.248</v>
      </c>
      <c r="O3461" s="50"/>
    </row>
    <row r="3462" spans="2:15" x14ac:dyDescent="0.2">
      <c r="B3462">
        <v>3447</v>
      </c>
      <c r="C3462" s="48">
        <f ca="1"/>
        <v>0.38653572711496803</v>
      </c>
      <c r="D3462" s="48">
        <f t="shared" ca="1" si="199"/>
        <v>0.69031707868329417</v>
      </c>
      <c r="E3462" s="48">
        <f t="shared" ca="1" si="200"/>
        <v>0</v>
      </c>
      <c r="F3462" s="17">
        <f t="shared" ca="1" si="201"/>
        <v>0</v>
      </c>
      <c r="H3462" s="17">
        <v>3447</v>
      </c>
      <c r="I3462" s="43">
        <v>0.66769285264438949</v>
      </c>
      <c r="J3462" s="43">
        <v>1.8372710002942126E-2</v>
      </c>
      <c r="K3462" s="43"/>
      <c r="L3462" s="43">
        <v>0.24579999999999999</v>
      </c>
      <c r="O3462" s="50"/>
    </row>
    <row r="3463" spans="2:15" x14ac:dyDescent="0.2">
      <c r="B3463">
        <v>3448</v>
      </c>
      <c r="C3463" s="48">
        <f ca="1"/>
        <v>-0.5101217283645374</v>
      </c>
      <c r="D3463" s="48">
        <f t="shared" ca="1" si="199"/>
        <v>0.63191306960917337</v>
      </c>
      <c r="E3463" s="48">
        <f t="shared" ca="1" si="200"/>
        <v>0</v>
      </c>
      <c r="F3463" s="17">
        <f t="shared" ca="1" si="201"/>
        <v>0</v>
      </c>
      <c r="H3463" s="17">
        <v>3448</v>
      </c>
      <c r="I3463" s="43">
        <v>0.66776308612178581</v>
      </c>
      <c r="J3463" s="43">
        <v>1.8340956854216724E-2</v>
      </c>
      <c r="K3463" s="43"/>
      <c r="L3463" s="43">
        <v>0.24859999999999999</v>
      </c>
      <c r="O3463" s="50"/>
    </row>
    <row r="3464" spans="2:15" x14ac:dyDescent="0.2">
      <c r="B3464">
        <v>3449</v>
      </c>
      <c r="C3464" s="48">
        <f ca="1"/>
        <v>0.80420022141799452</v>
      </c>
      <c r="D3464" s="48">
        <f t="shared" ca="1" si="199"/>
        <v>0.71933524309838281</v>
      </c>
      <c r="E3464" s="48">
        <f t="shared" ca="1" si="200"/>
        <v>0</v>
      </c>
      <c r="F3464" s="17">
        <f t="shared" ca="1" si="201"/>
        <v>0</v>
      </c>
      <c r="H3464" s="17">
        <v>3449</v>
      </c>
      <c r="I3464" s="43">
        <v>0.66776320821642499</v>
      </c>
      <c r="J3464" s="43">
        <v>1.8191345549538513E-2</v>
      </c>
      <c r="K3464" s="43"/>
      <c r="L3464" s="43">
        <v>0.24179999999999999</v>
      </c>
      <c r="O3464" s="50"/>
    </row>
    <row r="3465" spans="2:15" x14ac:dyDescent="0.2">
      <c r="B3465">
        <v>3450</v>
      </c>
      <c r="C3465" s="48">
        <f ca="1"/>
        <v>0.71268164154548785</v>
      </c>
      <c r="D3465" s="48">
        <f t="shared" ca="1" si="199"/>
        <v>0.71287417118017982</v>
      </c>
      <c r="E3465" s="48">
        <f t="shared" ca="1" si="200"/>
        <v>0</v>
      </c>
      <c r="F3465" s="17">
        <f t="shared" ca="1" si="201"/>
        <v>0</v>
      </c>
      <c r="H3465" s="17">
        <v>3450</v>
      </c>
      <c r="I3465" s="43">
        <v>0.67028294856844728</v>
      </c>
      <c r="J3465" s="43">
        <v>2.0089720285404636E-2</v>
      </c>
      <c r="K3465" s="43"/>
      <c r="L3465" s="43">
        <v>0.25059999999999999</v>
      </c>
      <c r="O3465" s="50"/>
    </row>
    <row r="3466" spans="2:15" x14ac:dyDescent="0.2">
      <c r="B3466">
        <v>3451</v>
      </c>
      <c r="C3466" s="48">
        <f ca="1"/>
        <v>-1.0241432022667789</v>
      </c>
      <c r="D3466" s="48">
        <f t="shared" ca="1" si="199"/>
        <v>0.60068805714418871</v>
      </c>
      <c r="E3466" s="48">
        <f t="shared" ca="1" si="200"/>
        <v>0</v>
      </c>
      <c r="F3466" s="17">
        <f t="shared" ca="1" si="201"/>
        <v>0</v>
      </c>
      <c r="H3466" s="17">
        <v>3451</v>
      </c>
      <c r="I3466" s="43">
        <v>0.66856205478601016</v>
      </c>
      <c r="J3466" s="43">
        <v>1.9168688726284341E-2</v>
      </c>
      <c r="K3466" s="43"/>
      <c r="L3466" s="43">
        <v>0.253</v>
      </c>
      <c r="O3466" s="50"/>
    </row>
    <row r="3467" spans="2:15" x14ac:dyDescent="0.2">
      <c r="B3467">
        <v>3452</v>
      </c>
      <c r="C3467" s="48">
        <f ca="1"/>
        <v>-2.0993392325379352</v>
      </c>
      <c r="D3467" s="48">
        <f t="shared" ca="1" si="199"/>
        <v>0.5402731818711326</v>
      </c>
      <c r="E3467" s="48">
        <f t="shared" ca="1" si="200"/>
        <v>0</v>
      </c>
      <c r="F3467" s="17">
        <f t="shared" ca="1" si="201"/>
        <v>0</v>
      </c>
      <c r="H3467" s="17">
        <v>3452</v>
      </c>
      <c r="I3467" s="43">
        <v>0.66816659502965581</v>
      </c>
      <c r="J3467" s="43">
        <v>1.867408032173723E-2</v>
      </c>
      <c r="K3467" s="43"/>
      <c r="L3467" s="43">
        <v>0.24759999999999999</v>
      </c>
      <c r="O3467" s="50"/>
    </row>
    <row r="3468" spans="2:15" x14ac:dyDescent="0.2">
      <c r="B3468">
        <v>3453</v>
      </c>
      <c r="C3468" s="48">
        <f ca="1"/>
        <v>-0.78540710168871741</v>
      </c>
      <c r="D3468" s="48">
        <f t="shared" ca="1" si="199"/>
        <v>0.61499377646501441</v>
      </c>
      <c r="E3468" s="48">
        <f t="shared" ca="1" si="200"/>
        <v>0</v>
      </c>
      <c r="F3468" s="17">
        <f t="shared" ca="1" si="201"/>
        <v>0</v>
      </c>
      <c r="H3468" s="17">
        <v>3453</v>
      </c>
      <c r="I3468" s="43">
        <v>0.66974002068978511</v>
      </c>
      <c r="J3468" s="43">
        <v>1.9801389930551753E-2</v>
      </c>
      <c r="K3468" s="43"/>
      <c r="L3468" s="43">
        <v>0.25140000000000001</v>
      </c>
      <c r="O3468" s="50"/>
    </row>
    <row r="3469" spans="2:15" x14ac:dyDescent="0.2">
      <c r="B3469">
        <v>3454</v>
      </c>
      <c r="C3469" s="48">
        <f ca="1"/>
        <v>0.50701993169335602</v>
      </c>
      <c r="D3469" s="48">
        <f t="shared" ca="1" si="199"/>
        <v>0.69856571834695358</v>
      </c>
      <c r="E3469" s="48">
        <f t="shared" ca="1" si="200"/>
        <v>0</v>
      </c>
      <c r="F3469" s="17">
        <f t="shared" ca="1" si="201"/>
        <v>0</v>
      </c>
      <c r="H3469" s="17">
        <v>3454</v>
      </c>
      <c r="I3469" s="43">
        <v>0.66771235640914139</v>
      </c>
      <c r="J3469" s="43">
        <v>1.8404065539265841E-2</v>
      </c>
      <c r="K3469" s="43"/>
      <c r="L3469" s="43">
        <v>0.24379999999999999</v>
      </c>
      <c r="O3469" s="50"/>
    </row>
    <row r="3470" spans="2:15" x14ac:dyDescent="0.2">
      <c r="B3470">
        <v>3455</v>
      </c>
      <c r="C3470" s="48">
        <f ca="1"/>
        <v>0.45015274685860812</v>
      </c>
      <c r="D3470" s="48">
        <f t="shared" ca="1" si="199"/>
        <v>0.6946602432285417</v>
      </c>
      <c r="E3470" s="48">
        <f t="shared" ca="1" si="200"/>
        <v>0</v>
      </c>
      <c r="F3470" s="17">
        <f t="shared" ca="1" si="201"/>
        <v>0</v>
      </c>
      <c r="H3470" s="17">
        <v>3455</v>
      </c>
      <c r="I3470" s="43">
        <v>0.6693246629437839</v>
      </c>
      <c r="J3470" s="43">
        <v>1.9856345197082272E-2</v>
      </c>
      <c r="K3470" s="43"/>
      <c r="L3470" s="43">
        <v>0.25440000000000002</v>
      </c>
      <c r="O3470" s="50"/>
    </row>
    <row r="3471" spans="2:15" x14ac:dyDescent="0.2">
      <c r="B3471">
        <v>3456</v>
      </c>
      <c r="C3471" s="48">
        <f ca="1"/>
        <v>-0.21369975023380378</v>
      </c>
      <c r="D3471" s="48">
        <f t="shared" ca="1" si="199"/>
        <v>0.65065225527186776</v>
      </c>
      <c r="E3471" s="48">
        <f t="shared" ca="1" si="200"/>
        <v>0</v>
      </c>
      <c r="F3471" s="17">
        <f t="shared" ca="1" si="201"/>
        <v>0</v>
      </c>
      <c r="H3471" s="17">
        <v>3456</v>
      </c>
      <c r="I3471" s="43">
        <v>0.66977781577150819</v>
      </c>
      <c r="J3471" s="43">
        <v>2.0307869893768638E-2</v>
      </c>
      <c r="K3471" s="43"/>
      <c r="L3471" s="43">
        <v>0.25519999999999998</v>
      </c>
      <c r="O3471" s="50"/>
    </row>
    <row r="3472" spans="2:15" x14ac:dyDescent="0.2">
      <c r="B3472">
        <v>3457</v>
      </c>
      <c r="C3472" s="48">
        <f ca="1"/>
        <v>-0.24474230903456093</v>
      </c>
      <c r="D3472" s="48">
        <f t="shared" ref="D3472:D3535" ca="1" si="202">S0*EXP((μ-0.5*σ*σ)*T+σ*SQRT(T)*$C3472)</f>
        <v>0.64866403827157748</v>
      </c>
      <c r="E3472" s="48">
        <f t="shared" ref="E3472:E3535" ca="1" si="203">MAX(0,CP*(D3472-K))</f>
        <v>0</v>
      </c>
      <c r="F3472" s="17">
        <f t="shared" ref="F3472:F3535" ca="1" si="204">(CP*(D3472-K)&gt;0)*1</f>
        <v>0</v>
      </c>
      <c r="H3472" s="17">
        <v>3457</v>
      </c>
      <c r="I3472" s="43">
        <v>0.66951952629507905</v>
      </c>
      <c r="J3472" s="43">
        <v>1.9776547324147544E-2</v>
      </c>
      <c r="K3472" s="43"/>
      <c r="L3472" s="43">
        <v>0.25240000000000001</v>
      </c>
      <c r="O3472" s="50"/>
    </row>
    <row r="3473" spans="2:15" x14ac:dyDescent="0.2">
      <c r="B3473">
        <v>3458</v>
      </c>
      <c r="C3473" s="48">
        <f ca="1"/>
        <v>1.1711620258375612</v>
      </c>
      <c r="D3473" s="48">
        <f t="shared" ca="1" si="202"/>
        <v>0.74583570983455538</v>
      </c>
      <c r="E3473" s="48">
        <f t="shared" ca="1" si="203"/>
        <v>0</v>
      </c>
      <c r="F3473" s="17">
        <f t="shared" ca="1" si="204"/>
        <v>0</v>
      </c>
      <c r="H3473" s="17">
        <v>3458</v>
      </c>
      <c r="I3473" s="43">
        <v>0.66878229886694374</v>
      </c>
      <c r="J3473" s="43">
        <v>1.9289090047629368E-2</v>
      </c>
      <c r="K3473" s="43"/>
      <c r="L3473" s="43">
        <v>0.24299999999999999</v>
      </c>
      <c r="O3473" s="50"/>
    </row>
    <row r="3474" spans="2:15" x14ac:dyDescent="0.2">
      <c r="B3474">
        <v>3459</v>
      </c>
      <c r="C3474" s="48">
        <f ca="1"/>
        <v>-1.0767110302629324</v>
      </c>
      <c r="D3474" s="48">
        <f t="shared" ca="1" si="202"/>
        <v>0.59758302668194163</v>
      </c>
      <c r="E3474" s="48">
        <f t="shared" ca="1" si="203"/>
        <v>0</v>
      </c>
      <c r="F3474" s="17">
        <f t="shared" ca="1" si="204"/>
        <v>0</v>
      </c>
      <c r="H3474" s="17">
        <v>3459</v>
      </c>
      <c r="I3474" s="43">
        <v>0.66807204458341662</v>
      </c>
      <c r="J3474" s="43">
        <v>1.8807790645171095E-2</v>
      </c>
      <c r="K3474" s="43"/>
      <c r="L3474" s="43">
        <v>0.2452</v>
      </c>
      <c r="O3474" s="50"/>
    </row>
    <row r="3475" spans="2:15" x14ac:dyDescent="0.2">
      <c r="B3475">
        <v>3460</v>
      </c>
      <c r="C3475" s="48">
        <f ca="1"/>
        <v>0.67919773100000669</v>
      </c>
      <c r="D3475" s="48">
        <f t="shared" ca="1" si="202"/>
        <v>0.71052478642173456</v>
      </c>
      <c r="E3475" s="48">
        <f t="shared" ca="1" si="203"/>
        <v>0</v>
      </c>
      <c r="F3475" s="17">
        <f t="shared" ca="1" si="204"/>
        <v>0</v>
      </c>
      <c r="H3475" s="17">
        <v>3460</v>
      </c>
      <c r="I3475" s="43">
        <v>0.66828821027386032</v>
      </c>
      <c r="J3475" s="43">
        <v>1.8755621649688258E-2</v>
      </c>
      <c r="K3475" s="43"/>
      <c r="L3475" s="43">
        <v>0.24660000000000001</v>
      </c>
      <c r="O3475" s="50"/>
    </row>
    <row r="3476" spans="2:15" x14ac:dyDescent="0.2">
      <c r="B3476">
        <v>3461</v>
      </c>
      <c r="C3476" s="48">
        <f ca="1"/>
        <v>-1.984823170409511</v>
      </c>
      <c r="D3476" s="48">
        <f t="shared" ca="1" si="202"/>
        <v>0.5464073461490212</v>
      </c>
      <c r="E3476" s="48">
        <f t="shared" ca="1" si="203"/>
        <v>0</v>
      </c>
      <c r="F3476" s="17">
        <f t="shared" ca="1" si="204"/>
        <v>0</v>
      </c>
      <c r="H3476" s="17">
        <v>3461</v>
      </c>
      <c r="I3476" s="43">
        <v>0.66925802817182234</v>
      </c>
      <c r="J3476" s="43">
        <v>1.9531459147103025E-2</v>
      </c>
      <c r="K3476" s="43"/>
      <c r="L3476" s="43">
        <v>0.24840000000000001</v>
      </c>
      <c r="O3476" s="50"/>
    </row>
    <row r="3477" spans="2:15" x14ac:dyDescent="0.2">
      <c r="B3477">
        <v>3462</v>
      </c>
      <c r="C3477" s="48">
        <f ca="1"/>
        <v>-0.45996496503306189</v>
      </c>
      <c r="D3477" s="48">
        <f t="shared" ca="1" si="202"/>
        <v>0.6350455096005162</v>
      </c>
      <c r="E3477" s="48">
        <f t="shared" ca="1" si="203"/>
        <v>0</v>
      </c>
      <c r="F3477" s="17">
        <f t="shared" ca="1" si="204"/>
        <v>0</v>
      </c>
      <c r="H3477" s="17">
        <v>3462</v>
      </c>
      <c r="I3477" s="43">
        <v>0.66859022415701452</v>
      </c>
      <c r="J3477" s="43">
        <v>1.9024256207256778E-2</v>
      </c>
      <c r="K3477" s="43"/>
      <c r="L3477" s="43">
        <v>0.24979999999999999</v>
      </c>
      <c r="O3477" s="50"/>
    </row>
    <row r="3478" spans="2:15" x14ac:dyDescent="0.2">
      <c r="B3478">
        <v>3463</v>
      </c>
      <c r="C3478" s="48">
        <f ca="1"/>
        <v>-1.5272802317219096</v>
      </c>
      <c r="D3478" s="48">
        <f t="shared" ca="1" si="202"/>
        <v>0.57161903880991716</v>
      </c>
      <c r="E3478" s="48">
        <f t="shared" ca="1" si="203"/>
        <v>0</v>
      </c>
      <c r="F3478" s="17">
        <f t="shared" ca="1" si="204"/>
        <v>0</v>
      </c>
      <c r="H3478" s="17">
        <v>3463</v>
      </c>
      <c r="I3478" s="43">
        <v>0.66820220077308645</v>
      </c>
      <c r="J3478" s="43">
        <v>1.9030891688717862E-2</v>
      </c>
      <c r="K3478" s="43"/>
      <c r="L3478" s="43">
        <v>0.2442</v>
      </c>
      <c r="O3478" s="50"/>
    </row>
    <row r="3479" spans="2:15" x14ac:dyDescent="0.2">
      <c r="B3479">
        <v>3464</v>
      </c>
      <c r="C3479" s="48">
        <f ca="1"/>
        <v>-0.59288622036005545</v>
      </c>
      <c r="D3479" s="48">
        <f t="shared" ca="1" si="202"/>
        <v>0.62677792716736258</v>
      </c>
      <c r="E3479" s="48">
        <f t="shared" ca="1" si="203"/>
        <v>0</v>
      </c>
      <c r="F3479" s="17">
        <f t="shared" ca="1" si="204"/>
        <v>0</v>
      </c>
      <c r="H3479" s="17">
        <v>3464</v>
      </c>
      <c r="I3479" s="43">
        <v>0.66780476945796374</v>
      </c>
      <c r="J3479" s="43">
        <v>1.848754645512056E-2</v>
      </c>
      <c r="K3479" s="43"/>
      <c r="L3479" s="43">
        <v>0.2412</v>
      </c>
      <c r="O3479" s="50"/>
    </row>
    <row r="3480" spans="2:15" x14ac:dyDescent="0.2">
      <c r="B3480">
        <v>3465</v>
      </c>
      <c r="C3480" s="48">
        <f ca="1"/>
        <v>-1.6388268345372514</v>
      </c>
      <c r="D3480" s="48">
        <f t="shared" ca="1" si="202"/>
        <v>0.56536732695105119</v>
      </c>
      <c r="E3480" s="48">
        <f t="shared" ca="1" si="203"/>
        <v>0</v>
      </c>
      <c r="F3480" s="17">
        <f t="shared" ca="1" si="204"/>
        <v>0</v>
      </c>
      <c r="H3480" s="17">
        <v>3465</v>
      </c>
      <c r="I3480" s="43">
        <v>0.66826023001401913</v>
      </c>
      <c r="J3480" s="43">
        <v>1.8805654370721493E-2</v>
      </c>
      <c r="K3480" s="43"/>
      <c r="L3480" s="43">
        <v>0.24940000000000001</v>
      </c>
      <c r="O3480" s="50"/>
    </row>
    <row r="3481" spans="2:15" x14ac:dyDescent="0.2">
      <c r="B3481">
        <v>3466</v>
      </c>
      <c r="C3481" s="48">
        <f ca="1"/>
        <v>0.98368572092910833</v>
      </c>
      <c r="D3481" s="48">
        <f t="shared" ca="1" si="202"/>
        <v>0.73217717960172268</v>
      </c>
      <c r="E3481" s="48">
        <f t="shared" ca="1" si="203"/>
        <v>0</v>
      </c>
      <c r="F3481" s="17">
        <f t="shared" ca="1" si="204"/>
        <v>0</v>
      </c>
      <c r="H3481" s="17">
        <v>3466</v>
      </c>
      <c r="I3481" s="43">
        <v>0.66823277281145932</v>
      </c>
      <c r="J3481" s="43">
        <v>1.8733495322781946E-2</v>
      </c>
      <c r="K3481" s="43"/>
      <c r="L3481" s="43">
        <v>0.24740000000000001</v>
      </c>
      <c r="O3481" s="50"/>
    </row>
    <row r="3482" spans="2:15" x14ac:dyDescent="0.2">
      <c r="B3482">
        <v>3467</v>
      </c>
      <c r="C3482" s="48">
        <f ca="1"/>
        <v>1.0994207273146899</v>
      </c>
      <c r="D3482" s="48">
        <f t="shared" ca="1" si="202"/>
        <v>0.74057917926366257</v>
      </c>
      <c r="E3482" s="48">
        <f t="shared" ca="1" si="203"/>
        <v>0</v>
      </c>
      <c r="F3482" s="17">
        <f t="shared" ca="1" si="204"/>
        <v>0</v>
      </c>
      <c r="H3482" s="17">
        <v>3467</v>
      </c>
      <c r="I3482" s="43">
        <v>0.66923126146284362</v>
      </c>
      <c r="J3482" s="43">
        <v>1.9741669772242124E-2</v>
      </c>
      <c r="K3482" s="43"/>
      <c r="L3482" s="43">
        <v>0.26</v>
      </c>
      <c r="O3482" s="50"/>
    </row>
    <row r="3483" spans="2:15" x14ac:dyDescent="0.2">
      <c r="B3483">
        <v>3468</v>
      </c>
      <c r="C3483" s="48">
        <f ca="1"/>
        <v>1.588336171402305</v>
      </c>
      <c r="D3483" s="48">
        <f t="shared" ca="1" si="202"/>
        <v>0.77715008499741867</v>
      </c>
      <c r="E3483" s="48">
        <f t="shared" ca="1" si="203"/>
        <v>0</v>
      </c>
      <c r="F3483" s="17">
        <f t="shared" ca="1" si="204"/>
        <v>0</v>
      </c>
      <c r="H3483" s="17">
        <v>3468</v>
      </c>
      <c r="I3483" s="43">
        <v>0.66934168552843698</v>
      </c>
      <c r="J3483" s="43">
        <v>1.9819149758044722E-2</v>
      </c>
      <c r="K3483" s="43"/>
      <c r="L3483" s="43">
        <v>0.25679999999999997</v>
      </c>
      <c r="O3483" s="50"/>
    </row>
    <row r="3484" spans="2:15" x14ac:dyDescent="0.2">
      <c r="B3484">
        <v>3469</v>
      </c>
      <c r="C3484" s="48">
        <f ca="1"/>
        <v>0.32561280613324206</v>
      </c>
      <c r="D3484" s="48">
        <f t="shared" ca="1" si="202"/>
        <v>0.68618329762047348</v>
      </c>
      <c r="E3484" s="48">
        <f t="shared" ca="1" si="203"/>
        <v>0</v>
      </c>
      <c r="F3484" s="17">
        <f t="shared" ca="1" si="204"/>
        <v>0</v>
      </c>
      <c r="H3484" s="17">
        <v>3469</v>
      </c>
      <c r="I3484" s="43">
        <v>0.66899738921255347</v>
      </c>
      <c r="J3484" s="43">
        <v>1.9316915271972705E-2</v>
      </c>
      <c r="K3484" s="43"/>
      <c r="L3484" s="43">
        <v>0.25180000000000002</v>
      </c>
      <c r="O3484" s="50"/>
    </row>
    <row r="3485" spans="2:15" x14ac:dyDescent="0.2">
      <c r="B3485">
        <v>3470</v>
      </c>
      <c r="C3485" s="48">
        <f ca="1"/>
        <v>7.8427159794768705E-2</v>
      </c>
      <c r="D3485" s="48">
        <f t="shared" ca="1" si="202"/>
        <v>0.66966352336339008</v>
      </c>
      <c r="E3485" s="48">
        <f t="shared" ca="1" si="203"/>
        <v>0</v>
      </c>
      <c r="F3485" s="17">
        <f t="shared" ca="1" si="204"/>
        <v>0</v>
      </c>
      <c r="H3485" s="17">
        <v>3470</v>
      </c>
      <c r="I3485" s="43">
        <v>0.66822318704762773</v>
      </c>
      <c r="J3485" s="43">
        <v>1.918299570712435E-2</v>
      </c>
      <c r="K3485" s="43"/>
      <c r="L3485" s="43">
        <v>0.25480000000000003</v>
      </c>
      <c r="O3485" s="50"/>
    </row>
    <row r="3486" spans="2:15" x14ac:dyDescent="0.2">
      <c r="B3486">
        <v>3471</v>
      </c>
      <c r="C3486" s="48">
        <f ca="1"/>
        <v>-0.63593491572315963</v>
      </c>
      <c r="D3486" s="48">
        <f t="shared" ca="1" si="202"/>
        <v>0.62412347961883963</v>
      </c>
      <c r="E3486" s="48">
        <f t="shared" ca="1" si="203"/>
        <v>0</v>
      </c>
      <c r="F3486" s="17">
        <f t="shared" ca="1" si="204"/>
        <v>0</v>
      </c>
      <c r="H3486" s="17">
        <v>3471</v>
      </c>
      <c r="I3486" s="43">
        <v>0.66840452524565774</v>
      </c>
      <c r="J3486" s="43">
        <v>1.878622968698207E-2</v>
      </c>
      <c r="K3486" s="43"/>
      <c r="L3486" s="43">
        <v>0.24660000000000001</v>
      </c>
      <c r="O3486" s="50"/>
    </row>
    <row r="3487" spans="2:15" x14ac:dyDescent="0.2">
      <c r="B3487">
        <v>3472</v>
      </c>
      <c r="C3487" s="48">
        <f ca="1"/>
        <v>0.15883506167106998</v>
      </c>
      <c r="D3487" s="48">
        <f t="shared" ca="1" si="202"/>
        <v>0.67499318457556257</v>
      </c>
      <c r="E3487" s="48">
        <f t="shared" ca="1" si="203"/>
        <v>0</v>
      </c>
      <c r="F3487" s="17">
        <f t="shared" ca="1" si="204"/>
        <v>0</v>
      </c>
      <c r="H3487" s="17">
        <v>3472</v>
      </c>
      <c r="I3487" s="43">
        <v>0.66746573582850377</v>
      </c>
      <c r="J3487" s="43">
        <v>1.8284463142984968E-2</v>
      </c>
      <c r="K3487" s="43"/>
      <c r="L3487" s="43">
        <v>0.23960000000000001</v>
      </c>
      <c r="O3487" s="50"/>
    </row>
    <row r="3488" spans="2:15" x14ac:dyDescent="0.2">
      <c r="B3488">
        <v>3473</v>
      </c>
      <c r="C3488" s="48">
        <f ca="1"/>
        <v>-1.1283920962826992</v>
      </c>
      <c r="D3488" s="48">
        <f t="shared" ca="1" si="202"/>
        <v>0.59454602159734404</v>
      </c>
      <c r="E3488" s="48">
        <f t="shared" ca="1" si="203"/>
        <v>0</v>
      </c>
      <c r="F3488" s="17">
        <f t="shared" ca="1" si="204"/>
        <v>0</v>
      </c>
      <c r="H3488" s="17">
        <v>3473</v>
      </c>
      <c r="I3488" s="43">
        <v>0.66947326643504224</v>
      </c>
      <c r="J3488" s="43">
        <v>1.9507617195913481E-2</v>
      </c>
      <c r="K3488" s="43"/>
      <c r="L3488" s="43">
        <v>0.247</v>
      </c>
      <c r="O3488" s="50"/>
    </row>
    <row r="3489" spans="2:15" x14ac:dyDescent="0.2">
      <c r="B3489">
        <v>3474</v>
      </c>
      <c r="C3489" s="48">
        <f ca="1"/>
        <v>-1.2072025396427137</v>
      </c>
      <c r="D3489" s="48">
        <f t="shared" ca="1" si="202"/>
        <v>0.58994446373654641</v>
      </c>
      <c r="E3489" s="48">
        <f t="shared" ca="1" si="203"/>
        <v>0</v>
      </c>
      <c r="F3489" s="17">
        <f t="shared" ca="1" si="204"/>
        <v>0</v>
      </c>
      <c r="H3489" s="17">
        <v>3474</v>
      </c>
      <c r="I3489" s="43">
        <v>0.66919690519615826</v>
      </c>
      <c r="J3489" s="43">
        <v>1.9818686801239684E-2</v>
      </c>
      <c r="K3489" s="43"/>
      <c r="L3489" s="43">
        <v>0.25519999999999998</v>
      </c>
      <c r="O3489" s="50"/>
    </row>
    <row r="3490" spans="2:15" x14ac:dyDescent="0.2">
      <c r="B3490">
        <v>3475</v>
      </c>
      <c r="C3490" s="48">
        <f ca="1"/>
        <v>0.66292903133828363</v>
      </c>
      <c r="D3490" s="48">
        <f t="shared" ca="1" si="202"/>
        <v>0.70938609627869131</v>
      </c>
      <c r="E3490" s="48">
        <f t="shared" ca="1" si="203"/>
        <v>0</v>
      </c>
      <c r="F3490" s="17">
        <f t="shared" ca="1" si="204"/>
        <v>0</v>
      </c>
      <c r="H3490" s="17">
        <v>3475</v>
      </c>
      <c r="I3490" s="43">
        <v>0.66983724802131794</v>
      </c>
      <c r="J3490" s="43">
        <v>2.0103835710377209E-2</v>
      </c>
      <c r="K3490" s="43"/>
      <c r="L3490" s="43">
        <v>0.25600000000000001</v>
      </c>
      <c r="O3490" s="50"/>
    </row>
    <row r="3491" spans="2:15" x14ac:dyDescent="0.2">
      <c r="B3491">
        <v>3476</v>
      </c>
      <c r="C3491" s="48">
        <f ca="1"/>
        <v>-0.18107283101297744</v>
      </c>
      <c r="D3491" s="48">
        <f t="shared" ca="1" si="202"/>
        <v>0.65274851645227838</v>
      </c>
      <c r="E3491" s="48">
        <f t="shared" ca="1" si="203"/>
        <v>0</v>
      </c>
      <c r="F3491" s="17">
        <f t="shared" ca="1" si="204"/>
        <v>0</v>
      </c>
      <c r="H3491" s="17">
        <v>3476</v>
      </c>
      <c r="I3491" s="43">
        <v>0.66852576150361664</v>
      </c>
      <c r="J3491" s="43">
        <v>1.9052722851816889E-2</v>
      </c>
      <c r="K3491" s="43"/>
      <c r="L3491" s="43">
        <v>0.25159999999999999</v>
      </c>
      <c r="O3491" s="50"/>
    </row>
    <row r="3492" spans="2:15" x14ac:dyDescent="0.2">
      <c r="B3492">
        <v>3477</v>
      </c>
      <c r="C3492" s="48">
        <f ca="1"/>
        <v>0.13381957149869719</v>
      </c>
      <c r="D3492" s="48">
        <f t="shared" ca="1" si="202"/>
        <v>0.67333055805354447</v>
      </c>
      <c r="E3492" s="48">
        <f t="shared" ca="1" si="203"/>
        <v>0</v>
      </c>
      <c r="F3492" s="17">
        <f t="shared" ca="1" si="204"/>
        <v>0</v>
      </c>
      <c r="H3492" s="17">
        <v>3477</v>
      </c>
      <c r="I3492" s="43">
        <v>0.6682705228268131</v>
      </c>
      <c r="J3492" s="43">
        <v>1.8677232369513987E-2</v>
      </c>
      <c r="K3492" s="43"/>
      <c r="L3492" s="43">
        <v>0.2492</v>
      </c>
      <c r="O3492" s="50"/>
    </row>
    <row r="3493" spans="2:15" x14ac:dyDescent="0.2">
      <c r="B3493">
        <v>3478</v>
      </c>
      <c r="C3493" s="48">
        <f ca="1"/>
        <v>-0.18474987847047097</v>
      </c>
      <c r="D3493" s="48">
        <f t="shared" ca="1" si="202"/>
        <v>0.65251193094713533</v>
      </c>
      <c r="E3493" s="48">
        <f t="shared" ca="1" si="203"/>
        <v>0</v>
      </c>
      <c r="F3493" s="17">
        <f t="shared" ca="1" si="204"/>
        <v>0</v>
      </c>
      <c r="H3493" s="17">
        <v>3478</v>
      </c>
      <c r="I3493" s="43">
        <v>0.66862783278277116</v>
      </c>
      <c r="J3493" s="43">
        <v>1.9093470985411191E-2</v>
      </c>
      <c r="K3493" s="43"/>
      <c r="L3493" s="43">
        <v>0.2422</v>
      </c>
      <c r="O3493" s="50"/>
    </row>
    <row r="3494" spans="2:15" x14ac:dyDescent="0.2">
      <c r="B3494">
        <v>3479</v>
      </c>
      <c r="C3494" s="48">
        <f ca="1"/>
        <v>1.2538388565735215</v>
      </c>
      <c r="D3494" s="48">
        <f t="shared" ca="1" si="202"/>
        <v>0.75193978484155388</v>
      </c>
      <c r="E3494" s="48">
        <f t="shared" ca="1" si="203"/>
        <v>0</v>
      </c>
      <c r="F3494" s="17">
        <f t="shared" ca="1" si="204"/>
        <v>0</v>
      </c>
      <c r="H3494" s="17">
        <v>3479</v>
      </c>
      <c r="I3494" s="43">
        <v>0.66908149047414023</v>
      </c>
      <c r="J3494" s="43">
        <v>1.9250922641415251E-2</v>
      </c>
      <c r="K3494" s="43"/>
      <c r="L3494" s="43">
        <v>0.24099999999999999</v>
      </c>
      <c r="O3494" s="50"/>
    </row>
    <row r="3495" spans="2:15" x14ac:dyDescent="0.2">
      <c r="B3495">
        <v>3480</v>
      </c>
      <c r="C3495" s="48">
        <f ca="1"/>
        <v>0.18434344221948215</v>
      </c>
      <c r="D3495" s="48">
        <f t="shared" ca="1" si="202"/>
        <v>0.67669279815963368</v>
      </c>
      <c r="E3495" s="48">
        <f t="shared" ca="1" si="203"/>
        <v>0</v>
      </c>
      <c r="F3495" s="17">
        <f t="shared" ca="1" si="204"/>
        <v>0</v>
      </c>
      <c r="H3495" s="17">
        <v>3480</v>
      </c>
      <c r="I3495" s="43">
        <v>0.66840116766536772</v>
      </c>
      <c r="J3495" s="43">
        <v>1.9061738601872675E-2</v>
      </c>
      <c r="K3495" s="43"/>
      <c r="L3495" s="43">
        <v>0.25319999999999998</v>
      </c>
      <c r="O3495" s="50"/>
    </row>
    <row r="3496" spans="2:15" x14ac:dyDescent="0.2">
      <c r="B3496">
        <v>3481</v>
      </c>
      <c r="C3496" s="48">
        <f ca="1"/>
        <v>0.21433077413998261</v>
      </c>
      <c r="D3496" s="48">
        <f t="shared" ca="1" si="202"/>
        <v>0.67869631606755554</v>
      </c>
      <c r="E3496" s="48">
        <f t="shared" ca="1" si="203"/>
        <v>0</v>
      </c>
      <c r="F3496" s="17">
        <f t="shared" ca="1" si="204"/>
        <v>0</v>
      </c>
      <c r="H3496" s="17">
        <v>3481</v>
      </c>
      <c r="I3496" s="43">
        <v>0.66943530333272105</v>
      </c>
      <c r="J3496" s="43">
        <v>1.9722848686856965E-2</v>
      </c>
      <c r="K3496" s="43"/>
      <c r="L3496" s="43">
        <v>0.25119999999999998</v>
      </c>
      <c r="O3496" s="50"/>
    </row>
    <row r="3497" spans="2:15" x14ac:dyDescent="0.2">
      <c r="B3497">
        <v>3482</v>
      </c>
      <c r="C3497" s="48">
        <f ca="1"/>
        <v>-1.2529250984399556</v>
      </c>
      <c r="D3497" s="48">
        <f t="shared" ca="1" si="202"/>
        <v>0.58729117253551</v>
      </c>
      <c r="E3497" s="48">
        <f t="shared" ca="1" si="203"/>
        <v>0</v>
      </c>
      <c r="F3497" s="17">
        <f t="shared" ca="1" si="204"/>
        <v>0</v>
      </c>
      <c r="H3497" s="17">
        <v>3482</v>
      </c>
      <c r="I3497" s="43">
        <v>0.66828254522962294</v>
      </c>
      <c r="J3497" s="43">
        <v>1.9078064123024537E-2</v>
      </c>
      <c r="K3497" s="43"/>
      <c r="L3497" s="43">
        <v>0.24959999999999999</v>
      </c>
      <c r="O3497" s="50"/>
    </row>
    <row r="3498" spans="2:15" x14ac:dyDescent="0.2">
      <c r="B3498">
        <v>3483</v>
      </c>
      <c r="C3498" s="48">
        <f ca="1"/>
        <v>0.96301994717997852</v>
      </c>
      <c r="D3498" s="48">
        <f t="shared" ca="1" si="202"/>
        <v>0.73068697039588659</v>
      </c>
      <c r="E3498" s="48">
        <f t="shared" ca="1" si="203"/>
        <v>0</v>
      </c>
      <c r="F3498" s="17">
        <f t="shared" ca="1" si="204"/>
        <v>0</v>
      </c>
      <c r="H3498" s="17">
        <v>3483</v>
      </c>
      <c r="I3498" s="43">
        <v>0.66975567339857223</v>
      </c>
      <c r="J3498" s="43">
        <v>1.9908975906081827E-2</v>
      </c>
      <c r="K3498" s="43"/>
      <c r="L3498" s="43">
        <v>0.25659999999999999</v>
      </c>
      <c r="O3498" s="50"/>
    </row>
    <row r="3499" spans="2:15" x14ac:dyDescent="0.2">
      <c r="B3499">
        <v>3484</v>
      </c>
      <c r="C3499" s="48">
        <f ca="1"/>
        <v>-1.5458259983797626</v>
      </c>
      <c r="D3499" s="48">
        <f t="shared" ca="1" si="202"/>
        <v>0.57057485674393371</v>
      </c>
      <c r="E3499" s="48">
        <f t="shared" ca="1" si="203"/>
        <v>0</v>
      </c>
      <c r="F3499" s="17">
        <f t="shared" ca="1" si="204"/>
        <v>0</v>
      </c>
      <c r="H3499" s="17">
        <v>3484</v>
      </c>
      <c r="I3499" s="43">
        <v>0.66900320812784364</v>
      </c>
      <c r="J3499" s="43">
        <v>1.9507907999261043E-2</v>
      </c>
      <c r="K3499" s="43"/>
      <c r="L3499" s="43">
        <v>0.26100000000000001</v>
      </c>
      <c r="O3499" s="50"/>
    </row>
    <row r="3500" spans="2:15" x14ac:dyDescent="0.2">
      <c r="B3500">
        <v>3485</v>
      </c>
      <c r="C3500" s="48">
        <f ca="1"/>
        <v>0.86331667455977534</v>
      </c>
      <c r="D3500" s="48">
        <f t="shared" ca="1" si="202"/>
        <v>0.72353987138934506</v>
      </c>
      <c r="E3500" s="48">
        <f t="shared" ca="1" si="203"/>
        <v>0</v>
      </c>
      <c r="F3500" s="17">
        <f t="shared" ca="1" si="204"/>
        <v>0</v>
      </c>
      <c r="H3500" s="17">
        <v>3485</v>
      </c>
      <c r="I3500" s="43">
        <v>0.66876673775900197</v>
      </c>
      <c r="J3500" s="43">
        <v>1.9321089839890518E-2</v>
      </c>
      <c r="K3500" s="43"/>
      <c r="L3500" s="43">
        <v>0.24540000000000001</v>
      </c>
      <c r="O3500" s="50"/>
    </row>
    <row r="3501" spans="2:15" x14ac:dyDescent="0.2">
      <c r="B3501">
        <v>3486</v>
      </c>
      <c r="C3501" s="48">
        <f ca="1"/>
        <v>-1.3060258015988691</v>
      </c>
      <c r="D3501" s="48">
        <f t="shared" ca="1" si="202"/>
        <v>0.58422469927573129</v>
      </c>
      <c r="E3501" s="48">
        <f t="shared" ca="1" si="203"/>
        <v>0</v>
      </c>
      <c r="F3501" s="17">
        <f t="shared" ca="1" si="204"/>
        <v>0</v>
      </c>
      <c r="H3501" s="17">
        <v>3486</v>
      </c>
      <c r="I3501" s="43">
        <v>0.6682789818007725</v>
      </c>
      <c r="J3501" s="43">
        <v>1.9079579747210737E-2</v>
      </c>
      <c r="K3501" s="43"/>
      <c r="L3501" s="43">
        <v>0.25</v>
      </c>
      <c r="O3501" s="50"/>
    </row>
    <row r="3502" spans="2:15" x14ac:dyDescent="0.2">
      <c r="B3502">
        <v>3487</v>
      </c>
      <c r="C3502" s="48">
        <f ca="1"/>
        <v>-0.60676410353633881</v>
      </c>
      <c r="D3502" s="48">
        <f t="shared" ca="1" si="202"/>
        <v>0.62592096514119788</v>
      </c>
      <c r="E3502" s="48">
        <f t="shared" ca="1" si="203"/>
        <v>0</v>
      </c>
      <c r="F3502" s="17">
        <f t="shared" ca="1" si="204"/>
        <v>0</v>
      </c>
      <c r="H3502" s="17">
        <v>3487</v>
      </c>
      <c r="I3502" s="43">
        <v>0.66793865225296534</v>
      </c>
      <c r="J3502" s="43">
        <v>1.845685761086702E-2</v>
      </c>
      <c r="K3502" s="43"/>
      <c r="L3502" s="43">
        <v>0.24399999999999999</v>
      </c>
      <c r="O3502" s="50"/>
    </row>
    <row r="3503" spans="2:15" x14ac:dyDescent="0.2">
      <c r="B3503">
        <v>3488</v>
      </c>
      <c r="C3503" s="48">
        <f ca="1"/>
        <v>2.089362173555066E-2</v>
      </c>
      <c r="D3503" s="48">
        <f t="shared" ca="1" si="202"/>
        <v>0.66587588636235773</v>
      </c>
      <c r="E3503" s="48">
        <f t="shared" ca="1" si="203"/>
        <v>0</v>
      </c>
      <c r="F3503" s="17">
        <f t="shared" ca="1" si="204"/>
        <v>0</v>
      </c>
      <c r="H3503" s="17">
        <v>3488</v>
      </c>
      <c r="I3503" s="43">
        <v>0.66925067954128448</v>
      </c>
      <c r="J3503" s="43">
        <v>1.9610001535537304E-2</v>
      </c>
      <c r="K3503" s="43"/>
      <c r="L3503" s="43">
        <v>0.2482</v>
      </c>
      <c r="O3503" s="50"/>
    </row>
    <row r="3504" spans="2:15" x14ac:dyDescent="0.2">
      <c r="B3504">
        <v>3489</v>
      </c>
      <c r="C3504" s="48">
        <f ca="1"/>
        <v>-0.2227564605283803</v>
      </c>
      <c r="D3504" s="48">
        <f t="shared" ca="1" si="202"/>
        <v>0.65007156137152411</v>
      </c>
      <c r="E3504" s="48">
        <f t="shared" ca="1" si="203"/>
        <v>0</v>
      </c>
      <c r="F3504" s="17">
        <f t="shared" ca="1" si="204"/>
        <v>0</v>
      </c>
      <c r="H3504" s="17">
        <v>3489</v>
      </c>
      <c r="I3504" s="43">
        <v>0.66830052991368094</v>
      </c>
      <c r="J3504" s="43">
        <v>1.9125991196320056E-2</v>
      </c>
      <c r="K3504" s="43"/>
      <c r="L3504" s="43">
        <v>0.25080000000000002</v>
      </c>
      <c r="O3504" s="50"/>
    </row>
    <row r="3505" spans="2:15" x14ac:dyDescent="0.2">
      <c r="B3505">
        <v>3490</v>
      </c>
      <c r="C3505" s="48">
        <f ca="1"/>
        <v>0.76155286495394325</v>
      </c>
      <c r="D3505" s="48">
        <f t="shared" ca="1" si="202"/>
        <v>0.71631715091341086</v>
      </c>
      <c r="E3505" s="48">
        <f t="shared" ca="1" si="203"/>
        <v>0</v>
      </c>
      <c r="F3505" s="17">
        <f t="shared" ca="1" si="204"/>
        <v>0</v>
      </c>
      <c r="H3505" s="17">
        <v>3490</v>
      </c>
      <c r="I3505" s="43">
        <v>0.66877720063437474</v>
      </c>
      <c r="J3505" s="43">
        <v>1.9056635575017015E-2</v>
      </c>
      <c r="K3505" s="43"/>
      <c r="L3505" s="43">
        <v>0.246</v>
      </c>
      <c r="O3505" s="50"/>
    </row>
    <row r="3506" spans="2:15" x14ac:dyDescent="0.2">
      <c r="B3506">
        <v>3491</v>
      </c>
      <c r="C3506" s="48">
        <f ca="1"/>
        <v>-0.54495636944145076</v>
      </c>
      <c r="D3506" s="48">
        <f t="shared" ca="1" si="202"/>
        <v>0.62974663855688173</v>
      </c>
      <c r="E3506" s="48">
        <f t="shared" ca="1" si="203"/>
        <v>0</v>
      </c>
      <c r="F3506" s="17">
        <f t="shared" ca="1" si="204"/>
        <v>0</v>
      </c>
      <c r="H3506" s="17">
        <v>3491</v>
      </c>
      <c r="I3506" s="43">
        <v>0.66804740660752748</v>
      </c>
      <c r="J3506" s="43">
        <v>1.8482894048754715E-2</v>
      </c>
      <c r="K3506" s="43"/>
      <c r="L3506" s="43">
        <v>0.24399999999999999</v>
      </c>
      <c r="O3506" s="50"/>
    </row>
    <row r="3507" spans="2:15" x14ac:dyDescent="0.2">
      <c r="B3507">
        <v>3492</v>
      </c>
      <c r="C3507" s="48">
        <f ca="1"/>
        <v>-0.74485218463544778</v>
      </c>
      <c r="D3507" s="48">
        <f t="shared" ca="1" si="202"/>
        <v>0.61745757077394547</v>
      </c>
      <c r="E3507" s="48">
        <f t="shared" ca="1" si="203"/>
        <v>0</v>
      </c>
      <c r="F3507" s="17">
        <f t="shared" ca="1" si="204"/>
        <v>0</v>
      </c>
      <c r="H3507" s="17">
        <v>3492</v>
      </c>
      <c r="I3507" s="43">
        <v>0.66909659592348625</v>
      </c>
      <c r="J3507" s="43">
        <v>1.9437418337510629E-2</v>
      </c>
      <c r="K3507" s="43"/>
      <c r="L3507" s="43">
        <v>0.24879999999999999</v>
      </c>
      <c r="O3507" s="50"/>
    </row>
    <row r="3508" spans="2:15" x14ac:dyDescent="0.2">
      <c r="B3508">
        <v>3493</v>
      </c>
      <c r="C3508" s="48">
        <f ca="1"/>
        <v>0.18442417476469425</v>
      </c>
      <c r="D3508" s="48">
        <f t="shared" ca="1" si="202"/>
        <v>0.67669818412613314</v>
      </c>
      <c r="E3508" s="48">
        <f t="shared" ca="1" si="203"/>
        <v>0</v>
      </c>
      <c r="F3508" s="17">
        <f t="shared" ca="1" si="204"/>
        <v>0</v>
      </c>
      <c r="H3508" s="17">
        <v>3493</v>
      </c>
      <c r="I3508" s="43">
        <v>0.66917219015658502</v>
      </c>
      <c r="J3508" s="43">
        <v>1.9489873645307607E-2</v>
      </c>
      <c r="K3508" s="43"/>
      <c r="L3508" s="43">
        <v>0.24360000000000001</v>
      </c>
      <c r="O3508" s="50"/>
    </row>
    <row r="3509" spans="2:15" x14ac:dyDescent="0.2">
      <c r="B3509">
        <v>3494</v>
      </c>
      <c r="C3509" s="48">
        <f ca="1"/>
        <v>-0.54122883561381152</v>
      </c>
      <c r="D3509" s="48">
        <f t="shared" ca="1" si="202"/>
        <v>0.62997810549855315</v>
      </c>
      <c r="E3509" s="48">
        <f t="shared" ca="1" si="203"/>
        <v>0</v>
      </c>
      <c r="F3509" s="17">
        <f t="shared" ca="1" si="204"/>
        <v>0</v>
      </c>
      <c r="H3509" s="17">
        <v>3494</v>
      </c>
      <c r="I3509" s="43">
        <v>0.66894774378406818</v>
      </c>
      <c r="J3509" s="43">
        <v>1.9605641346162054E-2</v>
      </c>
      <c r="K3509" s="43"/>
      <c r="L3509" s="43">
        <v>0.25140000000000001</v>
      </c>
      <c r="O3509" s="50"/>
    </row>
    <row r="3510" spans="2:15" x14ac:dyDescent="0.2">
      <c r="B3510">
        <v>3495</v>
      </c>
      <c r="C3510" s="48">
        <f ca="1"/>
        <v>-0.51377248994434632</v>
      </c>
      <c r="D3510" s="48">
        <f t="shared" ca="1" si="202"/>
        <v>0.63168567279464416</v>
      </c>
      <c r="E3510" s="48">
        <f t="shared" ca="1" si="203"/>
        <v>0</v>
      </c>
      <c r="F3510" s="17">
        <f t="shared" ca="1" si="204"/>
        <v>0</v>
      </c>
      <c r="H3510" s="17">
        <v>3495</v>
      </c>
      <c r="I3510" s="43">
        <v>0.66801744717140477</v>
      </c>
      <c r="J3510" s="43">
        <v>1.8815679504598056E-2</v>
      </c>
      <c r="K3510" s="43"/>
      <c r="L3510" s="43">
        <v>0.24959999999999999</v>
      </c>
      <c r="O3510" s="50"/>
    </row>
    <row r="3511" spans="2:15" x14ac:dyDescent="0.2">
      <c r="B3511">
        <v>3496</v>
      </c>
      <c r="C3511" s="48">
        <f ca="1"/>
        <v>-0.5626477207362296</v>
      </c>
      <c r="D3511" s="48">
        <f t="shared" ca="1" si="202"/>
        <v>0.62864922605478191</v>
      </c>
      <c r="E3511" s="48">
        <f t="shared" ca="1" si="203"/>
        <v>0</v>
      </c>
      <c r="F3511" s="17">
        <f t="shared" ca="1" si="204"/>
        <v>0</v>
      </c>
      <c r="H3511" s="17">
        <v>3496</v>
      </c>
      <c r="I3511" s="43">
        <v>0.66774027176827011</v>
      </c>
      <c r="J3511" s="43">
        <v>1.8478927800931935E-2</v>
      </c>
      <c r="K3511" s="43"/>
      <c r="L3511" s="43">
        <v>0.24859999999999999</v>
      </c>
      <c r="O3511" s="50"/>
    </row>
    <row r="3512" spans="2:15" x14ac:dyDescent="0.2">
      <c r="B3512">
        <v>3497</v>
      </c>
      <c r="C3512" s="48">
        <f ca="1"/>
        <v>-0.22646010236461858</v>
      </c>
      <c r="D3512" s="48">
        <f t="shared" ca="1" si="202"/>
        <v>0.64983424233087927</v>
      </c>
      <c r="E3512" s="48">
        <f t="shared" ca="1" si="203"/>
        <v>0</v>
      </c>
      <c r="F3512" s="17">
        <f t="shared" ca="1" si="204"/>
        <v>0</v>
      </c>
      <c r="H3512" s="17">
        <v>3497</v>
      </c>
      <c r="I3512" s="43">
        <v>0.66831660491777889</v>
      </c>
      <c r="J3512" s="43">
        <v>1.8815957750567949E-2</v>
      </c>
      <c r="K3512" s="43"/>
      <c r="L3512" s="43">
        <v>0.24859999999999999</v>
      </c>
      <c r="O3512" s="50"/>
    </row>
    <row r="3513" spans="2:15" x14ac:dyDescent="0.2">
      <c r="B3513">
        <v>3498</v>
      </c>
      <c r="C3513" s="48">
        <f ca="1"/>
        <v>1.0013053102328335</v>
      </c>
      <c r="D3513" s="48">
        <f t="shared" ca="1" si="202"/>
        <v>0.73345012842864032</v>
      </c>
      <c r="E3513" s="48">
        <f t="shared" ca="1" si="203"/>
        <v>0</v>
      </c>
      <c r="F3513" s="17">
        <f t="shared" ca="1" si="204"/>
        <v>0</v>
      </c>
      <c r="H3513" s="17">
        <v>3498</v>
      </c>
      <c r="I3513" s="43">
        <v>0.6695463443530637</v>
      </c>
      <c r="J3513" s="43">
        <v>2.0041914639279582E-2</v>
      </c>
      <c r="K3513" s="43"/>
      <c r="L3513" s="43">
        <v>0.25659999999999999</v>
      </c>
      <c r="O3513" s="50"/>
    </row>
    <row r="3514" spans="2:15" x14ac:dyDescent="0.2">
      <c r="B3514">
        <v>3499</v>
      </c>
      <c r="C3514" s="48">
        <f ca="1"/>
        <v>0.18463900921042817</v>
      </c>
      <c r="D3514" s="48">
        <f t="shared" ca="1" si="202"/>
        <v>0.67671251673491062</v>
      </c>
      <c r="E3514" s="48">
        <f t="shared" ca="1" si="203"/>
        <v>0</v>
      </c>
      <c r="F3514" s="17">
        <f t="shared" ca="1" si="204"/>
        <v>0</v>
      </c>
      <c r="H3514" s="17">
        <v>3499</v>
      </c>
      <c r="I3514" s="43">
        <v>0.66867385650789568</v>
      </c>
      <c r="J3514" s="43">
        <v>1.9409132319663833E-2</v>
      </c>
      <c r="K3514" s="43"/>
      <c r="L3514" s="43">
        <v>0.25819999999999999</v>
      </c>
      <c r="O3514" s="50"/>
    </row>
    <row r="3515" spans="2:15" x14ac:dyDescent="0.2">
      <c r="B3515">
        <v>3500</v>
      </c>
      <c r="C3515" s="48">
        <f ca="1"/>
        <v>-1.2389580636984483</v>
      </c>
      <c r="D3515" s="48">
        <f t="shared" ca="1" si="202"/>
        <v>0.58810041459671503</v>
      </c>
      <c r="E3515" s="48">
        <f t="shared" ca="1" si="203"/>
        <v>0</v>
      </c>
      <c r="F3515" s="17">
        <f t="shared" ca="1" si="204"/>
        <v>0</v>
      </c>
      <c r="H3515" s="17">
        <v>3500</v>
      </c>
      <c r="I3515" s="43">
        <v>0.6707130346801472</v>
      </c>
      <c r="J3515" s="43">
        <v>2.0410703581390164E-2</v>
      </c>
      <c r="K3515" s="43"/>
      <c r="L3515" s="43">
        <v>0.25259999999999999</v>
      </c>
      <c r="O3515" s="50"/>
    </row>
    <row r="3516" spans="2:15" x14ac:dyDescent="0.2">
      <c r="B3516">
        <v>3501</v>
      </c>
      <c r="C3516" s="48">
        <f ca="1"/>
        <v>6.2093297818757706E-2</v>
      </c>
      <c r="D3516" s="48">
        <f t="shared" ca="1" si="202"/>
        <v>0.66858602252407873</v>
      </c>
      <c r="E3516" s="48">
        <f t="shared" ca="1" si="203"/>
        <v>0</v>
      </c>
      <c r="F3516" s="17">
        <f t="shared" ca="1" si="204"/>
        <v>0</v>
      </c>
      <c r="H3516" s="17">
        <v>3501</v>
      </c>
      <c r="I3516" s="43">
        <v>0.66912983320775854</v>
      </c>
      <c r="J3516" s="43">
        <v>1.9243735565303458E-2</v>
      </c>
      <c r="K3516" s="43"/>
      <c r="L3516" s="43">
        <v>0.23860000000000001</v>
      </c>
      <c r="O3516" s="50"/>
    </row>
    <row r="3517" spans="2:15" x14ac:dyDescent="0.2">
      <c r="B3517">
        <v>3502</v>
      </c>
      <c r="C3517" s="48">
        <f ca="1"/>
        <v>-0.68375969345314924</v>
      </c>
      <c r="D3517" s="48">
        <f t="shared" ca="1" si="202"/>
        <v>0.62118771135403839</v>
      </c>
      <c r="E3517" s="48">
        <f t="shared" ca="1" si="203"/>
        <v>0</v>
      </c>
      <c r="F3517" s="17">
        <f t="shared" ca="1" si="204"/>
        <v>0</v>
      </c>
      <c r="H3517" s="17">
        <v>3502</v>
      </c>
      <c r="I3517" s="43">
        <v>0.66998713504806895</v>
      </c>
      <c r="J3517" s="43">
        <v>2.0054535463953253E-2</v>
      </c>
      <c r="K3517" s="43"/>
      <c r="L3517" s="43">
        <v>0.25740000000000002</v>
      </c>
      <c r="O3517" s="50"/>
    </row>
    <row r="3518" spans="2:15" x14ac:dyDescent="0.2">
      <c r="B3518">
        <v>3503</v>
      </c>
      <c r="C3518" s="48">
        <f ca="1"/>
        <v>-1.3096314197197709</v>
      </c>
      <c r="D3518" s="48">
        <f t="shared" ca="1" si="202"/>
        <v>0.58401706254836783</v>
      </c>
      <c r="E3518" s="48">
        <f t="shared" ca="1" si="203"/>
        <v>0</v>
      </c>
      <c r="F3518" s="17">
        <f t="shared" ca="1" si="204"/>
        <v>0</v>
      </c>
      <c r="H3518" s="17">
        <v>3503</v>
      </c>
      <c r="I3518" s="43">
        <v>0.66996134489252057</v>
      </c>
      <c r="J3518" s="43">
        <v>2.0232372520933468E-2</v>
      </c>
      <c r="K3518" s="43"/>
      <c r="L3518" s="43">
        <v>0.25240000000000001</v>
      </c>
      <c r="O3518" s="50"/>
    </row>
    <row r="3519" spans="2:15" x14ac:dyDescent="0.2">
      <c r="B3519">
        <v>3504</v>
      </c>
      <c r="C3519" s="48">
        <f ca="1"/>
        <v>-1.3709993960742779</v>
      </c>
      <c r="D3519" s="48">
        <f t="shared" ca="1" si="202"/>
        <v>0.58049436014705658</v>
      </c>
      <c r="E3519" s="48">
        <f t="shared" ca="1" si="203"/>
        <v>0</v>
      </c>
      <c r="F3519" s="17">
        <f t="shared" ca="1" si="204"/>
        <v>0</v>
      </c>
      <c r="H3519" s="17">
        <v>3504</v>
      </c>
      <c r="I3519" s="43">
        <v>0.66869672717154438</v>
      </c>
      <c r="J3519" s="43">
        <v>1.9041251741317971E-2</v>
      </c>
      <c r="K3519" s="43"/>
      <c r="L3519" s="43">
        <v>0.24740000000000001</v>
      </c>
      <c r="O3519" s="50"/>
    </row>
    <row r="3520" spans="2:15" x14ac:dyDescent="0.2">
      <c r="B3520">
        <v>3505</v>
      </c>
      <c r="C3520" s="48">
        <f ca="1"/>
        <v>-1.4240937442520518</v>
      </c>
      <c r="D3520" s="48">
        <f t="shared" ca="1" si="202"/>
        <v>0.57746373745418622</v>
      </c>
      <c r="E3520" s="48">
        <f t="shared" ca="1" si="203"/>
        <v>0</v>
      </c>
      <c r="F3520" s="17">
        <f t="shared" ca="1" si="204"/>
        <v>0</v>
      </c>
      <c r="H3520" s="17">
        <v>3505</v>
      </c>
      <c r="I3520" s="43">
        <v>0.66905728987999402</v>
      </c>
      <c r="J3520" s="43">
        <v>1.913862599553728E-2</v>
      </c>
      <c r="K3520" s="43"/>
      <c r="L3520" s="43">
        <v>0.24940000000000001</v>
      </c>
      <c r="O3520" s="50"/>
    </row>
    <row r="3521" spans="2:15" x14ac:dyDescent="0.2">
      <c r="B3521">
        <v>3506</v>
      </c>
      <c r="C3521" s="48">
        <f ca="1"/>
        <v>5.1614003398955471E-2</v>
      </c>
      <c r="D3521" s="48">
        <f t="shared" ca="1" si="202"/>
        <v>0.66789564485647934</v>
      </c>
      <c r="E3521" s="48">
        <f t="shared" ca="1" si="203"/>
        <v>0</v>
      </c>
      <c r="F3521" s="17">
        <f t="shared" ca="1" si="204"/>
        <v>0</v>
      </c>
      <c r="H3521" s="17">
        <v>3506</v>
      </c>
      <c r="I3521" s="43">
        <v>0.6686307627961211</v>
      </c>
      <c r="J3521" s="43">
        <v>1.9091526855666639E-2</v>
      </c>
      <c r="K3521" s="43"/>
      <c r="L3521" s="43">
        <v>0.23960000000000001</v>
      </c>
      <c r="O3521" s="50"/>
    </row>
    <row r="3522" spans="2:15" x14ac:dyDescent="0.2">
      <c r="B3522">
        <v>3507</v>
      </c>
      <c r="C3522" s="48">
        <f ca="1"/>
        <v>-0.13032174366370564</v>
      </c>
      <c r="D3522" s="48">
        <f t="shared" ca="1" si="202"/>
        <v>0.65602267644591605</v>
      </c>
      <c r="E3522" s="48">
        <f t="shared" ca="1" si="203"/>
        <v>0</v>
      </c>
      <c r="F3522" s="17">
        <f t="shared" ca="1" si="204"/>
        <v>0</v>
      </c>
      <c r="H3522" s="17">
        <v>3507</v>
      </c>
      <c r="I3522" s="43">
        <v>0.67028922426331805</v>
      </c>
      <c r="J3522" s="43">
        <v>2.0384981275439116E-2</v>
      </c>
      <c r="K3522" s="43"/>
      <c r="L3522" s="43">
        <v>0.24779999999999999</v>
      </c>
      <c r="O3522" s="50"/>
    </row>
    <row r="3523" spans="2:15" x14ac:dyDescent="0.2">
      <c r="B3523">
        <v>3508</v>
      </c>
      <c r="C3523" s="48">
        <f ca="1"/>
        <v>0.68689969130918749</v>
      </c>
      <c r="D3523" s="48">
        <f t="shared" ca="1" si="202"/>
        <v>0.71106450469655846</v>
      </c>
      <c r="E3523" s="48">
        <f t="shared" ca="1" si="203"/>
        <v>0</v>
      </c>
      <c r="F3523" s="17">
        <f t="shared" ca="1" si="204"/>
        <v>0</v>
      </c>
      <c r="H3523" s="17">
        <v>3508</v>
      </c>
      <c r="I3523" s="43">
        <v>0.66953272209687376</v>
      </c>
      <c r="J3523" s="43">
        <v>2.0093068593921955E-2</v>
      </c>
      <c r="K3523" s="43"/>
      <c r="L3523" s="43">
        <v>0.25159999999999999</v>
      </c>
      <c r="O3523" s="50"/>
    </row>
    <row r="3524" spans="2:15" x14ac:dyDescent="0.2">
      <c r="B3524">
        <v>3509</v>
      </c>
      <c r="C3524" s="48">
        <f ca="1"/>
        <v>-0.18532473526406706</v>
      </c>
      <c r="D3524" s="48">
        <f t="shared" ca="1" si="202"/>
        <v>0.65247495174477199</v>
      </c>
      <c r="E3524" s="48">
        <f t="shared" ca="1" si="203"/>
        <v>0</v>
      </c>
      <c r="F3524" s="17">
        <f t="shared" ca="1" si="204"/>
        <v>0</v>
      </c>
      <c r="H3524" s="17">
        <v>3509</v>
      </c>
      <c r="I3524" s="43">
        <v>0.66889224219817744</v>
      </c>
      <c r="J3524" s="43">
        <v>1.923090516841745E-2</v>
      </c>
      <c r="K3524" s="43"/>
      <c r="L3524" s="43">
        <v>0.25040000000000001</v>
      </c>
      <c r="O3524" s="50"/>
    </row>
    <row r="3525" spans="2:15" x14ac:dyDescent="0.2">
      <c r="B3525">
        <v>3510</v>
      </c>
      <c r="C3525" s="48">
        <f ca="1"/>
        <v>0.41482209162023526</v>
      </c>
      <c r="D3525" s="48">
        <f t="shared" ca="1" si="202"/>
        <v>0.69224483958282856</v>
      </c>
      <c r="E3525" s="48">
        <f t="shared" ca="1" si="203"/>
        <v>0</v>
      </c>
      <c r="F3525" s="17">
        <f t="shared" ca="1" si="204"/>
        <v>0</v>
      </c>
      <c r="H3525" s="17">
        <v>3510</v>
      </c>
      <c r="I3525" s="43">
        <v>0.66942255763637237</v>
      </c>
      <c r="J3525" s="43">
        <v>1.9682455094489092E-2</v>
      </c>
      <c r="K3525" s="43"/>
      <c r="L3525" s="43">
        <v>0.25480000000000003</v>
      </c>
      <c r="O3525" s="50"/>
    </row>
    <row r="3526" spans="2:15" x14ac:dyDescent="0.2">
      <c r="B3526">
        <v>3511</v>
      </c>
      <c r="C3526" s="48">
        <f ca="1"/>
        <v>0.8760344882602159</v>
      </c>
      <c r="D3526" s="48">
        <f t="shared" ca="1" si="202"/>
        <v>0.72444762699418785</v>
      </c>
      <c r="E3526" s="48">
        <f t="shared" ca="1" si="203"/>
        <v>0</v>
      </c>
      <c r="F3526" s="17">
        <f t="shared" ca="1" si="204"/>
        <v>0</v>
      </c>
      <c r="H3526" s="17">
        <v>3511</v>
      </c>
      <c r="I3526" s="43">
        <v>0.67013983235425745</v>
      </c>
      <c r="J3526" s="43">
        <v>2.0255667109815762E-2</v>
      </c>
      <c r="K3526" s="43"/>
      <c r="L3526" s="43">
        <v>0.254</v>
      </c>
      <c r="O3526" s="50"/>
    </row>
    <row r="3527" spans="2:15" x14ac:dyDescent="0.2">
      <c r="B3527">
        <v>3512</v>
      </c>
      <c r="C3527" s="48">
        <f ca="1"/>
        <v>-1.8813363936296532</v>
      </c>
      <c r="D3527" s="48">
        <f t="shared" ca="1" si="202"/>
        <v>0.55201060181354433</v>
      </c>
      <c r="E3527" s="48">
        <f t="shared" ca="1" si="203"/>
        <v>0</v>
      </c>
      <c r="F3527" s="17">
        <f t="shared" ca="1" si="204"/>
        <v>0</v>
      </c>
      <c r="H3527" s="17">
        <v>3512</v>
      </c>
      <c r="I3527" s="43">
        <v>0.66879921409396725</v>
      </c>
      <c r="J3527" s="43">
        <v>1.9319008957979271E-2</v>
      </c>
      <c r="K3527" s="43"/>
      <c r="L3527" s="43">
        <v>0.24199999999999999</v>
      </c>
      <c r="O3527" s="50"/>
    </row>
    <row r="3528" spans="2:15" x14ac:dyDescent="0.2">
      <c r="B3528">
        <v>3513</v>
      </c>
      <c r="C3528" s="48">
        <f ca="1"/>
        <v>0.20630368792878184</v>
      </c>
      <c r="D3528" s="48">
        <f t="shared" ca="1" si="202"/>
        <v>0.67815942854955324</v>
      </c>
      <c r="E3528" s="48">
        <f t="shared" ca="1" si="203"/>
        <v>0</v>
      </c>
      <c r="F3528" s="17">
        <f t="shared" ca="1" si="204"/>
        <v>0</v>
      </c>
      <c r="H3528" s="17">
        <v>3513</v>
      </c>
      <c r="I3528" s="43">
        <v>0.66975483711907091</v>
      </c>
      <c r="J3528" s="43">
        <v>1.990078780099307E-2</v>
      </c>
      <c r="K3528" s="43"/>
      <c r="L3528" s="43">
        <v>0.24940000000000001</v>
      </c>
      <c r="O3528" s="50"/>
    </row>
    <row r="3529" spans="2:15" x14ac:dyDescent="0.2">
      <c r="B3529">
        <v>3514</v>
      </c>
      <c r="C3529" s="48">
        <f ca="1"/>
        <v>0.37567643449497584</v>
      </c>
      <c r="D3529" s="48">
        <f t="shared" ca="1" si="202"/>
        <v>0.6895784274628961</v>
      </c>
      <c r="E3529" s="48">
        <f t="shared" ca="1" si="203"/>
        <v>0</v>
      </c>
      <c r="F3529" s="17">
        <f t="shared" ca="1" si="204"/>
        <v>0</v>
      </c>
      <c r="H3529" s="17">
        <v>3514</v>
      </c>
      <c r="I3529" s="43">
        <v>0.66887539590466438</v>
      </c>
      <c r="J3529" s="43">
        <v>1.9643549062252116E-2</v>
      </c>
      <c r="K3529" s="43"/>
      <c r="L3529" s="43">
        <v>0.25119999999999998</v>
      </c>
      <c r="O3529" s="50"/>
    </row>
    <row r="3530" spans="2:15" x14ac:dyDescent="0.2">
      <c r="B3530">
        <v>3515</v>
      </c>
      <c r="C3530" s="48">
        <f ca="1"/>
        <v>-1.7794723244237518</v>
      </c>
      <c r="D3530" s="48">
        <f t="shared" ca="1" si="202"/>
        <v>0.55758210894999716</v>
      </c>
      <c r="E3530" s="48">
        <f t="shared" ca="1" si="203"/>
        <v>0</v>
      </c>
      <c r="F3530" s="17">
        <f t="shared" ca="1" si="204"/>
        <v>0</v>
      </c>
      <c r="H3530" s="17">
        <v>3515</v>
      </c>
      <c r="I3530" s="43">
        <v>0.66856042262009185</v>
      </c>
      <c r="J3530" s="43">
        <v>1.9038865252761817E-2</v>
      </c>
      <c r="K3530" s="43"/>
      <c r="L3530" s="43">
        <v>0.25119999999999998</v>
      </c>
      <c r="O3530" s="50"/>
    </row>
    <row r="3531" spans="2:15" x14ac:dyDescent="0.2">
      <c r="B3531">
        <v>3516</v>
      </c>
      <c r="C3531" s="48">
        <f ca="1"/>
        <v>-1.095294676383033E-2</v>
      </c>
      <c r="D3531" s="48">
        <f t="shared" ca="1" si="202"/>
        <v>0.66378853259978365</v>
      </c>
      <c r="E3531" s="48">
        <f t="shared" ca="1" si="203"/>
        <v>0</v>
      </c>
      <c r="F3531" s="17">
        <f t="shared" ca="1" si="204"/>
        <v>0</v>
      </c>
      <c r="H3531" s="17">
        <v>3516</v>
      </c>
      <c r="I3531" s="43">
        <v>0.66892295733032914</v>
      </c>
      <c r="J3531" s="43">
        <v>1.923599229796891E-2</v>
      </c>
      <c r="K3531" s="43"/>
      <c r="L3531" s="43">
        <v>0.24640000000000001</v>
      </c>
      <c r="O3531" s="50"/>
    </row>
    <row r="3532" spans="2:15" x14ac:dyDescent="0.2">
      <c r="B3532">
        <v>3517</v>
      </c>
      <c r="C3532" s="48">
        <f ca="1"/>
        <v>0.15287004347946712</v>
      </c>
      <c r="D3532" s="48">
        <f t="shared" ca="1" si="202"/>
        <v>0.67459635394420758</v>
      </c>
      <c r="E3532" s="48">
        <f t="shared" ca="1" si="203"/>
        <v>0</v>
      </c>
      <c r="F3532" s="17">
        <f t="shared" ca="1" si="204"/>
        <v>0</v>
      </c>
      <c r="H3532" s="17">
        <v>3517</v>
      </c>
      <c r="I3532" s="43">
        <v>0.66895534942415957</v>
      </c>
      <c r="J3532" s="43">
        <v>1.926882579280749E-2</v>
      </c>
      <c r="K3532" s="43"/>
      <c r="L3532" s="43">
        <v>0.247</v>
      </c>
      <c r="O3532" s="50"/>
    </row>
    <row r="3533" spans="2:15" x14ac:dyDescent="0.2">
      <c r="B3533">
        <v>3518</v>
      </c>
      <c r="C3533" s="48">
        <f ca="1"/>
        <v>1.5493701198506753E-2</v>
      </c>
      <c r="D3533" s="48">
        <f t="shared" ca="1" si="202"/>
        <v>0.66552149201920185</v>
      </c>
      <c r="E3533" s="48">
        <f t="shared" ca="1" si="203"/>
        <v>0</v>
      </c>
      <c r="F3533" s="17">
        <f t="shared" ca="1" si="204"/>
        <v>0</v>
      </c>
      <c r="H3533" s="17">
        <v>3518</v>
      </c>
      <c r="I3533" s="43">
        <v>0.66943855434139732</v>
      </c>
      <c r="J3533" s="43">
        <v>1.9484611169122226E-2</v>
      </c>
      <c r="K3533" s="43"/>
      <c r="L3533" s="43">
        <v>0.24360000000000001</v>
      </c>
      <c r="O3533" s="50"/>
    </row>
    <row r="3534" spans="2:15" x14ac:dyDescent="0.2">
      <c r="B3534">
        <v>3519</v>
      </c>
      <c r="C3534" s="48">
        <f ca="1"/>
        <v>-1.5638176433820257</v>
      </c>
      <c r="D3534" s="48">
        <f t="shared" ca="1" si="202"/>
        <v>0.56956369619819636</v>
      </c>
      <c r="E3534" s="48">
        <f t="shared" ca="1" si="203"/>
        <v>0</v>
      </c>
      <c r="F3534" s="17">
        <f t="shared" ca="1" si="204"/>
        <v>0</v>
      </c>
      <c r="H3534" s="17">
        <v>3519</v>
      </c>
      <c r="I3534" s="43">
        <v>0.66977498685135883</v>
      </c>
      <c r="J3534" s="43">
        <v>2.0217614158697255E-2</v>
      </c>
      <c r="K3534" s="43"/>
      <c r="L3534" s="43">
        <v>0.25700000000000001</v>
      </c>
      <c r="O3534" s="50"/>
    </row>
    <row r="3535" spans="2:15" x14ac:dyDescent="0.2">
      <c r="B3535">
        <v>3520</v>
      </c>
      <c r="C3535" s="48">
        <f ca="1"/>
        <v>9.7656817195797177E-2</v>
      </c>
      <c r="D3535" s="48">
        <f t="shared" ca="1" si="202"/>
        <v>0.67093427782853599</v>
      </c>
      <c r="E3535" s="48">
        <f t="shared" ca="1" si="203"/>
        <v>0</v>
      </c>
      <c r="F3535" s="17">
        <f t="shared" ca="1" si="204"/>
        <v>0</v>
      </c>
      <c r="H3535" s="17">
        <v>3520</v>
      </c>
      <c r="I3535" s="43">
        <v>0.66706893478319729</v>
      </c>
      <c r="J3535" s="43">
        <v>1.8203802973561015E-2</v>
      </c>
      <c r="K3535" s="43"/>
      <c r="L3535" s="43">
        <v>0.24879999999999999</v>
      </c>
      <c r="O3535" s="50"/>
    </row>
    <row r="3536" spans="2:15" x14ac:dyDescent="0.2">
      <c r="B3536">
        <v>3521</v>
      </c>
      <c r="C3536" s="48">
        <f ca="1"/>
        <v>0.26685826377985672</v>
      </c>
      <c r="D3536" s="48">
        <f t="shared" ref="D3536:D3599" ca="1" si="205">S0*EXP((μ-0.5*σ*σ)*T+σ*SQRT(T)*$C3536)</f>
        <v>0.68222009659910043</v>
      </c>
      <c r="E3536" s="48">
        <f t="shared" ref="E3536:E3599" ca="1" si="206">MAX(0,CP*(D3536-K))</f>
        <v>0</v>
      </c>
      <c r="F3536" s="17">
        <f t="shared" ref="F3536:F3599" ca="1" si="207">(CP*(D3536-K)&gt;0)*1</f>
        <v>0</v>
      </c>
      <c r="H3536" s="17">
        <v>3521</v>
      </c>
      <c r="I3536" s="43">
        <v>0.66856685468831234</v>
      </c>
      <c r="J3536" s="43">
        <v>1.9025470080549004E-2</v>
      </c>
      <c r="K3536" s="43"/>
      <c r="L3536" s="43">
        <v>0.24460000000000001</v>
      </c>
      <c r="O3536" s="50"/>
    </row>
    <row r="3537" spans="2:15" x14ac:dyDescent="0.2">
      <c r="B3537">
        <v>3522</v>
      </c>
      <c r="C3537" s="48">
        <f ca="1"/>
        <v>-0.12434608977185962</v>
      </c>
      <c r="D3537" s="48">
        <f t="shared" ca="1" si="205"/>
        <v>0.65640926940549815</v>
      </c>
      <c r="E3537" s="48">
        <f t="shared" ca="1" si="206"/>
        <v>0</v>
      </c>
      <c r="F3537" s="17">
        <f t="shared" ca="1" si="207"/>
        <v>0</v>
      </c>
      <c r="H3537" s="17">
        <v>3522</v>
      </c>
      <c r="I3537" s="43">
        <v>0.66904230898980155</v>
      </c>
      <c r="J3537" s="43">
        <v>1.9185668286718447E-2</v>
      </c>
      <c r="K3537" s="43"/>
      <c r="L3537" s="43">
        <v>0.2452</v>
      </c>
      <c r="O3537" s="50"/>
    </row>
    <row r="3538" spans="2:15" x14ac:dyDescent="0.2">
      <c r="B3538">
        <v>3523</v>
      </c>
      <c r="C3538" s="48">
        <f ca="1"/>
        <v>-0.41344964260914208</v>
      </c>
      <c r="D3538" s="48">
        <f t="shared" ca="1" si="205"/>
        <v>0.63796440670755161</v>
      </c>
      <c r="E3538" s="48">
        <f t="shared" ca="1" si="206"/>
        <v>0</v>
      </c>
      <c r="F3538" s="17">
        <f t="shared" ca="1" si="207"/>
        <v>0</v>
      </c>
      <c r="H3538" s="17">
        <v>3523</v>
      </c>
      <c r="I3538" s="43">
        <v>0.66976504444916274</v>
      </c>
      <c r="J3538" s="43">
        <v>2.0124237535129413E-2</v>
      </c>
      <c r="K3538" s="43"/>
      <c r="L3538" s="43">
        <v>0.25519999999999998</v>
      </c>
      <c r="O3538" s="50"/>
    </row>
    <row r="3539" spans="2:15" x14ac:dyDescent="0.2">
      <c r="B3539">
        <v>3524</v>
      </c>
      <c r="C3539" s="48">
        <f ca="1"/>
        <v>-4.3409891826887391E-2</v>
      </c>
      <c r="D3539" s="48">
        <f t="shared" ca="1" si="205"/>
        <v>0.66166790478487147</v>
      </c>
      <c r="E3539" s="48">
        <f t="shared" ca="1" si="206"/>
        <v>0</v>
      </c>
      <c r="F3539" s="17">
        <f t="shared" ca="1" si="207"/>
        <v>0</v>
      </c>
      <c r="H3539" s="17">
        <v>3524</v>
      </c>
      <c r="I3539" s="43">
        <v>0.66889908095960404</v>
      </c>
      <c r="J3539" s="43">
        <v>1.9715807779226425E-2</v>
      </c>
      <c r="K3539" s="43"/>
      <c r="L3539" s="43">
        <v>0.253</v>
      </c>
      <c r="O3539" s="50"/>
    </row>
    <row r="3540" spans="2:15" x14ac:dyDescent="0.2">
      <c r="B3540">
        <v>3525</v>
      </c>
      <c r="C3540" s="48">
        <f ca="1"/>
        <v>0.44638825303081447</v>
      </c>
      <c r="D3540" s="48">
        <f t="shared" ca="1" si="205"/>
        <v>0.69440248047274233</v>
      </c>
      <c r="E3540" s="48">
        <f t="shared" ca="1" si="206"/>
        <v>0</v>
      </c>
      <c r="F3540" s="17">
        <f t="shared" ca="1" si="207"/>
        <v>0</v>
      </c>
      <c r="H3540" s="17">
        <v>3525</v>
      </c>
      <c r="I3540" s="43">
        <v>0.66919087875108674</v>
      </c>
      <c r="J3540" s="43">
        <v>1.9455991405298554E-2</v>
      </c>
      <c r="K3540" s="43"/>
      <c r="L3540" s="43">
        <v>0.247</v>
      </c>
      <c r="O3540" s="50"/>
    </row>
    <row r="3541" spans="2:15" x14ac:dyDescent="0.2">
      <c r="B3541">
        <v>3526</v>
      </c>
      <c r="C3541" s="48">
        <f ca="1"/>
        <v>-1.1994833568290406</v>
      </c>
      <c r="D3541" s="48">
        <f t="shared" ca="1" si="205"/>
        <v>0.59039359102142019</v>
      </c>
      <c r="E3541" s="48">
        <f t="shared" ca="1" si="206"/>
        <v>0</v>
      </c>
      <c r="F3541" s="17">
        <f t="shared" ca="1" si="207"/>
        <v>0</v>
      </c>
      <c r="H3541" s="17">
        <v>3526</v>
      </c>
      <c r="I3541" s="43">
        <v>0.67082363548510404</v>
      </c>
      <c r="J3541" s="43">
        <v>2.065999230901621E-2</v>
      </c>
      <c r="K3541" s="43"/>
      <c r="L3541" s="43">
        <v>0.25359999999999999</v>
      </c>
      <c r="O3541" s="50"/>
    </row>
    <row r="3542" spans="2:15" x14ac:dyDescent="0.2">
      <c r="B3542">
        <v>3527</v>
      </c>
      <c r="C3542" s="48">
        <f ca="1"/>
        <v>1.6470365925167951</v>
      </c>
      <c r="D3542" s="48">
        <f t="shared" ca="1" si="205"/>
        <v>0.78166058929279303</v>
      </c>
      <c r="E3542" s="48">
        <f t="shared" ca="1" si="206"/>
        <v>0</v>
      </c>
      <c r="F3542" s="17">
        <f t="shared" ca="1" si="207"/>
        <v>0</v>
      </c>
      <c r="H3542" s="17">
        <v>3527</v>
      </c>
      <c r="I3542" s="43">
        <v>0.66865116106181954</v>
      </c>
      <c r="J3542" s="43">
        <v>1.9393912179040879E-2</v>
      </c>
      <c r="K3542" s="43"/>
      <c r="L3542" s="43">
        <v>0.25619999999999998</v>
      </c>
      <c r="O3542" s="50"/>
    </row>
    <row r="3543" spans="2:15" x14ac:dyDescent="0.2">
      <c r="B3543">
        <v>3528</v>
      </c>
      <c r="C3543" s="48">
        <f ca="1"/>
        <v>1.3998084076664228</v>
      </c>
      <c r="D3543" s="48">
        <f t="shared" ca="1" si="205"/>
        <v>0.76283901239764718</v>
      </c>
      <c r="E3543" s="48">
        <f t="shared" ca="1" si="206"/>
        <v>0</v>
      </c>
      <c r="F3543" s="17">
        <f t="shared" ca="1" si="207"/>
        <v>0</v>
      </c>
      <c r="H3543" s="17">
        <v>3528</v>
      </c>
      <c r="I3543" s="43">
        <v>0.66801271141822038</v>
      </c>
      <c r="J3543" s="43">
        <v>1.8572031920378779E-2</v>
      </c>
      <c r="K3543" s="43"/>
      <c r="L3543" s="43">
        <v>0.24540000000000001</v>
      </c>
      <c r="O3543" s="50"/>
    </row>
    <row r="3544" spans="2:15" x14ac:dyDescent="0.2">
      <c r="B3544">
        <v>3529</v>
      </c>
      <c r="C3544" s="48">
        <f ca="1"/>
        <v>-1.1817719863191389</v>
      </c>
      <c r="D3544" s="48">
        <f t="shared" ca="1" si="205"/>
        <v>0.59142538916789156</v>
      </c>
      <c r="E3544" s="48">
        <f t="shared" ca="1" si="206"/>
        <v>0</v>
      </c>
      <c r="F3544" s="17">
        <f t="shared" ca="1" si="207"/>
        <v>0</v>
      </c>
      <c r="H3544" s="17">
        <v>3529</v>
      </c>
      <c r="I3544" s="43">
        <v>0.66930467010670258</v>
      </c>
      <c r="J3544" s="43">
        <v>1.9320306675787394E-2</v>
      </c>
      <c r="K3544" s="43"/>
      <c r="L3544" s="43">
        <v>0.25159999999999999</v>
      </c>
      <c r="O3544" s="50"/>
    </row>
    <row r="3545" spans="2:15" x14ac:dyDescent="0.2">
      <c r="B3545">
        <v>3530</v>
      </c>
      <c r="C3545" s="48">
        <f ca="1"/>
        <v>-1.315538978566394</v>
      </c>
      <c r="D3545" s="48">
        <f t="shared" ca="1" si="205"/>
        <v>0.58367702345489791</v>
      </c>
      <c r="E3545" s="48">
        <f t="shared" ca="1" si="206"/>
        <v>0</v>
      </c>
      <c r="F3545" s="17">
        <f t="shared" ca="1" si="207"/>
        <v>0</v>
      </c>
      <c r="H3545" s="17">
        <v>3530</v>
      </c>
      <c r="I3545" s="43">
        <v>0.66901993174266805</v>
      </c>
      <c r="J3545" s="43">
        <v>1.9630795730603726E-2</v>
      </c>
      <c r="K3545" s="43"/>
      <c r="L3545" s="43">
        <v>0.25979999999999998</v>
      </c>
      <c r="O3545" s="50"/>
    </row>
    <row r="3546" spans="2:15" x14ac:dyDescent="0.2">
      <c r="B3546">
        <v>3531</v>
      </c>
      <c r="C3546" s="48">
        <f ca="1"/>
        <v>-5.1445396139698604E-2</v>
      </c>
      <c r="D3546" s="48">
        <f t="shared" ca="1" si="205"/>
        <v>0.66114393901560731</v>
      </c>
      <c r="E3546" s="48">
        <f t="shared" ca="1" si="206"/>
        <v>0</v>
      </c>
      <c r="F3546" s="17">
        <f t="shared" ca="1" si="207"/>
        <v>0</v>
      </c>
      <c r="H3546" s="17">
        <v>3531</v>
      </c>
      <c r="I3546" s="43">
        <v>0.66819726818955305</v>
      </c>
      <c r="J3546" s="43">
        <v>1.8880394021070751E-2</v>
      </c>
      <c r="K3546" s="43"/>
      <c r="L3546" s="43">
        <v>0.25140000000000001</v>
      </c>
      <c r="O3546" s="50"/>
    </row>
    <row r="3547" spans="2:15" x14ac:dyDescent="0.2">
      <c r="B3547">
        <v>3532</v>
      </c>
      <c r="C3547" s="48">
        <f ca="1"/>
        <v>0.9715395392617896</v>
      </c>
      <c r="D3547" s="48">
        <f t="shared" ca="1" si="205"/>
        <v>0.73130095048144772</v>
      </c>
      <c r="E3547" s="48">
        <f t="shared" ca="1" si="206"/>
        <v>0</v>
      </c>
      <c r="F3547" s="17">
        <f t="shared" ca="1" si="207"/>
        <v>0</v>
      </c>
      <c r="H3547" s="17">
        <v>3532</v>
      </c>
      <c r="I3547" s="43">
        <v>0.66888764482449492</v>
      </c>
      <c r="J3547" s="43">
        <v>1.9363073847062394E-2</v>
      </c>
      <c r="K3547" s="43"/>
      <c r="L3547" s="43">
        <v>0.24940000000000001</v>
      </c>
      <c r="O3547" s="50"/>
    </row>
    <row r="3548" spans="2:15" x14ac:dyDescent="0.2">
      <c r="B3548">
        <v>3533</v>
      </c>
      <c r="C3548" s="48">
        <f ca="1"/>
        <v>-0.98575494600023206</v>
      </c>
      <c r="D3548" s="48">
        <f t="shared" ca="1" si="205"/>
        <v>0.60296572911912638</v>
      </c>
      <c r="E3548" s="48">
        <f t="shared" ca="1" si="206"/>
        <v>0</v>
      </c>
      <c r="F3548" s="17">
        <f t="shared" ca="1" si="207"/>
        <v>0</v>
      </c>
      <c r="H3548" s="17">
        <v>3533</v>
      </c>
      <c r="I3548" s="43">
        <v>0.66990909561499468</v>
      </c>
      <c r="J3548" s="43">
        <v>1.9902358221995764E-2</v>
      </c>
      <c r="K3548" s="43"/>
      <c r="L3548" s="43">
        <v>0.25519999999999998</v>
      </c>
      <c r="O3548" s="50"/>
    </row>
    <row r="3549" spans="2:15" x14ac:dyDescent="0.2">
      <c r="B3549">
        <v>3534</v>
      </c>
      <c r="C3549" s="48">
        <f ca="1"/>
        <v>0.87917333341906201</v>
      </c>
      <c r="D3549" s="48">
        <f t="shared" ca="1" si="205"/>
        <v>0.72467184258351691</v>
      </c>
      <c r="E3549" s="48">
        <f t="shared" ca="1" si="206"/>
        <v>0</v>
      </c>
      <c r="F3549" s="17">
        <f t="shared" ca="1" si="207"/>
        <v>0</v>
      </c>
      <c r="H3549" s="17">
        <v>3534</v>
      </c>
      <c r="I3549" s="43">
        <v>0.66907196033898164</v>
      </c>
      <c r="J3549" s="43">
        <v>1.9439919373535973E-2</v>
      </c>
      <c r="K3549" s="43"/>
      <c r="L3549" s="43">
        <v>0.25040000000000001</v>
      </c>
      <c r="O3549" s="50"/>
    </row>
    <row r="3550" spans="2:15" x14ac:dyDescent="0.2">
      <c r="B3550">
        <v>3535</v>
      </c>
      <c r="C3550" s="48">
        <f ca="1"/>
        <v>0.18835247424969231</v>
      </c>
      <c r="D3550" s="48">
        <f t="shared" ca="1" si="205"/>
        <v>0.67696030730212875</v>
      </c>
      <c r="E3550" s="48">
        <f t="shared" ca="1" si="206"/>
        <v>0</v>
      </c>
      <c r="F3550" s="17">
        <f t="shared" ca="1" si="207"/>
        <v>0</v>
      </c>
      <c r="H3550" s="17">
        <v>3535</v>
      </c>
      <c r="I3550" s="43">
        <v>0.66909043354687525</v>
      </c>
      <c r="J3550" s="43">
        <v>1.9357502725867486E-2</v>
      </c>
      <c r="K3550" s="43"/>
      <c r="L3550" s="43">
        <v>0.2482</v>
      </c>
      <c r="O3550" s="50"/>
    </row>
    <row r="3551" spans="2:15" x14ac:dyDescent="0.2">
      <c r="B3551">
        <v>3536</v>
      </c>
      <c r="C3551" s="48">
        <f ca="1"/>
        <v>-0.11244201756675874</v>
      </c>
      <c r="D3551" s="48">
        <f t="shared" ca="1" si="205"/>
        <v>0.65718007852739146</v>
      </c>
      <c r="E3551" s="48">
        <f t="shared" ca="1" si="206"/>
        <v>0</v>
      </c>
      <c r="F3551" s="17">
        <f t="shared" ca="1" si="207"/>
        <v>0</v>
      </c>
      <c r="H3551" s="17">
        <v>3536</v>
      </c>
      <c r="I3551" s="43">
        <v>0.66893215910621051</v>
      </c>
      <c r="J3551" s="43">
        <v>1.9402299737869787E-2</v>
      </c>
      <c r="K3551" s="43"/>
      <c r="L3551" s="43">
        <v>0.25459999999999999</v>
      </c>
      <c r="O3551" s="50"/>
    </row>
    <row r="3552" spans="2:15" x14ac:dyDescent="0.2">
      <c r="B3552">
        <v>3537</v>
      </c>
      <c r="C3552" s="48">
        <f ca="1"/>
        <v>0.39745933641126746</v>
      </c>
      <c r="D3552" s="48">
        <f t="shared" ca="1" si="205"/>
        <v>0.69106090299767797</v>
      </c>
      <c r="E3552" s="48">
        <f t="shared" ca="1" si="206"/>
        <v>0</v>
      </c>
      <c r="F3552" s="17">
        <f t="shared" ca="1" si="207"/>
        <v>0</v>
      </c>
      <c r="H3552" s="17">
        <v>3537</v>
      </c>
      <c r="I3552" s="43">
        <v>0.66976671465907045</v>
      </c>
      <c r="J3552" s="43">
        <v>1.9958599345760664E-2</v>
      </c>
      <c r="K3552" s="43"/>
      <c r="L3552" s="43">
        <v>0.25819999999999999</v>
      </c>
      <c r="O3552" s="50"/>
    </row>
    <row r="3553" spans="2:15" x14ac:dyDescent="0.2">
      <c r="B3553">
        <v>3538</v>
      </c>
      <c r="C3553" s="48">
        <f ca="1"/>
        <v>-1.7103736305928132</v>
      </c>
      <c r="D3553" s="48">
        <f t="shared" ca="1" si="205"/>
        <v>0.56139347352540603</v>
      </c>
      <c r="E3553" s="48">
        <f t="shared" ca="1" si="206"/>
        <v>0</v>
      </c>
      <c r="F3553" s="17">
        <f t="shared" ca="1" si="207"/>
        <v>0</v>
      </c>
      <c r="H3553" s="17">
        <v>3538</v>
      </c>
      <c r="I3553" s="43">
        <v>0.67014690026356438</v>
      </c>
      <c r="J3553" s="43">
        <v>2.0103379777897831E-2</v>
      </c>
      <c r="K3553" s="43"/>
      <c r="L3553" s="43">
        <v>0.25140000000000001</v>
      </c>
      <c r="O3553" s="50"/>
    </row>
    <row r="3554" spans="2:15" x14ac:dyDescent="0.2">
      <c r="B3554">
        <v>3539</v>
      </c>
      <c r="C3554" s="48">
        <f ca="1"/>
        <v>0.88173987025804801</v>
      </c>
      <c r="D3554" s="48">
        <f t="shared" ca="1" si="205"/>
        <v>0.72485522832069282</v>
      </c>
      <c r="E3554" s="48">
        <f t="shared" ca="1" si="206"/>
        <v>0</v>
      </c>
      <c r="F3554" s="17">
        <f t="shared" ca="1" si="207"/>
        <v>0</v>
      </c>
      <c r="H3554" s="17">
        <v>3539</v>
      </c>
      <c r="I3554" s="43">
        <v>0.67006417513128058</v>
      </c>
      <c r="J3554" s="43">
        <v>1.9973595356861169E-2</v>
      </c>
      <c r="K3554" s="43"/>
      <c r="L3554" s="43">
        <v>0.25900000000000001</v>
      </c>
      <c r="O3554" s="50"/>
    </row>
    <row r="3555" spans="2:15" x14ac:dyDescent="0.2">
      <c r="B3555">
        <v>3540</v>
      </c>
      <c r="C3555" s="48">
        <f ca="1"/>
        <v>1.0792482504089842</v>
      </c>
      <c r="D3555" s="48">
        <f t="shared" ca="1" si="205"/>
        <v>0.73910781343792065</v>
      </c>
      <c r="E3555" s="48">
        <f t="shared" ca="1" si="206"/>
        <v>0</v>
      </c>
      <c r="F3555" s="17">
        <f t="shared" ca="1" si="207"/>
        <v>0</v>
      </c>
      <c r="H3555" s="17">
        <v>3540</v>
      </c>
      <c r="I3555" s="43">
        <v>0.66860180145467119</v>
      </c>
      <c r="J3555" s="43">
        <v>1.9068318788394812E-2</v>
      </c>
      <c r="K3555" s="43"/>
      <c r="L3555" s="43">
        <v>0.246</v>
      </c>
      <c r="O3555" s="50"/>
    </row>
    <row r="3556" spans="2:15" x14ac:dyDescent="0.2">
      <c r="B3556">
        <v>3541</v>
      </c>
      <c r="C3556" s="48">
        <f ca="1"/>
        <v>-0.10523829613402544</v>
      </c>
      <c r="D3556" s="48">
        <f t="shared" ca="1" si="205"/>
        <v>0.65764697140321238</v>
      </c>
      <c r="E3556" s="48">
        <f t="shared" ca="1" si="206"/>
        <v>0</v>
      </c>
      <c r="F3556" s="17">
        <f t="shared" ca="1" si="207"/>
        <v>0</v>
      </c>
      <c r="H3556" s="17">
        <v>3541</v>
      </c>
      <c r="I3556" s="43">
        <v>0.66970224146923552</v>
      </c>
      <c r="J3556" s="43">
        <v>1.9687820554574048E-2</v>
      </c>
      <c r="K3556" s="43"/>
      <c r="L3556" s="43">
        <v>0.25119999999999998</v>
      </c>
      <c r="O3556" s="50"/>
    </row>
    <row r="3557" spans="2:15" x14ac:dyDescent="0.2">
      <c r="B3557">
        <v>3542</v>
      </c>
      <c r="C3557" s="48">
        <f ca="1"/>
        <v>0.93199959722800729</v>
      </c>
      <c r="D3557" s="48">
        <f t="shared" ca="1" si="205"/>
        <v>0.72845578395382959</v>
      </c>
      <c r="E3557" s="48">
        <f t="shared" ca="1" si="206"/>
        <v>0</v>
      </c>
      <c r="F3557" s="17">
        <f t="shared" ca="1" si="207"/>
        <v>0</v>
      </c>
      <c r="H3557" s="17">
        <v>3542</v>
      </c>
      <c r="I3557" s="43">
        <v>0.66804934327951571</v>
      </c>
      <c r="J3557" s="43">
        <v>1.8555799053823305E-2</v>
      </c>
      <c r="K3557" s="43"/>
      <c r="L3557" s="43">
        <v>0.24779999999999999</v>
      </c>
      <c r="O3557" s="50"/>
    </row>
    <row r="3558" spans="2:15" x14ac:dyDescent="0.2">
      <c r="B3558">
        <v>3543</v>
      </c>
      <c r="C3558" s="48">
        <f ca="1"/>
        <v>1.1683967281425776</v>
      </c>
      <c r="D3558" s="48">
        <f t="shared" ca="1" si="205"/>
        <v>0.74563240505574424</v>
      </c>
      <c r="E3558" s="48">
        <f t="shared" ca="1" si="206"/>
        <v>0</v>
      </c>
      <c r="F3558" s="17">
        <f t="shared" ca="1" si="207"/>
        <v>0</v>
      </c>
      <c r="H3558" s="17">
        <v>3543</v>
      </c>
      <c r="I3558" s="43">
        <v>0.66881480976437335</v>
      </c>
      <c r="J3558" s="43">
        <v>1.9301240971545938E-2</v>
      </c>
      <c r="K3558" s="43"/>
      <c r="L3558" s="43">
        <v>0.24959999999999999</v>
      </c>
      <c r="O3558" s="50"/>
    </row>
    <row r="3559" spans="2:15" x14ac:dyDescent="0.2">
      <c r="B3559">
        <v>3544</v>
      </c>
      <c r="C3559" s="48">
        <f ca="1"/>
        <v>1.251267435050192</v>
      </c>
      <c r="D3559" s="48">
        <f t="shared" ca="1" si="205"/>
        <v>0.75174918479111597</v>
      </c>
      <c r="E3559" s="48">
        <f t="shared" ca="1" si="206"/>
        <v>0</v>
      </c>
      <c r="F3559" s="17">
        <f t="shared" ca="1" si="207"/>
        <v>0</v>
      </c>
      <c r="H3559" s="17">
        <v>3544</v>
      </c>
      <c r="I3559" s="43">
        <v>0.66866026382278865</v>
      </c>
      <c r="J3559" s="43">
        <v>1.9160378143342139E-2</v>
      </c>
      <c r="K3559" s="43"/>
      <c r="L3559" s="43">
        <v>0.25359999999999999</v>
      </c>
      <c r="O3559" s="50"/>
    </row>
    <row r="3560" spans="2:15" x14ac:dyDescent="0.2">
      <c r="B3560">
        <v>3545</v>
      </c>
      <c r="C3560" s="48">
        <f ca="1"/>
        <v>-0.3382368398646316</v>
      </c>
      <c r="D3560" s="48">
        <f t="shared" ca="1" si="205"/>
        <v>0.64271252021777636</v>
      </c>
      <c r="E3560" s="48">
        <f t="shared" ca="1" si="206"/>
        <v>0</v>
      </c>
      <c r="F3560" s="17">
        <f t="shared" ca="1" si="207"/>
        <v>0</v>
      </c>
      <c r="H3560" s="17">
        <v>3545</v>
      </c>
      <c r="I3560" s="43">
        <v>0.66952916933275375</v>
      </c>
      <c r="J3560" s="43">
        <v>1.9788861349064209E-2</v>
      </c>
      <c r="K3560" s="43"/>
      <c r="L3560" s="43">
        <v>0.25319999999999998</v>
      </c>
      <c r="O3560" s="50"/>
    </row>
    <row r="3561" spans="2:15" x14ac:dyDescent="0.2">
      <c r="B3561">
        <v>3546</v>
      </c>
      <c r="C3561" s="48">
        <f ca="1"/>
        <v>0.69316708166245933</v>
      </c>
      <c r="D3561" s="48">
        <f t="shared" ca="1" si="205"/>
        <v>0.71150399737485515</v>
      </c>
      <c r="E3561" s="48">
        <f t="shared" ca="1" si="206"/>
        <v>0</v>
      </c>
      <c r="F3561" s="17">
        <f t="shared" ca="1" si="207"/>
        <v>0</v>
      </c>
      <c r="H3561" s="17">
        <v>3546</v>
      </c>
      <c r="I3561" s="43">
        <v>0.66812196247615585</v>
      </c>
      <c r="J3561" s="43">
        <v>1.8898837305363406E-2</v>
      </c>
      <c r="K3561" s="43"/>
      <c r="L3561" s="43">
        <v>0.24640000000000001</v>
      </c>
      <c r="O3561" s="50"/>
    </row>
    <row r="3562" spans="2:15" x14ac:dyDescent="0.2">
      <c r="B3562">
        <v>3547</v>
      </c>
      <c r="C3562" s="48">
        <f ca="1"/>
        <v>0.15305805207954909</v>
      </c>
      <c r="D3562" s="48">
        <f t="shared" ca="1" si="205"/>
        <v>0.67460885790060798</v>
      </c>
      <c r="E3562" s="48">
        <f t="shared" ca="1" si="206"/>
        <v>0</v>
      </c>
      <c r="F3562" s="17">
        <f t="shared" ca="1" si="207"/>
        <v>0</v>
      </c>
      <c r="H3562" s="17">
        <v>3547</v>
      </c>
      <c r="I3562" s="43">
        <v>0.66808606065703602</v>
      </c>
      <c r="J3562" s="43">
        <v>1.8673956138302899E-2</v>
      </c>
      <c r="K3562" s="43"/>
      <c r="L3562" s="43">
        <v>0.25119999999999998</v>
      </c>
      <c r="O3562" s="50"/>
    </row>
    <row r="3563" spans="2:15" x14ac:dyDescent="0.2">
      <c r="B3563">
        <v>3548</v>
      </c>
      <c r="C3563" s="48">
        <f ca="1"/>
        <v>0.89322395302462299</v>
      </c>
      <c r="D3563" s="48">
        <f t="shared" ca="1" si="205"/>
        <v>0.72567636449427553</v>
      </c>
      <c r="E3563" s="48">
        <f t="shared" ca="1" si="206"/>
        <v>0</v>
      </c>
      <c r="F3563" s="17">
        <f t="shared" ca="1" si="207"/>
        <v>0</v>
      </c>
      <c r="H3563" s="17">
        <v>3548</v>
      </c>
      <c r="I3563" s="43">
        <v>0.66933968870135108</v>
      </c>
      <c r="J3563" s="43">
        <v>1.9717090231626391E-2</v>
      </c>
      <c r="K3563" s="43"/>
      <c r="L3563" s="43">
        <v>0.25280000000000002</v>
      </c>
      <c r="O3563" s="50"/>
    </row>
    <row r="3564" spans="2:15" x14ac:dyDescent="0.2">
      <c r="B3564">
        <v>3549</v>
      </c>
      <c r="C3564" s="48">
        <f ca="1"/>
        <v>0.11705827738308554</v>
      </c>
      <c r="D3564" s="48">
        <f t="shared" ca="1" si="205"/>
        <v>0.67221882935774269</v>
      </c>
      <c r="E3564" s="48">
        <f t="shared" ca="1" si="206"/>
        <v>0</v>
      </c>
      <c r="F3564" s="17">
        <f t="shared" ca="1" si="207"/>
        <v>0</v>
      </c>
      <c r="H3564" s="17">
        <v>3549</v>
      </c>
      <c r="I3564" s="43">
        <v>0.66904481308489283</v>
      </c>
      <c r="J3564" s="43">
        <v>1.9578374702420225E-2</v>
      </c>
      <c r="K3564" s="43"/>
      <c r="L3564" s="43">
        <v>0.25359999999999999</v>
      </c>
      <c r="O3564" s="50"/>
    </row>
    <row r="3565" spans="2:15" x14ac:dyDescent="0.2">
      <c r="B3565">
        <v>3550</v>
      </c>
      <c r="C3565" s="48">
        <f ca="1"/>
        <v>-0.63319943942804091</v>
      </c>
      <c r="D3565" s="48">
        <f t="shared" ca="1" si="205"/>
        <v>0.62429181823770985</v>
      </c>
      <c r="E3565" s="48">
        <f t="shared" ca="1" si="206"/>
        <v>0</v>
      </c>
      <c r="F3565" s="17">
        <f t="shared" ca="1" si="207"/>
        <v>0</v>
      </c>
      <c r="H3565" s="17">
        <v>3550</v>
      </c>
      <c r="I3565" s="43">
        <v>0.66784762629944916</v>
      </c>
      <c r="J3565" s="43">
        <v>1.842380210871852E-2</v>
      </c>
      <c r="K3565" s="43"/>
      <c r="L3565" s="43">
        <v>0.24640000000000001</v>
      </c>
      <c r="O3565" s="50"/>
    </row>
    <row r="3566" spans="2:15" x14ac:dyDescent="0.2">
      <c r="B3566">
        <v>3551</v>
      </c>
      <c r="C3566" s="48">
        <f ca="1"/>
        <v>0.82365580585012432</v>
      </c>
      <c r="D3566" s="48">
        <f t="shared" ca="1" si="205"/>
        <v>0.72071630743982029</v>
      </c>
      <c r="E3566" s="48">
        <f t="shared" ca="1" si="206"/>
        <v>0</v>
      </c>
      <c r="F3566" s="17">
        <f t="shared" ca="1" si="207"/>
        <v>0</v>
      </c>
      <c r="H3566" s="17">
        <v>3551</v>
      </c>
      <c r="I3566" s="43">
        <v>0.66998127865873447</v>
      </c>
      <c r="J3566" s="43">
        <v>2.0028705713951302E-2</v>
      </c>
      <c r="K3566" s="43"/>
      <c r="L3566" s="43">
        <v>0.24640000000000001</v>
      </c>
      <c r="O3566" s="50"/>
    </row>
    <row r="3567" spans="2:15" x14ac:dyDescent="0.2">
      <c r="B3567">
        <v>3552</v>
      </c>
      <c r="C3567" s="48">
        <f ca="1"/>
        <v>-1.3365563122353645</v>
      </c>
      <c r="D3567" s="48">
        <f t="shared" ca="1" si="205"/>
        <v>0.58246887006752779</v>
      </c>
      <c r="E3567" s="48">
        <f t="shared" ca="1" si="206"/>
        <v>0</v>
      </c>
      <c r="F3567" s="17">
        <f t="shared" ca="1" si="207"/>
        <v>0</v>
      </c>
      <c r="H3567" s="17">
        <v>3552</v>
      </c>
      <c r="I3567" s="43">
        <v>0.6688031683097625</v>
      </c>
      <c r="J3567" s="43">
        <v>1.9213307502196214E-2</v>
      </c>
      <c r="K3567" s="43"/>
      <c r="L3567" s="43">
        <v>0.24640000000000001</v>
      </c>
      <c r="O3567" s="50"/>
    </row>
    <row r="3568" spans="2:15" x14ac:dyDescent="0.2">
      <c r="B3568">
        <v>3553</v>
      </c>
      <c r="C3568" s="48">
        <f ca="1"/>
        <v>0.39715339994468923</v>
      </c>
      <c r="D3568" s="48">
        <f t="shared" ca="1" si="205"/>
        <v>0.6910400598771036</v>
      </c>
      <c r="E3568" s="48">
        <f t="shared" ca="1" si="206"/>
        <v>0</v>
      </c>
      <c r="F3568" s="17">
        <f t="shared" ca="1" si="207"/>
        <v>0</v>
      </c>
      <c r="H3568" s="17">
        <v>3553</v>
      </c>
      <c r="I3568" s="43">
        <v>0.67030476688792484</v>
      </c>
      <c r="J3568" s="43">
        <v>2.0652433707309077E-2</v>
      </c>
      <c r="K3568" s="43"/>
      <c r="L3568" s="43">
        <v>0.26140000000000002</v>
      </c>
      <c r="O3568" s="50"/>
    </row>
    <row r="3569" spans="2:15" x14ac:dyDescent="0.2">
      <c r="B3569">
        <v>3554</v>
      </c>
      <c r="C3569" s="48">
        <f ca="1"/>
        <v>0.82286703085367874</v>
      </c>
      <c r="D3569" s="48">
        <f t="shared" ca="1" si="205"/>
        <v>0.72066026431805674</v>
      </c>
      <c r="E3569" s="48">
        <f t="shared" ca="1" si="206"/>
        <v>0</v>
      </c>
      <c r="F3569" s="17">
        <f t="shared" ca="1" si="207"/>
        <v>0</v>
      </c>
      <c r="H3569" s="17">
        <v>3554</v>
      </c>
      <c r="I3569" s="43">
        <v>0.66794223177416967</v>
      </c>
      <c r="J3569" s="43">
        <v>1.8676048069973725E-2</v>
      </c>
      <c r="K3569" s="43"/>
      <c r="L3569" s="43">
        <v>0.24959999999999999</v>
      </c>
      <c r="O3569" s="50"/>
    </row>
    <row r="3570" spans="2:15" x14ac:dyDescent="0.2">
      <c r="B3570">
        <v>3555</v>
      </c>
      <c r="C3570" s="48">
        <f ca="1"/>
        <v>-0.83375208309241955</v>
      </c>
      <c r="D3570" s="48">
        <f t="shared" ca="1" si="205"/>
        <v>0.61206956159789982</v>
      </c>
      <c r="E3570" s="48">
        <f t="shared" ca="1" si="206"/>
        <v>0</v>
      </c>
      <c r="F3570" s="17">
        <f t="shared" ca="1" si="207"/>
        <v>0</v>
      </c>
      <c r="H3570" s="17">
        <v>3555</v>
      </c>
      <c r="I3570" s="43">
        <v>0.66926336314432244</v>
      </c>
      <c r="J3570" s="43">
        <v>1.970876928951212E-2</v>
      </c>
      <c r="K3570" s="43"/>
      <c r="L3570" s="43">
        <v>0.25519999999999998</v>
      </c>
      <c r="O3570" s="50"/>
    </row>
    <row r="3571" spans="2:15" x14ac:dyDescent="0.2">
      <c r="B3571">
        <v>3556</v>
      </c>
      <c r="C3571" s="48">
        <f ca="1"/>
        <v>-0.38441840368066438</v>
      </c>
      <c r="D3571" s="48">
        <f t="shared" ca="1" si="205"/>
        <v>0.63979295059635699</v>
      </c>
      <c r="E3571" s="48">
        <f t="shared" ca="1" si="206"/>
        <v>0</v>
      </c>
      <c r="F3571" s="17">
        <f t="shared" ca="1" si="207"/>
        <v>0</v>
      </c>
      <c r="H3571" s="17">
        <v>3556</v>
      </c>
      <c r="I3571" s="43">
        <v>0.66923446563581523</v>
      </c>
      <c r="J3571" s="43">
        <v>1.9507369310936062E-2</v>
      </c>
      <c r="K3571" s="43"/>
      <c r="L3571" s="43">
        <v>0.25840000000000002</v>
      </c>
      <c r="O3571" s="50"/>
    </row>
    <row r="3572" spans="2:15" x14ac:dyDescent="0.2">
      <c r="B3572">
        <v>3557</v>
      </c>
      <c r="C3572" s="48">
        <f ca="1"/>
        <v>0.19335414441433679</v>
      </c>
      <c r="D3572" s="48">
        <f t="shared" ca="1" si="205"/>
        <v>0.6772942001024953</v>
      </c>
      <c r="E3572" s="48">
        <f t="shared" ca="1" si="206"/>
        <v>0</v>
      </c>
      <c r="F3572" s="17">
        <f t="shared" ca="1" si="207"/>
        <v>0</v>
      </c>
      <c r="H3572" s="17">
        <v>3557</v>
      </c>
      <c r="I3572" s="43">
        <v>0.66854428589090431</v>
      </c>
      <c r="J3572" s="43">
        <v>1.9313530837116472E-2</v>
      </c>
      <c r="K3572" s="43"/>
      <c r="L3572" s="43">
        <v>0.2472</v>
      </c>
      <c r="O3572" s="50"/>
    </row>
    <row r="3573" spans="2:15" x14ac:dyDescent="0.2">
      <c r="B3573">
        <v>3558</v>
      </c>
      <c r="C3573" s="48">
        <f ca="1"/>
        <v>-0.77088885993161604</v>
      </c>
      <c r="D3573" s="48">
        <f t="shared" ca="1" si="205"/>
        <v>0.61587465759949522</v>
      </c>
      <c r="E3573" s="48">
        <f t="shared" ca="1" si="206"/>
        <v>0</v>
      </c>
      <c r="F3573" s="17">
        <f t="shared" ca="1" si="207"/>
        <v>0</v>
      </c>
      <c r="H3573" s="17">
        <v>3558</v>
      </c>
      <c r="I3573" s="43">
        <v>0.67050342537003305</v>
      </c>
      <c r="J3573" s="43">
        <v>2.0670374281033372E-2</v>
      </c>
      <c r="K3573" s="43"/>
      <c r="L3573" s="43">
        <v>0.25640000000000002</v>
      </c>
      <c r="O3573" s="50"/>
    </row>
    <row r="3574" spans="2:15" x14ac:dyDescent="0.2">
      <c r="B3574">
        <v>3559</v>
      </c>
      <c r="C3574" s="48">
        <f ca="1"/>
        <v>-1.2221561782064216</v>
      </c>
      <c r="D3574" s="48">
        <f t="shared" ca="1" si="205"/>
        <v>0.58907538396472048</v>
      </c>
      <c r="E3574" s="48">
        <f t="shared" ca="1" si="206"/>
        <v>0</v>
      </c>
      <c r="F3574" s="17">
        <f t="shared" ca="1" si="207"/>
        <v>0</v>
      </c>
      <c r="H3574" s="17">
        <v>3559</v>
      </c>
      <c r="I3574" s="43">
        <v>0.6698754179105938</v>
      </c>
      <c r="J3574" s="43">
        <v>1.9955917788943119E-2</v>
      </c>
      <c r="K3574" s="43"/>
      <c r="L3574" s="43">
        <v>0.25319999999999998</v>
      </c>
      <c r="O3574" s="50"/>
    </row>
    <row r="3575" spans="2:15" x14ac:dyDescent="0.2">
      <c r="B3575">
        <v>3560</v>
      </c>
      <c r="C3575" s="48">
        <f ca="1"/>
        <v>-1.8600967578826679</v>
      </c>
      <c r="D3575" s="48">
        <f t="shared" ca="1" si="205"/>
        <v>0.55316770204697385</v>
      </c>
      <c r="E3575" s="48">
        <f t="shared" ca="1" si="206"/>
        <v>0</v>
      </c>
      <c r="F3575" s="17">
        <f t="shared" ca="1" si="207"/>
        <v>0</v>
      </c>
      <c r="H3575" s="17">
        <v>3560</v>
      </c>
      <c r="I3575" s="43">
        <v>0.66853758043682332</v>
      </c>
      <c r="J3575" s="43">
        <v>1.9058191800625124E-2</v>
      </c>
      <c r="K3575" s="43"/>
      <c r="L3575" s="43">
        <v>0.24859999999999999</v>
      </c>
      <c r="O3575" s="50"/>
    </row>
    <row r="3576" spans="2:15" x14ac:dyDescent="0.2">
      <c r="B3576">
        <v>3561</v>
      </c>
      <c r="C3576" s="48">
        <f ca="1"/>
        <v>0.73447458949572153</v>
      </c>
      <c r="D3576" s="48">
        <f t="shared" ca="1" si="205"/>
        <v>0.7144074361328715</v>
      </c>
      <c r="E3576" s="48">
        <f t="shared" ca="1" si="206"/>
        <v>0</v>
      </c>
      <c r="F3576" s="17">
        <f t="shared" ca="1" si="207"/>
        <v>0</v>
      </c>
      <c r="H3576" s="17">
        <v>3561</v>
      </c>
      <c r="I3576" s="43">
        <v>0.66982213812100266</v>
      </c>
      <c r="J3576" s="43">
        <v>1.9634316386281044E-2</v>
      </c>
      <c r="K3576" s="43"/>
      <c r="L3576" s="43">
        <v>0.24660000000000001</v>
      </c>
      <c r="O3576" s="50"/>
    </row>
    <row r="3577" spans="2:15" x14ac:dyDescent="0.2">
      <c r="B3577">
        <v>3562</v>
      </c>
      <c r="C3577" s="48">
        <f ca="1"/>
        <v>-0.38280539821138293</v>
      </c>
      <c r="D3577" s="48">
        <f t="shared" ca="1" si="205"/>
        <v>0.63989469992275783</v>
      </c>
      <c r="E3577" s="48">
        <f t="shared" ca="1" si="206"/>
        <v>0</v>
      </c>
      <c r="F3577" s="17">
        <f t="shared" ca="1" si="207"/>
        <v>0</v>
      </c>
      <c r="H3577" s="17">
        <v>3562</v>
      </c>
      <c r="I3577" s="43">
        <v>0.66902946310691325</v>
      </c>
      <c r="J3577" s="43">
        <v>1.961698110421059E-2</v>
      </c>
      <c r="K3577" s="43"/>
      <c r="L3577" s="43">
        <v>0.25679999999999997</v>
      </c>
      <c r="O3577" s="50"/>
    </row>
    <row r="3578" spans="2:15" x14ac:dyDescent="0.2">
      <c r="B3578">
        <v>3563</v>
      </c>
      <c r="C3578" s="48">
        <f ca="1"/>
        <v>0.25089319880180616</v>
      </c>
      <c r="D3578" s="48">
        <f t="shared" ca="1" si="205"/>
        <v>0.68114715722188435</v>
      </c>
      <c r="E3578" s="48">
        <f t="shared" ca="1" si="206"/>
        <v>0</v>
      </c>
      <c r="F3578" s="17">
        <f t="shared" ca="1" si="207"/>
        <v>0</v>
      </c>
      <c r="H3578" s="17">
        <v>3563</v>
      </c>
      <c r="I3578" s="43">
        <v>0.66821160558087456</v>
      </c>
      <c r="J3578" s="43">
        <v>1.9037605866061746E-2</v>
      </c>
      <c r="K3578" s="43"/>
      <c r="L3578" s="43">
        <v>0.25259999999999999</v>
      </c>
      <c r="O3578" s="50"/>
    </row>
    <row r="3579" spans="2:15" x14ac:dyDescent="0.2">
      <c r="B3579">
        <v>3564</v>
      </c>
      <c r="C3579" s="48">
        <f ca="1"/>
        <v>1.8330071043321912</v>
      </c>
      <c r="D3579" s="48">
        <f t="shared" ca="1" si="205"/>
        <v>0.79612402140792604</v>
      </c>
      <c r="E3579" s="48">
        <f t="shared" ca="1" si="206"/>
        <v>7.9240214079260296E-3</v>
      </c>
      <c r="F3579" s="17">
        <f t="shared" ca="1" si="207"/>
        <v>1</v>
      </c>
      <c r="H3579" s="17">
        <v>3564</v>
      </c>
      <c r="I3579" s="43">
        <v>0.66937327707268046</v>
      </c>
      <c r="J3579" s="43">
        <v>1.9703699999529627E-2</v>
      </c>
      <c r="K3579" s="43"/>
      <c r="L3579" s="43">
        <v>0.25259999999999999</v>
      </c>
      <c r="O3579" s="50"/>
    </row>
    <row r="3580" spans="2:15" x14ac:dyDescent="0.2">
      <c r="B3580">
        <v>3565</v>
      </c>
      <c r="C3580" s="48">
        <f ca="1"/>
        <v>-0.72685759529512517</v>
      </c>
      <c r="D3580" s="48">
        <f t="shared" ca="1" si="205"/>
        <v>0.61855393805282188</v>
      </c>
      <c r="E3580" s="48">
        <f t="shared" ca="1" si="206"/>
        <v>0</v>
      </c>
      <c r="F3580" s="17">
        <f t="shared" ca="1" si="207"/>
        <v>0</v>
      </c>
      <c r="H3580" s="17">
        <v>3565</v>
      </c>
      <c r="I3580" s="43">
        <v>0.67016113694472401</v>
      </c>
      <c r="J3580" s="43">
        <v>2.0156194295788611E-2</v>
      </c>
      <c r="K3580" s="43"/>
      <c r="L3580" s="43">
        <v>0.25580000000000003</v>
      </c>
      <c r="O3580" s="50"/>
    </row>
    <row r="3581" spans="2:15" x14ac:dyDescent="0.2">
      <c r="B3581">
        <v>3566</v>
      </c>
      <c r="C3581" s="48">
        <f ca="1"/>
        <v>-1.1316586273294755</v>
      </c>
      <c r="D3581" s="48">
        <f t="shared" ca="1" si="205"/>
        <v>0.59435458539943775</v>
      </c>
      <c r="E3581" s="48">
        <f t="shared" ca="1" si="206"/>
        <v>0</v>
      </c>
      <c r="F3581" s="17">
        <f t="shared" ca="1" si="207"/>
        <v>0</v>
      </c>
      <c r="H3581" s="17">
        <v>3566</v>
      </c>
      <c r="I3581" s="43">
        <v>0.66755639081712237</v>
      </c>
      <c r="J3581" s="43">
        <v>1.8102877936974435E-2</v>
      </c>
      <c r="K3581" s="43"/>
      <c r="L3581" s="43">
        <v>0.24340000000000001</v>
      </c>
      <c r="O3581" s="50"/>
    </row>
    <row r="3582" spans="2:15" x14ac:dyDescent="0.2">
      <c r="B3582">
        <v>3567</v>
      </c>
      <c r="C3582" s="48">
        <f ca="1"/>
        <v>-2.3671362511695708</v>
      </c>
      <c r="D3582" s="48">
        <f t="shared" ca="1" si="205"/>
        <v>0.52619584562219268</v>
      </c>
      <c r="E3582" s="48">
        <f t="shared" ca="1" si="206"/>
        <v>0</v>
      </c>
      <c r="F3582" s="17">
        <f t="shared" ca="1" si="207"/>
        <v>0</v>
      </c>
      <c r="H3582" s="17">
        <v>3567</v>
      </c>
      <c r="I3582" s="43">
        <v>0.66839750589797231</v>
      </c>
      <c r="J3582" s="43">
        <v>1.9351382663628441E-2</v>
      </c>
      <c r="K3582" s="43"/>
      <c r="L3582" s="43">
        <v>0.25040000000000001</v>
      </c>
      <c r="O3582" s="50"/>
    </row>
    <row r="3583" spans="2:15" x14ac:dyDescent="0.2">
      <c r="B3583">
        <v>3568</v>
      </c>
      <c r="C3583" s="48">
        <f ca="1"/>
        <v>1.2548251659067513</v>
      </c>
      <c r="D3583" s="48">
        <f t="shared" ca="1" si="205"/>
        <v>0.75201290532298892</v>
      </c>
      <c r="E3583" s="48">
        <f t="shared" ca="1" si="206"/>
        <v>0</v>
      </c>
      <c r="F3583" s="17">
        <f t="shared" ca="1" si="207"/>
        <v>0</v>
      </c>
      <c r="H3583" s="17">
        <v>3568</v>
      </c>
      <c r="I3583" s="43">
        <v>0.66833951116352419</v>
      </c>
      <c r="J3583" s="43">
        <v>1.8861405529078439E-2</v>
      </c>
      <c r="K3583" s="43"/>
      <c r="L3583" s="43">
        <v>0.246</v>
      </c>
      <c r="O3583" s="50"/>
    </row>
    <row r="3584" spans="2:15" x14ac:dyDescent="0.2">
      <c r="B3584">
        <v>3569</v>
      </c>
      <c r="C3584" s="48">
        <f ca="1"/>
        <v>-0.52969063527416693</v>
      </c>
      <c r="D3584" s="48">
        <f t="shared" ca="1" si="205"/>
        <v>0.63069512717514764</v>
      </c>
      <c r="E3584" s="48">
        <f t="shared" ca="1" si="206"/>
        <v>0</v>
      </c>
      <c r="F3584" s="17">
        <f t="shared" ca="1" si="207"/>
        <v>0</v>
      </c>
      <c r="H3584" s="17">
        <v>3569</v>
      </c>
      <c r="I3584" s="43">
        <v>0.66862872767661996</v>
      </c>
      <c r="J3584" s="43">
        <v>1.9177957390052177E-2</v>
      </c>
      <c r="K3584" s="43"/>
      <c r="L3584" s="43">
        <v>0.25140000000000001</v>
      </c>
      <c r="O3584" s="50"/>
    </row>
    <row r="3585" spans="2:15" x14ac:dyDescent="0.2">
      <c r="B3585">
        <v>3570</v>
      </c>
      <c r="C3585" s="48">
        <f ca="1"/>
        <v>-0.45722684108174133</v>
      </c>
      <c r="D3585" s="48">
        <f t="shared" ca="1" si="205"/>
        <v>0.63521695991785343</v>
      </c>
      <c r="E3585" s="48">
        <f t="shared" ca="1" si="206"/>
        <v>0</v>
      </c>
      <c r="F3585" s="17">
        <f t="shared" ca="1" si="207"/>
        <v>0</v>
      </c>
      <c r="H3585" s="17">
        <v>3570</v>
      </c>
      <c r="I3585" s="43">
        <v>0.6696308531364642</v>
      </c>
      <c r="J3585" s="43">
        <v>1.9821138226116641E-2</v>
      </c>
      <c r="K3585" s="43"/>
      <c r="L3585" s="43">
        <v>0.25259999999999999</v>
      </c>
      <c r="O3585" s="50"/>
    </row>
    <row r="3586" spans="2:15" x14ac:dyDescent="0.2">
      <c r="B3586">
        <v>3571</v>
      </c>
      <c r="C3586" s="48">
        <f ca="1"/>
        <v>0.10909249598289623</v>
      </c>
      <c r="D3586" s="48">
        <f t="shared" ca="1" si="205"/>
        <v>0.67169112551384325</v>
      </c>
      <c r="E3586" s="48">
        <f t="shared" ca="1" si="206"/>
        <v>0</v>
      </c>
      <c r="F3586" s="17">
        <f t="shared" ca="1" si="207"/>
        <v>0</v>
      </c>
      <c r="H3586" s="17">
        <v>3571</v>
      </c>
      <c r="I3586" s="43">
        <v>0.66972253630813483</v>
      </c>
      <c r="J3586" s="43">
        <v>2.015514094887854E-2</v>
      </c>
      <c r="K3586" s="43"/>
      <c r="L3586" s="43">
        <v>0.25740000000000002</v>
      </c>
      <c r="O3586" s="50"/>
    </row>
    <row r="3587" spans="2:15" x14ac:dyDescent="0.2">
      <c r="B3587">
        <v>3572</v>
      </c>
      <c r="C3587" s="48">
        <f ca="1"/>
        <v>-0.3287139698689267</v>
      </c>
      <c r="D3587" s="48">
        <f t="shared" ca="1" si="205"/>
        <v>0.64331620498537345</v>
      </c>
      <c r="E3587" s="48">
        <f t="shared" ca="1" si="206"/>
        <v>0</v>
      </c>
      <c r="F3587" s="17">
        <f t="shared" ca="1" si="207"/>
        <v>0</v>
      </c>
      <c r="H3587" s="17">
        <v>3572</v>
      </c>
      <c r="I3587" s="43">
        <v>0.66840765532483815</v>
      </c>
      <c r="J3587" s="43">
        <v>1.8928022847022424E-2</v>
      </c>
      <c r="K3587" s="43"/>
      <c r="L3587" s="43">
        <v>0.24840000000000001</v>
      </c>
      <c r="O3587" s="50"/>
    </row>
    <row r="3588" spans="2:15" x14ac:dyDescent="0.2">
      <c r="B3588">
        <v>3573</v>
      </c>
      <c r="C3588" s="48">
        <f ca="1"/>
        <v>1.386986824784932</v>
      </c>
      <c r="D3588" s="48">
        <f t="shared" ca="1" si="205"/>
        <v>0.76187535689786701</v>
      </c>
      <c r="E3588" s="48">
        <f t="shared" ca="1" si="206"/>
        <v>0</v>
      </c>
      <c r="F3588" s="17">
        <f t="shared" ca="1" si="207"/>
        <v>0</v>
      </c>
      <c r="H3588" s="17">
        <v>3573</v>
      </c>
      <c r="I3588" s="43">
        <v>0.67018879468744941</v>
      </c>
      <c r="J3588" s="43">
        <v>2.0182381535478484E-2</v>
      </c>
      <c r="K3588" s="43"/>
      <c r="L3588" s="43">
        <v>0.25319999999999998</v>
      </c>
      <c r="O3588" s="50"/>
    </row>
    <row r="3589" spans="2:15" x14ac:dyDescent="0.2">
      <c r="B3589">
        <v>3574</v>
      </c>
      <c r="C3589" s="48">
        <f ca="1"/>
        <v>0.50321415004254133</v>
      </c>
      <c r="D3589" s="48">
        <f t="shared" ca="1" si="205"/>
        <v>0.69830366398928878</v>
      </c>
      <c r="E3589" s="48">
        <f t="shared" ca="1" si="206"/>
        <v>0</v>
      </c>
      <c r="F3589" s="17">
        <f t="shared" ca="1" si="207"/>
        <v>0</v>
      </c>
      <c r="H3589" s="17">
        <v>3574</v>
      </c>
      <c r="I3589" s="43">
        <v>0.66924657808747456</v>
      </c>
      <c r="J3589" s="43">
        <v>1.9121837157357362E-2</v>
      </c>
      <c r="K3589" s="43"/>
      <c r="L3589" s="43">
        <v>0.249</v>
      </c>
      <c r="O3589" s="50"/>
    </row>
    <row r="3590" spans="2:15" x14ac:dyDescent="0.2">
      <c r="B3590">
        <v>3575</v>
      </c>
      <c r="C3590" s="48">
        <f ca="1"/>
        <v>-1.0166604330650979</v>
      </c>
      <c r="D3590" s="48">
        <f t="shared" ca="1" si="205"/>
        <v>0.60113135258934813</v>
      </c>
      <c r="E3590" s="48">
        <f t="shared" ca="1" si="206"/>
        <v>0</v>
      </c>
      <c r="F3590" s="17">
        <f t="shared" ca="1" si="207"/>
        <v>0</v>
      </c>
      <c r="H3590" s="17">
        <v>3575</v>
      </c>
      <c r="I3590" s="43">
        <v>0.66788554678957257</v>
      </c>
      <c r="J3590" s="43">
        <v>1.8413287947870238E-2</v>
      </c>
      <c r="K3590" s="43"/>
      <c r="L3590" s="43">
        <v>0.24079999999999999</v>
      </c>
      <c r="O3590" s="50"/>
    </row>
    <row r="3591" spans="2:15" x14ac:dyDescent="0.2">
      <c r="B3591">
        <v>3576</v>
      </c>
      <c r="C3591" s="48">
        <f ca="1"/>
        <v>-0.92487542766193831</v>
      </c>
      <c r="D3591" s="48">
        <f t="shared" ca="1" si="205"/>
        <v>0.60659558613044806</v>
      </c>
      <c r="E3591" s="48">
        <f t="shared" ca="1" si="206"/>
        <v>0</v>
      </c>
      <c r="F3591" s="17">
        <f t="shared" ca="1" si="207"/>
        <v>0</v>
      </c>
      <c r="H3591" s="17">
        <v>3576</v>
      </c>
      <c r="I3591" s="43">
        <v>0.66905626330861401</v>
      </c>
      <c r="J3591" s="43">
        <v>1.9133556879338098E-2</v>
      </c>
      <c r="K3591" s="43"/>
      <c r="L3591" s="43">
        <v>0.24379999999999999</v>
      </c>
      <c r="O3591" s="50"/>
    </row>
    <row r="3592" spans="2:15" x14ac:dyDescent="0.2">
      <c r="B3592">
        <v>3577</v>
      </c>
      <c r="C3592" s="48">
        <f ca="1"/>
        <v>0.84705871864351145</v>
      </c>
      <c r="D3592" s="48">
        <f t="shared" ca="1" si="205"/>
        <v>0.72238108835866632</v>
      </c>
      <c r="E3592" s="48">
        <f t="shared" ca="1" si="206"/>
        <v>0</v>
      </c>
      <c r="F3592" s="17">
        <f t="shared" ca="1" si="207"/>
        <v>0</v>
      </c>
      <c r="H3592" s="17">
        <v>3577</v>
      </c>
      <c r="I3592" s="43">
        <v>0.66862053690810885</v>
      </c>
      <c r="J3592" s="43">
        <v>1.8852672516544444E-2</v>
      </c>
      <c r="K3592" s="43"/>
      <c r="L3592" s="43">
        <v>0.24199999999999999</v>
      </c>
      <c r="O3592" s="50"/>
    </row>
    <row r="3593" spans="2:15" x14ac:dyDescent="0.2">
      <c r="B3593">
        <v>3578</v>
      </c>
      <c r="C3593" s="48">
        <f ca="1"/>
        <v>0.60605906574877866</v>
      </c>
      <c r="D3593" s="48">
        <f t="shared" ca="1" si="205"/>
        <v>0.70541993422599381</v>
      </c>
      <c r="E3593" s="48">
        <f t="shared" ca="1" si="206"/>
        <v>0</v>
      </c>
      <c r="F3593" s="17">
        <f t="shared" ca="1" si="207"/>
        <v>0</v>
      </c>
      <c r="H3593" s="17">
        <v>3578</v>
      </c>
      <c r="I3593" s="43">
        <v>0.66890104475800083</v>
      </c>
      <c r="J3593" s="43">
        <v>1.933549088398312E-2</v>
      </c>
      <c r="K3593" s="43"/>
      <c r="L3593" s="43">
        <v>0.25059999999999999</v>
      </c>
      <c r="O3593" s="50"/>
    </row>
    <row r="3594" spans="2:15" x14ac:dyDescent="0.2">
      <c r="B3594">
        <v>3579</v>
      </c>
      <c r="C3594" s="48">
        <f ca="1"/>
        <v>0.40706443432183753</v>
      </c>
      <c r="D3594" s="48">
        <f t="shared" ca="1" si="205"/>
        <v>0.69171560773323248</v>
      </c>
      <c r="E3594" s="48">
        <f t="shared" ca="1" si="206"/>
        <v>0</v>
      </c>
      <c r="F3594" s="17">
        <f t="shared" ca="1" si="207"/>
        <v>0</v>
      </c>
      <c r="H3594" s="17">
        <v>3579</v>
      </c>
      <c r="I3594" s="43">
        <v>0.6683883422087139</v>
      </c>
      <c r="J3594" s="43">
        <v>1.8804878758904648E-2</v>
      </c>
      <c r="K3594" s="43"/>
      <c r="L3594" s="43">
        <v>0.24199999999999999</v>
      </c>
      <c r="O3594" s="50"/>
    </row>
    <row r="3595" spans="2:15" x14ac:dyDescent="0.2">
      <c r="B3595">
        <v>3580</v>
      </c>
      <c r="C3595" s="48">
        <f ca="1"/>
        <v>-0.60830184453776981</v>
      </c>
      <c r="D3595" s="48">
        <f t="shared" ca="1" si="205"/>
        <v>0.62582608146697261</v>
      </c>
      <c r="E3595" s="48">
        <f t="shared" ca="1" si="206"/>
        <v>0</v>
      </c>
      <c r="F3595" s="17">
        <f t="shared" ca="1" si="207"/>
        <v>0</v>
      </c>
      <c r="H3595" s="17">
        <v>3580</v>
      </c>
      <c r="I3595" s="43">
        <v>0.66939953281266473</v>
      </c>
      <c r="J3595" s="43">
        <v>1.9750509830959388E-2</v>
      </c>
      <c r="K3595" s="43"/>
      <c r="L3595" s="43">
        <v>0.25219999999999998</v>
      </c>
      <c r="O3595" s="50"/>
    </row>
    <row r="3596" spans="2:15" x14ac:dyDescent="0.2">
      <c r="B3596">
        <v>3581</v>
      </c>
      <c r="C3596" s="48">
        <f ca="1"/>
        <v>0.12841339734281593</v>
      </c>
      <c r="D3596" s="48">
        <f t="shared" ca="1" si="205"/>
        <v>0.6729717812576036</v>
      </c>
      <c r="E3596" s="48">
        <f t="shared" ca="1" si="206"/>
        <v>0</v>
      </c>
      <c r="F3596" s="17">
        <f t="shared" ca="1" si="207"/>
        <v>0</v>
      </c>
      <c r="H3596" s="17">
        <v>3581</v>
      </c>
      <c r="I3596" s="43">
        <v>0.66847241883111042</v>
      </c>
      <c r="J3596" s="43">
        <v>1.9001580571867689E-2</v>
      </c>
      <c r="K3596" s="43"/>
      <c r="L3596" s="43">
        <v>0.24360000000000001</v>
      </c>
      <c r="O3596" s="50"/>
    </row>
    <row r="3597" spans="2:15" x14ac:dyDescent="0.2">
      <c r="B3597">
        <v>3582</v>
      </c>
      <c r="C3597" s="48">
        <f ca="1"/>
        <v>0.1550582741053233</v>
      </c>
      <c r="D3597" s="48">
        <f t="shared" ca="1" si="205"/>
        <v>0.67474190174530801</v>
      </c>
      <c r="E3597" s="48">
        <f t="shared" ca="1" si="206"/>
        <v>0</v>
      </c>
      <c r="F3597" s="17">
        <f t="shared" ca="1" si="207"/>
        <v>0</v>
      </c>
      <c r="H3597" s="17">
        <v>3582</v>
      </c>
      <c r="I3597" s="43">
        <v>0.66918047630411071</v>
      </c>
      <c r="J3597" s="43">
        <v>1.9718968414968854E-2</v>
      </c>
      <c r="K3597" s="43"/>
      <c r="L3597" s="43">
        <v>0.25879999999999997</v>
      </c>
      <c r="O3597" s="50"/>
    </row>
    <row r="3598" spans="2:15" x14ac:dyDescent="0.2">
      <c r="B3598">
        <v>3583</v>
      </c>
      <c r="C3598" s="48">
        <f ca="1"/>
        <v>1.3927283240350936</v>
      </c>
      <c r="D3598" s="48">
        <f t="shared" ca="1" si="205"/>
        <v>0.76230673081210898</v>
      </c>
      <c r="E3598" s="48">
        <f t="shared" ca="1" si="206"/>
        <v>0</v>
      </c>
      <c r="F3598" s="17">
        <f t="shared" ca="1" si="207"/>
        <v>0</v>
      </c>
      <c r="H3598" s="17">
        <v>3583</v>
      </c>
      <c r="I3598" s="43">
        <v>0.66978263441232089</v>
      </c>
      <c r="J3598" s="43">
        <v>1.9951924483407987E-2</v>
      </c>
      <c r="K3598" s="43"/>
      <c r="L3598" s="43">
        <v>0.25600000000000001</v>
      </c>
      <c r="O3598" s="50"/>
    </row>
    <row r="3599" spans="2:15" x14ac:dyDescent="0.2">
      <c r="B3599">
        <v>3584</v>
      </c>
      <c r="C3599" s="48">
        <f ca="1"/>
        <v>1.0695502494038791</v>
      </c>
      <c r="D3599" s="48">
        <f t="shared" ca="1" si="205"/>
        <v>0.73840148914965742</v>
      </c>
      <c r="E3599" s="48">
        <f t="shared" ca="1" si="206"/>
        <v>0</v>
      </c>
      <c r="F3599" s="17">
        <f t="shared" ca="1" si="207"/>
        <v>0</v>
      </c>
      <c r="H3599" s="17">
        <v>3584</v>
      </c>
      <c r="I3599" s="43">
        <v>0.66834148993846942</v>
      </c>
      <c r="J3599" s="43">
        <v>1.8873340462456683E-2</v>
      </c>
      <c r="K3599" s="43"/>
      <c r="L3599" s="43">
        <v>0.24279999999999999</v>
      </c>
      <c r="O3599" s="50"/>
    </row>
    <row r="3600" spans="2:15" x14ac:dyDescent="0.2">
      <c r="B3600">
        <v>3585</v>
      </c>
      <c r="C3600" s="48">
        <f ca="1"/>
        <v>-0.59424813384267827</v>
      </c>
      <c r="D3600" s="48">
        <f t="shared" ref="D3600:D3663" ca="1" si="208">S0*EXP((μ-0.5*σ*σ)*T+σ*SQRT(T)*$C3600)</f>
        <v>0.62669377684613592</v>
      </c>
      <c r="E3600" s="48">
        <f t="shared" ref="E3600:E3663" ca="1" si="209">MAX(0,CP*(D3600-K))</f>
        <v>0</v>
      </c>
      <c r="F3600" s="17">
        <f t="shared" ref="F3600:F3663" ca="1" si="210">(CP*(D3600-K)&gt;0)*1</f>
        <v>0</v>
      </c>
      <c r="H3600" s="17">
        <v>3585</v>
      </c>
      <c r="I3600" s="43">
        <v>0.66887679886114493</v>
      </c>
      <c r="J3600" s="43">
        <v>1.9347275965631482E-2</v>
      </c>
      <c r="K3600" s="43"/>
      <c r="L3600" s="43">
        <v>0.25180000000000002</v>
      </c>
      <c r="O3600" s="50"/>
    </row>
    <row r="3601" spans="2:15" x14ac:dyDescent="0.2">
      <c r="B3601">
        <v>3586</v>
      </c>
      <c r="C3601" s="48">
        <f ca="1"/>
        <v>0.84459968303980582</v>
      </c>
      <c r="D3601" s="48">
        <f t="shared" ca="1" si="208"/>
        <v>0.72220598266679692</v>
      </c>
      <c r="E3601" s="48">
        <f t="shared" ca="1" si="209"/>
        <v>0</v>
      </c>
      <c r="F3601" s="17">
        <f t="shared" ca="1" si="210"/>
        <v>0</v>
      </c>
      <c r="H3601" s="17">
        <v>3586</v>
      </c>
      <c r="I3601" s="43">
        <v>0.66905451077286049</v>
      </c>
      <c r="J3601" s="43">
        <v>1.9699463873404939E-2</v>
      </c>
      <c r="K3601" s="43"/>
      <c r="L3601" s="43">
        <v>0.25619999999999998</v>
      </c>
      <c r="O3601" s="50"/>
    </row>
    <row r="3602" spans="2:15" x14ac:dyDescent="0.2">
      <c r="B3602">
        <v>3587</v>
      </c>
      <c r="C3602" s="48">
        <f ca="1"/>
        <v>1.3474675148019537</v>
      </c>
      <c r="D3602" s="48">
        <f t="shared" ca="1" si="208"/>
        <v>0.75891278263608331</v>
      </c>
      <c r="E3602" s="48">
        <f t="shared" ca="1" si="209"/>
        <v>0</v>
      </c>
      <c r="F3602" s="17">
        <f t="shared" ca="1" si="210"/>
        <v>0</v>
      </c>
      <c r="H3602" s="17">
        <v>3587</v>
      </c>
      <c r="I3602" s="43">
        <v>0.66971631200225701</v>
      </c>
      <c r="J3602" s="43">
        <v>2.0003178694809779E-2</v>
      </c>
      <c r="K3602" s="43"/>
      <c r="L3602" s="43">
        <v>0.25840000000000002</v>
      </c>
      <c r="O3602" s="50"/>
    </row>
    <row r="3603" spans="2:15" x14ac:dyDescent="0.2">
      <c r="B3603">
        <v>3588</v>
      </c>
      <c r="C3603" s="48">
        <f ca="1"/>
        <v>-0.21301575538880219</v>
      </c>
      <c r="D3603" s="48">
        <f t="shared" ca="1" si="208"/>
        <v>0.65069613239368618</v>
      </c>
      <c r="E3603" s="48">
        <f t="shared" ca="1" si="209"/>
        <v>0</v>
      </c>
      <c r="F3603" s="17">
        <f t="shared" ca="1" si="210"/>
        <v>0</v>
      </c>
      <c r="H3603" s="17">
        <v>3588</v>
      </c>
      <c r="I3603" s="43">
        <v>0.66885241676552409</v>
      </c>
      <c r="J3603" s="43">
        <v>1.9365499475833808E-2</v>
      </c>
      <c r="K3603" s="43"/>
      <c r="L3603" s="43">
        <v>0.25419999999999998</v>
      </c>
      <c r="O3603" s="50"/>
    </row>
    <row r="3604" spans="2:15" x14ac:dyDescent="0.2">
      <c r="B3604">
        <v>3589</v>
      </c>
      <c r="C3604" s="48">
        <f ca="1"/>
        <v>-1.6247222159934789</v>
      </c>
      <c r="D3604" s="48">
        <f t="shared" ca="1" si="208"/>
        <v>0.5661540389227776</v>
      </c>
      <c r="E3604" s="48">
        <f t="shared" ca="1" si="209"/>
        <v>0</v>
      </c>
      <c r="F3604" s="17">
        <f t="shared" ca="1" si="210"/>
        <v>0</v>
      </c>
      <c r="H3604" s="17">
        <v>3589</v>
      </c>
      <c r="I3604" s="43">
        <v>0.6695356108127416</v>
      </c>
      <c r="J3604" s="43">
        <v>1.9746906729618919E-2</v>
      </c>
      <c r="K3604" s="43"/>
      <c r="L3604" s="43">
        <v>0.24979999999999999</v>
      </c>
      <c r="O3604" s="50"/>
    </row>
    <row r="3605" spans="2:15" x14ac:dyDescent="0.2">
      <c r="B3605">
        <v>3590</v>
      </c>
      <c r="C3605" s="48">
        <f ca="1"/>
        <v>-1.9602684713868115</v>
      </c>
      <c r="D3605" s="48">
        <f t="shared" ca="1" si="208"/>
        <v>0.54773168353168855</v>
      </c>
      <c r="E3605" s="48">
        <f t="shared" ca="1" si="209"/>
        <v>0</v>
      </c>
      <c r="F3605" s="17">
        <f t="shared" ca="1" si="210"/>
        <v>0</v>
      </c>
      <c r="H3605" s="17">
        <v>3590</v>
      </c>
      <c r="I3605" s="43">
        <v>0.66767243681966471</v>
      </c>
      <c r="J3605" s="43">
        <v>1.8368058524138482E-2</v>
      </c>
      <c r="K3605" s="43"/>
      <c r="L3605" s="43">
        <v>0.2482</v>
      </c>
      <c r="O3605" s="50"/>
    </row>
    <row r="3606" spans="2:15" x14ac:dyDescent="0.2">
      <c r="B3606">
        <v>3591</v>
      </c>
      <c r="C3606" s="48">
        <f ca="1"/>
        <v>0.89690085489253324</v>
      </c>
      <c r="D3606" s="48">
        <f t="shared" ca="1" si="208"/>
        <v>0.7259394672854842</v>
      </c>
      <c r="E3606" s="48">
        <f t="shared" ca="1" si="209"/>
        <v>0</v>
      </c>
      <c r="F3606" s="17">
        <f t="shared" ca="1" si="210"/>
        <v>0</v>
      </c>
      <c r="H3606" s="17">
        <v>3591</v>
      </c>
      <c r="I3606" s="43">
        <v>0.66802093224652792</v>
      </c>
      <c r="J3606" s="43">
        <v>1.8811935508994709E-2</v>
      </c>
      <c r="K3606" s="43"/>
      <c r="L3606" s="43">
        <v>0.24959999999999999</v>
      </c>
      <c r="O3606" s="50"/>
    </row>
    <row r="3607" spans="2:15" x14ac:dyDescent="0.2">
      <c r="B3607">
        <v>3592</v>
      </c>
      <c r="C3607" s="48">
        <f ca="1"/>
        <v>-0.61241035572249702</v>
      </c>
      <c r="D3607" s="48">
        <f t="shared" ca="1" si="208"/>
        <v>0.62557264336896279</v>
      </c>
      <c r="E3607" s="48">
        <f t="shared" ca="1" si="209"/>
        <v>0</v>
      </c>
      <c r="F3607" s="17">
        <f t="shared" ca="1" si="210"/>
        <v>0</v>
      </c>
      <c r="H3607" s="17">
        <v>3592</v>
      </c>
      <c r="I3607" s="43">
        <v>0.66755557694652112</v>
      </c>
      <c r="J3607" s="43">
        <v>1.8543567939768902E-2</v>
      </c>
      <c r="K3607" s="43"/>
      <c r="L3607" s="43">
        <v>0.25159999999999999</v>
      </c>
      <c r="O3607" s="50"/>
    </row>
    <row r="3608" spans="2:15" x14ac:dyDescent="0.2">
      <c r="B3608">
        <v>3593</v>
      </c>
      <c r="C3608" s="48">
        <f ca="1"/>
        <v>-0.32729331228875624</v>
      </c>
      <c r="D3608" s="48">
        <f t="shared" ca="1" si="208"/>
        <v>0.64340631354312716</v>
      </c>
      <c r="E3608" s="48">
        <f t="shared" ca="1" si="209"/>
        <v>0</v>
      </c>
      <c r="F3608" s="17">
        <f t="shared" ca="1" si="210"/>
        <v>0</v>
      </c>
      <c r="H3608" s="17">
        <v>3593</v>
      </c>
      <c r="I3608" s="43">
        <v>0.66997418655127905</v>
      </c>
      <c r="J3608" s="43">
        <v>2.0025275020596322E-2</v>
      </c>
      <c r="K3608" s="43"/>
      <c r="L3608" s="43">
        <v>0.253</v>
      </c>
      <c r="O3608" s="50"/>
    </row>
    <row r="3609" spans="2:15" x14ac:dyDescent="0.2">
      <c r="B3609">
        <v>3594</v>
      </c>
      <c r="C3609" s="48">
        <f ca="1"/>
        <v>-0.24740295999573073</v>
      </c>
      <c r="D3609" s="48">
        <f t="shared" ca="1" si="208"/>
        <v>0.64849391156717506</v>
      </c>
      <c r="E3609" s="48">
        <f t="shared" ca="1" si="209"/>
        <v>0</v>
      </c>
      <c r="F3609" s="17">
        <f t="shared" ca="1" si="210"/>
        <v>0</v>
      </c>
      <c r="H3609" s="17">
        <v>3594</v>
      </c>
      <c r="I3609" s="43">
        <v>0.66895451482601298</v>
      </c>
      <c r="J3609" s="43">
        <v>1.9267343197746149E-2</v>
      </c>
      <c r="K3609" s="43"/>
      <c r="L3609" s="43">
        <v>0.25019999999999998</v>
      </c>
      <c r="O3609" s="50"/>
    </row>
    <row r="3610" spans="2:15" x14ac:dyDescent="0.2">
      <c r="B3610">
        <v>3595</v>
      </c>
      <c r="C3610" s="48">
        <f ca="1"/>
        <v>-0.87555525809288071</v>
      </c>
      <c r="D3610" s="48">
        <f t="shared" ca="1" si="208"/>
        <v>0.60955224895911142</v>
      </c>
      <c r="E3610" s="48">
        <f t="shared" ca="1" si="209"/>
        <v>0</v>
      </c>
      <c r="F3610" s="17">
        <f t="shared" ca="1" si="210"/>
        <v>0</v>
      </c>
      <c r="H3610" s="17">
        <v>3595</v>
      </c>
      <c r="I3610" s="43">
        <v>0.66700707274006266</v>
      </c>
      <c r="J3610" s="43">
        <v>1.7837898922752747E-2</v>
      </c>
      <c r="K3610" s="43"/>
      <c r="L3610" s="43">
        <v>0.245</v>
      </c>
      <c r="O3610" s="50"/>
    </row>
    <row r="3611" spans="2:15" x14ac:dyDescent="0.2">
      <c r="B3611">
        <v>3596</v>
      </c>
      <c r="C3611" s="48">
        <f ca="1"/>
        <v>0.12153655446551376</v>
      </c>
      <c r="D3611" s="48">
        <f t="shared" ca="1" si="208"/>
        <v>0.67251568084506164</v>
      </c>
      <c r="E3611" s="48">
        <f t="shared" ca="1" si="209"/>
        <v>0</v>
      </c>
      <c r="F3611" s="17">
        <f t="shared" ca="1" si="210"/>
        <v>0</v>
      </c>
      <c r="H3611" s="17">
        <v>3596</v>
      </c>
      <c r="I3611" s="43">
        <v>0.66920556295881739</v>
      </c>
      <c r="J3611" s="43">
        <v>1.9520929917847117E-2</v>
      </c>
      <c r="K3611" s="43"/>
      <c r="L3611" s="43">
        <v>0.25059999999999999</v>
      </c>
      <c r="O3611" s="50"/>
    </row>
    <row r="3612" spans="2:15" x14ac:dyDescent="0.2">
      <c r="B3612">
        <v>3597</v>
      </c>
      <c r="C3612" s="48">
        <f ca="1"/>
        <v>0.62208940458890505</v>
      </c>
      <c r="D3612" s="48">
        <f t="shared" ca="1" si="208"/>
        <v>0.70653565462532353</v>
      </c>
      <c r="E3612" s="48">
        <f t="shared" ca="1" si="209"/>
        <v>0</v>
      </c>
      <c r="F3612" s="17">
        <f t="shared" ca="1" si="210"/>
        <v>0</v>
      </c>
      <c r="H3612" s="17">
        <v>3597</v>
      </c>
      <c r="I3612" s="43">
        <v>0.66894410532413118</v>
      </c>
      <c r="J3612" s="43">
        <v>1.9222136713936584E-2</v>
      </c>
      <c r="K3612" s="43"/>
      <c r="L3612" s="43">
        <v>0.25</v>
      </c>
      <c r="O3612" s="50"/>
    </row>
    <row r="3613" spans="2:15" x14ac:dyDescent="0.2">
      <c r="B3613">
        <v>3598</v>
      </c>
      <c r="C3613" s="48">
        <f ca="1"/>
        <v>0.45276463023211516</v>
      </c>
      <c r="D3613" s="48">
        <f t="shared" ca="1" si="208"/>
        <v>0.69483914055974805</v>
      </c>
      <c r="E3613" s="48">
        <f t="shared" ca="1" si="209"/>
        <v>0</v>
      </c>
      <c r="F3613" s="17">
        <f t="shared" ca="1" si="210"/>
        <v>0</v>
      </c>
      <c r="H3613" s="17">
        <v>3598</v>
      </c>
      <c r="I3613" s="43">
        <v>0.66906360978326929</v>
      </c>
      <c r="J3613" s="43">
        <v>1.9626073730186266E-2</v>
      </c>
      <c r="K3613" s="43"/>
      <c r="L3613" s="43">
        <v>0.25440000000000002</v>
      </c>
      <c r="O3613" s="50"/>
    </row>
    <row r="3614" spans="2:15" x14ac:dyDescent="0.2">
      <c r="B3614">
        <v>3599</v>
      </c>
      <c r="C3614" s="48">
        <f ca="1"/>
        <v>-0.82113864904250022</v>
      </c>
      <c r="D3614" s="48">
        <f t="shared" ca="1" si="208"/>
        <v>0.61283115978245573</v>
      </c>
      <c r="E3614" s="48">
        <f t="shared" ca="1" si="209"/>
        <v>0</v>
      </c>
      <c r="F3614" s="17">
        <f t="shared" ca="1" si="210"/>
        <v>0</v>
      </c>
      <c r="H3614" s="17">
        <v>3599</v>
      </c>
      <c r="I3614" s="43">
        <v>0.67027023596411828</v>
      </c>
      <c r="J3614" s="43">
        <v>1.9970371213554015E-2</v>
      </c>
      <c r="K3614" s="43"/>
      <c r="L3614" s="43">
        <v>0.253</v>
      </c>
      <c r="O3614" s="50"/>
    </row>
    <row r="3615" spans="2:15" x14ac:dyDescent="0.2">
      <c r="B3615">
        <v>3600</v>
      </c>
      <c r="C3615" s="48">
        <f ca="1"/>
        <v>0.28233148130987146</v>
      </c>
      <c r="D3615" s="48">
        <f t="shared" ca="1" si="208"/>
        <v>0.68326159390988461</v>
      </c>
      <c r="E3615" s="48">
        <f t="shared" ca="1" si="209"/>
        <v>0</v>
      </c>
      <c r="F3615" s="17">
        <f t="shared" ca="1" si="210"/>
        <v>0</v>
      </c>
      <c r="H3615" s="17">
        <v>3600</v>
      </c>
      <c r="I3615" s="43">
        <v>0.6691951662421618</v>
      </c>
      <c r="J3615" s="43">
        <v>1.959179672492389E-2</v>
      </c>
      <c r="K3615" s="43"/>
      <c r="L3615" s="43">
        <v>0.25180000000000002</v>
      </c>
      <c r="O3615" s="50"/>
    </row>
    <row r="3616" spans="2:15" x14ac:dyDescent="0.2">
      <c r="B3616">
        <v>3601</v>
      </c>
      <c r="C3616" s="48">
        <f ca="1"/>
        <v>-0.79062367543884182</v>
      </c>
      <c r="D3616" s="48">
        <f t="shared" ca="1" si="208"/>
        <v>0.61467757336638285</v>
      </c>
      <c r="E3616" s="48">
        <f t="shared" ca="1" si="209"/>
        <v>0</v>
      </c>
      <c r="F3616" s="17">
        <f t="shared" ca="1" si="210"/>
        <v>0</v>
      </c>
      <c r="H3616" s="17">
        <v>3601</v>
      </c>
      <c r="I3616" s="43">
        <v>0.66919340939102268</v>
      </c>
      <c r="J3616" s="43">
        <v>1.9366359758121558E-2</v>
      </c>
      <c r="K3616" s="43"/>
      <c r="L3616" s="43">
        <v>0.24179999999999999</v>
      </c>
      <c r="O3616" s="50"/>
    </row>
    <row r="3617" spans="2:15" x14ac:dyDescent="0.2">
      <c r="B3617">
        <v>3602</v>
      </c>
      <c r="C3617" s="48">
        <f ca="1"/>
        <v>0.73362460768162496</v>
      </c>
      <c r="D3617" s="48">
        <f t="shared" ca="1" si="208"/>
        <v>0.71434757304368968</v>
      </c>
      <c r="E3617" s="48">
        <f t="shared" ca="1" si="209"/>
        <v>0</v>
      </c>
      <c r="F3617" s="17">
        <f t="shared" ca="1" si="210"/>
        <v>0</v>
      </c>
      <c r="H3617" s="17">
        <v>3602</v>
      </c>
      <c r="I3617" s="43">
        <v>0.66752184423029026</v>
      </c>
      <c r="J3617" s="43">
        <v>1.8326920998808491E-2</v>
      </c>
      <c r="K3617" s="43"/>
      <c r="L3617" s="43">
        <v>0.24540000000000001</v>
      </c>
      <c r="O3617" s="50"/>
    </row>
    <row r="3618" spans="2:15" x14ac:dyDescent="0.2">
      <c r="B3618">
        <v>3603</v>
      </c>
      <c r="C3618" s="48">
        <f ca="1"/>
        <v>-0.5337719791801161</v>
      </c>
      <c r="D3618" s="48">
        <f t="shared" ca="1" si="208"/>
        <v>0.6304414058231701</v>
      </c>
      <c r="E3618" s="48">
        <f t="shared" ca="1" si="209"/>
        <v>0</v>
      </c>
      <c r="F3618" s="17">
        <f t="shared" ca="1" si="210"/>
        <v>0</v>
      </c>
      <c r="H3618" s="17">
        <v>3603</v>
      </c>
      <c r="I3618" s="43">
        <v>0.66876904698357131</v>
      </c>
      <c r="J3618" s="43">
        <v>1.9129593438287559E-2</v>
      </c>
      <c r="K3618" s="43"/>
      <c r="L3618" s="43">
        <v>0.25380000000000003</v>
      </c>
      <c r="O3618" s="50"/>
    </row>
    <row r="3619" spans="2:15" x14ac:dyDescent="0.2">
      <c r="B3619">
        <v>3604</v>
      </c>
      <c r="C3619" s="48">
        <f ca="1"/>
        <v>-0.57932920657270759</v>
      </c>
      <c r="D3619" s="48">
        <f t="shared" ca="1" si="208"/>
        <v>0.62761620834128795</v>
      </c>
      <c r="E3619" s="48">
        <f t="shared" ca="1" si="209"/>
        <v>0</v>
      </c>
      <c r="F3619" s="17">
        <f t="shared" ca="1" si="210"/>
        <v>0</v>
      </c>
      <c r="H3619" s="17">
        <v>3604</v>
      </c>
      <c r="I3619" s="43">
        <v>0.66877965145499285</v>
      </c>
      <c r="J3619" s="43">
        <v>1.9116655276864243E-2</v>
      </c>
      <c r="K3619" s="43"/>
      <c r="L3619" s="43">
        <v>0.248</v>
      </c>
      <c r="O3619" s="50"/>
    </row>
    <row r="3620" spans="2:15" x14ac:dyDescent="0.2">
      <c r="B3620">
        <v>3605</v>
      </c>
      <c r="C3620" s="48">
        <f ca="1"/>
        <v>-0.68238125952238249</v>
      </c>
      <c r="D3620" s="48">
        <f t="shared" ca="1" si="208"/>
        <v>0.62127213421021443</v>
      </c>
      <c r="E3620" s="48">
        <f t="shared" ca="1" si="209"/>
        <v>0</v>
      </c>
      <c r="F3620" s="17">
        <f t="shared" ca="1" si="210"/>
        <v>0</v>
      </c>
      <c r="H3620" s="17">
        <v>3605</v>
      </c>
      <c r="I3620" s="43">
        <v>0.66947495905965893</v>
      </c>
      <c r="J3620" s="43">
        <v>1.9897472462428952E-2</v>
      </c>
      <c r="K3620" s="43"/>
      <c r="L3620" s="43">
        <v>0.25240000000000001</v>
      </c>
      <c r="O3620" s="50"/>
    </row>
    <row r="3621" spans="2:15" x14ac:dyDescent="0.2">
      <c r="B3621">
        <v>3606</v>
      </c>
      <c r="C3621" s="48">
        <f ca="1"/>
        <v>-0.49057113136928887</v>
      </c>
      <c r="D3621" s="48">
        <f t="shared" ca="1" si="208"/>
        <v>0.63313222113968015</v>
      </c>
      <c r="E3621" s="48">
        <f t="shared" ca="1" si="209"/>
        <v>0</v>
      </c>
      <c r="F3621" s="17">
        <f t="shared" ca="1" si="210"/>
        <v>0</v>
      </c>
      <c r="H3621" s="17">
        <v>3606</v>
      </c>
      <c r="I3621" s="43">
        <v>0.66821613761535292</v>
      </c>
      <c r="J3621" s="43">
        <v>1.8705845601090839E-2</v>
      </c>
      <c r="K3621" s="43"/>
      <c r="L3621" s="43">
        <v>0.24660000000000001</v>
      </c>
      <c r="O3621" s="50"/>
    </row>
    <row r="3622" spans="2:15" x14ac:dyDescent="0.2">
      <c r="B3622">
        <v>3607</v>
      </c>
      <c r="C3622" s="48">
        <f ca="1"/>
        <v>0.87332467464769648</v>
      </c>
      <c r="D3622" s="48">
        <f t="shared" ca="1" si="208"/>
        <v>0.7242541140037041</v>
      </c>
      <c r="E3622" s="48">
        <f t="shared" ca="1" si="209"/>
        <v>0</v>
      </c>
      <c r="F3622" s="17">
        <f t="shared" ca="1" si="210"/>
        <v>0</v>
      </c>
      <c r="H3622" s="17">
        <v>3607</v>
      </c>
      <c r="I3622" s="43">
        <v>0.66857710650115676</v>
      </c>
      <c r="J3622" s="43">
        <v>1.9205661570456476E-2</v>
      </c>
      <c r="K3622" s="43"/>
      <c r="L3622" s="43">
        <v>0.254</v>
      </c>
      <c r="O3622" s="50"/>
    </row>
    <row r="3623" spans="2:15" x14ac:dyDescent="0.2">
      <c r="B3623">
        <v>3608</v>
      </c>
      <c r="C3623" s="48">
        <f ca="1"/>
        <v>1.0714065113402438</v>
      </c>
      <c r="D3623" s="48">
        <f t="shared" ca="1" si="208"/>
        <v>0.73853663206493114</v>
      </c>
      <c r="E3623" s="48">
        <f t="shared" ca="1" si="209"/>
        <v>0</v>
      </c>
      <c r="F3623" s="17">
        <f t="shared" ca="1" si="210"/>
        <v>0</v>
      </c>
      <c r="H3623" s="17">
        <v>3608</v>
      </c>
      <c r="I3623" s="43">
        <v>0.66890485983702219</v>
      </c>
      <c r="J3623" s="43">
        <v>1.9541373635718395E-2</v>
      </c>
      <c r="K3623" s="43"/>
      <c r="L3623" s="43">
        <v>0.251</v>
      </c>
      <c r="O3623" s="50"/>
    </row>
    <row r="3624" spans="2:15" x14ac:dyDescent="0.2">
      <c r="B3624">
        <v>3609</v>
      </c>
      <c r="C3624" s="48">
        <f ca="1"/>
        <v>-0.90749174813398381</v>
      </c>
      <c r="D3624" s="48">
        <f t="shared" ca="1" si="208"/>
        <v>0.6076360688609882</v>
      </c>
      <c r="E3624" s="48">
        <f t="shared" ca="1" si="209"/>
        <v>0</v>
      </c>
      <c r="F3624" s="17">
        <f t="shared" ca="1" si="210"/>
        <v>0</v>
      </c>
      <c r="H3624" s="17">
        <v>3609</v>
      </c>
      <c r="I3624" s="43">
        <v>0.66990335429456238</v>
      </c>
      <c r="J3624" s="43">
        <v>1.9872373767840373E-2</v>
      </c>
      <c r="K3624" s="43"/>
      <c r="L3624" s="43">
        <v>0.24759999999999999</v>
      </c>
      <c r="O3624" s="50"/>
    </row>
    <row r="3625" spans="2:15" x14ac:dyDescent="0.2">
      <c r="B3625">
        <v>3610</v>
      </c>
      <c r="C3625" s="48">
        <f ca="1"/>
        <v>0.41746720636037798</v>
      </c>
      <c r="D3625" s="48">
        <f t="shared" ca="1" si="208"/>
        <v>0.69242538338779192</v>
      </c>
      <c r="E3625" s="48">
        <f t="shared" ca="1" si="209"/>
        <v>0</v>
      </c>
      <c r="F3625" s="17">
        <f t="shared" ca="1" si="210"/>
        <v>0</v>
      </c>
      <c r="H3625" s="17">
        <v>3610</v>
      </c>
      <c r="I3625" s="43">
        <v>0.66905911684281349</v>
      </c>
      <c r="J3625" s="43">
        <v>1.9177124991002686E-2</v>
      </c>
      <c r="K3625" s="43"/>
      <c r="L3625" s="43">
        <v>0.25</v>
      </c>
      <c r="O3625" s="50"/>
    </row>
    <row r="3626" spans="2:15" x14ac:dyDescent="0.2">
      <c r="B3626">
        <v>3611</v>
      </c>
      <c r="C3626" s="48">
        <f ca="1"/>
        <v>0.94430323685847206</v>
      </c>
      <c r="D3626" s="48">
        <f t="shared" ca="1" si="208"/>
        <v>0.72933992579109874</v>
      </c>
      <c r="E3626" s="48">
        <f t="shared" ca="1" si="209"/>
        <v>0</v>
      </c>
      <c r="F3626" s="17">
        <f t="shared" ca="1" si="210"/>
        <v>0</v>
      </c>
      <c r="H3626" s="17">
        <v>3611</v>
      </c>
      <c r="I3626" s="43">
        <v>0.6682850756315083</v>
      </c>
      <c r="J3626" s="43">
        <v>1.8987828587481177E-2</v>
      </c>
      <c r="K3626" s="43"/>
      <c r="L3626" s="43">
        <v>0.248</v>
      </c>
      <c r="O3626" s="50"/>
    </row>
    <row r="3627" spans="2:15" x14ac:dyDescent="0.2">
      <c r="B3627">
        <v>3612</v>
      </c>
      <c r="C3627" s="48">
        <f ca="1"/>
        <v>0.56401759437624388</v>
      </c>
      <c r="D3627" s="48">
        <f t="shared" ca="1" si="208"/>
        <v>0.70250218714723245</v>
      </c>
      <c r="E3627" s="48">
        <f t="shared" ca="1" si="209"/>
        <v>0</v>
      </c>
      <c r="F3627" s="17">
        <f t="shared" ca="1" si="210"/>
        <v>0</v>
      </c>
      <c r="H3627" s="17">
        <v>3612</v>
      </c>
      <c r="I3627" s="43">
        <v>0.66877509244955902</v>
      </c>
      <c r="J3627" s="43">
        <v>1.9291331669169035E-2</v>
      </c>
      <c r="K3627" s="43"/>
      <c r="L3627" s="43">
        <v>0.2482</v>
      </c>
      <c r="O3627" s="50"/>
    </row>
    <row r="3628" spans="2:15" x14ac:dyDescent="0.2">
      <c r="B3628">
        <v>3613</v>
      </c>
      <c r="C3628" s="48">
        <f ca="1"/>
        <v>-1.5585354415251758</v>
      </c>
      <c r="D3628" s="48">
        <f t="shared" ca="1" si="208"/>
        <v>0.5698603788144263</v>
      </c>
      <c r="E3628" s="48">
        <f t="shared" ca="1" si="209"/>
        <v>0</v>
      </c>
      <c r="F3628" s="17">
        <f t="shared" ca="1" si="210"/>
        <v>0</v>
      </c>
      <c r="H3628" s="17">
        <v>3613</v>
      </c>
      <c r="I3628" s="43">
        <v>0.66736558475276508</v>
      </c>
      <c r="J3628" s="43">
        <v>1.8433110490120422E-2</v>
      </c>
      <c r="K3628" s="43"/>
      <c r="L3628" s="43">
        <v>0.2472</v>
      </c>
      <c r="O3628" s="50"/>
    </row>
    <row r="3629" spans="2:15" x14ac:dyDescent="0.2">
      <c r="B3629">
        <v>3614</v>
      </c>
      <c r="C3629" s="48">
        <f ca="1"/>
        <v>-0.16369618435093586</v>
      </c>
      <c r="D3629" s="48">
        <f t="shared" ca="1" si="208"/>
        <v>0.65386771113079534</v>
      </c>
      <c r="E3629" s="48">
        <f t="shared" ca="1" si="209"/>
        <v>0</v>
      </c>
      <c r="F3629" s="17">
        <f t="shared" ca="1" si="210"/>
        <v>0</v>
      </c>
      <c r="H3629" s="17">
        <v>3614</v>
      </c>
      <c r="I3629" s="43">
        <v>0.66961984690458431</v>
      </c>
      <c r="J3629" s="43">
        <v>1.9892169044616003E-2</v>
      </c>
      <c r="K3629" s="43"/>
      <c r="L3629" s="43">
        <v>0.25319999999999998</v>
      </c>
      <c r="O3629" s="50"/>
    </row>
    <row r="3630" spans="2:15" x14ac:dyDescent="0.2">
      <c r="B3630">
        <v>3615</v>
      </c>
      <c r="C3630" s="48">
        <f ca="1"/>
        <v>0.35724269584592966</v>
      </c>
      <c r="D3630" s="48">
        <f t="shared" ca="1" si="208"/>
        <v>0.68832637005117658</v>
      </c>
      <c r="E3630" s="48">
        <f t="shared" ca="1" si="209"/>
        <v>0</v>
      </c>
      <c r="F3630" s="17">
        <f t="shared" ca="1" si="210"/>
        <v>0</v>
      </c>
      <c r="H3630" s="17">
        <v>3615</v>
      </c>
      <c r="I3630" s="43">
        <v>0.66968579600739608</v>
      </c>
      <c r="J3630" s="43">
        <v>1.9974186359302544E-2</v>
      </c>
      <c r="K3630" s="43"/>
      <c r="L3630" s="43">
        <v>0.249</v>
      </c>
      <c r="O3630" s="50"/>
    </row>
    <row r="3631" spans="2:15" x14ac:dyDescent="0.2">
      <c r="B3631">
        <v>3616</v>
      </c>
      <c r="C3631" s="48">
        <f ca="1"/>
        <v>0.76650484051456613</v>
      </c>
      <c r="D3631" s="48">
        <f t="shared" ca="1" si="208"/>
        <v>0.71666694428782807</v>
      </c>
      <c r="E3631" s="48">
        <f t="shared" ca="1" si="209"/>
        <v>0</v>
      </c>
      <c r="F3631" s="17">
        <f t="shared" ca="1" si="210"/>
        <v>0</v>
      </c>
      <c r="H3631" s="17">
        <v>3616</v>
      </c>
      <c r="I3631" s="43">
        <v>0.66805593138217145</v>
      </c>
      <c r="J3631" s="43">
        <v>1.8984745298519561E-2</v>
      </c>
      <c r="K3631" s="43"/>
      <c r="L3631" s="43">
        <v>0.25040000000000001</v>
      </c>
      <c r="O3631" s="50"/>
    </row>
    <row r="3632" spans="2:15" x14ac:dyDescent="0.2">
      <c r="B3632">
        <v>3617</v>
      </c>
      <c r="C3632" s="48">
        <f ca="1"/>
        <v>0.8502032273828779</v>
      </c>
      <c r="D3632" s="48">
        <f t="shared" ca="1" si="208"/>
        <v>0.7226050678292617</v>
      </c>
      <c r="E3632" s="48">
        <f t="shared" ca="1" si="209"/>
        <v>0</v>
      </c>
      <c r="F3632" s="17">
        <f t="shared" ca="1" si="210"/>
        <v>0</v>
      </c>
      <c r="H3632" s="17">
        <v>3617</v>
      </c>
      <c r="I3632" s="43">
        <v>0.6682575880860181</v>
      </c>
      <c r="J3632" s="43">
        <v>1.8971358972392598E-2</v>
      </c>
      <c r="K3632" s="43"/>
      <c r="L3632" s="43">
        <v>0.25219999999999998</v>
      </c>
      <c r="O3632" s="50"/>
    </row>
    <row r="3633" spans="2:15" x14ac:dyDescent="0.2">
      <c r="B3633">
        <v>3618</v>
      </c>
      <c r="C3633" s="48">
        <f ca="1"/>
        <v>-1.4100934678700148</v>
      </c>
      <c r="D3633" s="48">
        <f t="shared" ca="1" si="208"/>
        <v>0.57826133314605033</v>
      </c>
      <c r="E3633" s="48">
        <f t="shared" ca="1" si="209"/>
        <v>0</v>
      </c>
      <c r="F3633" s="17">
        <f t="shared" ca="1" si="210"/>
        <v>0</v>
      </c>
      <c r="H3633" s="17">
        <v>3618</v>
      </c>
      <c r="I3633" s="43">
        <v>0.66871004629498609</v>
      </c>
      <c r="J3633" s="43">
        <v>1.9242414138611944E-2</v>
      </c>
      <c r="K3633" s="43"/>
      <c r="L3633" s="43">
        <v>0.254</v>
      </c>
      <c r="O3633" s="50"/>
    </row>
    <row r="3634" spans="2:15" x14ac:dyDescent="0.2">
      <c r="B3634">
        <v>3619</v>
      </c>
      <c r="C3634" s="48">
        <f ca="1"/>
        <v>-0.16546492427523513</v>
      </c>
      <c r="D3634" s="48">
        <f t="shared" ca="1" si="208"/>
        <v>0.65375370250087006</v>
      </c>
      <c r="E3634" s="48">
        <f t="shared" ca="1" si="209"/>
        <v>0</v>
      </c>
      <c r="F3634" s="17">
        <f t="shared" ca="1" si="210"/>
        <v>0</v>
      </c>
      <c r="H3634" s="17">
        <v>3619</v>
      </c>
      <c r="I3634" s="43">
        <v>0.66880253857130656</v>
      </c>
      <c r="J3634" s="43">
        <v>1.9319072609068587E-2</v>
      </c>
      <c r="K3634" s="43"/>
      <c r="L3634" s="43">
        <v>0.24399999999999999</v>
      </c>
      <c r="O3634" s="50"/>
    </row>
    <row r="3635" spans="2:15" x14ac:dyDescent="0.2">
      <c r="B3635">
        <v>3620</v>
      </c>
      <c r="C3635" s="48">
        <f ca="1"/>
        <v>0.44365542333381031</v>
      </c>
      <c r="D3635" s="48">
        <f t="shared" ca="1" si="208"/>
        <v>0.6942154178369826</v>
      </c>
      <c r="E3635" s="48">
        <f t="shared" ca="1" si="209"/>
        <v>0</v>
      </c>
      <c r="F3635" s="17">
        <f t="shared" ca="1" si="210"/>
        <v>0</v>
      </c>
      <c r="H3635" s="17">
        <v>3620</v>
      </c>
      <c r="I3635" s="43">
        <v>0.66772737881752386</v>
      </c>
      <c r="J3635" s="43">
        <v>1.8366443715749248E-2</v>
      </c>
      <c r="K3635" s="43"/>
      <c r="L3635" s="43">
        <v>0.2452</v>
      </c>
      <c r="O3635" s="50"/>
    </row>
    <row r="3636" spans="2:15" x14ac:dyDescent="0.2">
      <c r="B3636">
        <v>3621</v>
      </c>
      <c r="C3636" s="48">
        <f ca="1"/>
        <v>1.4033887146572426</v>
      </c>
      <c r="D3636" s="48">
        <f t="shared" ca="1" si="208"/>
        <v>0.76310832180967747</v>
      </c>
      <c r="E3636" s="48">
        <f t="shared" ca="1" si="209"/>
        <v>0</v>
      </c>
      <c r="F3636" s="17">
        <f t="shared" ca="1" si="210"/>
        <v>0</v>
      </c>
      <c r="H3636" s="17">
        <v>3621</v>
      </c>
      <c r="I3636" s="43">
        <v>0.66933746110623715</v>
      </c>
      <c r="J3636" s="43">
        <v>1.9731491502063013E-2</v>
      </c>
      <c r="K3636" s="43"/>
      <c r="L3636" s="43">
        <v>0.25140000000000001</v>
      </c>
      <c r="O3636" s="50"/>
    </row>
    <row r="3637" spans="2:15" x14ac:dyDescent="0.2">
      <c r="B3637">
        <v>3622</v>
      </c>
      <c r="C3637" s="48">
        <f ca="1"/>
        <v>-0.30904637882113889</v>
      </c>
      <c r="D3637" s="48">
        <f t="shared" ca="1" si="208"/>
        <v>0.64456479107722431</v>
      </c>
      <c r="E3637" s="48">
        <f t="shared" ca="1" si="209"/>
        <v>0</v>
      </c>
      <c r="F3637" s="17">
        <f t="shared" ca="1" si="210"/>
        <v>0</v>
      </c>
      <c r="H3637" s="17">
        <v>3622</v>
      </c>
      <c r="I3637" s="43">
        <v>0.66981253948306341</v>
      </c>
      <c r="J3637" s="43">
        <v>1.99696945709339E-2</v>
      </c>
      <c r="K3637" s="43"/>
      <c r="L3637" s="43">
        <v>0.24779999999999999</v>
      </c>
      <c r="O3637" s="50"/>
    </row>
    <row r="3638" spans="2:15" x14ac:dyDescent="0.2">
      <c r="B3638">
        <v>3623</v>
      </c>
      <c r="C3638" s="48">
        <f ca="1"/>
        <v>-0.34683390528195063</v>
      </c>
      <c r="D3638" s="48">
        <f t="shared" ca="1" si="208"/>
        <v>0.64216801169832216</v>
      </c>
      <c r="E3638" s="48">
        <f t="shared" ca="1" si="209"/>
        <v>0</v>
      </c>
      <c r="F3638" s="17">
        <f t="shared" ca="1" si="210"/>
        <v>0</v>
      </c>
      <c r="H3638" s="17">
        <v>3623</v>
      </c>
      <c r="I3638" s="43">
        <v>0.6681451128282262</v>
      </c>
      <c r="J3638" s="43">
        <v>1.8736759581954702E-2</v>
      </c>
      <c r="K3638" s="43"/>
      <c r="L3638" s="43">
        <v>0.24740000000000001</v>
      </c>
      <c r="O3638" s="50"/>
    </row>
    <row r="3639" spans="2:15" x14ac:dyDescent="0.2">
      <c r="B3639">
        <v>3624</v>
      </c>
      <c r="C3639" s="48">
        <f ca="1"/>
        <v>-0.80466542989036982</v>
      </c>
      <c r="D3639" s="48">
        <f t="shared" ca="1" si="208"/>
        <v>0.61382723868629341</v>
      </c>
      <c r="E3639" s="48">
        <f t="shared" ca="1" si="209"/>
        <v>0</v>
      </c>
      <c r="F3639" s="17">
        <f t="shared" ca="1" si="210"/>
        <v>0</v>
      </c>
      <c r="H3639" s="17">
        <v>3624</v>
      </c>
      <c r="I3639" s="43">
        <v>0.66781235038774689</v>
      </c>
      <c r="J3639" s="43">
        <v>1.8546730755484967E-2</v>
      </c>
      <c r="K3639" s="43"/>
      <c r="L3639" s="43">
        <v>0.24840000000000001</v>
      </c>
      <c r="O3639" s="50"/>
    </row>
    <row r="3640" spans="2:15" x14ac:dyDescent="0.2">
      <c r="B3640">
        <v>3625</v>
      </c>
      <c r="C3640" s="48">
        <f ca="1"/>
        <v>-6.6841913979612408E-2</v>
      </c>
      <c r="D3640" s="48">
        <f t="shared" ca="1" si="208"/>
        <v>0.66014114742317753</v>
      </c>
      <c r="E3640" s="48">
        <f t="shared" ca="1" si="209"/>
        <v>0</v>
      </c>
      <c r="F3640" s="17">
        <f t="shared" ca="1" si="210"/>
        <v>0</v>
      </c>
      <c r="H3640" s="17">
        <v>3625</v>
      </c>
      <c r="I3640" s="43">
        <v>0.66878789927698867</v>
      </c>
      <c r="J3640" s="43">
        <v>1.9237618122609306E-2</v>
      </c>
      <c r="K3640" s="43"/>
      <c r="L3640" s="43">
        <v>0.252</v>
      </c>
      <c r="O3640" s="50"/>
    </row>
    <row r="3641" spans="2:15" x14ac:dyDescent="0.2">
      <c r="B3641">
        <v>3626</v>
      </c>
      <c r="C3641" s="48">
        <f ca="1"/>
        <v>-2.7854426921056605</v>
      </c>
      <c r="D3641" s="48">
        <f t="shared" ca="1" si="208"/>
        <v>0.50493701560929272</v>
      </c>
      <c r="E3641" s="48">
        <f t="shared" ca="1" si="209"/>
        <v>0</v>
      </c>
      <c r="F3641" s="17">
        <f t="shared" ca="1" si="210"/>
        <v>0</v>
      </c>
      <c r="H3641" s="17">
        <v>3626</v>
      </c>
      <c r="I3641" s="43">
        <v>0.66986323902430822</v>
      </c>
      <c r="J3641" s="43">
        <v>1.9992140574712162E-2</v>
      </c>
      <c r="K3641" s="43"/>
      <c r="L3641" s="43">
        <v>0.25240000000000001</v>
      </c>
      <c r="O3641" s="50"/>
    </row>
    <row r="3642" spans="2:15" x14ac:dyDescent="0.2">
      <c r="B3642">
        <v>3627</v>
      </c>
      <c r="C3642" s="48">
        <f ca="1"/>
        <v>-0.90712101733145944</v>
      </c>
      <c r="D3642" s="48">
        <f t="shared" ca="1" si="208"/>
        <v>0.60765827800774241</v>
      </c>
      <c r="E3642" s="48">
        <f t="shared" ca="1" si="209"/>
        <v>0</v>
      </c>
      <c r="F3642" s="17">
        <f t="shared" ca="1" si="210"/>
        <v>0</v>
      </c>
      <c r="H3642" s="17">
        <v>3627</v>
      </c>
      <c r="I3642" s="43">
        <v>0.66880557627279835</v>
      </c>
      <c r="J3642" s="43">
        <v>1.9064855455090752E-2</v>
      </c>
      <c r="K3642" s="43"/>
      <c r="L3642" s="43">
        <v>0.24879999999999999</v>
      </c>
      <c r="O3642" s="50"/>
    </row>
    <row r="3643" spans="2:15" x14ac:dyDescent="0.2">
      <c r="B3643">
        <v>3628</v>
      </c>
      <c r="C3643" s="48">
        <f ca="1"/>
        <v>-0.22638441240424798</v>
      </c>
      <c r="D3643" s="48">
        <f t="shared" ca="1" si="208"/>
        <v>0.64983909146516494</v>
      </c>
      <c r="E3643" s="48">
        <f t="shared" ca="1" si="209"/>
        <v>0</v>
      </c>
      <c r="F3643" s="17">
        <f t="shared" ca="1" si="210"/>
        <v>0</v>
      </c>
      <c r="H3643" s="17">
        <v>3628</v>
      </c>
      <c r="I3643" s="43">
        <v>0.66786831177032135</v>
      </c>
      <c r="J3643" s="43">
        <v>1.8806211954335576E-2</v>
      </c>
      <c r="K3643" s="43"/>
      <c r="L3643" s="43">
        <v>0.24959999999999999</v>
      </c>
      <c r="O3643" s="50"/>
    </row>
    <row r="3644" spans="2:15" x14ac:dyDescent="0.2">
      <c r="B3644">
        <v>3629</v>
      </c>
      <c r="C3644" s="48">
        <f ca="1"/>
        <v>-0.69098169531453324</v>
      </c>
      <c r="D3644" s="48">
        <f t="shared" ca="1" si="208"/>
        <v>0.62074558380891576</v>
      </c>
      <c r="E3644" s="48">
        <f t="shared" ca="1" si="209"/>
        <v>0</v>
      </c>
      <c r="F3644" s="17">
        <f t="shared" ca="1" si="210"/>
        <v>0</v>
      </c>
      <c r="H3644" s="17">
        <v>3629</v>
      </c>
      <c r="I3644" s="43">
        <v>0.66906439544162299</v>
      </c>
      <c r="J3644" s="43">
        <v>1.9625871393544225E-2</v>
      </c>
      <c r="K3644" s="43"/>
      <c r="L3644" s="43">
        <v>0.25380000000000003</v>
      </c>
      <c r="O3644" s="50"/>
    </row>
    <row r="3645" spans="2:15" x14ac:dyDescent="0.2">
      <c r="B3645">
        <v>3630</v>
      </c>
      <c r="C3645" s="48">
        <f ca="1"/>
        <v>1.143199712987198</v>
      </c>
      <c r="D3645" s="48">
        <f t="shared" ca="1" si="208"/>
        <v>0.74378247083627114</v>
      </c>
      <c r="E3645" s="48">
        <f t="shared" ca="1" si="209"/>
        <v>0</v>
      </c>
      <c r="F3645" s="17">
        <f t="shared" ca="1" si="210"/>
        <v>0</v>
      </c>
      <c r="H3645" s="17">
        <v>3630</v>
      </c>
      <c r="I3645" s="43">
        <v>0.66919919493727686</v>
      </c>
      <c r="J3645" s="43">
        <v>1.9421852089820023E-2</v>
      </c>
      <c r="K3645" s="43"/>
      <c r="L3645" s="43">
        <v>0.24440000000000001</v>
      </c>
      <c r="O3645" s="50"/>
    </row>
    <row r="3646" spans="2:15" x14ac:dyDescent="0.2">
      <c r="B3646">
        <v>3631</v>
      </c>
      <c r="C3646" s="48">
        <f ca="1"/>
        <v>1.1542021123806365</v>
      </c>
      <c r="D3646" s="48">
        <f t="shared" ca="1" si="208"/>
        <v>0.74458968844314333</v>
      </c>
      <c r="E3646" s="48">
        <f t="shared" ca="1" si="209"/>
        <v>0</v>
      </c>
      <c r="F3646" s="17">
        <f t="shared" ca="1" si="210"/>
        <v>0</v>
      </c>
      <c r="H3646" s="17">
        <v>3631</v>
      </c>
      <c r="I3646" s="43">
        <v>0.66884632202490857</v>
      </c>
      <c r="J3646" s="43">
        <v>1.9298462473601175E-2</v>
      </c>
      <c r="K3646" s="43"/>
      <c r="L3646" s="43">
        <v>0.252</v>
      </c>
      <c r="O3646" s="50"/>
    </row>
    <row r="3647" spans="2:15" x14ac:dyDescent="0.2">
      <c r="B3647">
        <v>3632</v>
      </c>
      <c r="C3647" s="48">
        <f ca="1"/>
        <v>2.8295510489149574E-2</v>
      </c>
      <c r="D3647" s="48">
        <f t="shared" ca="1" si="208"/>
        <v>0.66636197562875188</v>
      </c>
      <c r="E3647" s="48">
        <f t="shared" ca="1" si="209"/>
        <v>0</v>
      </c>
      <c r="F3647" s="17">
        <f t="shared" ca="1" si="210"/>
        <v>0</v>
      </c>
      <c r="H3647" s="17">
        <v>3632</v>
      </c>
      <c r="I3647" s="43">
        <v>0.66975972193940991</v>
      </c>
      <c r="J3647" s="43">
        <v>2.0026114435298437E-2</v>
      </c>
      <c r="K3647" s="43"/>
      <c r="L3647" s="43">
        <v>0.254</v>
      </c>
      <c r="O3647" s="50"/>
    </row>
    <row r="3648" spans="2:15" x14ac:dyDescent="0.2">
      <c r="B3648">
        <v>3633</v>
      </c>
      <c r="C3648" s="48">
        <f ca="1"/>
        <v>0.70546524250677978</v>
      </c>
      <c r="D3648" s="48">
        <f t="shared" ca="1" si="208"/>
        <v>0.71236717970060148</v>
      </c>
      <c r="E3648" s="48">
        <f t="shared" ca="1" si="209"/>
        <v>0</v>
      </c>
      <c r="F3648" s="17">
        <f t="shared" ca="1" si="210"/>
        <v>0</v>
      </c>
      <c r="H3648" s="17">
        <v>3633</v>
      </c>
      <c r="I3648" s="43">
        <v>0.66825330893790447</v>
      </c>
      <c r="J3648" s="43">
        <v>1.8828414943260735E-2</v>
      </c>
      <c r="K3648" s="43"/>
      <c r="L3648" s="43">
        <v>0.25159999999999999</v>
      </c>
      <c r="O3648" s="50"/>
    </row>
    <row r="3649" spans="2:15" x14ac:dyDescent="0.2">
      <c r="B3649">
        <v>3634</v>
      </c>
      <c r="C3649" s="48">
        <f ca="1"/>
        <v>-2.2548676223929425</v>
      </c>
      <c r="D3649" s="48">
        <f t="shared" ca="1" si="208"/>
        <v>0.53205227913423758</v>
      </c>
      <c r="E3649" s="48">
        <f t="shared" ca="1" si="209"/>
        <v>0</v>
      </c>
      <c r="F3649" s="17">
        <f t="shared" ca="1" si="210"/>
        <v>0</v>
      </c>
      <c r="H3649" s="17">
        <v>3634</v>
      </c>
      <c r="I3649" s="43">
        <v>0.66908600959672859</v>
      </c>
      <c r="J3649" s="43">
        <v>1.9388092532242163E-2</v>
      </c>
      <c r="K3649" s="43"/>
      <c r="L3649" s="43">
        <v>0.253</v>
      </c>
      <c r="O3649" s="50"/>
    </row>
    <row r="3650" spans="2:15" x14ac:dyDescent="0.2">
      <c r="B3650">
        <v>3635</v>
      </c>
      <c r="C3650" s="48">
        <f ca="1"/>
        <v>2.0767077192797658E-2</v>
      </c>
      <c r="D3650" s="48">
        <f t="shared" ca="1" si="208"/>
        <v>0.66586757914220018</v>
      </c>
      <c r="E3650" s="48">
        <f t="shared" ca="1" si="209"/>
        <v>0</v>
      </c>
      <c r="F3650" s="17">
        <f t="shared" ca="1" si="210"/>
        <v>0</v>
      </c>
      <c r="H3650" s="17">
        <v>3635</v>
      </c>
      <c r="I3650" s="43">
        <v>0.66858098415946454</v>
      </c>
      <c r="J3650" s="43">
        <v>1.8865202526191456E-2</v>
      </c>
      <c r="K3650" s="43"/>
      <c r="L3650" s="43">
        <v>0.2412</v>
      </c>
      <c r="O3650" s="50"/>
    </row>
    <row r="3651" spans="2:15" x14ac:dyDescent="0.2">
      <c r="B3651">
        <v>3636</v>
      </c>
      <c r="C3651" s="48">
        <f ca="1"/>
        <v>-0.17957770683546423</v>
      </c>
      <c r="D3651" s="48">
        <f t="shared" ca="1" si="208"/>
        <v>0.6528447390077049</v>
      </c>
      <c r="E3651" s="48">
        <f t="shared" ca="1" si="209"/>
        <v>0</v>
      </c>
      <c r="F3651" s="17">
        <f t="shared" ca="1" si="210"/>
        <v>0</v>
      </c>
      <c r="H3651" s="17">
        <v>3636</v>
      </c>
      <c r="I3651" s="43">
        <v>0.66847620925602158</v>
      </c>
      <c r="J3651" s="43">
        <v>1.9123060764206893E-2</v>
      </c>
      <c r="K3651" s="43"/>
      <c r="L3651" s="43">
        <v>0.247</v>
      </c>
      <c r="O3651" s="50"/>
    </row>
    <row r="3652" spans="2:15" x14ac:dyDescent="0.2">
      <c r="B3652">
        <v>3637</v>
      </c>
      <c r="C3652" s="48">
        <f ca="1"/>
        <v>-0.1635901340710362</v>
      </c>
      <c r="D3652" s="48">
        <f t="shared" ca="1" si="208"/>
        <v>0.65387454750303231</v>
      </c>
      <c r="E3652" s="48">
        <f t="shared" ca="1" si="209"/>
        <v>0</v>
      </c>
      <c r="F3652" s="17">
        <f t="shared" ca="1" si="210"/>
        <v>0</v>
      </c>
      <c r="H3652" s="17">
        <v>3637</v>
      </c>
      <c r="I3652" s="43">
        <v>0.66835689005506105</v>
      </c>
      <c r="J3652" s="43">
        <v>1.9168428989673275E-2</v>
      </c>
      <c r="K3652" s="43"/>
      <c r="L3652" s="43">
        <v>0.25140000000000001</v>
      </c>
      <c r="O3652" s="50"/>
    </row>
    <row r="3653" spans="2:15" x14ac:dyDescent="0.2">
      <c r="B3653">
        <v>3638</v>
      </c>
      <c r="C3653" s="48">
        <f ca="1"/>
        <v>-0.46225477552768196</v>
      </c>
      <c r="D3653" s="48">
        <f t="shared" ca="1" si="208"/>
        <v>0.63490216640159469</v>
      </c>
      <c r="E3653" s="48">
        <f t="shared" ca="1" si="209"/>
        <v>0</v>
      </c>
      <c r="F3653" s="17">
        <f t="shared" ca="1" si="210"/>
        <v>0</v>
      </c>
      <c r="H3653" s="17">
        <v>3638</v>
      </c>
      <c r="I3653" s="43">
        <v>0.66864778473598485</v>
      </c>
      <c r="J3653" s="43">
        <v>1.8873154333942602E-2</v>
      </c>
      <c r="K3653" s="43"/>
      <c r="L3653" s="43">
        <v>0.2432</v>
      </c>
      <c r="O3653" s="50"/>
    </row>
    <row r="3654" spans="2:15" x14ac:dyDescent="0.2">
      <c r="B3654">
        <v>3639</v>
      </c>
      <c r="C3654" s="48">
        <f ca="1"/>
        <v>1.0004210024928446</v>
      </c>
      <c r="D3654" s="48">
        <f t="shared" ca="1" si="208"/>
        <v>0.73338618781430442</v>
      </c>
      <c r="E3654" s="48">
        <f t="shared" ca="1" si="209"/>
        <v>0</v>
      </c>
      <c r="F3654" s="17">
        <f t="shared" ca="1" si="210"/>
        <v>0</v>
      </c>
      <c r="H3654" s="17">
        <v>3639</v>
      </c>
      <c r="I3654" s="43">
        <v>0.66876241814549309</v>
      </c>
      <c r="J3654" s="43">
        <v>1.9260836532693379E-2</v>
      </c>
      <c r="K3654" s="43"/>
      <c r="L3654" s="43">
        <v>0.24460000000000001</v>
      </c>
      <c r="O3654" s="50"/>
    </row>
    <row r="3655" spans="2:15" x14ac:dyDescent="0.2">
      <c r="B3655">
        <v>3640</v>
      </c>
      <c r="C3655" s="48">
        <f ca="1"/>
        <v>7.7328327387041013E-2</v>
      </c>
      <c r="D3655" s="48">
        <f t="shared" ca="1" si="208"/>
        <v>0.66959098190207378</v>
      </c>
      <c r="E3655" s="48">
        <f t="shared" ca="1" si="209"/>
        <v>0</v>
      </c>
      <c r="F3655" s="17">
        <f t="shared" ca="1" si="210"/>
        <v>0</v>
      </c>
      <c r="H3655" s="17">
        <v>3640</v>
      </c>
      <c r="I3655" s="43">
        <v>0.66838567310577501</v>
      </c>
      <c r="J3655" s="43">
        <v>1.8767913320355881E-2</v>
      </c>
      <c r="K3655" s="43"/>
      <c r="L3655" s="43">
        <v>0.25040000000000001</v>
      </c>
      <c r="O3655" s="50"/>
    </row>
    <row r="3656" spans="2:15" x14ac:dyDescent="0.2">
      <c r="B3656">
        <v>3641</v>
      </c>
      <c r="C3656" s="48">
        <f ca="1"/>
        <v>0.64780412964271827</v>
      </c>
      <c r="D3656" s="48">
        <f t="shared" ca="1" si="208"/>
        <v>0.70832910062926957</v>
      </c>
      <c r="E3656" s="48">
        <f t="shared" ca="1" si="209"/>
        <v>0</v>
      </c>
      <c r="F3656" s="17">
        <f t="shared" ca="1" si="210"/>
        <v>0</v>
      </c>
      <c r="H3656" s="17">
        <v>3641</v>
      </c>
      <c r="I3656" s="43">
        <v>0.66865391432711763</v>
      </c>
      <c r="J3656" s="43">
        <v>1.9034037372713194E-2</v>
      </c>
      <c r="K3656" s="43"/>
      <c r="L3656" s="43">
        <v>0.25280000000000002</v>
      </c>
      <c r="O3656" s="50"/>
    </row>
    <row r="3657" spans="2:15" x14ac:dyDescent="0.2">
      <c r="B3657">
        <v>3642</v>
      </c>
      <c r="C3657" s="48">
        <f ca="1"/>
        <v>0.35139533685649504</v>
      </c>
      <c r="D3657" s="48">
        <f t="shared" ca="1" si="208"/>
        <v>0.68792968054532522</v>
      </c>
      <c r="E3657" s="48">
        <f t="shared" ca="1" si="209"/>
        <v>0</v>
      </c>
      <c r="F3657" s="17">
        <f t="shared" ca="1" si="210"/>
        <v>0</v>
      </c>
      <c r="H3657" s="17">
        <v>3642</v>
      </c>
      <c r="I3657" s="43">
        <v>0.6690204799559758</v>
      </c>
      <c r="J3657" s="43">
        <v>1.9374249608943586E-2</v>
      </c>
      <c r="K3657" s="43"/>
      <c r="L3657" s="43">
        <v>0.25119999999999998</v>
      </c>
      <c r="O3657" s="50"/>
    </row>
    <row r="3658" spans="2:15" x14ac:dyDescent="0.2">
      <c r="B3658">
        <v>3643</v>
      </c>
      <c r="C3658" s="48">
        <f ca="1"/>
        <v>-0.68822493170034982</v>
      </c>
      <c r="D3658" s="48">
        <f t="shared" ca="1" si="208"/>
        <v>0.62091431443002776</v>
      </c>
      <c r="E3658" s="48">
        <f t="shared" ca="1" si="209"/>
        <v>0</v>
      </c>
      <c r="F3658" s="17">
        <f t="shared" ca="1" si="210"/>
        <v>0</v>
      </c>
      <c r="H3658" s="17">
        <v>3643</v>
      </c>
      <c r="I3658" s="43">
        <v>0.66912020704024111</v>
      </c>
      <c r="J3658" s="43">
        <v>1.948987749795468E-2</v>
      </c>
      <c r="K3658" s="43"/>
      <c r="L3658" s="43">
        <v>0.25340000000000001</v>
      </c>
      <c r="O3658" s="50"/>
    </row>
    <row r="3659" spans="2:15" x14ac:dyDescent="0.2">
      <c r="B3659">
        <v>3644</v>
      </c>
      <c r="C3659" s="48">
        <f ca="1"/>
        <v>1.7513674676811264</v>
      </c>
      <c r="D3659" s="48">
        <f t="shared" ca="1" si="208"/>
        <v>0.78974201930574306</v>
      </c>
      <c r="E3659" s="48">
        <f t="shared" ca="1" si="209"/>
        <v>1.5420193057430476E-3</v>
      </c>
      <c r="F3659" s="17">
        <f t="shared" ca="1" si="210"/>
        <v>1</v>
      </c>
      <c r="H3659" s="17">
        <v>3644</v>
      </c>
      <c r="I3659" s="43">
        <v>0.6697477277987729</v>
      </c>
      <c r="J3659" s="43">
        <v>2.0092124275046214E-2</v>
      </c>
      <c r="K3659" s="43"/>
      <c r="L3659" s="43">
        <v>0.26200000000000001</v>
      </c>
      <c r="O3659" s="50"/>
    </row>
    <row r="3660" spans="2:15" x14ac:dyDescent="0.2">
      <c r="B3660">
        <v>3645</v>
      </c>
      <c r="C3660" s="48">
        <f ca="1"/>
        <v>-1.1189666835162517</v>
      </c>
      <c r="D3660" s="48">
        <f t="shared" ca="1" si="208"/>
        <v>0.59509874693170606</v>
      </c>
      <c r="E3660" s="48">
        <f t="shared" ca="1" si="209"/>
        <v>0</v>
      </c>
      <c r="F3660" s="17">
        <f t="shared" ca="1" si="210"/>
        <v>0</v>
      </c>
      <c r="H3660" s="17">
        <v>3645</v>
      </c>
      <c r="I3660" s="43">
        <v>0.66899703781430087</v>
      </c>
      <c r="J3660" s="43">
        <v>1.9351916754541291E-2</v>
      </c>
      <c r="K3660" s="43"/>
      <c r="L3660" s="43">
        <v>0.24940000000000001</v>
      </c>
      <c r="O3660" s="50"/>
    </row>
    <row r="3661" spans="2:15" x14ac:dyDescent="0.2">
      <c r="B3661">
        <v>3646</v>
      </c>
      <c r="C3661" s="48">
        <f ca="1"/>
        <v>-1.4007620538526973</v>
      </c>
      <c r="D3661" s="48">
        <f t="shared" ca="1" si="208"/>
        <v>0.57879355550377609</v>
      </c>
      <c r="E3661" s="48">
        <f t="shared" ca="1" si="209"/>
        <v>0</v>
      </c>
      <c r="F3661" s="17">
        <f t="shared" ca="1" si="210"/>
        <v>0</v>
      </c>
      <c r="H3661" s="17">
        <v>3646</v>
      </c>
      <c r="I3661" s="43">
        <v>0.66982951741803409</v>
      </c>
      <c r="J3661" s="43">
        <v>1.9857503415196438E-2</v>
      </c>
      <c r="K3661" s="43"/>
      <c r="L3661" s="43">
        <v>0.25419999999999998</v>
      </c>
      <c r="O3661" s="50"/>
    </row>
    <row r="3662" spans="2:15" x14ac:dyDescent="0.2">
      <c r="B3662">
        <v>3647</v>
      </c>
      <c r="C3662" s="48">
        <f ca="1"/>
        <v>0.22887028441777202</v>
      </c>
      <c r="D3662" s="48">
        <f t="shared" ca="1" si="208"/>
        <v>0.67966986613271219</v>
      </c>
      <c r="E3662" s="48">
        <f t="shared" ca="1" si="209"/>
        <v>0</v>
      </c>
      <c r="F3662" s="17">
        <f t="shared" ca="1" si="210"/>
        <v>0</v>
      </c>
      <c r="H3662" s="17">
        <v>3647</v>
      </c>
      <c r="I3662" s="43">
        <v>0.66953947302308991</v>
      </c>
      <c r="J3662" s="43">
        <v>1.9922158747067892E-2</v>
      </c>
      <c r="K3662" s="43"/>
      <c r="L3662" s="43">
        <v>0.25059999999999999</v>
      </c>
      <c r="O3662" s="50"/>
    </row>
    <row r="3663" spans="2:15" x14ac:dyDescent="0.2">
      <c r="B3663">
        <v>3648</v>
      </c>
      <c r="C3663" s="48">
        <f ca="1"/>
        <v>8.1313840702620252E-2</v>
      </c>
      <c r="D3663" s="48">
        <f t="shared" ca="1" si="208"/>
        <v>0.66985413040617248</v>
      </c>
      <c r="E3663" s="48">
        <f t="shared" ca="1" si="209"/>
        <v>0</v>
      </c>
      <c r="F3663" s="17">
        <f t="shared" ca="1" si="210"/>
        <v>0</v>
      </c>
      <c r="H3663" s="17">
        <v>3648</v>
      </c>
      <c r="I3663" s="43">
        <v>0.66993044138228808</v>
      </c>
      <c r="J3663" s="43">
        <v>2.0089372995362256E-2</v>
      </c>
      <c r="K3663" s="43"/>
      <c r="L3663" s="43">
        <v>0.25640000000000002</v>
      </c>
      <c r="O3663" s="50"/>
    </row>
    <row r="3664" spans="2:15" x14ac:dyDescent="0.2">
      <c r="B3664">
        <v>3649</v>
      </c>
      <c r="C3664" s="48">
        <f ca="1"/>
        <v>-0.40305213840131771</v>
      </c>
      <c r="D3664" s="48">
        <f t="shared" ref="D3664:D3727" ca="1" si="211">S0*EXP((μ-0.5*σ*σ)*T+σ*SQRT(T)*$C3664)</f>
        <v>0.63861869610589506</v>
      </c>
      <c r="E3664" s="48">
        <f t="shared" ref="E3664:E3727" ca="1" si="212">MAX(0,CP*(D3664-K))</f>
        <v>0</v>
      </c>
      <c r="F3664" s="17">
        <f t="shared" ref="F3664:F3727" ca="1" si="213">(CP*(D3664-K)&gt;0)*1</f>
        <v>0</v>
      </c>
      <c r="H3664" s="17">
        <v>3649</v>
      </c>
      <c r="I3664" s="43">
        <v>0.66853910337857525</v>
      </c>
      <c r="J3664" s="43">
        <v>1.9137144544321187E-2</v>
      </c>
      <c r="K3664" s="43"/>
      <c r="L3664" s="43">
        <v>0.24759999999999999</v>
      </c>
      <c r="O3664" s="50"/>
    </row>
    <row r="3665" spans="2:15" x14ac:dyDescent="0.2">
      <c r="B3665">
        <v>3650</v>
      </c>
      <c r="C3665" s="48">
        <f ca="1"/>
        <v>8.1357059102848434E-2</v>
      </c>
      <c r="D3665" s="48">
        <f t="shared" ca="1" si="211"/>
        <v>0.66985698452185849</v>
      </c>
      <c r="E3665" s="48">
        <f t="shared" ca="1" si="212"/>
        <v>0</v>
      </c>
      <c r="F3665" s="17">
        <f t="shared" ca="1" si="213"/>
        <v>0</v>
      </c>
      <c r="H3665" s="17">
        <v>3650</v>
      </c>
      <c r="I3665" s="43">
        <v>0.66890034706363277</v>
      </c>
      <c r="J3665" s="43">
        <v>1.9392693334181747E-2</v>
      </c>
      <c r="K3665" s="43"/>
      <c r="L3665" s="43">
        <v>0.25340000000000001</v>
      </c>
      <c r="O3665" s="50"/>
    </row>
    <row r="3666" spans="2:15" x14ac:dyDescent="0.2">
      <c r="B3666">
        <v>3651</v>
      </c>
      <c r="C3666" s="48">
        <f ca="1"/>
        <v>1.1473457606645061</v>
      </c>
      <c r="D3666" s="48">
        <f t="shared" ca="1" si="211"/>
        <v>0.74408655283621339</v>
      </c>
      <c r="E3666" s="48">
        <f t="shared" ca="1" si="212"/>
        <v>0</v>
      </c>
      <c r="F3666" s="17">
        <f t="shared" ca="1" si="213"/>
        <v>0</v>
      </c>
      <c r="H3666" s="17">
        <v>3651</v>
      </c>
      <c r="I3666" s="43">
        <v>0.66886479067815929</v>
      </c>
      <c r="J3666" s="43">
        <v>1.9364131534382701E-2</v>
      </c>
      <c r="K3666" s="43"/>
      <c r="L3666" s="43">
        <v>0.25840000000000002</v>
      </c>
      <c r="O3666" s="50"/>
    </row>
    <row r="3667" spans="2:15" x14ac:dyDescent="0.2">
      <c r="B3667">
        <v>3652</v>
      </c>
      <c r="C3667" s="48">
        <f ca="1"/>
        <v>0.34923081502748593</v>
      </c>
      <c r="D3667" s="48">
        <f t="shared" ca="1" si="211"/>
        <v>0.68778289563878225</v>
      </c>
      <c r="E3667" s="48">
        <f t="shared" ca="1" si="212"/>
        <v>0</v>
      </c>
      <c r="F3667" s="17">
        <f t="shared" ca="1" si="213"/>
        <v>0</v>
      </c>
      <c r="H3667" s="17">
        <v>3652</v>
      </c>
      <c r="I3667" s="43">
        <v>0.67003203452782101</v>
      </c>
      <c r="J3667" s="43">
        <v>2.0011668152190513E-2</v>
      </c>
      <c r="K3667" s="43"/>
      <c r="L3667" s="43">
        <v>0.25700000000000001</v>
      </c>
      <c r="O3667" s="50"/>
    </row>
    <row r="3668" spans="2:15" x14ac:dyDescent="0.2">
      <c r="B3668">
        <v>3653</v>
      </c>
      <c r="C3668" s="48">
        <f ca="1"/>
        <v>-0.79435985556480959</v>
      </c>
      <c r="D3668" s="48">
        <f t="shared" ca="1" si="211"/>
        <v>0.61445120438693013</v>
      </c>
      <c r="E3668" s="48">
        <f t="shared" ca="1" si="212"/>
        <v>0</v>
      </c>
      <c r="F3668" s="17">
        <f t="shared" ca="1" si="213"/>
        <v>0</v>
      </c>
      <c r="H3668" s="17">
        <v>3653</v>
      </c>
      <c r="I3668" s="43">
        <v>0.66926488903880554</v>
      </c>
      <c r="J3668" s="43">
        <v>1.9476657724208066E-2</v>
      </c>
      <c r="K3668" s="43"/>
      <c r="L3668" s="43">
        <v>0.25059999999999999</v>
      </c>
      <c r="O3668" s="50"/>
    </row>
    <row r="3669" spans="2:15" x14ac:dyDescent="0.2">
      <c r="B3669">
        <v>3654</v>
      </c>
      <c r="C3669" s="48">
        <f ca="1"/>
        <v>-0.47169255557214651</v>
      </c>
      <c r="D3669" s="48">
        <f t="shared" ca="1" si="211"/>
        <v>0.63431169842004098</v>
      </c>
      <c r="E3669" s="48">
        <f t="shared" ca="1" si="212"/>
        <v>0</v>
      </c>
      <c r="F3669" s="17">
        <f t="shared" ca="1" si="213"/>
        <v>0</v>
      </c>
      <c r="H3669" s="17">
        <v>3654</v>
      </c>
      <c r="I3669" s="43">
        <v>0.66915067596547939</v>
      </c>
      <c r="J3669" s="43">
        <v>1.9421519262027963E-2</v>
      </c>
      <c r="K3669" s="43"/>
      <c r="L3669" s="43">
        <v>0.2472</v>
      </c>
      <c r="O3669" s="50"/>
    </row>
    <row r="3670" spans="2:15" x14ac:dyDescent="0.2">
      <c r="B3670">
        <v>3655</v>
      </c>
      <c r="C3670" s="48">
        <f ca="1"/>
        <v>1.4525496312196431</v>
      </c>
      <c r="D3670" s="48">
        <f t="shared" ca="1" si="211"/>
        <v>0.76681581825516809</v>
      </c>
      <c r="E3670" s="48">
        <f t="shared" ca="1" si="212"/>
        <v>0</v>
      </c>
      <c r="F3670" s="17">
        <f t="shared" ca="1" si="213"/>
        <v>0</v>
      </c>
      <c r="H3670" s="17">
        <v>3655</v>
      </c>
      <c r="I3670" s="43">
        <v>0.66824326578657878</v>
      </c>
      <c r="J3670" s="43">
        <v>1.8820061583400109E-2</v>
      </c>
      <c r="K3670" s="43"/>
      <c r="L3670" s="43">
        <v>0.24379999999999999</v>
      </c>
      <c r="O3670" s="50"/>
    </row>
    <row r="3671" spans="2:15" x14ac:dyDescent="0.2">
      <c r="B3671">
        <v>3656</v>
      </c>
      <c r="C3671" s="48">
        <f ca="1"/>
        <v>-4.8838158065798935E-2</v>
      </c>
      <c r="D3671" s="48">
        <f t="shared" ca="1" si="211"/>
        <v>0.6613139019607458</v>
      </c>
      <c r="E3671" s="48">
        <f t="shared" ca="1" si="212"/>
        <v>0</v>
      </c>
      <c r="F3671" s="17">
        <f t="shared" ca="1" si="213"/>
        <v>0</v>
      </c>
      <c r="H3671" s="17">
        <v>3656</v>
      </c>
      <c r="I3671" s="43">
        <v>0.66932236284511515</v>
      </c>
      <c r="J3671" s="43">
        <v>1.9667813395784741E-2</v>
      </c>
      <c r="K3671" s="43"/>
      <c r="L3671" s="43">
        <v>0.25359999999999999</v>
      </c>
      <c r="O3671" s="50"/>
    </row>
    <row r="3672" spans="2:15" x14ac:dyDescent="0.2">
      <c r="B3672">
        <v>3657</v>
      </c>
      <c r="C3672" s="48">
        <f ca="1"/>
        <v>1.4516832332231546</v>
      </c>
      <c r="D3672" s="48">
        <f t="shared" ca="1" si="211"/>
        <v>0.76675032272299148</v>
      </c>
      <c r="E3672" s="48">
        <f t="shared" ca="1" si="212"/>
        <v>0</v>
      </c>
      <c r="F3672" s="17">
        <f t="shared" ca="1" si="213"/>
        <v>0</v>
      </c>
      <c r="H3672" s="17">
        <v>3657</v>
      </c>
      <c r="I3672" s="43">
        <v>0.67009640145387106</v>
      </c>
      <c r="J3672" s="43">
        <v>2.0411286244791275E-2</v>
      </c>
      <c r="K3672" s="43"/>
      <c r="L3672" s="43">
        <v>0.26219999999999999</v>
      </c>
      <c r="O3672" s="50"/>
    </row>
    <row r="3673" spans="2:15" x14ac:dyDescent="0.2">
      <c r="B3673">
        <v>3658</v>
      </c>
      <c r="C3673" s="48">
        <f ca="1"/>
        <v>0.31105404196558034</v>
      </c>
      <c r="D3673" s="48">
        <f t="shared" ca="1" si="211"/>
        <v>0.68519911716188009</v>
      </c>
      <c r="E3673" s="48">
        <f t="shared" ca="1" si="212"/>
        <v>0</v>
      </c>
      <c r="F3673" s="17">
        <f t="shared" ca="1" si="213"/>
        <v>0</v>
      </c>
      <c r="H3673" s="17">
        <v>3658</v>
      </c>
      <c r="I3673" s="43">
        <v>0.6694505259150767</v>
      </c>
      <c r="J3673" s="43">
        <v>1.9762408283587898E-2</v>
      </c>
      <c r="K3673" s="43"/>
      <c r="L3673" s="43">
        <v>0.25779999999999997</v>
      </c>
      <c r="O3673" s="50"/>
    </row>
    <row r="3674" spans="2:15" x14ac:dyDescent="0.2">
      <c r="B3674">
        <v>3659</v>
      </c>
      <c r="C3674" s="48">
        <f ca="1"/>
        <v>6.8711462973378601E-2</v>
      </c>
      <c r="D3674" s="48">
        <f t="shared" ca="1" si="211"/>
        <v>0.66902239595835178</v>
      </c>
      <c r="E3674" s="48">
        <f t="shared" ca="1" si="212"/>
        <v>0</v>
      </c>
      <c r="F3674" s="17">
        <f t="shared" ca="1" si="213"/>
        <v>0</v>
      </c>
      <c r="H3674" s="17">
        <v>3659</v>
      </c>
      <c r="I3674" s="43">
        <v>0.66961466008240111</v>
      </c>
      <c r="J3674" s="43">
        <v>2.0011008552785457E-2</v>
      </c>
      <c r="K3674" s="43"/>
      <c r="L3674" s="43">
        <v>0.25219999999999998</v>
      </c>
      <c r="O3674" s="50"/>
    </row>
    <row r="3675" spans="2:15" x14ac:dyDescent="0.2">
      <c r="B3675">
        <v>3660</v>
      </c>
      <c r="C3675" s="48">
        <f ca="1"/>
        <v>0.37738678789699964</v>
      </c>
      <c r="D3675" s="48">
        <f t="shared" ca="1" si="211"/>
        <v>0.68969471357720213</v>
      </c>
      <c r="E3675" s="48">
        <f t="shared" ca="1" si="212"/>
        <v>0</v>
      </c>
      <c r="F3675" s="17">
        <f t="shared" ca="1" si="213"/>
        <v>0</v>
      </c>
      <c r="H3675" s="17">
        <v>3660</v>
      </c>
      <c r="I3675" s="43">
        <v>0.66864898554173746</v>
      </c>
      <c r="J3675" s="43">
        <v>1.8986347775753459E-2</v>
      </c>
      <c r="K3675" s="43"/>
      <c r="L3675" s="43">
        <v>0.254</v>
      </c>
      <c r="O3675" s="50"/>
    </row>
    <row r="3676" spans="2:15" x14ac:dyDescent="0.2">
      <c r="B3676">
        <v>3661</v>
      </c>
      <c r="C3676" s="48">
        <f ca="1"/>
        <v>0.99444748436883423</v>
      </c>
      <c r="D3676" s="48">
        <f t="shared" ca="1" si="211"/>
        <v>0.7329544135449747</v>
      </c>
      <c r="E3676" s="48">
        <f t="shared" ca="1" si="212"/>
        <v>0</v>
      </c>
      <c r="F3676" s="17">
        <f t="shared" ca="1" si="213"/>
        <v>0</v>
      </c>
      <c r="H3676" s="17">
        <v>3661</v>
      </c>
      <c r="I3676" s="43">
        <v>0.66849623070329245</v>
      </c>
      <c r="J3676" s="43">
        <v>1.9227228913588641E-2</v>
      </c>
      <c r="K3676" s="43"/>
      <c r="L3676" s="43">
        <v>0.24859999999999999</v>
      </c>
      <c r="O3676" s="50"/>
    </row>
    <row r="3677" spans="2:15" x14ac:dyDescent="0.2">
      <c r="B3677">
        <v>3662</v>
      </c>
      <c r="C3677" s="48">
        <f ca="1"/>
        <v>-4.76531179747671E-3</v>
      </c>
      <c r="D3677" s="48">
        <f t="shared" ca="1" si="211"/>
        <v>0.66419358258676353</v>
      </c>
      <c r="E3677" s="48">
        <f t="shared" ca="1" si="212"/>
        <v>0</v>
      </c>
      <c r="F3677" s="17">
        <f t="shared" ca="1" si="213"/>
        <v>0</v>
      </c>
      <c r="H3677" s="17">
        <v>3662</v>
      </c>
      <c r="I3677" s="43">
        <v>0.66902181973337094</v>
      </c>
      <c r="J3677" s="43">
        <v>1.9601704868521339E-2</v>
      </c>
      <c r="K3677" s="43"/>
      <c r="L3677" s="43">
        <v>0.25380000000000003</v>
      </c>
      <c r="O3677" s="50"/>
    </row>
    <row r="3678" spans="2:15" x14ac:dyDescent="0.2">
      <c r="B3678">
        <v>3663</v>
      </c>
      <c r="C3678" s="48">
        <f ca="1"/>
        <v>-1.9227452494360893</v>
      </c>
      <c r="D3678" s="48">
        <f t="shared" ca="1" si="211"/>
        <v>0.54976167050430425</v>
      </c>
      <c r="E3678" s="48">
        <f t="shared" ca="1" si="212"/>
        <v>0</v>
      </c>
      <c r="F3678" s="17">
        <f t="shared" ca="1" si="213"/>
        <v>0</v>
      </c>
      <c r="H3678" s="17">
        <v>3663</v>
      </c>
      <c r="I3678" s="43">
        <v>0.66945632147969114</v>
      </c>
      <c r="J3678" s="43">
        <v>1.9628358856946866E-2</v>
      </c>
      <c r="K3678" s="43"/>
      <c r="L3678" s="43">
        <v>0.24660000000000001</v>
      </c>
      <c r="O3678" s="50"/>
    </row>
    <row r="3679" spans="2:15" x14ac:dyDescent="0.2">
      <c r="B3679">
        <v>3664</v>
      </c>
      <c r="C3679" s="48">
        <f ca="1"/>
        <v>-1.6578787445662582</v>
      </c>
      <c r="D3679" s="48">
        <f t="shared" ca="1" si="211"/>
        <v>0.56430640569761759</v>
      </c>
      <c r="E3679" s="48">
        <f t="shared" ca="1" si="212"/>
        <v>0</v>
      </c>
      <c r="F3679" s="17">
        <f t="shared" ca="1" si="213"/>
        <v>0</v>
      </c>
      <c r="H3679" s="17">
        <v>3664</v>
      </c>
      <c r="I3679" s="43">
        <v>0.66809552124594118</v>
      </c>
      <c r="J3679" s="43">
        <v>1.8604943261162726E-2</v>
      </c>
      <c r="K3679" s="43"/>
      <c r="L3679" s="43">
        <v>0.24299999999999999</v>
      </c>
      <c r="O3679" s="50"/>
    </row>
    <row r="3680" spans="2:15" x14ac:dyDescent="0.2">
      <c r="B3680">
        <v>3665</v>
      </c>
      <c r="C3680" s="48">
        <f ca="1"/>
        <v>1.9649288222694239</v>
      </c>
      <c r="D3680" s="48">
        <f t="shared" ca="1" si="211"/>
        <v>0.80654589946872579</v>
      </c>
      <c r="E3680" s="48">
        <f t="shared" ca="1" si="212"/>
        <v>1.8345899468725779E-2</v>
      </c>
      <c r="F3680" s="17">
        <f t="shared" ca="1" si="213"/>
        <v>1</v>
      </c>
      <c r="H3680" s="17">
        <v>3665</v>
      </c>
      <c r="I3680" s="43">
        <v>0.66916008177184183</v>
      </c>
      <c r="J3680" s="43">
        <v>1.9489302446533175E-2</v>
      </c>
      <c r="K3680" s="43"/>
      <c r="L3680" s="43">
        <v>0.24740000000000001</v>
      </c>
      <c r="O3680" s="50"/>
    </row>
    <row r="3681" spans="2:15" x14ac:dyDescent="0.2">
      <c r="B3681">
        <v>3666</v>
      </c>
      <c r="C3681" s="48">
        <f ca="1"/>
        <v>-0.21730838428402302</v>
      </c>
      <c r="D3681" s="48">
        <f t="shared" ca="1" si="211"/>
        <v>0.65042081642788641</v>
      </c>
      <c r="E3681" s="48">
        <f t="shared" ca="1" si="212"/>
        <v>0</v>
      </c>
      <c r="F3681" s="17">
        <f t="shared" ca="1" si="213"/>
        <v>0</v>
      </c>
      <c r="H3681" s="17">
        <v>3666</v>
      </c>
      <c r="I3681" s="43">
        <v>0.66955653999578812</v>
      </c>
      <c r="J3681" s="43">
        <v>1.9953366656079347E-2</v>
      </c>
      <c r="K3681" s="43"/>
      <c r="L3681" s="43">
        <v>0.25459999999999999</v>
      </c>
      <c r="O3681" s="50"/>
    </row>
    <row r="3682" spans="2:15" x14ac:dyDescent="0.2">
      <c r="B3682">
        <v>3667</v>
      </c>
      <c r="C3682" s="48">
        <f ca="1"/>
        <v>-0.11408623373231731</v>
      </c>
      <c r="D3682" s="48">
        <f t="shared" ca="1" si="211"/>
        <v>0.65707355885418994</v>
      </c>
      <c r="E3682" s="48">
        <f t="shared" ca="1" si="212"/>
        <v>0</v>
      </c>
      <c r="F3682" s="17">
        <f t="shared" ca="1" si="213"/>
        <v>0</v>
      </c>
      <c r="H3682" s="17">
        <v>3667</v>
      </c>
      <c r="I3682" s="43">
        <v>0.66795468554368365</v>
      </c>
      <c r="J3682" s="43">
        <v>1.8645447479820818E-2</v>
      </c>
      <c r="K3682" s="43"/>
      <c r="L3682" s="43">
        <v>0.24879999999999999</v>
      </c>
      <c r="O3682" s="50"/>
    </row>
    <row r="3683" spans="2:15" x14ac:dyDescent="0.2">
      <c r="B3683">
        <v>3668</v>
      </c>
      <c r="C3683" s="48">
        <f ca="1"/>
        <v>1.3299341998476417</v>
      </c>
      <c r="D3683" s="48">
        <f t="shared" ca="1" si="211"/>
        <v>0.7576020855813852</v>
      </c>
      <c r="E3683" s="48">
        <f t="shared" ca="1" si="212"/>
        <v>0</v>
      </c>
      <c r="F3683" s="17">
        <f t="shared" ca="1" si="213"/>
        <v>0</v>
      </c>
      <c r="H3683" s="17">
        <v>3668</v>
      </c>
      <c r="I3683" s="43">
        <v>0.66916021475982645</v>
      </c>
      <c r="J3683" s="43">
        <v>1.9627645586649714E-2</v>
      </c>
      <c r="K3683" s="43"/>
      <c r="L3683" s="43">
        <v>0.26140000000000002</v>
      </c>
      <c r="O3683" s="50"/>
    </row>
    <row r="3684" spans="2:15" x14ac:dyDescent="0.2">
      <c r="B3684">
        <v>3669</v>
      </c>
      <c r="C3684" s="48">
        <f ca="1"/>
        <v>1.5417822369063641</v>
      </c>
      <c r="D3684" s="48">
        <f t="shared" ca="1" si="211"/>
        <v>0.77359142279774351</v>
      </c>
      <c r="E3684" s="48">
        <f t="shared" ca="1" si="212"/>
        <v>0</v>
      </c>
      <c r="F3684" s="17">
        <f t="shared" ca="1" si="213"/>
        <v>0</v>
      </c>
      <c r="H3684" s="17">
        <v>3669</v>
      </c>
      <c r="I3684" s="43">
        <v>0.66733132277423524</v>
      </c>
      <c r="J3684" s="43">
        <v>1.8240218159646198E-2</v>
      </c>
      <c r="K3684" s="43"/>
      <c r="L3684" s="43">
        <v>0.2384</v>
      </c>
      <c r="O3684" s="50"/>
    </row>
    <row r="3685" spans="2:15" x14ac:dyDescent="0.2">
      <c r="B3685">
        <v>3670</v>
      </c>
      <c r="C3685" s="48">
        <f ca="1"/>
        <v>0.23477394659951981</v>
      </c>
      <c r="D3685" s="48">
        <f t="shared" ca="1" si="211"/>
        <v>0.68006556756852821</v>
      </c>
      <c r="E3685" s="48">
        <f t="shared" ca="1" si="212"/>
        <v>0</v>
      </c>
      <c r="F3685" s="17">
        <f t="shared" ca="1" si="213"/>
        <v>0</v>
      </c>
      <c r="H3685" s="17">
        <v>3670</v>
      </c>
      <c r="I3685" s="43">
        <v>0.66910008547770505</v>
      </c>
      <c r="J3685" s="43">
        <v>1.9632458600717901E-2</v>
      </c>
      <c r="K3685" s="43"/>
      <c r="L3685" s="43">
        <v>0.24979999999999999</v>
      </c>
      <c r="O3685" s="50"/>
    </row>
    <row r="3686" spans="2:15" x14ac:dyDescent="0.2">
      <c r="B3686">
        <v>3671</v>
      </c>
      <c r="C3686" s="48">
        <f ca="1"/>
        <v>0.90535528894432138</v>
      </c>
      <c r="D3686" s="48">
        <f t="shared" ca="1" si="211"/>
        <v>0.72654479098106295</v>
      </c>
      <c r="E3686" s="48">
        <f t="shared" ca="1" si="212"/>
        <v>0</v>
      </c>
      <c r="F3686" s="17">
        <f t="shared" ca="1" si="213"/>
        <v>0</v>
      </c>
      <c r="H3686" s="17">
        <v>3671</v>
      </c>
      <c r="I3686" s="43">
        <v>0.66965695218314636</v>
      </c>
      <c r="J3686" s="43">
        <v>1.9998040529949523E-2</v>
      </c>
      <c r="K3686" s="43"/>
      <c r="L3686" s="43">
        <v>0.255</v>
      </c>
      <c r="O3686" s="50"/>
    </row>
    <row r="3687" spans="2:15" x14ac:dyDescent="0.2">
      <c r="B3687">
        <v>3672</v>
      </c>
      <c r="C3687" s="48">
        <f ca="1"/>
        <v>1.4474189325850018</v>
      </c>
      <c r="D3687" s="48">
        <f t="shared" ca="1" si="211"/>
        <v>0.76642804356788297</v>
      </c>
      <c r="E3687" s="48">
        <f t="shared" ca="1" si="212"/>
        <v>0</v>
      </c>
      <c r="F3687" s="17">
        <f t="shared" ca="1" si="213"/>
        <v>0</v>
      </c>
      <c r="H3687" s="17">
        <v>3672</v>
      </c>
      <c r="I3687" s="43">
        <v>0.66874936076756453</v>
      </c>
      <c r="J3687" s="43">
        <v>1.9229617832253125E-2</v>
      </c>
      <c r="K3687" s="43"/>
      <c r="L3687" s="43">
        <v>0.247</v>
      </c>
      <c r="O3687" s="50"/>
    </row>
    <row r="3688" spans="2:15" x14ac:dyDescent="0.2">
      <c r="B3688">
        <v>3673</v>
      </c>
      <c r="C3688" s="48">
        <f ca="1"/>
        <v>-1.1382326274964021</v>
      </c>
      <c r="D3688" s="48">
        <f t="shared" ca="1" si="211"/>
        <v>0.59396950064928489</v>
      </c>
      <c r="E3688" s="48">
        <f t="shared" ca="1" si="212"/>
        <v>0</v>
      </c>
      <c r="F3688" s="17">
        <f t="shared" ca="1" si="213"/>
        <v>0</v>
      </c>
      <c r="H3688" s="17">
        <v>3673</v>
      </c>
      <c r="I3688" s="43">
        <v>0.6687574615304378</v>
      </c>
      <c r="J3688" s="43">
        <v>1.9117393568319655E-2</v>
      </c>
      <c r="K3688" s="43"/>
      <c r="L3688" s="43">
        <v>0.24279999999999999</v>
      </c>
      <c r="O3688" s="50"/>
    </row>
    <row r="3689" spans="2:15" x14ac:dyDescent="0.2">
      <c r="B3689">
        <v>3674</v>
      </c>
      <c r="C3689" s="48">
        <f ca="1"/>
        <v>2.7243415220886891</v>
      </c>
      <c r="D3689" s="48">
        <f t="shared" ca="1" si="211"/>
        <v>0.86924879482934891</v>
      </c>
      <c r="E3689" s="48">
        <f t="shared" ca="1" si="212"/>
        <v>8.1048794829348902E-2</v>
      </c>
      <c r="F3689" s="17">
        <f t="shared" ca="1" si="213"/>
        <v>1</v>
      </c>
      <c r="H3689" s="17">
        <v>3674</v>
      </c>
      <c r="I3689" s="43">
        <v>0.66773497673104365</v>
      </c>
      <c r="J3689" s="43">
        <v>1.8640141598332254E-2</v>
      </c>
      <c r="K3689" s="43"/>
      <c r="L3689" s="43">
        <v>0.24640000000000001</v>
      </c>
      <c r="O3689" s="50"/>
    </row>
    <row r="3690" spans="2:15" x14ac:dyDescent="0.2">
      <c r="B3690">
        <v>3675</v>
      </c>
      <c r="C3690" s="48">
        <f ca="1"/>
        <v>-0.23499493750295836</v>
      </c>
      <c r="D3690" s="48">
        <f t="shared" ca="1" si="211"/>
        <v>0.64928768371042112</v>
      </c>
      <c r="E3690" s="48">
        <f t="shared" ca="1" si="212"/>
        <v>0</v>
      </c>
      <c r="F3690" s="17">
        <f t="shared" ca="1" si="213"/>
        <v>0</v>
      </c>
      <c r="H3690" s="17">
        <v>3675</v>
      </c>
      <c r="I3690" s="43">
        <v>0.66812266065632409</v>
      </c>
      <c r="J3690" s="43">
        <v>1.8770272243675362E-2</v>
      </c>
      <c r="K3690" s="43"/>
      <c r="L3690" s="43">
        <v>0.2472</v>
      </c>
      <c r="O3690" s="50"/>
    </row>
    <row r="3691" spans="2:15" x14ac:dyDescent="0.2">
      <c r="B3691">
        <v>3676</v>
      </c>
      <c r="C3691" s="48">
        <f ca="1"/>
        <v>-0.12701571655792204</v>
      </c>
      <c r="D3691" s="48">
        <f t="shared" ca="1" si="211"/>
        <v>0.65623653063387677</v>
      </c>
      <c r="E3691" s="48">
        <f t="shared" ca="1" si="212"/>
        <v>0</v>
      </c>
      <c r="F3691" s="17">
        <f t="shared" ca="1" si="213"/>
        <v>0</v>
      </c>
      <c r="H3691" s="17">
        <v>3676</v>
      </c>
      <c r="I3691" s="43">
        <v>0.66756006032034187</v>
      </c>
      <c r="J3691" s="43">
        <v>1.8392994587074829E-2</v>
      </c>
      <c r="K3691" s="43"/>
      <c r="L3691" s="43">
        <v>0.24560000000000001</v>
      </c>
      <c r="O3691" s="50"/>
    </row>
    <row r="3692" spans="2:15" x14ac:dyDescent="0.2">
      <c r="B3692">
        <v>3677</v>
      </c>
      <c r="C3692" s="48">
        <f ca="1"/>
        <v>-0.67018929916793257</v>
      </c>
      <c r="D3692" s="48">
        <f t="shared" ca="1" si="211"/>
        <v>0.62201933645617802</v>
      </c>
      <c r="E3692" s="48">
        <f t="shared" ca="1" si="212"/>
        <v>0</v>
      </c>
      <c r="F3692" s="17">
        <f t="shared" ca="1" si="213"/>
        <v>0</v>
      </c>
      <c r="H3692" s="17">
        <v>3677</v>
      </c>
      <c r="I3692" s="43">
        <v>0.66891457826754464</v>
      </c>
      <c r="J3692" s="43">
        <v>1.9683216944780133E-2</v>
      </c>
      <c r="K3692" s="43"/>
      <c r="L3692" s="43">
        <v>0.25900000000000001</v>
      </c>
      <c r="O3692" s="50"/>
    </row>
    <row r="3693" spans="2:15" x14ac:dyDescent="0.2">
      <c r="B3693">
        <v>3678</v>
      </c>
      <c r="C3693" s="48">
        <f ca="1"/>
        <v>0.34138440650625135</v>
      </c>
      <c r="D3693" s="48">
        <f t="shared" ca="1" si="211"/>
        <v>0.68725106170698069</v>
      </c>
      <c r="E3693" s="48">
        <f t="shared" ca="1" si="212"/>
        <v>0</v>
      </c>
      <c r="F3693" s="17">
        <f t="shared" ca="1" si="213"/>
        <v>0</v>
      </c>
      <c r="H3693" s="17">
        <v>3678</v>
      </c>
      <c r="I3693" s="43">
        <v>0.66981912373558639</v>
      </c>
      <c r="J3693" s="43">
        <v>2.0360034298163632E-2</v>
      </c>
      <c r="K3693" s="43"/>
      <c r="L3693" s="43">
        <v>0.26</v>
      </c>
      <c r="O3693" s="50"/>
    </row>
    <row r="3694" spans="2:15" x14ac:dyDescent="0.2">
      <c r="B3694">
        <v>3679</v>
      </c>
      <c r="C3694" s="48">
        <f ca="1"/>
        <v>0.32399155876250196</v>
      </c>
      <c r="D3694" s="48">
        <f t="shared" ca="1" si="211"/>
        <v>0.68607363049988512</v>
      </c>
      <c r="E3694" s="48">
        <f t="shared" ca="1" si="212"/>
        <v>0</v>
      </c>
      <c r="F3694" s="17">
        <f t="shared" ca="1" si="213"/>
        <v>0</v>
      </c>
      <c r="H3694" s="17">
        <v>3679</v>
      </c>
      <c r="I3694" s="43">
        <v>0.66831812313279371</v>
      </c>
      <c r="J3694" s="43">
        <v>1.8705613437918524E-2</v>
      </c>
      <c r="K3694" s="43"/>
      <c r="L3694" s="43">
        <v>0.24299999999999999</v>
      </c>
      <c r="O3694" s="50"/>
    </row>
    <row r="3695" spans="2:15" x14ac:dyDescent="0.2">
      <c r="B3695">
        <v>3680</v>
      </c>
      <c r="C3695" s="48">
        <f ca="1"/>
        <v>1.8337205221550059</v>
      </c>
      <c r="D3695" s="48">
        <f t="shared" ca="1" si="211"/>
        <v>0.79618001801025051</v>
      </c>
      <c r="E3695" s="48">
        <f t="shared" ca="1" si="212"/>
        <v>7.9800180102505003E-3</v>
      </c>
      <c r="F3695" s="17">
        <f t="shared" ca="1" si="213"/>
        <v>1</v>
      </c>
      <c r="H3695" s="17">
        <v>3680</v>
      </c>
      <c r="I3695" s="43">
        <v>0.66808866446385162</v>
      </c>
      <c r="J3695" s="43">
        <v>1.892558581180781E-2</v>
      </c>
      <c r="K3695" s="43"/>
      <c r="L3695" s="43">
        <v>0.24879999999999999</v>
      </c>
      <c r="O3695" s="50"/>
    </row>
    <row r="3696" spans="2:15" x14ac:dyDescent="0.2">
      <c r="B3696">
        <v>3681</v>
      </c>
      <c r="C3696" s="48">
        <f ca="1"/>
        <v>-1.150718394975651</v>
      </c>
      <c r="D3696" s="48">
        <f t="shared" ca="1" si="211"/>
        <v>0.59323880951017716</v>
      </c>
      <c r="E3696" s="48">
        <f t="shared" ca="1" si="212"/>
        <v>0</v>
      </c>
      <c r="F3696" s="17">
        <f t="shared" ca="1" si="213"/>
        <v>0</v>
      </c>
      <c r="H3696" s="17">
        <v>3681</v>
      </c>
      <c r="I3696" s="43">
        <v>0.66892965992159681</v>
      </c>
      <c r="J3696" s="43">
        <v>1.9240081587106703E-2</v>
      </c>
      <c r="K3696" s="43"/>
      <c r="L3696" s="43">
        <v>0.24679999999999999</v>
      </c>
      <c r="O3696" s="50"/>
    </row>
    <row r="3697" spans="2:15" x14ac:dyDescent="0.2">
      <c r="B3697">
        <v>3682</v>
      </c>
      <c r="C3697" s="48">
        <f ca="1"/>
        <v>-0.53914123263609359</v>
      </c>
      <c r="D3697" s="48">
        <f t="shared" ca="1" si="211"/>
        <v>0.63010777557785458</v>
      </c>
      <c r="E3697" s="48">
        <f t="shared" ca="1" si="212"/>
        <v>0</v>
      </c>
      <c r="F3697" s="17">
        <f t="shared" ca="1" si="213"/>
        <v>0</v>
      </c>
      <c r="H3697" s="17">
        <v>3682</v>
      </c>
      <c r="I3697" s="43">
        <v>0.66890710981186829</v>
      </c>
      <c r="J3697" s="43">
        <v>1.9204256418050427E-2</v>
      </c>
      <c r="K3697" s="43"/>
      <c r="L3697" s="43">
        <v>0.24340000000000001</v>
      </c>
      <c r="O3697" s="50"/>
    </row>
    <row r="3698" spans="2:15" x14ac:dyDescent="0.2">
      <c r="B3698">
        <v>3683</v>
      </c>
      <c r="C3698" s="48">
        <f ca="1"/>
        <v>-0.44685781636148336</v>
      </c>
      <c r="D3698" s="48">
        <f t="shared" ca="1" si="211"/>
        <v>0.63586664622607281</v>
      </c>
      <c r="E3698" s="48">
        <f t="shared" ca="1" si="212"/>
        <v>0</v>
      </c>
      <c r="F3698" s="17">
        <f t="shared" ca="1" si="213"/>
        <v>0</v>
      </c>
      <c r="H3698" s="17">
        <v>3683</v>
      </c>
      <c r="I3698" s="43">
        <v>0.66962327212371686</v>
      </c>
      <c r="J3698" s="43">
        <v>1.9839248327121153E-2</v>
      </c>
      <c r="K3698" s="43"/>
      <c r="L3698" s="43">
        <v>0.25280000000000002</v>
      </c>
      <c r="O3698" s="50"/>
    </row>
    <row r="3699" spans="2:15" x14ac:dyDescent="0.2">
      <c r="B3699">
        <v>3684</v>
      </c>
      <c r="C3699" s="48">
        <f ca="1"/>
        <v>-0.53771374061433352</v>
      </c>
      <c r="D3699" s="48">
        <f t="shared" ca="1" si="211"/>
        <v>0.63019645866627783</v>
      </c>
      <c r="E3699" s="48">
        <f t="shared" ca="1" si="212"/>
        <v>0</v>
      </c>
      <c r="F3699" s="17">
        <f t="shared" ca="1" si="213"/>
        <v>0</v>
      </c>
      <c r="H3699" s="17">
        <v>3684</v>
      </c>
      <c r="I3699" s="43">
        <v>0.67023559264014831</v>
      </c>
      <c r="J3699" s="43">
        <v>2.032917346188181E-2</v>
      </c>
      <c r="K3699" s="43"/>
      <c r="L3699" s="43">
        <v>0.25800000000000001</v>
      </c>
      <c r="O3699" s="50"/>
    </row>
    <row r="3700" spans="2:15" x14ac:dyDescent="0.2">
      <c r="B3700">
        <v>3685</v>
      </c>
      <c r="C3700" s="48">
        <f ca="1"/>
        <v>1.2696218860079902</v>
      </c>
      <c r="D3700" s="48">
        <f t="shared" ca="1" si="211"/>
        <v>0.75311072062373818</v>
      </c>
      <c r="E3700" s="48">
        <f t="shared" ca="1" si="212"/>
        <v>0</v>
      </c>
      <c r="F3700" s="17">
        <f t="shared" ca="1" si="213"/>
        <v>0</v>
      </c>
      <c r="H3700" s="17">
        <v>3685</v>
      </c>
      <c r="I3700" s="43">
        <v>0.66833908476909631</v>
      </c>
      <c r="J3700" s="43">
        <v>1.8993364903739721E-2</v>
      </c>
      <c r="K3700" s="43"/>
      <c r="L3700" s="43">
        <v>0.2482</v>
      </c>
      <c r="O3700" s="50"/>
    </row>
    <row r="3701" spans="2:15" x14ac:dyDescent="0.2">
      <c r="B3701">
        <v>3686</v>
      </c>
      <c r="C3701" s="48">
        <f ca="1"/>
        <v>-0.96333363203088029</v>
      </c>
      <c r="D3701" s="48">
        <f t="shared" ca="1" si="211"/>
        <v>0.60430003528637566</v>
      </c>
      <c r="E3701" s="48">
        <f t="shared" ca="1" si="212"/>
        <v>0</v>
      </c>
      <c r="F3701" s="17">
        <f t="shared" ca="1" si="213"/>
        <v>0</v>
      </c>
      <c r="H3701" s="17">
        <v>3686</v>
      </c>
      <c r="I3701" s="43">
        <v>0.66808930325160243</v>
      </c>
      <c r="J3701" s="43">
        <v>1.8658068704353183E-2</v>
      </c>
      <c r="K3701" s="43"/>
      <c r="L3701" s="43">
        <v>0.2432</v>
      </c>
      <c r="O3701" s="50"/>
    </row>
    <row r="3702" spans="2:15" x14ac:dyDescent="0.2">
      <c r="B3702">
        <v>3687</v>
      </c>
      <c r="C3702" s="48">
        <f ca="1"/>
        <v>-1.0706028501616205</v>
      </c>
      <c r="D3702" s="48">
        <f t="shared" ca="1" si="211"/>
        <v>0.59794299359064429</v>
      </c>
      <c r="E3702" s="48">
        <f t="shared" ca="1" si="212"/>
        <v>0</v>
      </c>
      <c r="F3702" s="17">
        <f t="shared" ca="1" si="213"/>
        <v>0</v>
      </c>
      <c r="H3702" s="17">
        <v>3687</v>
      </c>
      <c r="I3702" s="43">
        <v>0.66882693122493775</v>
      </c>
      <c r="J3702" s="43">
        <v>1.9439960047479183E-2</v>
      </c>
      <c r="K3702" s="43"/>
      <c r="L3702" s="43">
        <v>0.248</v>
      </c>
      <c r="O3702" s="50"/>
    </row>
    <row r="3703" spans="2:15" x14ac:dyDescent="0.2">
      <c r="B3703">
        <v>3688</v>
      </c>
      <c r="C3703" s="48">
        <f ca="1"/>
        <v>-1.0356813194685395</v>
      </c>
      <c r="D3703" s="48">
        <f t="shared" ca="1" si="211"/>
        <v>0.60000515468051174</v>
      </c>
      <c r="E3703" s="48">
        <f t="shared" ca="1" si="212"/>
        <v>0</v>
      </c>
      <c r="F3703" s="17">
        <f t="shared" ca="1" si="213"/>
        <v>0</v>
      </c>
      <c r="H3703" s="17">
        <v>3688</v>
      </c>
      <c r="I3703" s="43">
        <v>0.66749323843190267</v>
      </c>
      <c r="J3703" s="43">
        <v>1.8114053629324459E-2</v>
      </c>
      <c r="K3703" s="43"/>
      <c r="L3703" s="43">
        <v>0.23960000000000001</v>
      </c>
      <c r="O3703" s="50"/>
    </row>
    <row r="3704" spans="2:15" x14ac:dyDescent="0.2">
      <c r="B3704">
        <v>3689</v>
      </c>
      <c r="C3704" s="48">
        <f ca="1"/>
        <v>0.73654113869000637</v>
      </c>
      <c r="D3704" s="48">
        <f t="shared" ca="1" si="211"/>
        <v>0.71455300137144762</v>
      </c>
      <c r="E3704" s="48">
        <f t="shared" ca="1" si="212"/>
        <v>0</v>
      </c>
      <c r="F3704" s="17">
        <f t="shared" ca="1" si="213"/>
        <v>0</v>
      </c>
      <c r="H3704" s="17">
        <v>3689</v>
      </c>
      <c r="I3704" s="43">
        <v>0.66886180294639264</v>
      </c>
      <c r="J3704" s="43">
        <v>1.954259254994594E-2</v>
      </c>
      <c r="K3704" s="43"/>
      <c r="L3704" s="43">
        <v>0.253</v>
      </c>
      <c r="O3704" s="50"/>
    </row>
    <row r="3705" spans="2:15" x14ac:dyDescent="0.2">
      <c r="B3705">
        <v>3690</v>
      </c>
      <c r="C3705" s="48">
        <f ca="1"/>
        <v>-1.7543781546650796</v>
      </c>
      <c r="D3705" s="48">
        <f t="shared" ca="1" si="211"/>
        <v>0.55896325850871542</v>
      </c>
      <c r="E3705" s="48">
        <f t="shared" ca="1" si="212"/>
        <v>0</v>
      </c>
      <c r="F3705" s="17">
        <f t="shared" ca="1" si="213"/>
        <v>0</v>
      </c>
      <c r="H3705" s="17">
        <v>3690</v>
      </c>
      <c r="I3705" s="43">
        <v>0.6689156510523887</v>
      </c>
      <c r="J3705" s="43">
        <v>1.9256327134772475E-2</v>
      </c>
      <c r="K3705" s="43"/>
      <c r="L3705" s="43">
        <v>0.24479999999999999</v>
      </c>
      <c r="O3705" s="50"/>
    </row>
    <row r="3706" spans="2:15" x14ac:dyDescent="0.2">
      <c r="B3706">
        <v>3691</v>
      </c>
      <c r="C3706" s="48">
        <f ca="1"/>
        <v>-0.24244499681493581</v>
      </c>
      <c r="D3706" s="48">
        <f t="shared" ca="1" si="211"/>
        <v>0.64881096836218699</v>
      </c>
      <c r="E3706" s="48">
        <f t="shared" ca="1" si="212"/>
        <v>0</v>
      </c>
      <c r="F3706" s="17">
        <f t="shared" ca="1" si="213"/>
        <v>0</v>
      </c>
      <c r="H3706" s="17">
        <v>3691</v>
      </c>
      <c r="I3706" s="43">
        <v>0.66733624223185495</v>
      </c>
      <c r="J3706" s="43">
        <v>1.8217701887882375E-2</v>
      </c>
      <c r="K3706" s="43"/>
      <c r="L3706" s="43">
        <v>0.246</v>
      </c>
      <c r="O3706" s="50"/>
    </row>
    <row r="3707" spans="2:15" x14ac:dyDescent="0.2">
      <c r="B3707">
        <v>3692</v>
      </c>
      <c r="C3707" s="48">
        <f ca="1"/>
        <v>-1.0840563342438967</v>
      </c>
      <c r="D3707" s="48">
        <f t="shared" ca="1" si="211"/>
        <v>0.59715044063327449</v>
      </c>
      <c r="E3707" s="48">
        <f t="shared" ca="1" si="212"/>
        <v>0</v>
      </c>
      <c r="F3707" s="17">
        <f t="shared" ca="1" si="213"/>
        <v>0</v>
      </c>
      <c r="H3707" s="17">
        <v>3692</v>
      </c>
      <c r="I3707" s="43">
        <v>0.66806425320220664</v>
      </c>
      <c r="J3707" s="43">
        <v>1.9167628274238672E-2</v>
      </c>
      <c r="K3707" s="43"/>
      <c r="L3707" s="43">
        <v>0.254</v>
      </c>
      <c r="O3707" s="50"/>
    </row>
    <row r="3708" spans="2:15" x14ac:dyDescent="0.2">
      <c r="B3708">
        <v>3693</v>
      </c>
      <c r="C3708" s="48">
        <f ca="1"/>
        <v>0.20261618460364689</v>
      </c>
      <c r="D3708" s="48">
        <f t="shared" ca="1" si="211"/>
        <v>0.67791293417878551</v>
      </c>
      <c r="E3708" s="48">
        <f t="shared" ca="1" si="212"/>
        <v>0</v>
      </c>
      <c r="F3708" s="17">
        <f t="shared" ca="1" si="213"/>
        <v>0</v>
      </c>
      <c r="H3708" s="17">
        <v>3693</v>
      </c>
      <c r="I3708" s="43">
        <v>0.66926774309500292</v>
      </c>
      <c r="J3708" s="43">
        <v>1.9587994743211934E-2</v>
      </c>
      <c r="K3708" s="43"/>
      <c r="L3708" s="43">
        <v>0.252</v>
      </c>
      <c r="O3708" s="50"/>
    </row>
    <row r="3709" spans="2:15" x14ac:dyDescent="0.2">
      <c r="B3709">
        <v>3694</v>
      </c>
      <c r="C3709" s="48">
        <f ca="1"/>
        <v>1.9042871834459181</v>
      </c>
      <c r="D3709" s="48">
        <f t="shared" ca="1" si="211"/>
        <v>0.80173834549907474</v>
      </c>
      <c r="E3709" s="48">
        <f t="shared" ca="1" si="212"/>
        <v>1.3538345499074733E-2</v>
      </c>
      <c r="F3709" s="17">
        <f t="shared" ca="1" si="213"/>
        <v>1</v>
      </c>
      <c r="H3709" s="17">
        <v>3694</v>
      </c>
      <c r="I3709" s="43">
        <v>0.66916614255438356</v>
      </c>
      <c r="J3709" s="43">
        <v>1.9613367636729141E-2</v>
      </c>
      <c r="K3709" s="43"/>
      <c r="L3709" s="43">
        <v>0.25040000000000001</v>
      </c>
      <c r="O3709" s="50"/>
    </row>
    <row r="3710" spans="2:15" x14ac:dyDescent="0.2">
      <c r="B3710">
        <v>3695</v>
      </c>
      <c r="C3710" s="48">
        <f ca="1"/>
        <v>0.11708572444397038</v>
      </c>
      <c r="D3710" s="48">
        <f t="shared" ca="1" si="211"/>
        <v>0.67222064834152528</v>
      </c>
      <c r="E3710" s="48">
        <f t="shared" ca="1" si="212"/>
        <v>0</v>
      </c>
      <c r="F3710" s="17">
        <f t="shared" ca="1" si="213"/>
        <v>0</v>
      </c>
      <c r="H3710" s="17">
        <v>3695</v>
      </c>
      <c r="I3710" s="43">
        <v>0.66826853360407623</v>
      </c>
      <c r="J3710" s="43">
        <v>1.9085291943361095E-2</v>
      </c>
      <c r="K3710" s="43"/>
      <c r="L3710" s="43">
        <v>0.24840000000000001</v>
      </c>
      <c r="O3710" s="50"/>
    </row>
    <row r="3711" spans="2:15" x14ac:dyDescent="0.2">
      <c r="B3711">
        <v>3696</v>
      </c>
      <c r="C3711" s="48">
        <f ca="1"/>
        <v>-1.3759628824754002</v>
      </c>
      <c r="D3711" s="48">
        <f t="shared" ca="1" si="211"/>
        <v>0.5802103719388555</v>
      </c>
      <c r="E3711" s="48">
        <f t="shared" ca="1" si="212"/>
        <v>0</v>
      </c>
      <c r="F3711" s="17">
        <f t="shared" ca="1" si="213"/>
        <v>0</v>
      </c>
      <c r="H3711" s="17">
        <v>3696</v>
      </c>
      <c r="I3711" s="43">
        <v>0.66767234433414835</v>
      </c>
      <c r="J3711" s="43">
        <v>1.810022967116429E-2</v>
      </c>
      <c r="K3711" s="43"/>
      <c r="L3711" s="43">
        <v>0.24199999999999999</v>
      </c>
      <c r="O3711" s="50"/>
    </row>
    <row r="3712" spans="2:15" x14ac:dyDescent="0.2">
      <c r="B3712">
        <v>3697</v>
      </c>
      <c r="C3712" s="48">
        <f ca="1"/>
        <v>-4.9291398045567786E-2</v>
      </c>
      <c r="D3712" s="48">
        <f t="shared" ca="1" si="211"/>
        <v>0.66128435261418672</v>
      </c>
      <c r="E3712" s="48">
        <f t="shared" ca="1" si="212"/>
        <v>0</v>
      </c>
      <c r="F3712" s="17">
        <f t="shared" ca="1" si="213"/>
        <v>0</v>
      </c>
      <c r="H3712" s="17">
        <v>3697</v>
      </c>
      <c r="I3712" s="43">
        <v>0.66904576886089728</v>
      </c>
      <c r="J3712" s="43">
        <v>1.925546413976682E-2</v>
      </c>
      <c r="K3712" s="43"/>
      <c r="L3712" s="43">
        <v>0.25440000000000002</v>
      </c>
      <c r="O3712" s="50"/>
    </row>
    <row r="3713" spans="2:15" x14ac:dyDescent="0.2">
      <c r="B3713">
        <v>3698</v>
      </c>
      <c r="C3713" s="48">
        <f ca="1"/>
        <v>1.2139294939413883</v>
      </c>
      <c r="D3713" s="48">
        <f t="shared" ca="1" si="211"/>
        <v>0.74898704300874608</v>
      </c>
      <c r="E3713" s="48">
        <f t="shared" ca="1" si="212"/>
        <v>0</v>
      </c>
      <c r="F3713" s="17">
        <f t="shared" ca="1" si="213"/>
        <v>0</v>
      </c>
      <c r="H3713" s="17">
        <v>3698</v>
      </c>
      <c r="I3713" s="43">
        <v>0.66911548664721154</v>
      </c>
      <c r="J3713" s="43">
        <v>1.9381332711213489E-2</v>
      </c>
      <c r="K3713" s="43"/>
      <c r="L3713" s="43">
        <v>0.25240000000000001</v>
      </c>
      <c r="O3713" s="50"/>
    </row>
    <row r="3714" spans="2:15" x14ac:dyDescent="0.2">
      <c r="B3714">
        <v>3699</v>
      </c>
      <c r="C3714" s="48">
        <f ca="1"/>
        <v>0.20492885053253351</v>
      </c>
      <c r="D3714" s="48">
        <f t="shared" ca="1" si="211"/>
        <v>0.67806751586961489</v>
      </c>
      <c r="E3714" s="48">
        <f t="shared" ca="1" si="212"/>
        <v>0</v>
      </c>
      <c r="F3714" s="17">
        <f t="shared" ca="1" si="213"/>
        <v>0</v>
      </c>
      <c r="H3714" s="17">
        <v>3699</v>
      </c>
      <c r="I3714" s="43">
        <v>0.66948468236551362</v>
      </c>
      <c r="J3714" s="43">
        <v>1.9543525169375887E-2</v>
      </c>
      <c r="K3714" s="43"/>
      <c r="L3714" s="43">
        <v>0.25019999999999998</v>
      </c>
      <c r="O3714" s="50"/>
    </row>
    <row r="3715" spans="2:15" x14ac:dyDescent="0.2">
      <c r="B3715">
        <v>3700</v>
      </c>
      <c r="C3715" s="48">
        <f ca="1"/>
        <v>0.73768813968809543</v>
      </c>
      <c r="D3715" s="48">
        <f t="shared" ca="1" si="211"/>
        <v>0.7146338075407962</v>
      </c>
      <c r="E3715" s="48">
        <f t="shared" ca="1" si="212"/>
        <v>0</v>
      </c>
      <c r="F3715" s="17">
        <f t="shared" ca="1" si="213"/>
        <v>0</v>
      </c>
      <c r="H3715" s="17">
        <v>3700</v>
      </c>
      <c r="I3715" s="43">
        <v>0.66793760657740164</v>
      </c>
      <c r="J3715" s="43">
        <v>1.8536232790169981E-2</v>
      </c>
      <c r="K3715" s="43"/>
      <c r="L3715" s="43">
        <v>0.24540000000000001</v>
      </c>
      <c r="O3715" s="50"/>
    </row>
    <row r="3716" spans="2:15" x14ac:dyDescent="0.2">
      <c r="B3716">
        <v>3701</v>
      </c>
      <c r="C3716" s="48">
        <f ca="1"/>
        <v>-1.0394879264820982</v>
      </c>
      <c r="D3716" s="48">
        <f t="shared" ca="1" si="211"/>
        <v>0.59978002474022729</v>
      </c>
      <c r="E3716" s="48">
        <f t="shared" ca="1" si="212"/>
        <v>0</v>
      </c>
      <c r="F3716" s="17">
        <f t="shared" ca="1" si="213"/>
        <v>0</v>
      </c>
      <c r="H3716" s="17">
        <v>3701</v>
      </c>
      <c r="I3716" s="43">
        <v>0.66877583817923891</v>
      </c>
      <c r="J3716" s="43">
        <v>1.9068207476231371E-2</v>
      </c>
      <c r="K3716" s="43"/>
      <c r="L3716" s="43">
        <v>0.2414</v>
      </c>
      <c r="O3716" s="50"/>
    </row>
    <row r="3717" spans="2:15" x14ac:dyDescent="0.2">
      <c r="B3717">
        <v>3702</v>
      </c>
      <c r="C3717" s="48">
        <f ca="1"/>
        <v>-1.8131297501192212</v>
      </c>
      <c r="D3717" s="48">
        <f t="shared" ca="1" si="211"/>
        <v>0.5557350059759405</v>
      </c>
      <c r="E3717" s="48">
        <f t="shared" ca="1" si="212"/>
        <v>0</v>
      </c>
      <c r="F3717" s="17">
        <f t="shared" ca="1" si="213"/>
        <v>0</v>
      </c>
      <c r="H3717" s="17">
        <v>3702</v>
      </c>
      <c r="I3717" s="43">
        <v>0.66977845144390735</v>
      </c>
      <c r="J3717" s="43">
        <v>2.0232667381977515E-2</v>
      </c>
      <c r="K3717" s="43"/>
      <c r="L3717" s="43">
        <v>0.25779999999999997</v>
      </c>
      <c r="O3717" s="50"/>
    </row>
    <row r="3718" spans="2:15" x14ac:dyDescent="0.2">
      <c r="B3718">
        <v>3703</v>
      </c>
      <c r="C3718" s="48">
        <f ca="1"/>
        <v>-0.2496648441304947</v>
      </c>
      <c r="D3718" s="48">
        <f t="shared" ca="1" si="211"/>
        <v>0.64834931780543137</v>
      </c>
      <c r="E3718" s="48">
        <f t="shared" ca="1" si="212"/>
        <v>0</v>
      </c>
      <c r="F3718" s="17">
        <f t="shared" ca="1" si="213"/>
        <v>0</v>
      </c>
      <c r="H3718" s="17">
        <v>3703</v>
      </c>
      <c r="I3718" s="43">
        <v>0.66881619809453874</v>
      </c>
      <c r="J3718" s="43">
        <v>1.9442189015824715E-2</v>
      </c>
      <c r="K3718" s="43"/>
      <c r="L3718" s="43">
        <v>0.24840000000000001</v>
      </c>
      <c r="O3718" s="50"/>
    </row>
    <row r="3719" spans="2:15" x14ac:dyDescent="0.2">
      <c r="B3719">
        <v>3704</v>
      </c>
      <c r="C3719" s="48">
        <f ca="1"/>
        <v>0.5792365069649249</v>
      </c>
      <c r="D3719" s="48">
        <f t="shared" ca="1" si="211"/>
        <v>0.70355700839897606</v>
      </c>
      <c r="E3719" s="48">
        <f t="shared" ca="1" si="212"/>
        <v>0</v>
      </c>
      <c r="F3719" s="17">
        <f t="shared" ca="1" si="213"/>
        <v>0</v>
      </c>
      <c r="H3719" s="17">
        <v>3704</v>
      </c>
      <c r="I3719" s="43">
        <v>0.66855570978408185</v>
      </c>
      <c r="J3719" s="43">
        <v>1.8806544762415139E-2</v>
      </c>
      <c r="K3719" s="43"/>
      <c r="L3719" s="43">
        <v>0.23960000000000001</v>
      </c>
      <c r="O3719" s="50"/>
    </row>
    <row r="3720" spans="2:15" x14ac:dyDescent="0.2">
      <c r="B3720">
        <v>3705</v>
      </c>
      <c r="C3720" s="48">
        <f ca="1"/>
        <v>1.3005093524935578</v>
      </c>
      <c r="D3720" s="48">
        <f t="shared" ca="1" si="211"/>
        <v>0.75540752625452146</v>
      </c>
      <c r="E3720" s="48">
        <f t="shared" ca="1" si="212"/>
        <v>0</v>
      </c>
      <c r="F3720" s="17">
        <f t="shared" ca="1" si="213"/>
        <v>0</v>
      </c>
      <c r="H3720" s="17">
        <v>3705</v>
      </c>
      <c r="I3720" s="43">
        <v>0.66881197320948393</v>
      </c>
      <c r="J3720" s="43">
        <v>1.9307728712394355E-2</v>
      </c>
      <c r="K3720" s="43"/>
      <c r="L3720" s="43">
        <v>0.24940000000000001</v>
      </c>
      <c r="O3720" s="50"/>
    </row>
    <row r="3721" spans="2:15" x14ac:dyDescent="0.2">
      <c r="B3721">
        <v>3706</v>
      </c>
      <c r="C3721" s="48">
        <f ca="1"/>
        <v>-0.24633164100516791</v>
      </c>
      <c r="D3721" s="48">
        <f t="shared" ca="1" si="211"/>
        <v>0.64856240822194666</v>
      </c>
      <c r="E3721" s="48">
        <f t="shared" ca="1" si="212"/>
        <v>0</v>
      </c>
      <c r="F3721" s="17">
        <f t="shared" ca="1" si="213"/>
        <v>0</v>
      </c>
      <c r="H3721" s="17">
        <v>3706</v>
      </c>
      <c r="I3721" s="43">
        <v>0.66941798702519373</v>
      </c>
      <c r="J3721" s="43">
        <v>1.9815704130284263E-2</v>
      </c>
      <c r="K3721" s="43"/>
      <c r="L3721" s="43">
        <v>0.25280000000000002</v>
      </c>
      <c r="O3721" s="50"/>
    </row>
    <row r="3722" spans="2:15" x14ac:dyDescent="0.2">
      <c r="B3722">
        <v>3707</v>
      </c>
      <c r="C3722" s="48">
        <f ca="1"/>
        <v>1.8235232341223568</v>
      </c>
      <c r="D3722" s="48">
        <f t="shared" ca="1" si="211"/>
        <v>0.79538000067869641</v>
      </c>
      <c r="E3722" s="48">
        <f t="shared" ca="1" si="212"/>
        <v>7.1800006786963966E-3</v>
      </c>
      <c r="F3722" s="17">
        <f t="shared" ca="1" si="213"/>
        <v>1</v>
      </c>
      <c r="H3722" s="17">
        <v>3707</v>
      </c>
      <c r="I3722" s="43">
        <v>0.67087169310165695</v>
      </c>
      <c r="J3722" s="43">
        <v>2.0612635977602132E-2</v>
      </c>
      <c r="K3722" s="43"/>
      <c r="L3722" s="43">
        <v>0.25540000000000002</v>
      </c>
      <c r="O3722" s="50"/>
    </row>
    <row r="3723" spans="2:15" x14ac:dyDescent="0.2">
      <c r="B3723">
        <v>3708</v>
      </c>
      <c r="C3723" s="48">
        <f ca="1"/>
        <v>1.1234732663131559</v>
      </c>
      <c r="D3723" s="48">
        <f t="shared" ca="1" si="211"/>
        <v>0.7423373828619626</v>
      </c>
      <c r="E3723" s="48">
        <f t="shared" ca="1" si="212"/>
        <v>0</v>
      </c>
      <c r="F3723" s="17">
        <f t="shared" ca="1" si="213"/>
        <v>0</v>
      </c>
      <c r="H3723" s="17">
        <v>3708</v>
      </c>
      <c r="I3723" s="43">
        <v>0.66896336315133775</v>
      </c>
      <c r="J3723" s="43">
        <v>1.9389148759714779E-2</v>
      </c>
      <c r="K3723" s="43"/>
      <c r="L3723" s="43">
        <v>0.25800000000000001</v>
      </c>
      <c r="O3723" s="50"/>
    </row>
    <row r="3724" spans="2:15" x14ac:dyDescent="0.2">
      <c r="B3724">
        <v>3709</v>
      </c>
      <c r="C3724" s="48">
        <f ca="1"/>
        <v>0.42026707599307717</v>
      </c>
      <c r="D3724" s="48">
        <f t="shared" ca="1" si="211"/>
        <v>0.69261654137628592</v>
      </c>
      <c r="E3724" s="48">
        <f t="shared" ca="1" si="212"/>
        <v>0</v>
      </c>
      <c r="F3724" s="17">
        <f t="shared" ca="1" si="213"/>
        <v>0</v>
      </c>
      <c r="H3724" s="17">
        <v>3709</v>
      </c>
      <c r="I3724" s="43">
        <v>0.66931795878456446</v>
      </c>
      <c r="J3724" s="43">
        <v>1.9288328976129813E-2</v>
      </c>
      <c r="K3724" s="43"/>
      <c r="L3724" s="43">
        <v>0.25319999999999998</v>
      </c>
      <c r="O3724" s="50"/>
    </row>
    <row r="3725" spans="2:15" x14ac:dyDescent="0.2">
      <c r="B3725">
        <v>3710</v>
      </c>
      <c r="C3725" s="48">
        <f ca="1"/>
        <v>-2.9251946825049049</v>
      </c>
      <c r="D3725" s="48">
        <f t="shared" ca="1" si="211"/>
        <v>0.49802780301130434</v>
      </c>
      <c r="E3725" s="48">
        <f t="shared" ca="1" si="212"/>
        <v>0</v>
      </c>
      <c r="F3725" s="17">
        <f t="shared" ca="1" si="213"/>
        <v>0</v>
      </c>
      <c r="H3725" s="17">
        <v>3710</v>
      </c>
      <c r="I3725" s="43">
        <v>0.66973607074248198</v>
      </c>
      <c r="J3725" s="43">
        <v>1.9612107025208603E-2</v>
      </c>
      <c r="K3725" s="43"/>
      <c r="L3725" s="43">
        <v>0.25419999999999998</v>
      </c>
      <c r="O3725" s="50"/>
    </row>
    <row r="3726" spans="2:15" x14ac:dyDescent="0.2">
      <c r="B3726">
        <v>3711</v>
      </c>
      <c r="C3726" s="48">
        <f ca="1"/>
        <v>0.48406254755933098</v>
      </c>
      <c r="D3726" s="48">
        <f t="shared" ca="1" si="211"/>
        <v>0.69698643516017977</v>
      </c>
      <c r="E3726" s="48">
        <f t="shared" ca="1" si="212"/>
        <v>0</v>
      </c>
      <c r="F3726" s="17">
        <f t="shared" ca="1" si="213"/>
        <v>0</v>
      </c>
      <c r="H3726" s="17">
        <v>3711</v>
      </c>
      <c r="I3726" s="43">
        <v>0.66960106800255337</v>
      </c>
      <c r="J3726" s="43">
        <v>1.9647661890517563E-2</v>
      </c>
      <c r="K3726" s="43"/>
      <c r="L3726" s="43">
        <v>0.248</v>
      </c>
      <c r="O3726" s="50"/>
    </row>
    <row r="3727" spans="2:15" x14ac:dyDescent="0.2">
      <c r="B3727">
        <v>3712</v>
      </c>
      <c r="C3727" s="48">
        <f ca="1"/>
        <v>-1.0920830096564336</v>
      </c>
      <c r="D3727" s="48">
        <f t="shared" ca="1" si="211"/>
        <v>0.59667808472164274</v>
      </c>
      <c r="E3727" s="48">
        <f t="shared" ca="1" si="212"/>
        <v>0</v>
      </c>
      <c r="F3727" s="17">
        <f t="shared" ca="1" si="213"/>
        <v>0</v>
      </c>
      <c r="H3727" s="17">
        <v>3712</v>
      </c>
      <c r="I3727" s="43">
        <v>0.66961555227245073</v>
      </c>
      <c r="J3727" s="43">
        <v>1.9775956747464137E-2</v>
      </c>
      <c r="K3727" s="43"/>
      <c r="L3727" s="43">
        <v>0.24959999999999999</v>
      </c>
      <c r="O3727" s="50"/>
    </row>
    <row r="3728" spans="2:15" x14ac:dyDescent="0.2">
      <c r="B3728">
        <v>3713</v>
      </c>
      <c r="C3728" s="48">
        <f ca="1"/>
        <v>-0.15161724981461849</v>
      </c>
      <c r="D3728" s="48">
        <f t="shared" ref="D3728:D3791" ca="1" si="214">S0*EXP((μ-0.5*σ*σ)*T+σ*SQRT(T)*$C3728)</f>
        <v>0.65464682126134377</v>
      </c>
      <c r="E3728" s="48">
        <f t="shared" ref="E3728:E3791" ca="1" si="215">MAX(0,CP*(D3728-K))</f>
        <v>0</v>
      </c>
      <c r="F3728" s="17">
        <f t="shared" ref="F3728:F3791" ca="1" si="216">(CP*(D3728-K)&gt;0)*1</f>
        <v>0</v>
      </c>
      <c r="H3728" s="17">
        <v>3713</v>
      </c>
      <c r="I3728" s="43">
        <v>0.66817162523971851</v>
      </c>
      <c r="J3728" s="43">
        <v>1.8559773947875335E-2</v>
      </c>
      <c r="K3728" s="43"/>
      <c r="L3728" s="43">
        <v>0.24579999999999999</v>
      </c>
      <c r="O3728" s="50"/>
    </row>
    <row r="3729" spans="2:15" x14ac:dyDescent="0.2">
      <c r="B3729">
        <v>3714</v>
      </c>
      <c r="C3729" s="48">
        <f ca="1"/>
        <v>-1.108102065067599</v>
      </c>
      <c r="D3729" s="48">
        <f t="shared" ca="1" si="214"/>
        <v>0.5957365077670832</v>
      </c>
      <c r="E3729" s="48">
        <f t="shared" ca="1" si="215"/>
        <v>0</v>
      </c>
      <c r="F3729" s="17">
        <f t="shared" ca="1" si="216"/>
        <v>0</v>
      </c>
      <c r="H3729" s="17">
        <v>3714</v>
      </c>
      <c r="I3729" s="43">
        <v>0.66926013683985197</v>
      </c>
      <c r="J3729" s="43">
        <v>1.9437860789536712E-2</v>
      </c>
      <c r="K3729" s="43"/>
      <c r="L3729" s="43">
        <v>0.247</v>
      </c>
      <c r="O3729" s="50"/>
    </row>
    <row r="3730" spans="2:15" x14ac:dyDescent="0.2">
      <c r="B3730">
        <v>3715</v>
      </c>
      <c r="C3730" s="48">
        <f ca="1"/>
        <v>-0.4903210477270169</v>
      </c>
      <c r="D3730" s="48">
        <f t="shared" ca="1" si="214"/>
        <v>0.63314783127889696</v>
      </c>
      <c r="E3730" s="48">
        <f t="shared" ca="1" si="215"/>
        <v>0</v>
      </c>
      <c r="F3730" s="17">
        <f t="shared" ca="1" si="216"/>
        <v>0</v>
      </c>
      <c r="H3730" s="17">
        <v>3715</v>
      </c>
      <c r="I3730" s="43">
        <v>0.66888445311189226</v>
      </c>
      <c r="J3730" s="43">
        <v>1.9351087792421322E-2</v>
      </c>
      <c r="K3730" s="43"/>
      <c r="L3730" s="43">
        <v>0.25319999999999998</v>
      </c>
      <c r="O3730" s="50"/>
    </row>
    <row r="3731" spans="2:15" x14ac:dyDescent="0.2">
      <c r="B3731">
        <v>3716</v>
      </c>
      <c r="C3731" s="48">
        <f ca="1"/>
        <v>-1.3695761703120393</v>
      </c>
      <c r="D3731" s="48">
        <f t="shared" ca="1" si="214"/>
        <v>0.58057581631787214</v>
      </c>
      <c r="E3731" s="48">
        <f t="shared" ca="1" si="215"/>
        <v>0</v>
      </c>
      <c r="F3731" s="17">
        <f t="shared" ca="1" si="216"/>
        <v>0</v>
      </c>
      <c r="H3731" s="17">
        <v>3716</v>
      </c>
      <c r="I3731" s="43">
        <v>0.66819394675823618</v>
      </c>
      <c r="J3731" s="43">
        <v>1.883985196144344E-2</v>
      </c>
      <c r="K3731" s="43"/>
      <c r="L3731" s="43">
        <v>0.25</v>
      </c>
      <c r="O3731" s="50"/>
    </row>
    <row r="3732" spans="2:15" x14ac:dyDescent="0.2">
      <c r="B3732">
        <v>3717</v>
      </c>
      <c r="C3732" s="48">
        <f ca="1"/>
        <v>2.8583086875728294</v>
      </c>
      <c r="D3732" s="48">
        <f t="shared" ca="1" si="214"/>
        <v>0.8808055339987142</v>
      </c>
      <c r="E3732" s="48">
        <f t="shared" ca="1" si="215"/>
        <v>9.2605533998714185E-2</v>
      </c>
      <c r="F3732" s="17">
        <f t="shared" ca="1" si="216"/>
        <v>1</v>
      </c>
      <c r="H3732" s="17">
        <v>3717</v>
      </c>
      <c r="I3732" s="43">
        <v>0.66876793216138075</v>
      </c>
      <c r="J3732" s="43">
        <v>1.9365641392684783E-2</v>
      </c>
      <c r="K3732" s="43"/>
      <c r="L3732" s="43">
        <v>0.254</v>
      </c>
      <c r="O3732" s="50"/>
    </row>
    <row r="3733" spans="2:15" x14ac:dyDescent="0.2">
      <c r="B3733">
        <v>3718</v>
      </c>
      <c r="C3733" s="48">
        <f ca="1"/>
        <v>0.16958691793038949</v>
      </c>
      <c r="D3733" s="48">
        <f t="shared" ca="1" si="214"/>
        <v>0.67570905555016536</v>
      </c>
      <c r="E3733" s="48">
        <f t="shared" ca="1" si="215"/>
        <v>0</v>
      </c>
      <c r="F3733" s="17">
        <f t="shared" ca="1" si="216"/>
        <v>0</v>
      </c>
      <c r="H3733" s="17">
        <v>3718</v>
      </c>
      <c r="I3733" s="43">
        <v>0.66886279277622018</v>
      </c>
      <c r="J3733" s="43">
        <v>1.9424147631805673E-2</v>
      </c>
      <c r="K3733" s="43"/>
      <c r="L3733" s="43">
        <v>0.25119999999999998</v>
      </c>
      <c r="O3733" s="50"/>
    </row>
    <row r="3734" spans="2:15" x14ac:dyDescent="0.2">
      <c r="B3734">
        <v>3719</v>
      </c>
      <c r="C3734" s="48">
        <f ca="1"/>
        <v>-0.56058112611169353</v>
      </c>
      <c r="D3734" s="48">
        <f t="shared" ca="1" si="214"/>
        <v>0.62877732030724653</v>
      </c>
      <c r="E3734" s="48">
        <f t="shared" ca="1" si="215"/>
        <v>0</v>
      </c>
      <c r="F3734" s="17">
        <f t="shared" ca="1" si="216"/>
        <v>0</v>
      </c>
      <c r="H3734" s="17">
        <v>3719</v>
      </c>
      <c r="I3734" s="43">
        <v>0.66954271306184321</v>
      </c>
      <c r="J3734" s="43">
        <v>1.9782208945371558E-2</v>
      </c>
      <c r="K3734" s="43"/>
      <c r="L3734" s="43">
        <v>0.2482</v>
      </c>
      <c r="O3734" s="50"/>
    </row>
    <row r="3735" spans="2:15" x14ac:dyDescent="0.2">
      <c r="B3735">
        <v>3720</v>
      </c>
      <c r="C3735" s="48">
        <f ca="1"/>
        <v>0.90878031534283843</v>
      </c>
      <c r="D3735" s="48">
        <f t="shared" ca="1" si="214"/>
        <v>0.72679016092413984</v>
      </c>
      <c r="E3735" s="48">
        <f t="shared" ca="1" si="215"/>
        <v>0</v>
      </c>
      <c r="F3735" s="17">
        <f t="shared" ca="1" si="216"/>
        <v>0</v>
      </c>
      <c r="H3735" s="17">
        <v>3720</v>
      </c>
      <c r="I3735" s="43">
        <v>0.66940931388313263</v>
      </c>
      <c r="J3735" s="43">
        <v>1.9582354053264389E-2</v>
      </c>
      <c r="K3735" s="43"/>
      <c r="L3735" s="43">
        <v>0.255</v>
      </c>
      <c r="O3735" s="50"/>
    </row>
    <row r="3736" spans="2:15" x14ac:dyDescent="0.2">
      <c r="B3736">
        <v>3721</v>
      </c>
      <c r="C3736" s="48">
        <f ca="1"/>
        <v>-0.73186649631409229</v>
      </c>
      <c r="D3736" s="48">
        <f t="shared" ca="1" si="214"/>
        <v>0.61824856232132608</v>
      </c>
      <c r="E3736" s="48">
        <f t="shared" ca="1" si="215"/>
        <v>0</v>
      </c>
      <c r="F3736" s="17">
        <f t="shared" ca="1" si="216"/>
        <v>0</v>
      </c>
      <c r="H3736" s="17">
        <v>3721</v>
      </c>
      <c r="I3736" s="43">
        <v>0.66843320264653416</v>
      </c>
      <c r="J3736" s="43">
        <v>1.9094840802136536E-2</v>
      </c>
      <c r="K3736" s="43"/>
      <c r="L3736" s="43">
        <v>0.23880000000000001</v>
      </c>
      <c r="O3736" s="50"/>
    </row>
    <row r="3737" spans="2:15" x14ac:dyDescent="0.2">
      <c r="B3737">
        <v>3722</v>
      </c>
      <c r="C3737" s="48">
        <f ca="1"/>
        <v>1.507740109773732</v>
      </c>
      <c r="D3737" s="48">
        <f t="shared" ca="1" si="214"/>
        <v>0.77099950343686863</v>
      </c>
      <c r="E3737" s="48">
        <f t="shared" ca="1" si="215"/>
        <v>0</v>
      </c>
      <c r="F3737" s="17">
        <f t="shared" ca="1" si="216"/>
        <v>0</v>
      </c>
      <c r="H3737" s="17">
        <v>3722</v>
      </c>
      <c r="I3737" s="43">
        <v>0.66961539336249309</v>
      </c>
      <c r="J3737" s="43">
        <v>1.9757837787037682E-2</v>
      </c>
      <c r="K3737" s="43"/>
      <c r="L3737" s="43">
        <v>0.24959999999999999</v>
      </c>
      <c r="O3737" s="50"/>
    </row>
    <row r="3738" spans="2:15" x14ac:dyDescent="0.2">
      <c r="B3738">
        <v>3723</v>
      </c>
      <c r="C3738" s="48">
        <f ca="1"/>
        <v>0.1604387381891742</v>
      </c>
      <c r="D3738" s="48">
        <f t="shared" ca="1" si="214"/>
        <v>0.67509991106155165</v>
      </c>
      <c r="E3738" s="48">
        <f t="shared" ca="1" si="215"/>
        <v>0</v>
      </c>
      <c r="F3738" s="17">
        <f t="shared" ca="1" si="216"/>
        <v>0</v>
      </c>
      <c r="H3738" s="17">
        <v>3723</v>
      </c>
      <c r="I3738" s="43">
        <v>0.66909729966817</v>
      </c>
      <c r="J3738" s="43">
        <v>1.9331157609792995E-2</v>
      </c>
      <c r="K3738" s="43"/>
      <c r="L3738" s="43">
        <v>0.24540000000000001</v>
      </c>
      <c r="O3738" s="50"/>
    </row>
    <row r="3739" spans="2:15" x14ac:dyDescent="0.2">
      <c r="B3739">
        <v>3724</v>
      </c>
      <c r="C3739" s="48">
        <f ca="1"/>
        <v>1.1657794619346669</v>
      </c>
      <c r="D3739" s="48">
        <f t="shared" ca="1" si="214"/>
        <v>0.74544003460464892</v>
      </c>
      <c r="E3739" s="48">
        <f t="shared" ca="1" si="215"/>
        <v>0</v>
      </c>
      <c r="F3739" s="17">
        <f t="shared" ca="1" si="216"/>
        <v>0</v>
      </c>
      <c r="H3739" s="17">
        <v>3724</v>
      </c>
      <c r="I3739" s="43">
        <v>0.66850678888773141</v>
      </c>
      <c r="J3739" s="43">
        <v>1.8996291159800421E-2</v>
      </c>
      <c r="K3739" s="43"/>
      <c r="L3739" s="43">
        <v>0.248</v>
      </c>
      <c r="O3739" s="50"/>
    </row>
    <row r="3740" spans="2:15" x14ac:dyDescent="0.2">
      <c r="B3740">
        <v>3725</v>
      </c>
      <c r="C3740" s="48">
        <f ca="1"/>
        <v>-1.0967259998347634</v>
      </c>
      <c r="D3740" s="48">
        <f t="shared" ca="1" si="214"/>
        <v>0.59640502340548063</v>
      </c>
      <c r="E3740" s="48">
        <f t="shared" ca="1" si="215"/>
        <v>0</v>
      </c>
      <c r="F3740" s="17">
        <f t="shared" ca="1" si="216"/>
        <v>0</v>
      </c>
      <c r="H3740" s="17">
        <v>3725</v>
      </c>
      <c r="I3740" s="43">
        <v>0.66931603382186688</v>
      </c>
      <c r="J3740" s="43">
        <v>1.9656907280553464E-2</v>
      </c>
      <c r="K3740" s="43"/>
      <c r="L3740" s="43">
        <v>0.25700000000000001</v>
      </c>
      <c r="O3740" s="50"/>
    </row>
    <row r="3741" spans="2:15" x14ac:dyDescent="0.2">
      <c r="B3741">
        <v>3726</v>
      </c>
      <c r="C3741" s="48">
        <f ca="1"/>
        <v>-0.2203030353853527</v>
      </c>
      <c r="D3741" s="48">
        <f t="shared" ca="1" si="214"/>
        <v>0.65022881773323804</v>
      </c>
      <c r="E3741" s="48">
        <f t="shared" ca="1" si="215"/>
        <v>0</v>
      </c>
      <c r="F3741" s="17">
        <f t="shared" ca="1" si="216"/>
        <v>0</v>
      </c>
      <c r="H3741" s="17">
        <v>3726</v>
      </c>
      <c r="I3741" s="43">
        <v>0.6684620486427636</v>
      </c>
      <c r="J3741" s="43">
        <v>1.8967877014307417E-2</v>
      </c>
      <c r="K3741" s="43"/>
      <c r="L3741" s="43">
        <v>0.249</v>
      </c>
      <c r="O3741" s="50"/>
    </row>
    <row r="3742" spans="2:15" x14ac:dyDescent="0.2">
      <c r="B3742">
        <v>3727</v>
      </c>
      <c r="C3742" s="48">
        <f ca="1"/>
        <v>1.6394414704879934</v>
      </c>
      <c r="D3742" s="48">
        <f t="shared" ca="1" si="214"/>
        <v>0.78107551353200555</v>
      </c>
      <c r="E3742" s="48">
        <f t="shared" ca="1" si="215"/>
        <v>0</v>
      </c>
      <c r="F3742" s="17">
        <f t="shared" ca="1" si="216"/>
        <v>0</v>
      </c>
      <c r="H3742" s="17">
        <v>3727</v>
      </c>
      <c r="I3742" s="43">
        <v>0.66926532315140119</v>
      </c>
      <c r="J3742" s="43">
        <v>1.9707253389126864E-2</v>
      </c>
      <c r="K3742" s="43"/>
      <c r="L3742" s="43">
        <v>0.25659999999999999</v>
      </c>
      <c r="O3742" s="50"/>
    </row>
    <row r="3743" spans="2:15" x14ac:dyDescent="0.2">
      <c r="B3743">
        <v>3728</v>
      </c>
      <c r="C3743" s="48">
        <f ca="1"/>
        <v>-2.0941218712357061</v>
      </c>
      <c r="D3743" s="48">
        <f t="shared" ca="1" si="214"/>
        <v>0.54055115175252522</v>
      </c>
      <c r="E3743" s="48">
        <f t="shared" ca="1" si="215"/>
        <v>0</v>
      </c>
      <c r="F3743" s="17">
        <f t="shared" ca="1" si="216"/>
        <v>0</v>
      </c>
      <c r="H3743" s="17">
        <v>3728</v>
      </c>
      <c r="I3743" s="43">
        <v>0.66948506585992573</v>
      </c>
      <c r="J3743" s="43">
        <v>1.9864678062537579E-2</v>
      </c>
      <c r="K3743" s="43"/>
      <c r="L3743" s="43">
        <v>0.26300000000000001</v>
      </c>
      <c r="O3743" s="50"/>
    </row>
    <row r="3744" spans="2:15" x14ac:dyDescent="0.2">
      <c r="B3744">
        <v>3729</v>
      </c>
      <c r="C3744" s="48">
        <f ca="1"/>
        <v>0.86898916695482542</v>
      </c>
      <c r="D3744" s="48">
        <f t="shared" ca="1" si="214"/>
        <v>0.72394461458241322</v>
      </c>
      <c r="E3744" s="48">
        <f t="shared" ca="1" si="215"/>
        <v>0</v>
      </c>
      <c r="F3744" s="17">
        <f t="shared" ca="1" si="216"/>
        <v>0</v>
      </c>
      <c r="H3744" s="17">
        <v>3729</v>
      </c>
      <c r="I3744" s="43">
        <v>0.67058149819951085</v>
      </c>
      <c r="J3744" s="43">
        <v>2.0577213982070453E-2</v>
      </c>
      <c r="K3744" s="43"/>
      <c r="L3744" s="43">
        <v>0.26140000000000002</v>
      </c>
      <c r="O3744" s="50"/>
    </row>
    <row r="3745" spans="2:15" x14ac:dyDescent="0.2">
      <c r="B3745">
        <v>3730</v>
      </c>
      <c r="C3745" s="48">
        <f ca="1"/>
        <v>2.6704186876924005</v>
      </c>
      <c r="D3745" s="48">
        <f t="shared" ca="1" si="214"/>
        <v>0.86464002879415258</v>
      </c>
      <c r="E3745" s="48">
        <f t="shared" ca="1" si="215"/>
        <v>7.644002879415257E-2</v>
      </c>
      <c r="F3745" s="17">
        <f t="shared" ca="1" si="216"/>
        <v>1</v>
      </c>
      <c r="H3745" s="17">
        <v>3730</v>
      </c>
      <c r="I3745" s="43">
        <v>0.66901185577540978</v>
      </c>
      <c r="J3745" s="43">
        <v>1.929118277971683E-2</v>
      </c>
      <c r="K3745" s="43"/>
      <c r="L3745" s="43">
        <v>0.25659999999999999</v>
      </c>
      <c r="O3745" s="50"/>
    </row>
    <row r="3746" spans="2:15" x14ac:dyDescent="0.2">
      <c r="B3746">
        <v>3731</v>
      </c>
      <c r="C3746" s="48">
        <f ca="1"/>
        <v>-0.39077992538234102</v>
      </c>
      <c r="D3746" s="48">
        <f t="shared" ca="1" si="214"/>
        <v>0.63939181980168225</v>
      </c>
      <c r="E3746" s="48">
        <f t="shared" ca="1" si="215"/>
        <v>0</v>
      </c>
      <c r="F3746" s="17">
        <f t="shared" ca="1" si="216"/>
        <v>0</v>
      </c>
      <c r="H3746" s="17">
        <v>3731</v>
      </c>
      <c r="I3746" s="43">
        <v>0.67024054825702328</v>
      </c>
      <c r="J3746" s="43">
        <v>2.0101677519632044E-2</v>
      </c>
      <c r="K3746" s="43"/>
      <c r="L3746" s="43">
        <v>0.25019999999999998</v>
      </c>
      <c r="O3746" s="50"/>
    </row>
    <row r="3747" spans="2:15" x14ac:dyDescent="0.2">
      <c r="B3747">
        <v>3732</v>
      </c>
      <c r="C3747" s="48">
        <f ca="1"/>
        <v>0.22447416377226723</v>
      </c>
      <c r="D3747" s="48">
        <f t="shared" ca="1" si="214"/>
        <v>0.67937535939853555</v>
      </c>
      <c r="E3747" s="48">
        <f t="shared" ca="1" si="215"/>
        <v>0</v>
      </c>
      <c r="F3747" s="17">
        <f t="shared" ca="1" si="216"/>
        <v>0</v>
      </c>
      <c r="H3747" s="17">
        <v>3732</v>
      </c>
      <c r="I3747" s="43">
        <v>0.66910273428427025</v>
      </c>
      <c r="J3747" s="43">
        <v>1.9583722230911125E-2</v>
      </c>
      <c r="K3747" s="43"/>
      <c r="L3747" s="43">
        <v>0.251</v>
      </c>
      <c r="O3747" s="50"/>
    </row>
    <row r="3748" spans="2:15" x14ac:dyDescent="0.2">
      <c r="B3748">
        <v>3733</v>
      </c>
      <c r="C3748" s="48">
        <f ca="1"/>
        <v>7.3607089632907741E-2</v>
      </c>
      <c r="D3748" s="48">
        <f t="shared" ca="1" si="214"/>
        <v>0.66934537584496068</v>
      </c>
      <c r="E3748" s="48">
        <f t="shared" ca="1" si="215"/>
        <v>0</v>
      </c>
      <c r="F3748" s="17">
        <f t="shared" ca="1" si="216"/>
        <v>0</v>
      </c>
      <c r="H3748" s="17">
        <v>3733</v>
      </c>
      <c r="I3748" s="43">
        <v>0.66940174209422088</v>
      </c>
      <c r="J3748" s="43">
        <v>1.9633869386451189E-2</v>
      </c>
      <c r="K3748" s="43"/>
      <c r="L3748" s="43">
        <v>0.25359999999999999</v>
      </c>
      <c r="O3748" s="50"/>
    </row>
    <row r="3749" spans="2:15" x14ac:dyDescent="0.2">
      <c r="B3749">
        <v>3734</v>
      </c>
      <c r="C3749" s="48">
        <f ca="1"/>
        <v>0.21032242158203726</v>
      </c>
      <c r="D3749" s="48">
        <f t="shared" ca="1" si="214"/>
        <v>0.67842816636614323</v>
      </c>
      <c r="E3749" s="48">
        <f t="shared" ca="1" si="215"/>
        <v>0</v>
      </c>
      <c r="F3749" s="17">
        <f t="shared" ca="1" si="216"/>
        <v>0</v>
      </c>
      <c r="H3749" s="17">
        <v>3734</v>
      </c>
      <c r="I3749" s="43">
        <v>0.6694239763542974</v>
      </c>
      <c r="J3749" s="43">
        <v>1.9490101673798058E-2</v>
      </c>
      <c r="K3749" s="43"/>
      <c r="L3749" s="43">
        <v>0.254</v>
      </c>
      <c r="O3749" s="50"/>
    </row>
    <row r="3750" spans="2:15" x14ac:dyDescent="0.2">
      <c r="B3750">
        <v>3735</v>
      </c>
      <c r="C3750" s="48">
        <f ca="1"/>
        <v>0.31551519175103843</v>
      </c>
      <c r="D3750" s="48">
        <f t="shared" ca="1" si="214"/>
        <v>0.68550054324365883</v>
      </c>
      <c r="E3750" s="48">
        <f t="shared" ca="1" si="215"/>
        <v>0</v>
      </c>
      <c r="F3750" s="17">
        <f t="shared" ca="1" si="216"/>
        <v>0</v>
      </c>
      <c r="H3750" s="17">
        <v>3735</v>
      </c>
      <c r="I3750" s="43">
        <v>0.66893146829810979</v>
      </c>
      <c r="J3750" s="43">
        <v>1.9370344420904025E-2</v>
      </c>
      <c r="K3750" s="43"/>
      <c r="L3750" s="43">
        <v>0.25280000000000002</v>
      </c>
      <c r="O3750" s="50"/>
    </row>
    <row r="3751" spans="2:15" x14ac:dyDescent="0.2">
      <c r="B3751">
        <v>3736</v>
      </c>
      <c r="C3751" s="48">
        <f ca="1"/>
        <v>-0.48365936879418803</v>
      </c>
      <c r="D3751" s="48">
        <f t="shared" ca="1" si="214"/>
        <v>0.63356379280482944</v>
      </c>
      <c r="E3751" s="48">
        <f t="shared" ca="1" si="215"/>
        <v>0</v>
      </c>
      <c r="F3751" s="17">
        <f t="shared" ca="1" si="216"/>
        <v>0</v>
      </c>
      <c r="H3751" s="17">
        <v>3736</v>
      </c>
      <c r="I3751" s="43">
        <v>0.66885018986502287</v>
      </c>
      <c r="J3751" s="43">
        <v>1.9045806846332225E-2</v>
      </c>
      <c r="K3751" s="43"/>
      <c r="L3751" s="43">
        <v>0.2442</v>
      </c>
      <c r="O3751" s="50"/>
    </row>
    <row r="3752" spans="2:15" x14ac:dyDescent="0.2">
      <c r="B3752">
        <v>3737</v>
      </c>
      <c r="C3752" s="48">
        <f ca="1"/>
        <v>-0.7075857071476771</v>
      </c>
      <c r="D3752" s="48">
        <f t="shared" ca="1" si="214"/>
        <v>0.61973028708897848</v>
      </c>
      <c r="E3752" s="48">
        <f t="shared" ca="1" si="215"/>
        <v>0</v>
      </c>
      <c r="F3752" s="17">
        <f t="shared" ca="1" si="216"/>
        <v>0</v>
      </c>
      <c r="H3752" s="17">
        <v>3737</v>
      </c>
      <c r="I3752" s="43">
        <v>0.66876273477697423</v>
      </c>
      <c r="J3752" s="43">
        <v>1.9175812317096086E-2</v>
      </c>
      <c r="K3752" s="43"/>
      <c r="L3752" s="43">
        <v>0.24260000000000001</v>
      </c>
      <c r="O3752" s="50"/>
    </row>
    <row r="3753" spans="2:15" x14ac:dyDescent="0.2">
      <c r="B3753">
        <v>3738</v>
      </c>
      <c r="C3753" s="48">
        <f ca="1"/>
        <v>-0.5639009195679543</v>
      </c>
      <c r="D3753" s="48">
        <f t="shared" ca="1" si="214"/>
        <v>0.62857156142811987</v>
      </c>
      <c r="E3753" s="48">
        <f t="shared" ca="1" si="215"/>
        <v>0</v>
      </c>
      <c r="F3753" s="17">
        <f t="shared" ca="1" si="216"/>
        <v>0</v>
      </c>
      <c r="H3753" s="17">
        <v>3738</v>
      </c>
      <c r="I3753" s="43">
        <v>0.66908010452019084</v>
      </c>
      <c r="J3753" s="43">
        <v>1.966157367412184E-2</v>
      </c>
      <c r="K3753" s="43"/>
      <c r="L3753" s="43">
        <v>0.25340000000000001</v>
      </c>
      <c r="O3753" s="50"/>
    </row>
    <row r="3754" spans="2:15" x14ac:dyDescent="0.2">
      <c r="B3754">
        <v>3739</v>
      </c>
      <c r="C3754" s="48">
        <f ca="1"/>
        <v>-2.4157942501074596</v>
      </c>
      <c r="D3754" s="48">
        <f t="shared" ca="1" si="214"/>
        <v>0.523677692550227</v>
      </c>
      <c r="E3754" s="48">
        <f t="shared" ca="1" si="215"/>
        <v>0</v>
      </c>
      <c r="F3754" s="17">
        <f t="shared" ca="1" si="216"/>
        <v>0</v>
      </c>
      <c r="H3754" s="17">
        <v>3739</v>
      </c>
      <c r="I3754" s="43">
        <v>0.66806097712400481</v>
      </c>
      <c r="J3754" s="43">
        <v>1.8435902797273529E-2</v>
      </c>
      <c r="K3754" s="43"/>
      <c r="L3754" s="43">
        <v>0.24660000000000001</v>
      </c>
      <c r="O3754" s="50"/>
    </row>
    <row r="3755" spans="2:15" x14ac:dyDescent="0.2">
      <c r="B3755">
        <v>3740</v>
      </c>
      <c r="C3755" s="48">
        <f ca="1"/>
        <v>-0.60870005532240024</v>
      </c>
      <c r="D3755" s="48">
        <f t="shared" ca="1" si="214"/>
        <v>0.62580151289739216</v>
      </c>
      <c r="E3755" s="48">
        <f t="shared" ca="1" si="215"/>
        <v>0</v>
      </c>
      <c r="F3755" s="17">
        <f t="shared" ca="1" si="216"/>
        <v>0</v>
      </c>
      <c r="H3755" s="17">
        <v>3740</v>
      </c>
      <c r="I3755" s="43">
        <v>0.66880389563442133</v>
      </c>
      <c r="J3755" s="43">
        <v>1.9474435553287622E-2</v>
      </c>
      <c r="K3755" s="43"/>
      <c r="L3755" s="43">
        <v>0.24859999999999999</v>
      </c>
      <c r="O3755" s="50"/>
    </row>
    <row r="3756" spans="2:15" x14ac:dyDescent="0.2">
      <c r="B3756">
        <v>3741</v>
      </c>
      <c r="C3756" s="48">
        <f ca="1"/>
        <v>-0.34665008436248246</v>
      </c>
      <c r="D3756" s="48">
        <f t="shared" ca="1" si="214"/>
        <v>0.64217964945460981</v>
      </c>
      <c r="E3756" s="48">
        <f t="shared" ca="1" si="215"/>
        <v>0</v>
      </c>
      <c r="F3756" s="17">
        <f t="shared" ca="1" si="216"/>
        <v>0</v>
      </c>
      <c r="H3756" s="17">
        <v>3741</v>
      </c>
      <c r="I3756" s="43">
        <v>0.66794525582624065</v>
      </c>
      <c r="J3756" s="43">
        <v>1.878431082687362E-2</v>
      </c>
      <c r="K3756" s="43"/>
      <c r="L3756" s="43">
        <v>0.24940000000000001</v>
      </c>
      <c r="O3756" s="50"/>
    </row>
    <row r="3757" spans="2:15" x14ac:dyDescent="0.2">
      <c r="B3757">
        <v>3742</v>
      </c>
      <c r="C3757" s="48">
        <f ca="1"/>
        <v>-0.4674366344064077</v>
      </c>
      <c r="D3757" s="48">
        <f t="shared" ca="1" si="214"/>
        <v>0.6345778990814821</v>
      </c>
      <c r="E3757" s="48">
        <f t="shared" ca="1" si="215"/>
        <v>0</v>
      </c>
      <c r="F3757" s="17">
        <f t="shared" ca="1" si="216"/>
        <v>0</v>
      </c>
      <c r="H3757" s="17">
        <v>3742</v>
      </c>
      <c r="I3757" s="43">
        <v>0.66854889363659087</v>
      </c>
      <c r="J3757" s="43">
        <v>1.9144326660151107E-2</v>
      </c>
      <c r="K3757" s="43"/>
      <c r="L3757" s="43">
        <v>0.25340000000000001</v>
      </c>
      <c r="O3757" s="50"/>
    </row>
    <row r="3758" spans="2:15" x14ac:dyDescent="0.2">
      <c r="B3758">
        <v>3743</v>
      </c>
      <c r="C3758" s="48">
        <f ca="1"/>
        <v>-0.13995625228254524</v>
      </c>
      <c r="D3758" s="48">
        <f t="shared" ca="1" si="214"/>
        <v>0.65539985450639182</v>
      </c>
      <c r="E3758" s="48">
        <f t="shared" ca="1" si="215"/>
        <v>0</v>
      </c>
      <c r="F3758" s="17">
        <f t="shared" ca="1" si="216"/>
        <v>0</v>
      </c>
      <c r="H3758" s="17">
        <v>3743</v>
      </c>
      <c r="I3758" s="43">
        <v>0.66880218844071693</v>
      </c>
      <c r="J3758" s="43">
        <v>1.9398922783981979E-2</v>
      </c>
      <c r="K3758" s="43"/>
      <c r="L3758" s="43">
        <v>0.25600000000000001</v>
      </c>
      <c r="O3758" s="50"/>
    </row>
    <row r="3759" spans="2:15" x14ac:dyDescent="0.2">
      <c r="B3759">
        <v>3744</v>
      </c>
      <c r="C3759" s="48">
        <f ca="1"/>
        <v>0.12449247129703787</v>
      </c>
      <c r="D3759" s="48">
        <f t="shared" ca="1" si="214"/>
        <v>0.6727116914765825</v>
      </c>
      <c r="E3759" s="48">
        <f t="shared" ca="1" si="215"/>
        <v>0</v>
      </c>
      <c r="F3759" s="17">
        <f t="shared" ca="1" si="216"/>
        <v>0</v>
      </c>
      <c r="H3759" s="17">
        <v>3744</v>
      </c>
      <c r="I3759" s="43">
        <v>0.66735309766790896</v>
      </c>
      <c r="J3759" s="43">
        <v>1.8340939881174391E-2</v>
      </c>
      <c r="K3759" s="43"/>
      <c r="L3759" s="43">
        <v>0.24279999999999999</v>
      </c>
      <c r="O3759" s="50"/>
    </row>
    <row r="3760" spans="2:15" x14ac:dyDescent="0.2">
      <c r="B3760">
        <v>3745</v>
      </c>
      <c r="C3760" s="48">
        <f ca="1"/>
        <v>-0.84439496808719405</v>
      </c>
      <c r="D3760" s="48">
        <f t="shared" ca="1" si="214"/>
        <v>0.61142768129435054</v>
      </c>
      <c r="E3760" s="48">
        <f t="shared" ca="1" si="215"/>
        <v>0</v>
      </c>
      <c r="F3760" s="17">
        <f t="shared" ca="1" si="216"/>
        <v>0</v>
      </c>
      <c r="H3760" s="17">
        <v>3745</v>
      </c>
      <c r="I3760" s="43">
        <v>0.66909460040687141</v>
      </c>
      <c r="J3760" s="43">
        <v>1.9590433112840793E-2</v>
      </c>
      <c r="K3760" s="43"/>
      <c r="L3760" s="43">
        <v>0.25059999999999999</v>
      </c>
      <c r="O3760" s="50"/>
    </row>
    <row r="3761" spans="2:15" x14ac:dyDescent="0.2">
      <c r="B3761">
        <v>3746</v>
      </c>
      <c r="C3761" s="48">
        <f ca="1"/>
        <v>7.946566749602238E-2</v>
      </c>
      <c r="D3761" s="48">
        <f t="shared" ca="1" si="214"/>
        <v>0.66973208960080077</v>
      </c>
      <c r="E3761" s="48">
        <f t="shared" ca="1" si="215"/>
        <v>0</v>
      </c>
      <c r="F3761" s="17">
        <f t="shared" ca="1" si="216"/>
        <v>0</v>
      </c>
      <c r="H3761" s="17">
        <v>3746</v>
      </c>
      <c r="I3761" s="43">
        <v>0.66767631929210269</v>
      </c>
      <c r="J3761" s="43">
        <v>1.867135920313856E-2</v>
      </c>
      <c r="K3761" s="43"/>
      <c r="L3761" s="43">
        <v>0.25040000000000001</v>
      </c>
      <c r="O3761" s="50"/>
    </row>
    <row r="3762" spans="2:15" x14ac:dyDescent="0.2">
      <c r="B3762">
        <v>3747</v>
      </c>
      <c r="C3762" s="48">
        <f ca="1"/>
        <v>0.70173890701213604</v>
      </c>
      <c r="D3762" s="48">
        <f t="shared" ca="1" si="214"/>
        <v>0.71210552544336769</v>
      </c>
      <c r="E3762" s="48">
        <f t="shared" ca="1" si="215"/>
        <v>0</v>
      </c>
      <c r="F3762" s="17">
        <f t="shared" ca="1" si="216"/>
        <v>0</v>
      </c>
      <c r="H3762" s="17">
        <v>3747</v>
      </c>
      <c r="I3762" s="43">
        <v>0.66808754401306469</v>
      </c>
      <c r="J3762" s="43">
        <v>1.8830212505252249E-2</v>
      </c>
      <c r="K3762" s="43"/>
      <c r="L3762" s="43">
        <v>0.25219999999999998</v>
      </c>
      <c r="O3762" s="50"/>
    </row>
    <row r="3763" spans="2:15" x14ac:dyDescent="0.2">
      <c r="B3763">
        <v>3748</v>
      </c>
      <c r="C3763" s="48">
        <f ca="1"/>
        <v>0.5593496331021407</v>
      </c>
      <c r="D3763" s="48">
        <f t="shared" ca="1" si="214"/>
        <v>0.702178968269635</v>
      </c>
      <c r="E3763" s="48">
        <f t="shared" ca="1" si="215"/>
        <v>0</v>
      </c>
      <c r="F3763" s="17">
        <f t="shared" ca="1" si="216"/>
        <v>0</v>
      </c>
      <c r="H3763" s="17">
        <v>3748</v>
      </c>
      <c r="I3763" s="43">
        <v>0.66910456184513922</v>
      </c>
      <c r="J3763" s="43">
        <v>1.9602031303760682E-2</v>
      </c>
      <c r="K3763" s="43"/>
      <c r="L3763" s="43">
        <v>0.25159999999999999</v>
      </c>
      <c r="O3763" s="50"/>
    </row>
    <row r="3764" spans="2:15" x14ac:dyDescent="0.2">
      <c r="B3764">
        <v>3749</v>
      </c>
      <c r="C3764" s="48">
        <f ca="1"/>
        <v>0.18409292230660676</v>
      </c>
      <c r="D3764" s="48">
        <f t="shared" ca="1" si="214"/>
        <v>0.67667608532315993</v>
      </c>
      <c r="E3764" s="48">
        <f t="shared" ca="1" si="215"/>
        <v>0</v>
      </c>
      <c r="F3764" s="17">
        <f t="shared" ca="1" si="216"/>
        <v>0</v>
      </c>
      <c r="H3764" s="17">
        <v>3749</v>
      </c>
      <c r="I3764" s="43">
        <v>0.66832470684189782</v>
      </c>
      <c r="J3764" s="43">
        <v>1.8978473281109704E-2</v>
      </c>
      <c r="K3764" s="43"/>
      <c r="L3764" s="43">
        <v>0.2442</v>
      </c>
      <c r="O3764" s="50"/>
    </row>
    <row r="3765" spans="2:15" x14ac:dyDescent="0.2">
      <c r="B3765">
        <v>3750</v>
      </c>
      <c r="C3765" s="48">
        <f ca="1"/>
        <v>1.445083467584922</v>
      </c>
      <c r="D3765" s="48">
        <f t="shared" ca="1" si="214"/>
        <v>0.76625159567588152</v>
      </c>
      <c r="E3765" s="48">
        <f t="shared" ca="1" si="215"/>
        <v>0</v>
      </c>
      <c r="F3765" s="17">
        <f t="shared" ca="1" si="216"/>
        <v>0</v>
      </c>
      <c r="H3765" s="17">
        <v>3750</v>
      </c>
      <c r="I3765" s="43">
        <v>0.66727186722539189</v>
      </c>
      <c r="J3765" s="43">
        <v>1.7902991502456892E-2</v>
      </c>
      <c r="K3765" s="43"/>
      <c r="L3765" s="43">
        <v>0.2404</v>
      </c>
      <c r="O3765" s="50"/>
    </row>
    <row r="3766" spans="2:15" x14ac:dyDescent="0.2">
      <c r="B3766">
        <v>3751</v>
      </c>
      <c r="C3766" s="48">
        <f ca="1"/>
        <v>1.4078575014092236</v>
      </c>
      <c r="D3766" s="48">
        <f t="shared" ca="1" si="214"/>
        <v>0.76344459574962875</v>
      </c>
      <c r="E3766" s="48">
        <f t="shared" ca="1" si="215"/>
        <v>0</v>
      </c>
      <c r="F3766" s="17">
        <f t="shared" ca="1" si="216"/>
        <v>0</v>
      </c>
      <c r="H3766" s="17">
        <v>3751</v>
      </c>
      <c r="I3766" s="43">
        <v>0.66931548743085445</v>
      </c>
      <c r="J3766" s="43">
        <v>1.9701461590313545E-2</v>
      </c>
      <c r="K3766" s="43"/>
      <c r="L3766" s="43">
        <v>0.25919999999999999</v>
      </c>
      <c r="O3766" s="50"/>
    </row>
    <row r="3767" spans="2:15" x14ac:dyDescent="0.2">
      <c r="B3767">
        <v>3752</v>
      </c>
      <c r="C3767" s="48">
        <f ca="1"/>
        <v>0.9547670347830598</v>
      </c>
      <c r="D3767" s="48">
        <f t="shared" ca="1" si="214"/>
        <v>0.73009270060695686</v>
      </c>
      <c r="E3767" s="48">
        <f t="shared" ca="1" si="215"/>
        <v>0</v>
      </c>
      <c r="F3767" s="17">
        <f t="shared" ca="1" si="216"/>
        <v>0</v>
      </c>
      <c r="H3767" s="17">
        <v>3752</v>
      </c>
      <c r="I3767" s="43">
        <v>0.66934935449289479</v>
      </c>
      <c r="J3767" s="43">
        <v>1.9789544385369329E-2</v>
      </c>
      <c r="K3767" s="43"/>
      <c r="L3767" s="43">
        <v>0.25019999999999998</v>
      </c>
      <c r="O3767" s="50"/>
    </row>
    <row r="3768" spans="2:15" x14ac:dyDescent="0.2">
      <c r="B3768">
        <v>3753</v>
      </c>
      <c r="C3768" s="48">
        <f ca="1"/>
        <v>-0.82798028315951389</v>
      </c>
      <c r="D3768" s="48">
        <f t="shared" ca="1" si="214"/>
        <v>0.61241794490728196</v>
      </c>
      <c r="E3768" s="48">
        <f t="shared" ca="1" si="215"/>
        <v>0</v>
      </c>
      <c r="F3768" s="17">
        <f t="shared" ca="1" si="216"/>
        <v>0</v>
      </c>
      <c r="H3768" s="17">
        <v>3753</v>
      </c>
      <c r="I3768" s="43">
        <v>0.6675712586392738</v>
      </c>
      <c r="J3768" s="43">
        <v>1.8223583666780525E-2</v>
      </c>
      <c r="K3768" s="43"/>
      <c r="L3768" s="43">
        <v>0.24460000000000001</v>
      </c>
      <c r="O3768" s="50"/>
    </row>
    <row r="3769" spans="2:15" x14ac:dyDescent="0.2">
      <c r="B3769">
        <v>3754</v>
      </c>
      <c r="C3769" s="48">
        <f ca="1"/>
        <v>-0.25482298955120297</v>
      </c>
      <c r="D3769" s="48">
        <f t="shared" ca="1" si="214"/>
        <v>0.64801969751350563</v>
      </c>
      <c r="E3769" s="48">
        <f t="shared" ca="1" si="215"/>
        <v>0</v>
      </c>
      <c r="F3769" s="17">
        <f t="shared" ca="1" si="216"/>
        <v>0</v>
      </c>
      <c r="H3769" s="17">
        <v>3754</v>
      </c>
      <c r="I3769" s="43">
        <v>0.66889184394718426</v>
      </c>
      <c r="J3769" s="43">
        <v>1.904721211895986E-2</v>
      </c>
      <c r="K3769" s="43"/>
      <c r="L3769" s="43">
        <v>0.25080000000000002</v>
      </c>
      <c r="O3769" s="50"/>
    </row>
    <row r="3770" spans="2:15" x14ac:dyDescent="0.2">
      <c r="B3770">
        <v>3755</v>
      </c>
      <c r="C3770" s="48">
        <f ca="1"/>
        <v>-0.25022349401097299</v>
      </c>
      <c r="D3770" s="48">
        <f t="shared" ca="1" si="214"/>
        <v>0.64831361038069812</v>
      </c>
      <c r="E3770" s="48">
        <f t="shared" ca="1" si="215"/>
        <v>0</v>
      </c>
      <c r="F3770" s="17">
        <f t="shared" ca="1" si="216"/>
        <v>0</v>
      </c>
      <c r="H3770" s="17">
        <v>3755</v>
      </c>
      <c r="I3770" s="43">
        <v>0.66966590358490397</v>
      </c>
      <c r="J3770" s="43">
        <v>1.9723693369202933E-2</v>
      </c>
      <c r="K3770" s="43"/>
      <c r="L3770" s="43">
        <v>0.25559999999999999</v>
      </c>
      <c r="O3770" s="50"/>
    </row>
    <row r="3771" spans="2:15" x14ac:dyDescent="0.2">
      <c r="B3771">
        <v>3756</v>
      </c>
      <c r="C3771" s="48">
        <f ca="1"/>
        <v>0.59457461007499701</v>
      </c>
      <c r="D3771" s="48">
        <f t="shared" ca="1" si="214"/>
        <v>0.70462169322996915</v>
      </c>
      <c r="E3771" s="48">
        <f t="shared" ca="1" si="215"/>
        <v>0</v>
      </c>
      <c r="F3771" s="17">
        <f t="shared" ca="1" si="216"/>
        <v>0</v>
      </c>
      <c r="H3771" s="17">
        <v>3756</v>
      </c>
      <c r="I3771" s="43">
        <v>0.66832629025076284</v>
      </c>
      <c r="J3771" s="43">
        <v>1.8678901753912021E-2</v>
      </c>
      <c r="K3771" s="43"/>
      <c r="L3771" s="43">
        <v>0.24199999999999999</v>
      </c>
      <c r="O3771" s="50"/>
    </row>
    <row r="3772" spans="2:15" x14ac:dyDescent="0.2">
      <c r="B3772">
        <v>3757</v>
      </c>
      <c r="C3772" s="48">
        <f ca="1"/>
        <v>-1.6813178672006462E-2</v>
      </c>
      <c r="D3772" s="48">
        <f t="shared" ca="1" si="214"/>
        <v>0.66340514256623428</v>
      </c>
      <c r="E3772" s="48">
        <f t="shared" ca="1" si="215"/>
        <v>0</v>
      </c>
      <c r="F3772" s="17">
        <f t="shared" ca="1" si="216"/>
        <v>0</v>
      </c>
      <c r="H3772" s="17">
        <v>3757</v>
      </c>
      <c r="I3772" s="43">
        <v>0.66618318262438392</v>
      </c>
      <c r="J3772" s="43">
        <v>1.7365711093619805E-2</v>
      </c>
      <c r="K3772" s="43"/>
      <c r="L3772" s="43">
        <v>0.23599999999999999</v>
      </c>
      <c r="O3772" s="50"/>
    </row>
    <row r="3773" spans="2:15" x14ac:dyDescent="0.2">
      <c r="B3773">
        <v>3758</v>
      </c>
      <c r="C3773" s="48">
        <f ca="1"/>
        <v>0.22642828659580955</v>
      </c>
      <c r="D3773" s="48">
        <f t="shared" ca="1" si="214"/>
        <v>0.67950625504533302</v>
      </c>
      <c r="E3773" s="48">
        <f t="shared" ca="1" si="215"/>
        <v>0</v>
      </c>
      <c r="F3773" s="17">
        <f t="shared" ca="1" si="216"/>
        <v>0</v>
      </c>
      <c r="H3773" s="17">
        <v>3758</v>
      </c>
      <c r="I3773" s="43">
        <v>0.67006979755900475</v>
      </c>
      <c r="J3773" s="43">
        <v>2.0089603730430526E-2</v>
      </c>
      <c r="K3773" s="43"/>
      <c r="L3773" s="43">
        <v>0.2472</v>
      </c>
      <c r="O3773" s="50"/>
    </row>
    <row r="3774" spans="2:15" x14ac:dyDescent="0.2">
      <c r="B3774">
        <v>3759</v>
      </c>
      <c r="C3774" s="48">
        <f ca="1"/>
        <v>1.2988570713124261</v>
      </c>
      <c r="D3774" s="48">
        <f t="shared" ca="1" si="214"/>
        <v>0.75528448475567789</v>
      </c>
      <c r="E3774" s="48">
        <f t="shared" ca="1" si="215"/>
        <v>0</v>
      </c>
      <c r="F3774" s="17">
        <f t="shared" ca="1" si="216"/>
        <v>0</v>
      </c>
      <c r="H3774" s="17">
        <v>3759</v>
      </c>
      <c r="I3774" s="43">
        <v>0.66805920023229259</v>
      </c>
      <c r="J3774" s="43">
        <v>1.8898347045926592E-2</v>
      </c>
      <c r="K3774" s="43"/>
      <c r="L3774" s="43">
        <v>0.25059999999999999</v>
      </c>
      <c r="O3774" s="50"/>
    </row>
    <row r="3775" spans="2:15" x14ac:dyDescent="0.2">
      <c r="B3775">
        <v>3760</v>
      </c>
      <c r="C3775" s="48">
        <f ca="1"/>
        <v>-0.93016976323952916</v>
      </c>
      <c r="D3775" s="48">
        <f t="shared" ca="1" si="214"/>
        <v>0.60627905305639085</v>
      </c>
      <c r="E3775" s="48">
        <f t="shared" ca="1" si="215"/>
        <v>0</v>
      </c>
      <c r="F3775" s="17">
        <f t="shared" ca="1" si="216"/>
        <v>0</v>
      </c>
      <c r="H3775" s="17">
        <v>3760</v>
      </c>
      <c r="I3775" s="43">
        <v>0.66853419275547554</v>
      </c>
      <c r="J3775" s="43">
        <v>1.8944693022547282E-2</v>
      </c>
      <c r="K3775" s="43"/>
      <c r="L3775" s="43">
        <v>0.246</v>
      </c>
      <c r="O3775" s="50"/>
    </row>
    <row r="3776" spans="2:15" x14ac:dyDescent="0.2">
      <c r="B3776">
        <v>3761</v>
      </c>
      <c r="C3776" s="48">
        <f ca="1"/>
        <v>-0.1260832223835231</v>
      </c>
      <c r="D3776" s="48">
        <f t="shared" ca="1" si="214"/>
        <v>0.65629686270208654</v>
      </c>
      <c r="E3776" s="48">
        <f t="shared" ca="1" si="215"/>
        <v>0</v>
      </c>
      <c r="F3776" s="17">
        <f t="shared" ca="1" si="216"/>
        <v>0</v>
      </c>
      <c r="H3776" s="17">
        <v>3761</v>
      </c>
      <c r="I3776" s="43">
        <v>0.66887764947248884</v>
      </c>
      <c r="J3776" s="43">
        <v>1.9523888469769664E-2</v>
      </c>
      <c r="K3776" s="43"/>
      <c r="L3776" s="43">
        <v>0.25240000000000001</v>
      </c>
      <c r="O3776" s="50"/>
    </row>
    <row r="3777" spans="2:15" x14ac:dyDescent="0.2">
      <c r="B3777">
        <v>3762</v>
      </c>
      <c r="C3777" s="48">
        <f ca="1"/>
        <v>0.57859557026988973</v>
      </c>
      <c r="D3777" s="48">
        <f t="shared" ca="1" si="214"/>
        <v>0.70351255321318518</v>
      </c>
      <c r="E3777" s="48">
        <f t="shared" ca="1" si="215"/>
        <v>0</v>
      </c>
      <c r="F3777" s="17">
        <f t="shared" ca="1" si="216"/>
        <v>0</v>
      </c>
      <c r="H3777" s="17">
        <v>3762</v>
      </c>
      <c r="I3777" s="43">
        <v>0.66861075177748364</v>
      </c>
      <c r="J3777" s="43">
        <v>1.9078153917718915E-2</v>
      </c>
      <c r="K3777" s="43"/>
      <c r="L3777" s="43">
        <v>0.25019999999999998</v>
      </c>
      <c r="O3777" s="50"/>
    </row>
    <row r="3778" spans="2:15" x14ac:dyDescent="0.2">
      <c r="B3778">
        <v>3763</v>
      </c>
      <c r="C3778" s="48">
        <f ca="1"/>
        <v>0.23207230237361934</v>
      </c>
      <c r="D3778" s="48">
        <f t="shared" ca="1" si="214"/>
        <v>0.67988445740248382</v>
      </c>
      <c r="E3778" s="48">
        <f t="shared" ca="1" si="215"/>
        <v>0</v>
      </c>
      <c r="F3778" s="17">
        <f t="shared" ca="1" si="216"/>
        <v>0</v>
      </c>
      <c r="H3778" s="17">
        <v>3763</v>
      </c>
      <c r="I3778" s="43">
        <v>0.66962564712323003</v>
      </c>
      <c r="J3778" s="43">
        <v>1.9942261831264609E-2</v>
      </c>
      <c r="K3778" s="43"/>
      <c r="L3778" s="43">
        <v>0.25119999999999998</v>
      </c>
      <c r="O3778" s="50"/>
    </row>
    <row r="3779" spans="2:15" x14ac:dyDescent="0.2">
      <c r="B3779">
        <v>3764</v>
      </c>
      <c r="C3779" s="48">
        <f ca="1"/>
        <v>-2.7408709269006081E-2</v>
      </c>
      <c r="D3779" s="48">
        <f t="shared" ca="1" si="214"/>
        <v>0.66271252029062533</v>
      </c>
      <c r="E3779" s="48">
        <f t="shared" ca="1" si="215"/>
        <v>0</v>
      </c>
      <c r="F3779" s="17">
        <f t="shared" ca="1" si="216"/>
        <v>0</v>
      </c>
      <c r="H3779" s="17">
        <v>3764</v>
      </c>
      <c r="I3779" s="43">
        <v>0.66796017855478484</v>
      </c>
      <c r="J3779" s="43">
        <v>1.8710847460458833E-2</v>
      </c>
      <c r="K3779" s="43"/>
      <c r="L3779" s="43">
        <v>0.24360000000000001</v>
      </c>
      <c r="O3779" s="50"/>
    </row>
    <row r="3780" spans="2:15" x14ac:dyDescent="0.2">
      <c r="B3780">
        <v>3765</v>
      </c>
      <c r="C3780" s="48">
        <f ca="1"/>
        <v>-1.1701177604827957</v>
      </c>
      <c r="D3780" s="48">
        <f t="shared" ca="1" si="214"/>
        <v>0.59210530418277574</v>
      </c>
      <c r="E3780" s="48">
        <f t="shared" ca="1" si="215"/>
        <v>0</v>
      </c>
      <c r="F3780" s="17">
        <f t="shared" ca="1" si="216"/>
        <v>0</v>
      </c>
      <c r="H3780" s="17">
        <v>3765</v>
      </c>
      <c r="I3780" s="43">
        <v>0.6690952463128611</v>
      </c>
      <c r="J3780" s="43">
        <v>1.9677473425571863E-2</v>
      </c>
      <c r="K3780" s="43"/>
      <c r="L3780" s="43">
        <v>0.25600000000000001</v>
      </c>
      <c r="O3780" s="50"/>
    </row>
    <row r="3781" spans="2:15" x14ac:dyDescent="0.2">
      <c r="B3781">
        <v>3766</v>
      </c>
      <c r="C3781" s="48">
        <f ca="1"/>
        <v>-1.4407351252868004</v>
      </c>
      <c r="D3781" s="48">
        <f t="shared" ca="1" si="214"/>
        <v>0.57651710891693186</v>
      </c>
      <c r="E3781" s="48">
        <f t="shared" ca="1" si="215"/>
        <v>0</v>
      </c>
      <c r="F3781" s="17">
        <f t="shared" ca="1" si="216"/>
        <v>0</v>
      </c>
      <c r="H3781" s="17">
        <v>3766</v>
      </c>
      <c r="I3781" s="43">
        <v>0.66889595266081492</v>
      </c>
      <c r="J3781" s="43">
        <v>1.9247600210131943E-2</v>
      </c>
      <c r="K3781" s="43"/>
      <c r="L3781" s="43">
        <v>0.24479999999999999</v>
      </c>
      <c r="O3781" s="50"/>
    </row>
    <row r="3782" spans="2:15" x14ac:dyDescent="0.2">
      <c r="B3782">
        <v>3767</v>
      </c>
      <c r="C3782" s="48">
        <f ca="1"/>
        <v>-0.8277278831426409</v>
      </c>
      <c r="D3782" s="48">
        <f t="shared" ca="1" si="214"/>
        <v>0.61243318418597192</v>
      </c>
      <c r="E3782" s="48">
        <f t="shared" ca="1" si="215"/>
        <v>0</v>
      </c>
      <c r="F3782" s="17">
        <f t="shared" ca="1" si="216"/>
        <v>0</v>
      </c>
      <c r="H3782" s="17">
        <v>3767</v>
      </c>
      <c r="I3782" s="43">
        <v>0.66934390541931965</v>
      </c>
      <c r="J3782" s="43">
        <v>1.9661216342131697E-2</v>
      </c>
      <c r="K3782" s="43"/>
      <c r="L3782" s="43">
        <v>0.255</v>
      </c>
      <c r="O3782" s="50"/>
    </row>
    <row r="3783" spans="2:15" x14ac:dyDescent="0.2">
      <c r="B3783">
        <v>3768</v>
      </c>
      <c r="C3783" s="48">
        <f ca="1"/>
        <v>-0.93134769463813394</v>
      </c>
      <c r="D3783" s="48">
        <f t="shared" ca="1" si="214"/>
        <v>0.60620865039681715</v>
      </c>
      <c r="E3783" s="48">
        <f t="shared" ca="1" si="215"/>
        <v>0</v>
      </c>
      <c r="F3783" s="17">
        <f t="shared" ca="1" si="216"/>
        <v>0</v>
      </c>
      <c r="H3783" s="17">
        <v>3768</v>
      </c>
      <c r="I3783" s="43">
        <v>0.6692577674471879</v>
      </c>
      <c r="J3783" s="43">
        <v>1.9409309023731613E-2</v>
      </c>
      <c r="K3783" s="43"/>
      <c r="L3783" s="43">
        <v>0.246</v>
      </c>
      <c r="O3783" s="50"/>
    </row>
    <row r="3784" spans="2:15" x14ac:dyDescent="0.2">
      <c r="B3784">
        <v>3769</v>
      </c>
      <c r="C3784" s="48">
        <f ca="1"/>
        <v>-1.1594324892324221</v>
      </c>
      <c r="D3784" s="48">
        <f t="shared" ca="1" si="214"/>
        <v>0.59272937660837166</v>
      </c>
      <c r="E3784" s="48">
        <f t="shared" ca="1" si="215"/>
        <v>0</v>
      </c>
      <c r="F3784" s="17">
        <f t="shared" ca="1" si="216"/>
        <v>0</v>
      </c>
      <c r="H3784" s="17">
        <v>3769</v>
      </c>
      <c r="I3784" s="43">
        <v>0.66829810192813643</v>
      </c>
      <c r="J3784" s="43">
        <v>1.8843137662865446E-2</v>
      </c>
      <c r="K3784" s="43"/>
      <c r="L3784" s="43">
        <v>0.24379999999999999</v>
      </c>
      <c r="O3784" s="50"/>
    </row>
    <row r="3785" spans="2:15" x14ac:dyDescent="0.2">
      <c r="B3785">
        <v>3770</v>
      </c>
      <c r="C3785" s="48">
        <f ca="1"/>
        <v>-0.50509690843699051</v>
      </c>
      <c r="D3785" s="48">
        <f t="shared" ca="1" si="214"/>
        <v>0.63222618696211308</v>
      </c>
      <c r="E3785" s="48">
        <f t="shared" ca="1" si="215"/>
        <v>0</v>
      </c>
      <c r="F3785" s="17">
        <f t="shared" ca="1" si="216"/>
        <v>0</v>
      </c>
      <c r="H3785" s="17">
        <v>3770</v>
      </c>
      <c r="I3785" s="43">
        <v>0.66828266753961219</v>
      </c>
      <c r="J3785" s="43">
        <v>1.8909444433145513E-2</v>
      </c>
      <c r="K3785" s="43"/>
      <c r="L3785" s="43">
        <v>0.246</v>
      </c>
      <c r="O3785" s="50"/>
    </row>
    <row r="3786" spans="2:15" x14ac:dyDescent="0.2">
      <c r="B3786">
        <v>3771</v>
      </c>
      <c r="C3786" s="48">
        <f ca="1"/>
        <v>2.6242683485010341</v>
      </c>
      <c r="D3786" s="48">
        <f t="shared" ca="1" si="214"/>
        <v>0.86071498647498679</v>
      </c>
      <c r="E3786" s="48">
        <f t="shared" ca="1" si="215"/>
        <v>7.2514986474986776E-2</v>
      </c>
      <c r="F3786" s="17">
        <f t="shared" ca="1" si="216"/>
        <v>1</v>
      </c>
      <c r="H3786" s="17">
        <v>3771</v>
      </c>
      <c r="I3786" s="43">
        <v>0.66920262007242859</v>
      </c>
      <c r="J3786" s="43">
        <v>1.9688255318733597E-2</v>
      </c>
      <c r="K3786" s="43"/>
      <c r="L3786" s="43">
        <v>0.25280000000000002</v>
      </c>
      <c r="O3786" s="50"/>
    </row>
    <row r="3787" spans="2:15" x14ac:dyDescent="0.2">
      <c r="B3787">
        <v>3772</v>
      </c>
      <c r="C3787" s="48">
        <f ca="1"/>
        <v>0.5196034467447056</v>
      </c>
      <c r="D3787" s="48">
        <f t="shared" ca="1" si="214"/>
        <v>0.699432880626357</v>
      </c>
      <c r="E3787" s="48">
        <f t="shared" ca="1" si="215"/>
        <v>0</v>
      </c>
      <c r="F3787" s="17">
        <f t="shared" ca="1" si="216"/>
        <v>0</v>
      </c>
      <c r="H3787" s="17">
        <v>3772</v>
      </c>
      <c r="I3787" s="43">
        <v>0.66877274735044434</v>
      </c>
      <c r="J3787" s="43">
        <v>1.9170403674165375E-2</v>
      </c>
      <c r="K3787" s="43"/>
      <c r="L3787" s="43">
        <v>0.24979999999999999</v>
      </c>
      <c r="O3787" s="50"/>
    </row>
    <row r="3788" spans="2:15" x14ac:dyDescent="0.2">
      <c r="B3788">
        <v>3773</v>
      </c>
      <c r="C3788" s="48">
        <f ca="1"/>
        <v>-0.46146133196912476</v>
      </c>
      <c r="D3788" s="48">
        <f t="shared" ca="1" si="214"/>
        <v>0.63495183267265276</v>
      </c>
      <c r="E3788" s="48">
        <f t="shared" ca="1" si="215"/>
        <v>0</v>
      </c>
      <c r="F3788" s="17">
        <f t="shared" ca="1" si="216"/>
        <v>0</v>
      </c>
      <c r="H3788" s="17">
        <v>3773</v>
      </c>
      <c r="I3788" s="43">
        <v>0.66817079587785178</v>
      </c>
      <c r="J3788" s="43">
        <v>1.8863073682976982E-2</v>
      </c>
      <c r="K3788" s="43"/>
      <c r="L3788" s="43">
        <v>0.246</v>
      </c>
      <c r="O3788" s="50"/>
    </row>
    <row r="3789" spans="2:15" x14ac:dyDescent="0.2">
      <c r="B3789">
        <v>3774</v>
      </c>
      <c r="C3789" s="48">
        <f ca="1"/>
        <v>1.3601510554116882</v>
      </c>
      <c r="D3789" s="48">
        <f t="shared" ca="1" si="214"/>
        <v>0.75986234971555344</v>
      </c>
      <c r="E3789" s="48">
        <f t="shared" ca="1" si="215"/>
        <v>0</v>
      </c>
      <c r="F3789" s="17">
        <f t="shared" ca="1" si="216"/>
        <v>0</v>
      </c>
      <c r="H3789" s="17">
        <v>3774</v>
      </c>
      <c r="I3789" s="43">
        <v>0.66907968308186483</v>
      </c>
      <c r="J3789" s="43">
        <v>1.9573752911115502E-2</v>
      </c>
      <c r="K3789" s="43"/>
      <c r="L3789" s="43">
        <v>0.25380000000000003</v>
      </c>
      <c r="O3789" s="50"/>
    </row>
    <row r="3790" spans="2:15" x14ac:dyDescent="0.2">
      <c r="B3790">
        <v>3775</v>
      </c>
      <c r="C3790" s="48">
        <f ca="1"/>
        <v>0.75113517369841809</v>
      </c>
      <c r="D3790" s="48">
        <f t="shared" ca="1" si="214"/>
        <v>0.71558183231672279</v>
      </c>
      <c r="E3790" s="48">
        <f t="shared" ca="1" si="215"/>
        <v>0</v>
      </c>
      <c r="F3790" s="17">
        <f t="shared" ca="1" si="216"/>
        <v>0</v>
      </c>
      <c r="H3790" s="17">
        <v>3775</v>
      </c>
      <c r="I3790" s="43">
        <v>0.66954359162059218</v>
      </c>
      <c r="J3790" s="43">
        <v>1.9622653059671792E-2</v>
      </c>
      <c r="K3790" s="43"/>
      <c r="L3790" s="43">
        <v>0.252</v>
      </c>
      <c r="O3790" s="50"/>
    </row>
    <row r="3791" spans="2:15" x14ac:dyDescent="0.2">
      <c r="B3791">
        <v>3776</v>
      </c>
      <c r="C3791" s="48">
        <f ca="1"/>
        <v>2.1574274735172754</v>
      </c>
      <c r="D3791" s="48">
        <f t="shared" ca="1" si="214"/>
        <v>0.82199865830936492</v>
      </c>
      <c r="E3791" s="48">
        <f t="shared" ca="1" si="215"/>
        <v>3.3798658309364904E-2</v>
      </c>
      <c r="F3791" s="17">
        <f t="shared" ca="1" si="216"/>
        <v>1</v>
      </c>
      <c r="H3791" s="17">
        <v>3776</v>
      </c>
      <c r="I3791" s="43">
        <v>0.66928797162662712</v>
      </c>
      <c r="J3791" s="43">
        <v>1.9355137865312698E-2</v>
      </c>
      <c r="K3791" s="43"/>
      <c r="L3791" s="43">
        <v>0.24740000000000001</v>
      </c>
      <c r="O3791" s="50"/>
    </row>
    <row r="3792" spans="2:15" x14ac:dyDescent="0.2">
      <c r="B3792">
        <v>3777</v>
      </c>
      <c r="C3792" s="48">
        <f ca="1"/>
        <v>-0.10350969520030312</v>
      </c>
      <c r="D3792" s="48">
        <f t="shared" ref="D3792:D3855" ca="1" si="217">S0*EXP((μ-0.5*σ*σ)*T+σ*SQRT(T)*$C3792)</f>
        <v>0.6577590560931228</v>
      </c>
      <c r="E3792" s="48">
        <f t="shared" ref="E3792:E3855" ca="1" si="218">MAX(0,CP*(D3792-K))</f>
        <v>0</v>
      </c>
      <c r="F3792" s="17">
        <f t="shared" ref="F3792:F3855" ca="1" si="219">(CP*(D3792-K)&gt;0)*1</f>
        <v>0</v>
      </c>
      <c r="H3792" s="17">
        <v>3777</v>
      </c>
      <c r="I3792" s="43">
        <v>0.67017899973719453</v>
      </c>
      <c r="J3792" s="43">
        <v>2.0244526994586547E-2</v>
      </c>
      <c r="K3792" s="43"/>
      <c r="L3792" s="43">
        <v>0.25559999999999999</v>
      </c>
      <c r="O3792" s="50"/>
    </row>
    <row r="3793" spans="2:15" x14ac:dyDescent="0.2">
      <c r="B3793">
        <v>3778</v>
      </c>
      <c r="C3793" s="48">
        <f ca="1"/>
        <v>-0.17171093155263095</v>
      </c>
      <c r="D3793" s="48">
        <f t="shared" ca="1" si="217"/>
        <v>0.65335125923907311</v>
      </c>
      <c r="E3793" s="48">
        <f t="shared" ca="1" si="218"/>
        <v>0</v>
      </c>
      <c r="F3793" s="17">
        <f t="shared" ca="1" si="219"/>
        <v>0</v>
      </c>
      <c r="H3793" s="17">
        <v>3778</v>
      </c>
      <c r="I3793" s="43">
        <v>0.66941296732830113</v>
      </c>
      <c r="J3793" s="43">
        <v>1.9659034083028472E-2</v>
      </c>
      <c r="K3793" s="43"/>
      <c r="L3793" s="43">
        <v>0.24759999999999999</v>
      </c>
      <c r="O3793" s="50"/>
    </row>
    <row r="3794" spans="2:15" x14ac:dyDescent="0.2">
      <c r="B3794">
        <v>3779</v>
      </c>
      <c r="C3794" s="48">
        <f ca="1"/>
        <v>0.17096759322297961</v>
      </c>
      <c r="D3794" s="48">
        <f t="shared" ca="1" si="217"/>
        <v>0.67580103749135723</v>
      </c>
      <c r="E3794" s="48">
        <f t="shared" ca="1" si="218"/>
        <v>0</v>
      </c>
      <c r="F3794" s="17">
        <f t="shared" ca="1" si="219"/>
        <v>0</v>
      </c>
      <c r="H3794" s="17">
        <v>3779</v>
      </c>
      <c r="I3794" s="43">
        <v>0.66975584307911284</v>
      </c>
      <c r="J3794" s="43">
        <v>1.9941464836128592E-2</v>
      </c>
      <c r="K3794" s="43"/>
      <c r="L3794" s="43">
        <v>0.255</v>
      </c>
      <c r="O3794" s="50"/>
    </row>
    <row r="3795" spans="2:15" x14ac:dyDescent="0.2">
      <c r="B3795">
        <v>3780</v>
      </c>
      <c r="C3795" s="48">
        <f ca="1"/>
        <v>2.0163858904772987</v>
      </c>
      <c r="D3795" s="48">
        <f t="shared" ca="1" si="217"/>
        <v>0.81064792071076663</v>
      </c>
      <c r="E3795" s="48">
        <f t="shared" ca="1" si="218"/>
        <v>2.2447920710766622E-2</v>
      </c>
      <c r="F3795" s="17">
        <f t="shared" ca="1" si="219"/>
        <v>1</v>
      </c>
      <c r="H3795" s="17">
        <v>3780</v>
      </c>
      <c r="I3795" s="43">
        <v>0.66987120647883691</v>
      </c>
      <c r="J3795" s="43">
        <v>1.9757770131676931E-2</v>
      </c>
      <c r="K3795" s="43"/>
      <c r="L3795" s="43">
        <v>0.25619999999999998</v>
      </c>
      <c r="O3795" s="50"/>
    </row>
    <row r="3796" spans="2:15" x14ac:dyDescent="0.2">
      <c r="B3796">
        <v>3781</v>
      </c>
      <c r="C3796" s="48">
        <f ca="1"/>
        <v>1.0669818401883431</v>
      </c>
      <c r="D3796" s="48">
        <f t="shared" ca="1" si="217"/>
        <v>0.73821453998859554</v>
      </c>
      <c r="E3796" s="48">
        <f t="shared" ca="1" si="218"/>
        <v>0</v>
      </c>
      <c r="F3796" s="17">
        <f t="shared" ca="1" si="219"/>
        <v>0</v>
      </c>
      <c r="H3796" s="17">
        <v>3781</v>
      </c>
      <c r="I3796" s="43">
        <v>0.66769347700162118</v>
      </c>
      <c r="J3796" s="43">
        <v>1.8373476568028332E-2</v>
      </c>
      <c r="K3796" s="43"/>
      <c r="L3796" s="43">
        <v>0.24660000000000001</v>
      </c>
      <c r="O3796" s="50"/>
    </row>
    <row r="3797" spans="2:15" x14ac:dyDescent="0.2">
      <c r="B3797">
        <v>3782</v>
      </c>
      <c r="C3797" s="48">
        <f ca="1"/>
        <v>0.10194410696222803</v>
      </c>
      <c r="D3797" s="48">
        <f t="shared" ca="1" si="217"/>
        <v>0.67121792360667087</v>
      </c>
      <c r="E3797" s="48">
        <f t="shared" ca="1" si="218"/>
        <v>0</v>
      </c>
      <c r="F3797" s="17">
        <f t="shared" ca="1" si="219"/>
        <v>0</v>
      </c>
      <c r="H3797" s="17">
        <v>3782</v>
      </c>
      <c r="I3797" s="43">
        <v>0.66957948554494318</v>
      </c>
      <c r="J3797" s="43">
        <v>1.9708645286679597E-2</v>
      </c>
      <c r="K3797" s="43"/>
      <c r="L3797" s="43">
        <v>0.2492</v>
      </c>
      <c r="O3797" s="50"/>
    </row>
    <row r="3798" spans="2:15" x14ac:dyDescent="0.2">
      <c r="B3798">
        <v>3783</v>
      </c>
      <c r="C3798" s="48">
        <f ca="1"/>
        <v>2.5710914626327814</v>
      </c>
      <c r="D3798" s="48">
        <f t="shared" ca="1" si="217"/>
        <v>0.85621443148188692</v>
      </c>
      <c r="E3798" s="48">
        <f t="shared" ca="1" si="218"/>
        <v>6.8014431481886906E-2</v>
      </c>
      <c r="F3798" s="17">
        <f t="shared" ca="1" si="219"/>
        <v>1</v>
      </c>
      <c r="H3798" s="17">
        <v>3783</v>
      </c>
      <c r="I3798" s="43">
        <v>0.66837012723139522</v>
      </c>
      <c r="J3798" s="43">
        <v>1.8879628773673596E-2</v>
      </c>
      <c r="K3798" s="43"/>
      <c r="L3798" s="43">
        <v>0.246</v>
      </c>
      <c r="O3798" s="50"/>
    </row>
    <row r="3799" spans="2:15" x14ac:dyDescent="0.2">
      <c r="B3799">
        <v>3784</v>
      </c>
      <c r="C3799" s="48">
        <f ca="1"/>
        <v>-1.8113524148188438</v>
      </c>
      <c r="D3799" s="48">
        <f t="shared" ca="1" si="217"/>
        <v>0.55583239205730905</v>
      </c>
      <c r="E3799" s="48">
        <f t="shared" ca="1" si="218"/>
        <v>0</v>
      </c>
      <c r="F3799" s="17">
        <f t="shared" ca="1" si="219"/>
        <v>0</v>
      </c>
      <c r="H3799" s="17">
        <v>3784</v>
      </c>
      <c r="I3799" s="43">
        <v>0.66953046788958481</v>
      </c>
      <c r="J3799" s="43">
        <v>2.0018648094716474E-2</v>
      </c>
      <c r="K3799" s="43"/>
      <c r="L3799" s="43">
        <v>0.25900000000000001</v>
      </c>
      <c r="O3799" s="50"/>
    </row>
    <row r="3800" spans="2:15" x14ac:dyDescent="0.2">
      <c r="B3800">
        <v>3785</v>
      </c>
      <c r="C3800" s="48">
        <f ca="1"/>
        <v>-0.88954630074250474</v>
      </c>
      <c r="D3800" s="48">
        <f t="shared" ca="1" si="217"/>
        <v>0.60871204784476984</v>
      </c>
      <c r="E3800" s="48">
        <f t="shared" ca="1" si="218"/>
        <v>0</v>
      </c>
      <c r="F3800" s="17">
        <f t="shared" ca="1" si="219"/>
        <v>0</v>
      </c>
      <c r="H3800" s="17">
        <v>3785</v>
      </c>
      <c r="I3800" s="43">
        <v>0.66858111214988136</v>
      </c>
      <c r="J3800" s="43">
        <v>1.9305212121152479E-2</v>
      </c>
      <c r="K3800" s="43"/>
      <c r="L3800" s="43">
        <v>0.25519999999999998</v>
      </c>
      <c r="O3800" s="50"/>
    </row>
    <row r="3801" spans="2:15" x14ac:dyDescent="0.2">
      <c r="B3801">
        <v>3786</v>
      </c>
      <c r="C3801" s="48">
        <f ca="1"/>
        <v>-1.2627348493535742</v>
      </c>
      <c r="D3801" s="48">
        <f t="shared" ca="1" si="217"/>
        <v>0.58672346692865907</v>
      </c>
      <c r="E3801" s="48">
        <f t="shared" ca="1" si="218"/>
        <v>0</v>
      </c>
      <c r="F3801" s="17">
        <f t="shared" ca="1" si="219"/>
        <v>0</v>
      </c>
      <c r="H3801" s="17">
        <v>3786</v>
      </c>
      <c r="I3801" s="43">
        <v>0.67070191532138157</v>
      </c>
      <c r="J3801" s="43">
        <v>2.0335874492569336E-2</v>
      </c>
      <c r="K3801" s="43"/>
      <c r="L3801" s="43">
        <v>0.25259999999999999</v>
      </c>
      <c r="O3801" s="50"/>
    </row>
    <row r="3802" spans="2:15" x14ac:dyDescent="0.2">
      <c r="B3802">
        <v>3787</v>
      </c>
      <c r="C3802" s="48">
        <f ca="1"/>
        <v>1.7474198730145758</v>
      </c>
      <c r="D3802" s="48">
        <f t="shared" ca="1" si="217"/>
        <v>0.78943472464630382</v>
      </c>
      <c r="E3802" s="48">
        <f t="shared" ca="1" si="218"/>
        <v>1.2347246463038086E-3</v>
      </c>
      <c r="F3802" s="17">
        <f t="shared" ca="1" si="219"/>
        <v>1</v>
      </c>
      <c r="H3802" s="17">
        <v>3787</v>
      </c>
      <c r="I3802" s="43">
        <v>0.66838448063612388</v>
      </c>
      <c r="J3802" s="43">
        <v>1.9011851586609979E-2</v>
      </c>
      <c r="K3802" s="43"/>
      <c r="L3802" s="43">
        <v>0.251</v>
      </c>
      <c r="O3802" s="50"/>
    </row>
    <row r="3803" spans="2:15" x14ac:dyDescent="0.2">
      <c r="B3803">
        <v>3788</v>
      </c>
      <c r="C3803" s="48">
        <f ca="1"/>
        <v>1.2308905743322924</v>
      </c>
      <c r="D3803" s="48">
        <f t="shared" ca="1" si="217"/>
        <v>0.75024050939243769</v>
      </c>
      <c r="E3803" s="48">
        <f t="shared" ca="1" si="218"/>
        <v>0</v>
      </c>
      <c r="F3803" s="17">
        <f t="shared" ca="1" si="219"/>
        <v>0</v>
      </c>
      <c r="H3803" s="17">
        <v>3788</v>
      </c>
      <c r="I3803" s="43">
        <v>0.66977449761495611</v>
      </c>
      <c r="J3803" s="43">
        <v>1.9813228177853991E-2</v>
      </c>
      <c r="K3803" s="43"/>
      <c r="L3803" s="43">
        <v>0.25040000000000001</v>
      </c>
      <c r="O3803" s="50"/>
    </row>
    <row r="3804" spans="2:15" x14ac:dyDescent="0.2">
      <c r="B3804">
        <v>3789</v>
      </c>
      <c r="C3804" s="48">
        <f ca="1"/>
        <v>-0.21454903945560289</v>
      </c>
      <c r="D3804" s="48">
        <f t="shared" ca="1" si="217"/>
        <v>0.65059777891062431</v>
      </c>
      <c r="E3804" s="48">
        <f t="shared" ca="1" si="218"/>
        <v>0</v>
      </c>
      <c r="F3804" s="17">
        <f t="shared" ca="1" si="219"/>
        <v>0</v>
      </c>
      <c r="H3804" s="17">
        <v>3789</v>
      </c>
      <c r="I3804" s="43">
        <v>0.6694026770496867</v>
      </c>
      <c r="J3804" s="43">
        <v>1.9480011226782272E-2</v>
      </c>
      <c r="K3804" s="43"/>
      <c r="L3804" s="43">
        <v>0.24779999999999999</v>
      </c>
      <c r="O3804" s="50"/>
    </row>
    <row r="3805" spans="2:15" x14ac:dyDescent="0.2">
      <c r="B3805">
        <v>3790</v>
      </c>
      <c r="C3805" s="48">
        <f ca="1"/>
        <v>6.9061457016488165E-2</v>
      </c>
      <c r="D3805" s="48">
        <f t="shared" ca="1" si="217"/>
        <v>0.6690454809925509</v>
      </c>
      <c r="E3805" s="48">
        <f t="shared" ca="1" si="218"/>
        <v>0</v>
      </c>
      <c r="F3805" s="17">
        <f t="shared" ca="1" si="219"/>
        <v>0</v>
      </c>
      <c r="H3805" s="17">
        <v>3790</v>
      </c>
      <c r="I3805" s="43">
        <v>0.66810759670764397</v>
      </c>
      <c r="J3805" s="43">
        <v>1.8886084583933437E-2</v>
      </c>
      <c r="K3805" s="43"/>
      <c r="L3805" s="43">
        <v>0.24440000000000001</v>
      </c>
      <c r="O3805" s="50"/>
    </row>
    <row r="3806" spans="2:15" x14ac:dyDescent="0.2">
      <c r="B3806">
        <v>3791</v>
      </c>
      <c r="C3806" s="48">
        <f ca="1"/>
        <v>0.26073193242429088</v>
      </c>
      <c r="D3806" s="48">
        <f t="shared" ca="1" si="217"/>
        <v>0.68180817405029848</v>
      </c>
      <c r="E3806" s="48">
        <f t="shared" ca="1" si="218"/>
        <v>0</v>
      </c>
      <c r="F3806" s="17">
        <f t="shared" ca="1" si="219"/>
        <v>0</v>
      </c>
      <c r="H3806" s="17">
        <v>3791</v>
      </c>
      <c r="I3806" s="43">
        <v>0.66810273984609825</v>
      </c>
      <c r="J3806" s="43">
        <v>1.8799103616793742E-2</v>
      </c>
      <c r="K3806" s="43"/>
      <c r="L3806" s="43">
        <v>0.24759999999999999</v>
      </c>
      <c r="O3806" s="50"/>
    </row>
    <row r="3807" spans="2:15" x14ac:dyDescent="0.2">
      <c r="B3807">
        <v>3792</v>
      </c>
      <c r="C3807" s="48">
        <f ca="1"/>
        <v>-0.93565957570397185</v>
      </c>
      <c r="D3807" s="48">
        <f t="shared" ca="1" si="217"/>
        <v>0.60595100741450059</v>
      </c>
      <c r="E3807" s="48">
        <f t="shared" ca="1" si="218"/>
        <v>0</v>
      </c>
      <c r="F3807" s="17">
        <f t="shared" ca="1" si="219"/>
        <v>0</v>
      </c>
      <c r="H3807" s="17">
        <v>3792</v>
      </c>
      <c r="I3807" s="43">
        <v>0.67013025898254908</v>
      </c>
      <c r="J3807" s="43">
        <v>2.0412630130398443E-2</v>
      </c>
      <c r="K3807" s="43"/>
      <c r="L3807" s="43">
        <v>0.2596</v>
      </c>
      <c r="O3807" s="50"/>
    </row>
    <row r="3808" spans="2:15" x14ac:dyDescent="0.2">
      <c r="B3808">
        <v>3793</v>
      </c>
      <c r="C3808" s="48">
        <f ca="1"/>
        <v>0.19898658402226505</v>
      </c>
      <c r="D3808" s="48">
        <f t="shared" ca="1" si="217"/>
        <v>0.67767039786295258</v>
      </c>
      <c r="E3808" s="48">
        <f t="shared" ca="1" si="218"/>
        <v>0</v>
      </c>
      <c r="F3808" s="17">
        <f t="shared" ca="1" si="219"/>
        <v>0</v>
      </c>
      <c r="H3808" s="17">
        <v>3793</v>
      </c>
      <c r="I3808" s="43">
        <v>0.66723100536865199</v>
      </c>
      <c r="J3808" s="43">
        <v>1.7638528692303659E-2</v>
      </c>
      <c r="K3808" s="43"/>
      <c r="L3808" s="43">
        <v>0.23799999999999999</v>
      </c>
      <c r="O3808" s="50"/>
    </row>
    <row r="3809" spans="2:15" x14ac:dyDescent="0.2">
      <c r="B3809">
        <v>3794</v>
      </c>
      <c r="C3809" s="48">
        <f ca="1"/>
        <v>-0.15227592057762326</v>
      </c>
      <c r="D3809" s="48">
        <f t="shared" ca="1" si="217"/>
        <v>0.65460431204785208</v>
      </c>
      <c r="E3809" s="48">
        <f t="shared" ca="1" si="218"/>
        <v>0</v>
      </c>
      <c r="F3809" s="17">
        <f t="shared" ca="1" si="219"/>
        <v>0</v>
      </c>
      <c r="H3809" s="17">
        <v>3794</v>
      </c>
      <c r="I3809" s="43">
        <v>0.66879006915271189</v>
      </c>
      <c r="J3809" s="43">
        <v>1.8977752912440762E-2</v>
      </c>
      <c r="K3809" s="43"/>
      <c r="L3809" s="43">
        <v>0.24340000000000001</v>
      </c>
      <c r="O3809" s="50"/>
    </row>
    <row r="3810" spans="2:15" x14ac:dyDescent="0.2">
      <c r="B3810">
        <v>3795</v>
      </c>
      <c r="C3810" s="48">
        <f ca="1"/>
        <v>-1.2301201998805749</v>
      </c>
      <c r="D3810" s="48">
        <f t="shared" ca="1" si="217"/>
        <v>0.58861305133411623</v>
      </c>
      <c r="E3810" s="48">
        <f t="shared" ca="1" si="218"/>
        <v>0</v>
      </c>
      <c r="F3810" s="17">
        <f t="shared" ca="1" si="219"/>
        <v>0</v>
      </c>
      <c r="H3810" s="17">
        <v>3795</v>
      </c>
      <c r="I3810" s="43">
        <v>0.66783669612233409</v>
      </c>
      <c r="J3810" s="43">
        <v>1.8496675613109196E-2</v>
      </c>
      <c r="K3810" s="43"/>
      <c r="L3810" s="43">
        <v>0.24679999999999999</v>
      </c>
      <c r="O3810" s="50"/>
    </row>
    <row r="3811" spans="2:15" x14ac:dyDescent="0.2">
      <c r="B3811">
        <v>3796</v>
      </c>
      <c r="C3811" s="48">
        <f ca="1"/>
        <v>2.1770754551984517</v>
      </c>
      <c r="D3811" s="48">
        <f t="shared" ca="1" si="217"/>
        <v>0.82359244965992029</v>
      </c>
      <c r="E3811" s="48">
        <f t="shared" ca="1" si="218"/>
        <v>3.5392449659920278E-2</v>
      </c>
      <c r="F3811" s="17">
        <f t="shared" ca="1" si="219"/>
        <v>1</v>
      </c>
      <c r="H3811" s="17">
        <v>3796</v>
      </c>
      <c r="I3811" s="43">
        <v>0.67023527302621566</v>
      </c>
      <c r="J3811" s="43">
        <v>2.0646328476812342E-2</v>
      </c>
      <c r="K3811" s="43"/>
      <c r="L3811" s="43">
        <v>0.2586</v>
      </c>
      <c r="O3811" s="50"/>
    </row>
    <row r="3812" spans="2:15" x14ac:dyDescent="0.2">
      <c r="B3812">
        <v>3797</v>
      </c>
      <c r="C3812" s="48">
        <f ca="1"/>
        <v>1.383600226043834</v>
      </c>
      <c r="D3812" s="48">
        <f t="shared" ca="1" si="217"/>
        <v>0.76162102730779313</v>
      </c>
      <c r="E3812" s="48">
        <f t="shared" ca="1" si="218"/>
        <v>0</v>
      </c>
      <c r="F3812" s="17">
        <f t="shared" ca="1" si="219"/>
        <v>0</v>
      </c>
      <c r="H3812" s="17">
        <v>3797</v>
      </c>
      <c r="I3812" s="43">
        <v>0.66947938816722685</v>
      </c>
      <c r="J3812" s="43">
        <v>1.9982172503065439E-2</v>
      </c>
      <c r="K3812" s="43"/>
      <c r="L3812" s="43">
        <v>0.2586</v>
      </c>
      <c r="O3812" s="50"/>
    </row>
    <row r="3813" spans="2:15" x14ac:dyDescent="0.2">
      <c r="B3813">
        <v>3798</v>
      </c>
      <c r="C3813" s="48">
        <f ca="1"/>
        <v>8.5636455762271843E-2</v>
      </c>
      <c r="D3813" s="48">
        <f t="shared" ca="1" si="217"/>
        <v>0.67013965338385528</v>
      </c>
      <c r="E3813" s="48">
        <f t="shared" ca="1" si="218"/>
        <v>0</v>
      </c>
      <c r="F3813" s="17">
        <f t="shared" ca="1" si="219"/>
        <v>0</v>
      </c>
      <c r="H3813" s="17">
        <v>3798</v>
      </c>
      <c r="I3813" s="43">
        <v>0.66942902389594172</v>
      </c>
      <c r="J3813" s="43">
        <v>1.9554669102619774E-2</v>
      </c>
      <c r="K3813" s="43"/>
      <c r="L3813" s="43">
        <v>0.24859999999999999</v>
      </c>
      <c r="O3813" s="50"/>
    </row>
    <row r="3814" spans="2:15" x14ac:dyDescent="0.2">
      <c r="B3814">
        <v>3799</v>
      </c>
      <c r="C3814" s="48">
        <f ca="1"/>
        <v>-7.530343927676246E-2</v>
      </c>
      <c r="D3814" s="48">
        <f t="shared" ca="1" si="217"/>
        <v>0.65959068706330459</v>
      </c>
      <c r="E3814" s="48">
        <f t="shared" ca="1" si="218"/>
        <v>0</v>
      </c>
      <c r="F3814" s="17">
        <f t="shared" ca="1" si="219"/>
        <v>0</v>
      </c>
      <c r="H3814" s="17">
        <v>3799</v>
      </c>
      <c r="I3814" s="43">
        <v>0.6700964870630256</v>
      </c>
      <c r="J3814" s="43">
        <v>2.0351065263601611E-2</v>
      </c>
      <c r="K3814" s="43"/>
      <c r="L3814" s="43">
        <v>0.25700000000000001</v>
      </c>
      <c r="O3814" s="50"/>
    </row>
    <row r="3815" spans="2:15" x14ac:dyDescent="0.2">
      <c r="B3815">
        <v>3800</v>
      </c>
      <c r="C3815" s="48">
        <f ca="1"/>
        <v>-1.3289939567398938</v>
      </c>
      <c r="D3815" s="48">
        <f t="shared" ca="1" si="217"/>
        <v>0.58290329369141936</v>
      </c>
      <c r="E3815" s="48">
        <f t="shared" ca="1" si="218"/>
        <v>0</v>
      </c>
      <c r="F3815" s="17">
        <f t="shared" ca="1" si="219"/>
        <v>0</v>
      </c>
      <c r="H3815" s="17">
        <v>3800</v>
      </c>
      <c r="I3815" s="43">
        <v>0.66972052093112899</v>
      </c>
      <c r="J3815" s="43">
        <v>1.9951251986543701E-2</v>
      </c>
      <c r="K3815" s="43"/>
      <c r="L3815" s="43">
        <v>0.25540000000000002</v>
      </c>
      <c r="O3815" s="50"/>
    </row>
    <row r="3816" spans="2:15" x14ac:dyDescent="0.2">
      <c r="B3816">
        <v>3801</v>
      </c>
      <c r="C3816" s="48">
        <f ca="1"/>
        <v>-0.30594405938005154</v>
      </c>
      <c r="D3816" s="48">
        <f t="shared" ca="1" si="217"/>
        <v>0.64476196125584706</v>
      </c>
      <c r="E3816" s="48">
        <f t="shared" ca="1" si="218"/>
        <v>0</v>
      </c>
      <c r="F3816" s="17">
        <f t="shared" ca="1" si="219"/>
        <v>0</v>
      </c>
      <c r="H3816" s="17">
        <v>3801</v>
      </c>
      <c r="I3816" s="43">
        <v>0.66977032200739217</v>
      </c>
      <c r="J3816" s="43">
        <v>2.0090152484483145E-2</v>
      </c>
      <c r="K3816" s="43"/>
      <c r="L3816" s="43">
        <v>0.254</v>
      </c>
      <c r="O3816" s="50"/>
    </row>
    <row r="3817" spans="2:15" x14ac:dyDescent="0.2">
      <c r="B3817">
        <v>3802</v>
      </c>
      <c r="C3817" s="48">
        <f ca="1"/>
        <v>-0.44769222134656766</v>
      </c>
      <c r="D3817" s="48">
        <f t="shared" ca="1" si="217"/>
        <v>0.63581434079412924</v>
      </c>
      <c r="E3817" s="48">
        <f t="shared" ca="1" si="218"/>
        <v>0</v>
      </c>
      <c r="F3817" s="17">
        <f t="shared" ca="1" si="219"/>
        <v>0</v>
      </c>
      <c r="H3817" s="17">
        <v>3802</v>
      </c>
      <c r="I3817" s="43">
        <v>0.66773527868312643</v>
      </c>
      <c r="J3817" s="43">
        <v>1.8537142943320119E-2</v>
      </c>
      <c r="K3817" s="43"/>
      <c r="L3817" s="43">
        <v>0.24379999999999999</v>
      </c>
      <c r="O3817" s="50"/>
    </row>
    <row r="3818" spans="2:15" x14ac:dyDescent="0.2">
      <c r="B3818">
        <v>3803</v>
      </c>
      <c r="C3818" s="48">
        <f ca="1"/>
        <v>1.2931821943264181</v>
      </c>
      <c r="D3818" s="48">
        <f t="shared" ca="1" si="217"/>
        <v>0.75486204259655842</v>
      </c>
      <c r="E3818" s="48">
        <f t="shared" ca="1" si="218"/>
        <v>0</v>
      </c>
      <c r="F3818" s="17">
        <f t="shared" ca="1" si="219"/>
        <v>0</v>
      </c>
      <c r="H3818" s="17">
        <v>3803</v>
      </c>
      <c r="I3818" s="43">
        <v>0.66852294917841915</v>
      </c>
      <c r="J3818" s="43">
        <v>1.9048373971686648E-2</v>
      </c>
      <c r="K3818" s="43"/>
      <c r="L3818" s="43">
        <v>0.24759999999999999</v>
      </c>
      <c r="O3818" s="50"/>
    </row>
    <row r="3819" spans="2:15" x14ac:dyDescent="0.2">
      <c r="B3819">
        <v>3804</v>
      </c>
      <c r="C3819" s="48">
        <f ca="1"/>
        <v>-0.35078194714470518</v>
      </c>
      <c r="D3819" s="48">
        <f t="shared" ca="1" si="217"/>
        <v>0.64191811091299888</v>
      </c>
      <c r="E3819" s="48">
        <f t="shared" ca="1" si="218"/>
        <v>0</v>
      </c>
      <c r="F3819" s="17">
        <f t="shared" ca="1" si="219"/>
        <v>0</v>
      </c>
      <c r="H3819" s="17">
        <v>3804</v>
      </c>
      <c r="I3819" s="43">
        <v>0.66855534040912401</v>
      </c>
      <c r="J3819" s="43">
        <v>1.9112086390612147E-2</v>
      </c>
      <c r="K3819" s="43"/>
      <c r="L3819" s="43">
        <v>0.24879999999999999</v>
      </c>
      <c r="O3819" s="50"/>
    </row>
    <row r="3820" spans="2:15" x14ac:dyDescent="0.2">
      <c r="B3820">
        <v>3805</v>
      </c>
      <c r="C3820" s="48">
        <f ca="1"/>
        <v>0.15057570303185044</v>
      </c>
      <c r="D3820" s="48">
        <f t="shared" ca="1" si="217"/>
        <v>0.67444378207908462</v>
      </c>
      <c r="E3820" s="48">
        <f t="shared" ca="1" si="218"/>
        <v>0</v>
      </c>
      <c r="F3820" s="17">
        <f t="shared" ca="1" si="219"/>
        <v>0</v>
      </c>
      <c r="H3820" s="17">
        <v>3805</v>
      </c>
      <c r="I3820" s="43">
        <v>0.66766045210375979</v>
      </c>
      <c r="J3820" s="43">
        <v>1.8228227723678443E-2</v>
      </c>
      <c r="K3820" s="43"/>
      <c r="L3820" s="43">
        <v>0.23899999999999999</v>
      </c>
      <c r="O3820" s="50"/>
    </row>
    <row r="3821" spans="2:15" x14ac:dyDescent="0.2">
      <c r="B3821">
        <v>3806</v>
      </c>
      <c r="C3821" s="48">
        <f ca="1"/>
        <v>-0.43386172182481858</v>
      </c>
      <c r="D3821" s="48">
        <f t="shared" ca="1" si="217"/>
        <v>0.63668187383169539</v>
      </c>
      <c r="E3821" s="48">
        <f t="shared" ca="1" si="218"/>
        <v>0</v>
      </c>
      <c r="F3821" s="17">
        <f t="shared" ca="1" si="219"/>
        <v>0</v>
      </c>
      <c r="H3821" s="17">
        <v>3806</v>
      </c>
      <c r="I3821" s="43">
        <v>0.67040869136257786</v>
      </c>
      <c r="J3821" s="43">
        <v>2.057000370908239E-2</v>
      </c>
      <c r="K3821" s="43"/>
      <c r="L3821" s="43">
        <v>0.254</v>
      </c>
      <c r="O3821" s="50"/>
    </row>
    <row r="3822" spans="2:15" x14ac:dyDescent="0.2">
      <c r="B3822">
        <v>3807</v>
      </c>
      <c r="C3822" s="48">
        <f ca="1"/>
        <v>1.1673379426315433</v>
      </c>
      <c r="D3822" s="48">
        <f t="shared" ca="1" si="217"/>
        <v>0.7455545777819319</v>
      </c>
      <c r="E3822" s="48">
        <f t="shared" ca="1" si="218"/>
        <v>0</v>
      </c>
      <c r="F3822" s="17">
        <f t="shared" ca="1" si="219"/>
        <v>0</v>
      </c>
      <c r="H3822" s="17">
        <v>3807</v>
      </c>
      <c r="I3822" s="43">
        <v>0.67026211747999009</v>
      </c>
      <c r="J3822" s="43">
        <v>2.013891532666905E-2</v>
      </c>
      <c r="K3822" s="43"/>
      <c r="L3822" s="43">
        <v>0.25280000000000002</v>
      </c>
      <c r="O3822" s="50"/>
    </row>
    <row r="3823" spans="2:15" x14ac:dyDescent="0.2">
      <c r="B3823">
        <v>3808</v>
      </c>
      <c r="C3823" s="48">
        <f ca="1"/>
        <v>-1.3228584678276987</v>
      </c>
      <c r="D3823" s="48">
        <f t="shared" ca="1" si="217"/>
        <v>0.58325598825100777</v>
      </c>
      <c r="E3823" s="48">
        <f t="shared" ca="1" si="218"/>
        <v>0</v>
      </c>
      <c r="F3823" s="17">
        <f t="shared" ca="1" si="219"/>
        <v>0</v>
      </c>
      <c r="H3823" s="17">
        <v>3808</v>
      </c>
      <c r="I3823" s="43">
        <v>0.6689695342878712</v>
      </c>
      <c r="J3823" s="43">
        <v>1.9477599050751766E-2</v>
      </c>
      <c r="K3823" s="43"/>
      <c r="L3823" s="43">
        <v>0.24979999999999999</v>
      </c>
      <c r="O3823" s="50"/>
    </row>
    <row r="3824" spans="2:15" x14ac:dyDescent="0.2">
      <c r="B3824">
        <v>3809</v>
      </c>
      <c r="C3824" s="48">
        <f ca="1"/>
        <v>-0.52883218775556384</v>
      </c>
      <c r="D3824" s="48">
        <f t="shared" ca="1" si="217"/>
        <v>0.63074850653036418</v>
      </c>
      <c r="E3824" s="48">
        <f t="shared" ca="1" si="218"/>
        <v>0</v>
      </c>
      <c r="F3824" s="17">
        <f t="shared" ca="1" si="219"/>
        <v>0</v>
      </c>
      <c r="H3824" s="17">
        <v>3809</v>
      </c>
      <c r="I3824" s="43">
        <v>0.67015078564522601</v>
      </c>
      <c r="J3824" s="43">
        <v>2.0129620574298443E-2</v>
      </c>
      <c r="K3824" s="43"/>
      <c r="L3824" s="43">
        <v>0.25440000000000002</v>
      </c>
      <c r="O3824" s="50"/>
    </row>
    <row r="3825" spans="2:15" x14ac:dyDescent="0.2">
      <c r="B3825">
        <v>3810</v>
      </c>
      <c r="C3825" s="48">
        <f ca="1"/>
        <v>1.0666860810984302</v>
      </c>
      <c r="D3825" s="48">
        <f t="shared" ca="1" si="217"/>
        <v>0.7381930153392573</v>
      </c>
      <c r="E3825" s="48">
        <f t="shared" ca="1" si="218"/>
        <v>0</v>
      </c>
      <c r="F3825" s="17">
        <f t="shared" ca="1" si="219"/>
        <v>0</v>
      </c>
      <c r="H3825" s="17">
        <v>3810</v>
      </c>
      <c r="I3825" s="43">
        <v>0.6686060922461311</v>
      </c>
      <c r="J3825" s="43">
        <v>1.9293345225049007E-2</v>
      </c>
      <c r="K3825" s="43"/>
      <c r="L3825" s="43">
        <v>0.24859999999999999</v>
      </c>
      <c r="O3825" s="50"/>
    </row>
    <row r="3826" spans="2:15" x14ac:dyDescent="0.2">
      <c r="B3826">
        <v>3811</v>
      </c>
      <c r="C3826" s="48">
        <f ca="1"/>
        <v>0.93948467592776885</v>
      </c>
      <c r="D3826" s="48">
        <f t="shared" ca="1" si="217"/>
        <v>0.72899353533916211</v>
      </c>
      <c r="E3826" s="48">
        <f t="shared" ca="1" si="218"/>
        <v>0</v>
      </c>
      <c r="F3826" s="17">
        <f t="shared" ca="1" si="219"/>
        <v>0</v>
      </c>
      <c r="H3826" s="17">
        <v>3811</v>
      </c>
      <c r="I3826" s="43">
        <v>0.6683961330788083</v>
      </c>
      <c r="J3826" s="43">
        <v>1.9178051672159125E-2</v>
      </c>
      <c r="K3826" s="43"/>
      <c r="L3826" s="43">
        <v>0.25180000000000002</v>
      </c>
      <c r="O3826" s="50"/>
    </row>
    <row r="3827" spans="2:15" x14ac:dyDescent="0.2">
      <c r="B3827">
        <v>3812</v>
      </c>
      <c r="C3827" s="48">
        <f ca="1"/>
        <v>-9.9349408972870229E-2</v>
      </c>
      <c r="D3827" s="48">
        <f t="shared" ca="1" si="217"/>
        <v>0.65802889267962306</v>
      </c>
      <c r="E3827" s="48">
        <f t="shared" ca="1" si="218"/>
        <v>0</v>
      </c>
      <c r="F3827" s="17">
        <f t="shared" ca="1" si="219"/>
        <v>0</v>
      </c>
      <c r="H3827" s="17">
        <v>3812</v>
      </c>
      <c r="I3827" s="43">
        <v>0.66829150787183844</v>
      </c>
      <c r="J3827" s="43">
        <v>1.8765208879064337E-2</v>
      </c>
      <c r="K3827" s="43"/>
      <c r="L3827" s="43">
        <v>0.246</v>
      </c>
      <c r="O3827" s="50"/>
    </row>
    <row r="3828" spans="2:15" x14ac:dyDescent="0.2">
      <c r="B3828">
        <v>3813</v>
      </c>
      <c r="C3828" s="48">
        <f ca="1"/>
        <v>-1.2568767387195596</v>
      </c>
      <c r="D3828" s="48">
        <f t="shared" ca="1" si="217"/>
        <v>0.58706241890084976</v>
      </c>
      <c r="E3828" s="48">
        <f t="shared" ca="1" si="218"/>
        <v>0</v>
      </c>
      <c r="F3828" s="17">
        <f t="shared" ca="1" si="219"/>
        <v>0</v>
      </c>
      <c r="H3828" s="17">
        <v>3813</v>
      </c>
      <c r="I3828" s="43">
        <v>0.66947530827873414</v>
      </c>
      <c r="J3828" s="43">
        <v>1.9590300794314962E-2</v>
      </c>
      <c r="K3828" s="43"/>
      <c r="L3828" s="43">
        <v>0.248</v>
      </c>
      <c r="O3828" s="50"/>
    </row>
    <row r="3829" spans="2:15" x14ac:dyDescent="0.2">
      <c r="B3829">
        <v>3814</v>
      </c>
      <c r="C3829" s="48">
        <f ca="1"/>
        <v>1.5173176852351817</v>
      </c>
      <c r="D3829" s="48">
        <f t="shared" ca="1" si="217"/>
        <v>0.77172784728136379</v>
      </c>
      <c r="E3829" s="48">
        <f t="shared" ca="1" si="218"/>
        <v>0</v>
      </c>
      <c r="F3829" s="17">
        <f t="shared" ca="1" si="219"/>
        <v>0</v>
      </c>
      <c r="H3829" s="17">
        <v>3814</v>
      </c>
      <c r="I3829" s="43">
        <v>0.66890383683436005</v>
      </c>
      <c r="J3829" s="43">
        <v>1.9285026992297904E-2</v>
      </c>
      <c r="K3829" s="43"/>
      <c r="L3829" s="43">
        <v>0.24940000000000001</v>
      </c>
      <c r="O3829" s="50"/>
    </row>
    <row r="3830" spans="2:15" x14ac:dyDescent="0.2">
      <c r="B3830">
        <v>3815</v>
      </c>
      <c r="C3830" s="48">
        <f ca="1"/>
        <v>-1.4912687873124264</v>
      </c>
      <c r="D3830" s="48">
        <f t="shared" ca="1" si="217"/>
        <v>0.5736520515865754</v>
      </c>
      <c r="E3830" s="48">
        <f t="shared" ca="1" si="218"/>
        <v>0</v>
      </c>
      <c r="F3830" s="17">
        <f t="shared" ca="1" si="219"/>
        <v>0</v>
      </c>
      <c r="H3830" s="17">
        <v>3815</v>
      </c>
      <c r="I3830" s="43">
        <v>0.66806612068600935</v>
      </c>
      <c r="J3830" s="43">
        <v>1.8663586857551036E-2</v>
      </c>
      <c r="K3830" s="43"/>
      <c r="L3830" s="43">
        <v>0.24940000000000001</v>
      </c>
      <c r="O3830" s="50"/>
    </row>
    <row r="3831" spans="2:15" x14ac:dyDescent="0.2">
      <c r="B3831">
        <v>3816</v>
      </c>
      <c r="C3831" s="48">
        <f ca="1"/>
        <v>-0.16832091315683492</v>
      </c>
      <c r="D3831" s="48">
        <f t="shared" ca="1" si="217"/>
        <v>0.65356965443627946</v>
      </c>
      <c r="E3831" s="48">
        <f t="shared" ca="1" si="218"/>
        <v>0</v>
      </c>
      <c r="F3831" s="17">
        <f t="shared" ca="1" si="219"/>
        <v>0</v>
      </c>
      <c r="H3831" s="17">
        <v>3816</v>
      </c>
      <c r="I3831" s="43">
        <v>0.66930776484265464</v>
      </c>
      <c r="J3831" s="43">
        <v>1.9708510855620889E-2</v>
      </c>
      <c r="K3831" s="43"/>
      <c r="L3831" s="43">
        <v>0.24879999999999999</v>
      </c>
      <c r="O3831" s="50"/>
    </row>
    <row r="3832" spans="2:15" x14ac:dyDescent="0.2">
      <c r="B3832">
        <v>3817</v>
      </c>
      <c r="C3832" s="48">
        <f ca="1"/>
        <v>1.6812469064752555</v>
      </c>
      <c r="D3832" s="48">
        <f t="shared" ca="1" si="217"/>
        <v>0.78430135320395744</v>
      </c>
      <c r="E3832" s="48">
        <f t="shared" ca="1" si="218"/>
        <v>0</v>
      </c>
      <c r="F3832" s="17">
        <f t="shared" ca="1" si="219"/>
        <v>0</v>
      </c>
      <c r="H3832" s="17">
        <v>3817</v>
      </c>
      <c r="I3832" s="43">
        <v>0.66938580896094069</v>
      </c>
      <c r="J3832" s="43">
        <v>1.9801646460922362E-2</v>
      </c>
      <c r="K3832" s="43"/>
      <c r="L3832" s="43">
        <v>0.251</v>
      </c>
      <c r="O3832" s="50"/>
    </row>
    <row r="3833" spans="2:15" x14ac:dyDescent="0.2">
      <c r="B3833">
        <v>3818</v>
      </c>
      <c r="C3833" s="48">
        <f ca="1"/>
        <v>-9.0219136269032149E-2</v>
      </c>
      <c r="D3833" s="48">
        <f t="shared" ca="1" si="217"/>
        <v>0.65862147120421999</v>
      </c>
      <c r="E3833" s="48">
        <f t="shared" ca="1" si="218"/>
        <v>0</v>
      </c>
      <c r="F3833" s="17">
        <f t="shared" ca="1" si="219"/>
        <v>0</v>
      </c>
      <c r="H3833" s="17">
        <v>3818</v>
      </c>
      <c r="I3833" s="43">
        <v>0.66879419158371523</v>
      </c>
      <c r="J3833" s="43">
        <v>1.9480730438869377E-2</v>
      </c>
      <c r="K3833" s="43"/>
      <c r="L3833" s="43">
        <v>0.25340000000000001</v>
      </c>
      <c r="O3833" s="50"/>
    </row>
    <row r="3834" spans="2:15" x14ac:dyDescent="0.2">
      <c r="B3834">
        <v>3819</v>
      </c>
      <c r="C3834" s="48">
        <f ca="1"/>
        <v>1.113722461685998</v>
      </c>
      <c r="D3834" s="48">
        <f t="shared" ca="1" si="217"/>
        <v>0.74162411151489394</v>
      </c>
      <c r="E3834" s="48">
        <f t="shared" ca="1" si="218"/>
        <v>0</v>
      </c>
      <c r="F3834" s="17">
        <f t="shared" ca="1" si="219"/>
        <v>0</v>
      </c>
      <c r="H3834" s="17">
        <v>3819</v>
      </c>
      <c r="I3834" s="43">
        <v>0.66761774409692276</v>
      </c>
      <c r="J3834" s="43">
        <v>1.8209404121099743E-2</v>
      </c>
      <c r="K3834" s="43"/>
      <c r="L3834" s="43">
        <v>0.23780000000000001</v>
      </c>
      <c r="O3834" s="50"/>
    </row>
    <row r="3835" spans="2:15" x14ac:dyDescent="0.2">
      <c r="B3835">
        <v>3820</v>
      </c>
      <c r="C3835" s="48">
        <f ca="1"/>
        <v>-1.1451506386160883</v>
      </c>
      <c r="D3835" s="48">
        <f t="shared" ca="1" si="217"/>
        <v>0.59356453421400612</v>
      </c>
      <c r="E3835" s="48">
        <f t="shared" ca="1" si="218"/>
        <v>0</v>
      </c>
      <c r="F3835" s="17">
        <f t="shared" ca="1" si="219"/>
        <v>0</v>
      </c>
      <c r="H3835" s="17">
        <v>3820</v>
      </c>
      <c r="I3835" s="43">
        <v>0.67002773656977399</v>
      </c>
      <c r="J3835" s="43">
        <v>2.0305535413914864E-2</v>
      </c>
      <c r="K3835" s="43"/>
      <c r="L3835" s="43">
        <v>0.2646</v>
      </c>
      <c r="O3835" s="50"/>
    </row>
    <row r="3836" spans="2:15" x14ac:dyDescent="0.2">
      <c r="B3836">
        <v>3821</v>
      </c>
      <c r="C3836" s="48">
        <f ca="1"/>
        <v>1.114076703537582</v>
      </c>
      <c r="D3836" s="48">
        <f t="shared" ca="1" si="217"/>
        <v>0.74165001230511718</v>
      </c>
      <c r="E3836" s="48">
        <f t="shared" ca="1" si="218"/>
        <v>0</v>
      </c>
      <c r="F3836" s="17">
        <f t="shared" ca="1" si="219"/>
        <v>0</v>
      </c>
      <c r="H3836" s="17">
        <v>3821</v>
      </c>
      <c r="I3836" s="43">
        <v>0.66795140824397659</v>
      </c>
      <c r="J3836" s="43">
        <v>1.8698576399429415E-2</v>
      </c>
      <c r="K3836" s="43"/>
      <c r="L3836" s="43">
        <v>0.25319999999999998</v>
      </c>
      <c r="O3836" s="50"/>
    </row>
    <row r="3837" spans="2:15" x14ac:dyDescent="0.2">
      <c r="B3837">
        <v>3822</v>
      </c>
      <c r="C3837" s="48">
        <f ca="1"/>
        <v>-0.12345238865677444</v>
      </c>
      <c r="D3837" s="48">
        <f t="shared" ca="1" si="217"/>
        <v>0.65646710668517305</v>
      </c>
      <c r="E3837" s="48">
        <f t="shared" ca="1" si="218"/>
        <v>0</v>
      </c>
      <c r="F3837" s="17">
        <f t="shared" ca="1" si="219"/>
        <v>0</v>
      </c>
      <c r="H3837" s="17">
        <v>3822</v>
      </c>
      <c r="I3837" s="43">
        <v>0.66934170297657114</v>
      </c>
      <c r="J3837" s="43">
        <v>1.9702225640582067E-2</v>
      </c>
      <c r="K3837" s="43"/>
      <c r="L3837" s="43">
        <v>0.25540000000000002</v>
      </c>
      <c r="O3837" s="50"/>
    </row>
    <row r="3838" spans="2:15" x14ac:dyDescent="0.2">
      <c r="B3838">
        <v>3823</v>
      </c>
      <c r="C3838" s="48">
        <f ca="1"/>
        <v>0.98482801125750796</v>
      </c>
      <c r="D3838" s="48">
        <f t="shared" ca="1" si="217"/>
        <v>0.73225963875355127</v>
      </c>
      <c r="E3838" s="48">
        <f t="shared" ca="1" si="218"/>
        <v>0</v>
      </c>
      <c r="F3838" s="17">
        <f t="shared" ca="1" si="219"/>
        <v>0</v>
      </c>
      <c r="H3838" s="17">
        <v>3823</v>
      </c>
      <c r="I3838" s="43">
        <v>0.66794893201964023</v>
      </c>
      <c r="J3838" s="43">
        <v>1.8701698406840016E-2</v>
      </c>
      <c r="K3838" s="43"/>
      <c r="L3838" s="43">
        <v>0.246</v>
      </c>
      <c r="O3838" s="50"/>
    </row>
    <row r="3839" spans="2:15" x14ac:dyDescent="0.2">
      <c r="B3839">
        <v>3824</v>
      </c>
      <c r="C3839" s="48">
        <f ca="1"/>
        <v>-0.2021837340404683</v>
      </c>
      <c r="D3839" s="48">
        <f t="shared" ca="1" si="217"/>
        <v>0.65139138298310162</v>
      </c>
      <c r="E3839" s="48">
        <f t="shared" ca="1" si="218"/>
        <v>0</v>
      </c>
      <c r="F3839" s="17">
        <f t="shared" ca="1" si="219"/>
        <v>0</v>
      </c>
      <c r="H3839" s="17">
        <v>3824</v>
      </c>
      <c r="I3839" s="43">
        <v>0.66880101909379452</v>
      </c>
      <c r="J3839" s="43">
        <v>1.9128489926714929E-2</v>
      </c>
      <c r="K3839" s="43"/>
      <c r="L3839" s="43">
        <v>0.2482</v>
      </c>
      <c r="O3839" s="50"/>
    </row>
    <row r="3840" spans="2:15" x14ac:dyDescent="0.2">
      <c r="B3840">
        <v>3825</v>
      </c>
      <c r="C3840" s="48">
        <f ca="1"/>
        <v>8.0925746085442146E-2</v>
      </c>
      <c r="D3840" s="48">
        <f t="shared" ca="1" si="217"/>
        <v>0.66982850142918948</v>
      </c>
      <c r="E3840" s="48">
        <f t="shared" ca="1" si="218"/>
        <v>0</v>
      </c>
      <c r="F3840" s="17">
        <f t="shared" ca="1" si="219"/>
        <v>0</v>
      </c>
      <c r="H3840" s="17">
        <v>3825</v>
      </c>
      <c r="I3840" s="43">
        <v>0.66892671562782657</v>
      </c>
      <c r="J3840" s="43">
        <v>1.9031169891322332E-2</v>
      </c>
      <c r="K3840" s="43"/>
      <c r="L3840" s="43">
        <v>0.2384</v>
      </c>
      <c r="O3840" s="50"/>
    </row>
    <row r="3841" spans="2:15" x14ac:dyDescent="0.2">
      <c r="B3841">
        <v>3826</v>
      </c>
      <c r="C3841" s="48">
        <f ca="1"/>
        <v>1.2433874543889296</v>
      </c>
      <c r="D3841" s="48">
        <f t="shared" ca="1" si="217"/>
        <v>0.75116540218047789</v>
      </c>
      <c r="E3841" s="48">
        <f t="shared" ca="1" si="218"/>
        <v>0</v>
      </c>
      <c r="F3841" s="17">
        <f t="shared" ca="1" si="219"/>
        <v>0</v>
      </c>
      <c r="H3841" s="17">
        <v>3826</v>
      </c>
      <c r="I3841" s="43">
        <v>0.66790807657073914</v>
      </c>
      <c r="J3841" s="43">
        <v>1.8382308581801659E-2</v>
      </c>
      <c r="K3841" s="43"/>
      <c r="L3841" s="43">
        <v>0.24679999999999999</v>
      </c>
      <c r="O3841" s="50"/>
    </row>
    <row r="3842" spans="2:15" x14ac:dyDescent="0.2">
      <c r="B3842">
        <v>3827</v>
      </c>
      <c r="C3842" s="48">
        <f ca="1"/>
        <v>-9.432065798267468E-2</v>
      </c>
      <c r="D3842" s="48">
        <f t="shared" ca="1" si="217"/>
        <v>0.65835520575367978</v>
      </c>
      <c r="E3842" s="48">
        <f t="shared" ca="1" si="218"/>
        <v>0</v>
      </c>
      <c r="F3842" s="17">
        <f t="shared" ca="1" si="219"/>
        <v>0</v>
      </c>
      <c r="H3842" s="17">
        <v>3827</v>
      </c>
      <c r="I3842" s="43">
        <v>0.66819720476792055</v>
      </c>
      <c r="J3842" s="43">
        <v>1.8846429757546187E-2</v>
      </c>
      <c r="K3842" s="43"/>
      <c r="L3842" s="43">
        <v>0.25040000000000001</v>
      </c>
      <c r="O3842" s="50"/>
    </row>
    <row r="3843" spans="2:15" x14ac:dyDescent="0.2">
      <c r="B3843">
        <v>3828</v>
      </c>
      <c r="C3843" s="48">
        <f ca="1"/>
        <v>-0.7432632337993087</v>
      </c>
      <c r="D3843" s="48">
        <f t="shared" ca="1" si="217"/>
        <v>0.61755430347553397</v>
      </c>
      <c r="E3843" s="48">
        <f t="shared" ca="1" si="218"/>
        <v>0</v>
      </c>
      <c r="F3843" s="17">
        <f t="shared" ca="1" si="219"/>
        <v>0</v>
      </c>
      <c r="H3843" s="17">
        <v>3828</v>
      </c>
      <c r="I3843" s="43">
        <v>0.66916942770440013</v>
      </c>
      <c r="J3843" s="43">
        <v>1.9363146109814211E-2</v>
      </c>
      <c r="K3843" s="43"/>
      <c r="L3843" s="43">
        <v>0.25040000000000001</v>
      </c>
      <c r="O3843" s="50"/>
    </row>
    <row r="3844" spans="2:15" x14ac:dyDescent="0.2">
      <c r="B3844">
        <v>3829</v>
      </c>
      <c r="C3844" s="48">
        <f ca="1"/>
        <v>-1.9963929686453994</v>
      </c>
      <c r="D3844" s="48">
        <f t="shared" ca="1" si="217"/>
        <v>0.54578444895734846</v>
      </c>
      <c r="E3844" s="48">
        <f t="shared" ca="1" si="218"/>
        <v>0</v>
      </c>
      <c r="F3844" s="17">
        <f t="shared" ca="1" si="219"/>
        <v>0</v>
      </c>
      <c r="H3844" s="17">
        <v>3829</v>
      </c>
      <c r="I3844" s="43">
        <v>0.66993884443502161</v>
      </c>
      <c r="J3844" s="43">
        <v>2.0113725242549115E-2</v>
      </c>
      <c r="K3844" s="43"/>
      <c r="L3844" s="43">
        <v>0.25259999999999999</v>
      </c>
      <c r="O3844" s="50"/>
    </row>
    <row r="3845" spans="2:15" x14ac:dyDescent="0.2">
      <c r="B3845">
        <v>3830</v>
      </c>
      <c r="C3845" s="48">
        <f ca="1"/>
        <v>0.6910283582033101</v>
      </c>
      <c r="D3845" s="48">
        <f t="shared" ca="1" si="217"/>
        <v>0.71135399162264878</v>
      </c>
      <c r="E3845" s="48">
        <f t="shared" ca="1" si="218"/>
        <v>0</v>
      </c>
      <c r="F3845" s="17">
        <f t="shared" ca="1" si="219"/>
        <v>0</v>
      </c>
      <c r="H3845" s="17">
        <v>3830</v>
      </c>
      <c r="I3845" s="43">
        <v>0.66872752023832138</v>
      </c>
      <c r="J3845" s="43">
        <v>1.9401117360206343E-2</v>
      </c>
      <c r="K3845" s="43"/>
      <c r="L3845" s="43">
        <v>0.25280000000000002</v>
      </c>
      <c r="O3845" s="50"/>
    </row>
    <row r="3846" spans="2:15" x14ac:dyDescent="0.2">
      <c r="B3846">
        <v>3831</v>
      </c>
      <c r="C3846" s="48">
        <f ca="1"/>
        <v>0.72991917418643293</v>
      </c>
      <c r="D3846" s="48">
        <f t="shared" ca="1" si="217"/>
        <v>0.71408666288218703</v>
      </c>
      <c r="E3846" s="48">
        <f t="shared" ca="1" si="218"/>
        <v>0</v>
      </c>
      <c r="F3846" s="17">
        <f t="shared" ca="1" si="219"/>
        <v>0</v>
      </c>
      <c r="H3846" s="17">
        <v>3831</v>
      </c>
      <c r="I3846" s="43">
        <v>0.66905681363663427</v>
      </c>
      <c r="J3846" s="43">
        <v>1.936096336695706E-2</v>
      </c>
      <c r="K3846" s="43"/>
      <c r="L3846" s="43">
        <v>0.247</v>
      </c>
      <c r="O3846" s="50"/>
    </row>
    <row r="3847" spans="2:15" x14ac:dyDescent="0.2">
      <c r="B3847">
        <v>3832</v>
      </c>
      <c r="C3847" s="48">
        <f ca="1"/>
        <v>0.34398682459722368</v>
      </c>
      <c r="D3847" s="48">
        <f t="shared" ca="1" si="217"/>
        <v>0.68742740945703595</v>
      </c>
      <c r="E3847" s="48">
        <f t="shared" ca="1" si="218"/>
        <v>0</v>
      </c>
      <c r="F3847" s="17">
        <f t="shared" ca="1" si="219"/>
        <v>0</v>
      </c>
      <c r="H3847" s="17">
        <v>3832</v>
      </c>
      <c r="I3847" s="43">
        <v>0.6675230332972768</v>
      </c>
      <c r="J3847" s="43">
        <v>1.8384030841613903E-2</v>
      </c>
      <c r="K3847" s="43"/>
      <c r="L3847" s="43">
        <v>0.24660000000000001</v>
      </c>
      <c r="O3847" s="50"/>
    </row>
    <row r="3848" spans="2:15" x14ac:dyDescent="0.2">
      <c r="B3848">
        <v>3833</v>
      </c>
      <c r="C3848" s="48">
        <f ca="1"/>
        <v>0.31001883338736058</v>
      </c>
      <c r="D3848" s="48">
        <f t="shared" ca="1" si="217"/>
        <v>0.68512919027149088</v>
      </c>
      <c r="E3848" s="48">
        <f t="shared" ca="1" si="218"/>
        <v>0</v>
      </c>
      <c r="F3848" s="17">
        <f t="shared" ca="1" si="219"/>
        <v>0</v>
      </c>
      <c r="H3848" s="17">
        <v>3833</v>
      </c>
      <c r="I3848" s="43">
        <v>0.66825926921851819</v>
      </c>
      <c r="J3848" s="43">
        <v>1.9291834278712446E-2</v>
      </c>
      <c r="K3848" s="43"/>
      <c r="L3848" s="43">
        <v>0.2596</v>
      </c>
      <c r="O3848" s="50"/>
    </row>
    <row r="3849" spans="2:15" x14ac:dyDescent="0.2">
      <c r="B3849">
        <v>3834</v>
      </c>
      <c r="C3849" s="48">
        <f ca="1"/>
        <v>-0.26144025524181175</v>
      </c>
      <c r="D3849" s="48">
        <f t="shared" ca="1" si="217"/>
        <v>0.64759708062781018</v>
      </c>
      <c r="E3849" s="48">
        <f t="shared" ca="1" si="218"/>
        <v>0</v>
      </c>
      <c r="F3849" s="17">
        <f t="shared" ca="1" si="219"/>
        <v>0</v>
      </c>
      <c r="H3849" s="17">
        <v>3834</v>
      </c>
      <c r="I3849" s="43">
        <v>0.66829603887636591</v>
      </c>
      <c r="J3849" s="43">
        <v>1.8791172868693914E-2</v>
      </c>
      <c r="K3849" s="43"/>
      <c r="L3849" s="43">
        <v>0.247</v>
      </c>
      <c r="O3849" s="50"/>
    </row>
    <row r="3850" spans="2:15" x14ac:dyDescent="0.2">
      <c r="B3850">
        <v>3835</v>
      </c>
      <c r="C3850" s="48">
        <f ca="1"/>
        <v>0.74264465465268692</v>
      </c>
      <c r="D3850" s="48">
        <f t="shared" ca="1" si="217"/>
        <v>0.71498309887686295</v>
      </c>
      <c r="E3850" s="48">
        <f t="shared" ca="1" si="218"/>
        <v>0</v>
      </c>
      <c r="F3850" s="17">
        <f t="shared" ca="1" si="219"/>
        <v>0</v>
      </c>
      <c r="H3850" s="17">
        <v>3835</v>
      </c>
      <c r="I3850" s="43">
        <v>0.67032142911022086</v>
      </c>
      <c r="J3850" s="43">
        <v>2.0282152924612801E-2</v>
      </c>
      <c r="K3850" s="43"/>
      <c r="L3850" s="43">
        <v>0.24779999999999999</v>
      </c>
      <c r="O3850" s="50"/>
    </row>
    <row r="3851" spans="2:15" x14ac:dyDescent="0.2">
      <c r="B3851">
        <v>3836</v>
      </c>
      <c r="C3851" s="48">
        <f ca="1"/>
        <v>1.3530115366654387</v>
      </c>
      <c r="D3851" s="48">
        <f t="shared" ca="1" si="217"/>
        <v>0.7593276958006141</v>
      </c>
      <c r="E3851" s="48">
        <f t="shared" ca="1" si="218"/>
        <v>0</v>
      </c>
      <c r="F3851" s="17">
        <f t="shared" ca="1" si="219"/>
        <v>0</v>
      </c>
      <c r="H3851" s="17">
        <v>3836</v>
      </c>
      <c r="I3851" s="43">
        <v>0.66957375933823282</v>
      </c>
      <c r="J3851" s="43">
        <v>1.9579141384165267E-2</v>
      </c>
      <c r="K3851" s="43"/>
      <c r="L3851" s="43">
        <v>0.24940000000000001</v>
      </c>
      <c r="O3851" s="50"/>
    </row>
    <row r="3852" spans="2:15" x14ac:dyDescent="0.2">
      <c r="B3852">
        <v>3837</v>
      </c>
      <c r="C3852" s="48">
        <f ca="1"/>
        <v>-0.50878141417837308</v>
      </c>
      <c r="D3852" s="48">
        <f t="shared" ca="1" si="217"/>
        <v>0.63199657497181294</v>
      </c>
      <c r="E3852" s="48">
        <f t="shared" ca="1" si="218"/>
        <v>0</v>
      </c>
      <c r="F3852" s="17">
        <f t="shared" ca="1" si="219"/>
        <v>0</v>
      </c>
      <c r="H3852" s="17">
        <v>3837</v>
      </c>
      <c r="I3852" s="43">
        <v>0.66973514894816977</v>
      </c>
      <c r="J3852" s="43">
        <v>2.011619816307593E-2</v>
      </c>
      <c r="K3852" s="43"/>
      <c r="L3852" s="43">
        <v>0.26340000000000002</v>
      </c>
      <c r="O3852" s="50"/>
    </row>
    <row r="3853" spans="2:15" x14ac:dyDescent="0.2">
      <c r="B3853">
        <v>3838</v>
      </c>
      <c r="C3853" s="48">
        <f ca="1"/>
        <v>0.84626169052569433</v>
      </c>
      <c r="D3853" s="48">
        <f t="shared" ca="1" si="217"/>
        <v>0.7223243280604531</v>
      </c>
      <c r="E3853" s="48">
        <f t="shared" ca="1" si="218"/>
        <v>0</v>
      </c>
      <c r="F3853" s="17">
        <f t="shared" ca="1" si="219"/>
        <v>0</v>
      </c>
      <c r="H3853" s="17">
        <v>3838</v>
      </c>
      <c r="I3853" s="43">
        <v>0.66988915528442305</v>
      </c>
      <c r="J3853" s="43">
        <v>2.016413205680883E-2</v>
      </c>
      <c r="K3853" s="43"/>
      <c r="L3853" s="43">
        <v>0.25919999999999999</v>
      </c>
      <c r="O3853" s="50"/>
    </row>
    <row r="3854" spans="2:15" x14ac:dyDescent="0.2">
      <c r="B3854">
        <v>3839</v>
      </c>
      <c r="C3854" s="48">
        <f ca="1"/>
        <v>-9.0051992414393725E-2</v>
      </c>
      <c r="D3854" s="48">
        <f t="shared" ca="1" si="217"/>
        <v>0.65863232424905249</v>
      </c>
      <c r="E3854" s="48">
        <f t="shared" ca="1" si="218"/>
        <v>0</v>
      </c>
      <c r="F3854" s="17">
        <f t="shared" ca="1" si="219"/>
        <v>0</v>
      </c>
      <c r="H3854" s="17">
        <v>3839</v>
      </c>
      <c r="I3854" s="43">
        <v>0.66965523050199738</v>
      </c>
      <c r="J3854" s="43">
        <v>1.9677424383951113E-2</v>
      </c>
      <c r="K3854" s="43"/>
      <c r="L3854" s="43">
        <v>0.25240000000000001</v>
      </c>
      <c r="O3854" s="50"/>
    </row>
    <row r="3855" spans="2:15" x14ac:dyDescent="0.2">
      <c r="B3855">
        <v>3840</v>
      </c>
      <c r="C3855" s="48">
        <f ca="1"/>
        <v>0.1502932029526228</v>
      </c>
      <c r="D3855" s="48">
        <f t="shared" ca="1" si="217"/>
        <v>0.67442499842845594</v>
      </c>
      <c r="E3855" s="48">
        <f t="shared" ca="1" si="218"/>
        <v>0</v>
      </c>
      <c r="F3855" s="17">
        <f t="shared" ca="1" si="219"/>
        <v>0</v>
      </c>
      <c r="H3855" s="17">
        <v>3840</v>
      </c>
      <c r="I3855" s="43">
        <v>0.66934904666115491</v>
      </c>
      <c r="J3855" s="43">
        <v>1.9622066141576727E-2</v>
      </c>
      <c r="K3855" s="43"/>
      <c r="L3855" s="43">
        <v>0.25140000000000001</v>
      </c>
      <c r="O3855" s="50"/>
    </row>
    <row r="3856" spans="2:15" x14ac:dyDescent="0.2">
      <c r="B3856">
        <v>3841</v>
      </c>
      <c r="C3856" s="48">
        <f ca="1"/>
        <v>-0.85225453601394163</v>
      </c>
      <c r="D3856" s="48">
        <f t="shared" ref="D3856:D3919" ca="1" si="220">S0*EXP((μ-0.5*σ*σ)*T+σ*SQRT(T)*$C3856)</f>
        <v>0.6109540970534616</v>
      </c>
      <c r="E3856" s="48">
        <f t="shared" ref="E3856:E3919" ca="1" si="221">MAX(0,CP*(D3856-K))</f>
        <v>0</v>
      </c>
      <c r="F3856" s="17">
        <f t="shared" ref="F3856:F3919" ca="1" si="222">(CP*(D3856-K)&gt;0)*1</f>
        <v>0</v>
      </c>
      <c r="H3856" s="17">
        <v>3841</v>
      </c>
      <c r="I3856" s="43">
        <v>0.66981221568229554</v>
      </c>
      <c r="J3856" s="43">
        <v>2.0257517875704165E-2</v>
      </c>
      <c r="K3856" s="43"/>
      <c r="L3856" s="43">
        <v>0.25700000000000001</v>
      </c>
      <c r="O3856" s="50"/>
    </row>
    <row r="3857" spans="2:15" x14ac:dyDescent="0.2">
      <c r="B3857">
        <v>3842</v>
      </c>
      <c r="C3857" s="48">
        <f ca="1"/>
        <v>-0.85516010942515297</v>
      </c>
      <c r="D3857" s="48">
        <f t="shared" ca="1" si="220"/>
        <v>0.61077911240325478</v>
      </c>
      <c r="E3857" s="48">
        <f t="shared" ca="1" si="221"/>
        <v>0</v>
      </c>
      <c r="F3857" s="17">
        <f t="shared" ca="1" si="222"/>
        <v>0</v>
      </c>
      <c r="H3857" s="17">
        <v>3842</v>
      </c>
      <c r="I3857" s="43">
        <v>0.66915390763161753</v>
      </c>
      <c r="J3857" s="43">
        <v>1.9245218713335299E-2</v>
      </c>
      <c r="K3857" s="43"/>
      <c r="L3857" s="43">
        <v>0.2424</v>
      </c>
      <c r="O3857" s="50"/>
    </row>
    <row r="3858" spans="2:15" x14ac:dyDescent="0.2">
      <c r="B3858">
        <v>3843</v>
      </c>
      <c r="C3858" s="48">
        <f ca="1"/>
        <v>0.74683562953179283</v>
      </c>
      <c r="D3858" s="48">
        <f t="shared" ca="1" si="220"/>
        <v>0.71527857492203395</v>
      </c>
      <c r="E3858" s="48">
        <f t="shared" ca="1" si="221"/>
        <v>0</v>
      </c>
      <c r="F3858" s="17">
        <f t="shared" ca="1" si="222"/>
        <v>0</v>
      </c>
      <c r="H3858" s="17">
        <v>3843</v>
      </c>
      <c r="I3858" s="43">
        <v>0.66953258116477254</v>
      </c>
      <c r="J3858" s="43">
        <v>1.9998222428378551E-2</v>
      </c>
      <c r="K3858" s="43"/>
      <c r="L3858" s="43">
        <v>0.24579999999999999</v>
      </c>
      <c r="O3858" s="50"/>
    </row>
    <row r="3859" spans="2:15" x14ac:dyDescent="0.2">
      <c r="B3859">
        <v>3844</v>
      </c>
      <c r="C3859" s="48">
        <f ca="1"/>
        <v>0.23460177125075515</v>
      </c>
      <c r="D3859" s="48">
        <f t="shared" ca="1" si="220"/>
        <v>0.68005402400778392</v>
      </c>
      <c r="E3859" s="48">
        <f t="shared" ca="1" si="221"/>
        <v>0</v>
      </c>
      <c r="F3859" s="17">
        <f t="shared" ca="1" si="222"/>
        <v>0</v>
      </c>
      <c r="H3859" s="17">
        <v>3844</v>
      </c>
      <c r="I3859" s="43">
        <v>0.66812635929291986</v>
      </c>
      <c r="J3859" s="43">
        <v>1.8773994957557178E-2</v>
      </c>
      <c r="K3859" s="43"/>
      <c r="L3859" s="43">
        <v>0.24360000000000001</v>
      </c>
      <c r="O3859" s="50"/>
    </row>
    <row r="3860" spans="2:15" x14ac:dyDescent="0.2">
      <c r="B3860">
        <v>3845</v>
      </c>
      <c r="C3860" s="48">
        <f ca="1"/>
        <v>7.783974214725517E-2</v>
      </c>
      <c r="D3860" s="48">
        <f t="shared" ca="1" si="220"/>
        <v>0.66962474291927043</v>
      </c>
      <c r="E3860" s="48">
        <f t="shared" ca="1" si="221"/>
        <v>0</v>
      </c>
      <c r="F3860" s="17">
        <f t="shared" ca="1" si="222"/>
        <v>0</v>
      </c>
      <c r="H3860" s="17">
        <v>3845</v>
      </c>
      <c r="I3860" s="43">
        <v>0.66976490585635906</v>
      </c>
      <c r="J3860" s="43">
        <v>2.0033517957383656E-2</v>
      </c>
      <c r="K3860" s="43"/>
      <c r="L3860" s="43">
        <v>0.251</v>
      </c>
      <c r="O3860" s="50"/>
    </row>
    <row r="3861" spans="2:15" x14ac:dyDescent="0.2">
      <c r="B3861">
        <v>3846</v>
      </c>
      <c r="C3861" s="48">
        <f ca="1"/>
        <v>1.1966646347552639</v>
      </c>
      <c r="D3861" s="48">
        <f t="shared" ca="1" si="220"/>
        <v>0.74771327741958926</v>
      </c>
      <c r="E3861" s="48">
        <f t="shared" ca="1" si="221"/>
        <v>0</v>
      </c>
      <c r="F3861" s="17">
        <f t="shared" ca="1" si="222"/>
        <v>0</v>
      </c>
      <c r="H3861" s="17">
        <v>3846</v>
      </c>
      <c r="I3861" s="43">
        <v>0.66813679937600368</v>
      </c>
      <c r="J3861" s="43">
        <v>1.8789757099352933E-2</v>
      </c>
      <c r="K3861" s="43"/>
      <c r="L3861" s="43">
        <v>0.2452</v>
      </c>
      <c r="O3861" s="50"/>
    </row>
    <row r="3862" spans="2:15" x14ac:dyDescent="0.2">
      <c r="B3862">
        <v>3847</v>
      </c>
      <c r="C3862" s="48">
        <f ca="1"/>
        <v>1.5700707022167197</v>
      </c>
      <c r="D3862" s="48">
        <f t="shared" ca="1" si="220"/>
        <v>0.77575189405831557</v>
      </c>
      <c r="E3862" s="48">
        <f t="shared" ca="1" si="221"/>
        <v>0</v>
      </c>
      <c r="F3862" s="17">
        <f t="shared" ca="1" si="222"/>
        <v>0</v>
      </c>
      <c r="H3862" s="17">
        <v>3847</v>
      </c>
      <c r="I3862" s="43">
        <v>0.66926596454299414</v>
      </c>
      <c r="J3862" s="43">
        <v>1.9750595391710535E-2</v>
      </c>
      <c r="K3862" s="43"/>
      <c r="L3862" s="43">
        <v>0.25059999999999999</v>
      </c>
      <c r="O3862" s="50"/>
    </row>
    <row r="3863" spans="2:15" x14ac:dyDescent="0.2">
      <c r="B3863">
        <v>3848</v>
      </c>
      <c r="C3863" s="48">
        <f ca="1"/>
        <v>-1.1585223255949164</v>
      </c>
      <c r="D3863" s="48">
        <f t="shared" ca="1" si="220"/>
        <v>0.59278256503435334</v>
      </c>
      <c r="E3863" s="48">
        <f t="shared" ca="1" si="221"/>
        <v>0</v>
      </c>
      <c r="F3863" s="17">
        <f t="shared" ca="1" si="222"/>
        <v>0</v>
      </c>
      <c r="H3863" s="17">
        <v>3848</v>
      </c>
      <c r="I3863" s="43">
        <v>0.6707499203339905</v>
      </c>
      <c r="J3863" s="43">
        <v>2.0606422337624893E-2</v>
      </c>
      <c r="K3863" s="43"/>
      <c r="L3863" s="43">
        <v>0.25580000000000003</v>
      </c>
      <c r="O3863" s="50"/>
    </row>
    <row r="3864" spans="2:15" x14ac:dyDescent="0.2">
      <c r="B3864">
        <v>3849</v>
      </c>
      <c r="C3864" s="48">
        <f ca="1"/>
        <v>0.43994558342810824</v>
      </c>
      <c r="D3864" s="48">
        <f t="shared" ca="1" si="220"/>
        <v>0.69396155932742687</v>
      </c>
      <c r="E3864" s="48">
        <f t="shared" ca="1" si="221"/>
        <v>0</v>
      </c>
      <c r="F3864" s="17">
        <f t="shared" ca="1" si="222"/>
        <v>0</v>
      </c>
      <c r="H3864" s="17">
        <v>3849</v>
      </c>
      <c r="I3864" s="43">
        <v>0.66808646222451173</v>
      </c>
      <c r="J3864" s="43">
        <v>1.8668417624406748E-2</v>
      </c>
      <c r="K3864" s="43"/>
      <c r="L3864" s="43">
        <v>0.24979999999999999</v>
      </c>
      <c r="O3864" s="50"/>
    </row>
    <row r="3865" spans="2:15" x14ac:dyDescent="0.2">
      <c r="B3865">
        <v>3850</v>
      </c>
      <c r="C3865" s="48">
        <f ca="1"/>
        <v>0.32133449732089481</v>
      </c>
      <c r="D3865" s="48">
        <f t="shared" ca="1" si="220"/>
        <v>0.68589393501543439</v>
      </c>
      <c r="E3865" s="48">
        <f t="shared" ca="1" si="221"/>
        <v>0</v>
      </c>
      <c r="F3865" s="17">
        <f t="shared" ca="1" si="222"/>
        <v>0</v>
      </c>
      <c r="H3865" s="17">
        <v>3850</v>
      </c>
      <c r="I3865" s="43">
        <v>0.66880519006724048</v>
      </c>
      <c r="J3865" s="43">
        <v>1.9225082280286548E-2</v>
      </c>
      <c r="K3865" s="43"/>
      <c r="L3865" s="43">
        <v>0.24879999999999999</v>
      </c>
      <c r="O3865" s="50"/>
    </row>
    <row r="3866" spans="2:15" x14ac:dyDescent="0.2">
      <c r="B3866">
        <v>3851</v>
      </c>
      <c r="C3866" s="48">
        <f ca="1"/>
        <v>0.65565736702991106</v>
      </c>
      <c r="D3866" s="48">
        <f t="shared" ca="1" si="220"/>
        <v>0.70887772319068409</v>
      </c>
      <c r="E3866" s="48">
        <f t="shared" ca="1" si="221"/>
        <v>0</v>
      </c>
      <c r="F3866" s="17">
        <f t="shared" ca="1" si="222"/>
        <v>0</v>
      </c>
      <c r="H3866" s="17">
        <v>3851</v>
      </c>
      <c r="I3866" s="43">
        <v>0.66884610308437931</v>
      </c>
      <c r="J3866" s="43">
        <v>1.9218825920403613E-2</v>
      </c>
      <c r="K3866" s="43"/>
      <c r="L3866" s="43">
        <v>0.2452</v>
      </c>
      <c r="O3866" s="50"/>
    </row>
    <row r="3867" spans="2:15" x14ac:dyDescent="0.2">
      <c r="B3867">
        <v>3852</v>
      </c>
      <c r="C3867" s="48">
        <f ca="1"/>
        <v>1.0293913403313999</v>
      </c>
      <c r="D3867" s="48">
        <f t="shared" ca="1" si="220"/>
        <v>0.73548381523352591</v>
      </c>
      <c r="E3867" s="48">
        <f t="shared" ca="1" si="221"/>
        <v>0</v>
      </c>
      <c r="F3867" s="17">
        <f t="shared" ca="1" si="222"/>
        <v>0</v>
      </c>
      <c r="H3867" s="17">
        <v>3852</v>
      </c>
      <c r="I3867" s="43">
        <v>0.6693131155267672</v>
      </c>
      <c r="J3867" s="43">
        <v>1.9731394822381718E-2</v>
      </c>
      <c r="K3867" s="43"/>
      <c r="L3867" s="43">
        <v>0.25180000000000002</v>
      </c>
      <c r="O3867" s="50"/>
    </row>
    <row r="3868" spans="2:15" x14ac:dyDescent="0.2">
      <c r="B3868">
        <v>3853</v>
      </c>
      <c r="C3868" s="48">
        <f ca="1"/>
        <v>0.82135456857300693</v>
      </c>
      <c r="D3868" s="48">
        <f t="shared" ca="1" si="220"/>
        <v>0.72055281480012578</v>
      </c>
      <c r="E3868" s="48">
        <f t="shared" ca="1" si="221"/>
        <v>0</v>
      </c>
      <c r="F3868" s="17">
        <f t="shared" ca="1" si="222"/>
        <v>0</v>
      </c>
      <c r="H3868" s="17">
        <v>3853</v>
      </c>
      <c r="I3868" s="43">
        <v>0.67033894485262169</v>
      </c>
      <c r="J3868" s="43">
        <v>2.0214575746475356E-2</v>
      </c>
      <c r="K3868" s="43"/>
      <c r="L3868" s="43">
        <v>0.25459999999999999</v>
      </c>
      <c r="O3868" s="50"/>
    </row>
    <row r="3869" spans="2:15" x14ac:dyDescent="0.2">
      <c r="B3869">
        <v>3854</v>
      </c>
      <c r="C3869" s="48">
        <f ca="1"/>
        <v>-0.74454457921356276</v>
      </c>
      <c r="D3869" s="48">
        <f t="shared" ca="1" si="220"/>
        <v>0.61747629610100374</v>
      </c>
      <c r="E3869" s="48">
        <f t="shared" ca="1" si="221"/>
        <v>0</v>
      </c>
      <c r="F3869" s="17">
        <f t="shared" ca="1" si="222"/>
        <v>0</v>
      </c>
      <c r="H3869" s="17">
        <v>3854</v>
      </c>
      <c r="I3869" s="43">
        <v>0.66917458255080942</v>
      </c>
      <c r="J3869" s="43">
        <v>1.9687777773102526E-2</v>
      </c>
      <c r="K3869" s="43"/>
      <c r="L3869" s="43">
        <v>0.25180000000000002</v>
      </c>
      <c r="O3869" s="50"/>
    </row>
    <row r="3870" spans="2:15" x14ac:dyDescent="0.2">
      <c r="B3870">
        <v>3855</v>
      </c>
      <c r="C3870" s="48">
        <f ca="1"/>
        <v>-6.2196146071097538E-2</v>
      </c>
      <c r="D3870" s="48">
        <f t="shared" ca="1" si="220"/>
        <v>0.66044357089468053</v>
      </c>
      <c r="E3870" s="48">
        <f t="shared" ca="1" si="221"/>
        <v>0</v>
      </c>
      <c r="F3870" s="17">
        <f t="shared" ca="1" si="222"/>
        <v>0</v>
      </c>
      <c r="H3870" s="17">
        <v>3855</v>
      </c>
      <c r="I3870" s="43">
        <v>0.66828961760923078</v>
      </c>
      <c r="J3870" s="43">
        <v>1.8934210798205568E-2</v>
      </c>
      <c r="K3870" s="43"/>
      <c r="L3870" s="43">
        <v>0.25679999999999997</v>
      </c>
      <c r="O3870" s="50"/>
    </row>
    <row r="3871" spans="2:15" x14ac:dyDescent="0.2">
      <c r="B3871">
        <v>3856</v>
      </c>
      <c r="C3871" s="48">
        <f ca="1"/>
        <v>-0.40974874220415136</v>
      </c>
      <c r="D3871" s="48">
        <f t="shared" ca="1" si="220"/>
        <v>0.6381972184059066</v>
      </c>
      <c r="E3871" s="48">
        <f t="shared" ca="1" si="221"/>
        <v>0</v>
      </c>
      <c r="F3871" s="17">
        <f t="shared" ca="1" si="222"/>
        <v>0</v>
      </c>
      <c r="H3871" s="17">
        <v>3856</v>
      </c>
      <c r="I3871" s="43">
        <v>0.66926569048882267</v>
      </c>
      <c r="J3871" s="43">
        <v>1.94354391214898E-2</v>
      </c>
      <c r="K3871" s="43"/>
      <c r="L3871" s="43">
        <v>0.24440000000000001</v>
      </c>
      <c r="O3871" s="50"/>
    </row>
    <row r="3872" spans="2:15" x14ac:dyDescent="0.2">
      <c r="B3872">
        <v>3857</v>
      </c>
      <c r="C3872" s="48">
        <f ca="1"/>
        <v>-0.8403923295698893</v>
      </c>
      <c r="D3872" s="48">
        <f t="shared" ca="1" si="220"/>
        <v>0.61166900438506</v>
      </c>
      <c r="E3872" s="48">
        <f t="shared" ca="1" si="221"/>
        <v>0</v>
      </c>
      <c r="F3872" s="17">
        <f t="shared" ca="1" si="222"/>
        <v>0</v>
      </c>
      <c r="H3872" s="17">
        <v>3857</v>
      </c>
      <c r="I3872" s="43">
        <v>0.66949514932413967</v>
      </c>
      <c r="J3872" s="43">
        <v>1.949844728074885E-2</v>
      </c>
      <c r="K3872" s="43"/>
      <c r="L3872" s="43">
        <v>0.25140000000000001</v>
      </c>
      <c r="O3872" s="50"/>
    </row>
    <row r="3873" spans="2:15" x14ac:dyDescent="0.2">
      <c r="B3873">
        <v>3858</v>
      </c>
      <c r="C3873" s="48">
        <f ca="1"/>
        <v>0.61448504761962319</v>
      </c>
      <c r="D3873" s="48">
        <f t="shared" ca="1" si="220"/>
        <v>0.70600616736497845</v>
      </c>
      <c r="E3873" s="48">
        <f t="shared" ca="1" si="221"/>
        <v>0</v>
      </c>
      <c r="F3873" s="17">
        <f t="shared" ca="1" si="222"/>
        <v>0</v>
      </c>
      <c r="H3873" s="17">
        <v>3858</v>
      </c>
      <c r="I3873" s="43">
        <v>0.66825646387985327</v>
      </c>
      <c r="J3873" s="43">
        <v>1.8864026903088447E-2</v>
      </c>
      <c r="K3873" s="43"/>
      <c r="L3873" s="43">
        <v>0.24199999999999999</v>
      </c>
      <c r="O3873" s="50"/>
    </row>
    <row r="3874" spans="2:15" x14ac:dyDescent="0.2">
      <c r="B3874">
        <v>3859</v>
      </c>
      <c r="C3874" s="48">
        <f ca="1"/>
        <v>-0.66029842833309726</v>
      </c>
      <c r="D3874" s="48">
        <f t="shared" ca="1" si="220"/>
        <v>0.62262617323942493</v>
      </c>
      <c r="E3874" s="48">
        <f t="shared" ca="1" si="221"/>
        <v>0</v>
      </c>
      <c r="F3874" s="17">
        <f t="shared" ca="1" si="222"/>
        <v>0</v>
      </c>
      <c r="H3874" s="17">
        <v>3859</v>
      </c>
      <c r="I3874" s="43">
        <v>0.66893560126952434</v>
      </c>
      <c r="J3874" s="43">
        <v>1.9160111066774413E-2</v>
      </c>
      <c r="K3874" s="43"/>
      <c r="L3874" s="43">
        <v>0.2472</v>
      </c>
      <c r="O3874" s="50"/>
    </row>
    <row r="3875" spans="2:15" x14ac:dyDescent="0.2">
      <c r="B3875">
        <v>3860</v>
      </c>
      <c r="C3875" s="48">
        <f ca="1"/>
        <v>0.62281433996995428</v>
      </c>
      <c r="D3875" s="48">
        <f t="shared" ca="1" si="220"/>
        <v>0.70658615221154508</v>
      </c>
      <c r="E3875" s="48">
        <f t="shared" ca="1" si="221"/>
        <v>0</v>
      </c>
      <c r="F3875" s="17">
        <f t="shared" ca="1" si="222"/>
        <v>0</v>
      </c>
      <c r="H3875" s="17">
        <v>3860</v>
      </c>
      <c r="I3875" s="43">
        <v>0.66913035809328869</v>
      </c>
      <c r="J3875" s="43">
        <v>1.9529673387367479E-2</v>
      </c>
      <c r="K3875" s="43"/>
      <c r="L3875" s="43">
        <v>0.25559999999999999</v>
      </c>
      <c r="O3875" s="50"/>
    </row>
    <row r="3876" spans="2:15" x14ac:dyDescent="0.2">
      <c r="B3876">
        <v>3861</v>
      </c>
      <c r="C3876" s="48">
        <f ca="1"/>
        <v>-0.52963852214632057</v>
      </c>
      <c r="D3876" s="48">
        <f t="shared" ca="1" si="220"/>
        <v>0.6306983675067187</v>
      </c>
      <c r="E3876" s="48">
        <f t="shared" ca="1" si="221"/>
        <v>0</v>
      </c>
      <c r="F3876" s="17">
        <f t="shared" ca="1" si="222"/>
        <v>0</v>
      </c>
      <c r="H3876" s="17">
        <v>3861</v>
      </c>
      <c r="I3876" s="43">
        <v>0.66859103720235147</v>
      </c>
      <c r="J3876" s="43">
        <v>1.8972564036152183E-2</v>
      </c>
      <c r="K3876" s="43"/>
      <c r="L3876" s="43">
        <v>0.24179999999999999</v>
      </c>
      <c r="O3876" s="50"/>
    </row>
    <row r="3877" spans="2:15" x14ac:dyDescent="0.2">
      <c r="B3877">
        <v>3862</v>
      </c>
      <c r="C3877" s="48">
        <f ca="1"/>
        <v>0.59282868959098589</v>
      </c>
      <c r="D3877" s="48">
        <f t="shared" ca="1" si="220"/>
        <v>0.70450042003634494</v>
      </c>
      <c r="E3877" s="48">
        <f t="shared" ca="1" si="221"/>
        <v>0</v>
      </c>
      <c r="F3877" s="17">
        <f t="shared" ca="1" si="222"/>
        <v>0</v>
      </c>
      <c r="H3877" s="17">
        <v>3862</v>
      </c>
      <c r="I3877" s="43">
        <v>0.66835405006582838</v>
      </c>
      <c r="J3877" s="43">
        <v>1.8880553674602812E-2</v>
      </c>
      <c r="K3877" s="43"/>
      <c r="L3877" s="43">
        <v>0.24299999999999999</v>
      </c>
      <c r="O3877" s="50"/>
    </row>
    <row r="3878" spans="2:15" x14ac:dyDescent="0.2">
      <c r="B3878">
        <v>3863</v>
      </c>
      <c r="C3878" s="48">
        <f ca="1"/>
        <v>-3.0430777559720497</v>
      </c>
      <c r="D3878" s="48">
        <f t="shared" ca="1" si="220"/>
        <v>0.49227332992855838</v>
      </c>
      <c r="E3878" s="48">
        <f t="shared" ca="1" si="221"/>
        <v>0</v>
      </c>
      <c r="F3878" s="17">
        <f t="shared" ca="1" si="222"/>
        <v>0</v>
      </c>
      <c r="H3878" s="17">
        <v>3863</v>
      </c>
      <c r="I3878" s="43">
        <v>0.66999008150574024</v>
      </c>
      <c r="J3878" s="43">
        <v>2.0197064440287786E-2</v>
      </c>
      <c r="K3878" s="43"/>
      <c r="L3878" s="43">
        <v>0.25140000000000001</v>
      </c>
      <c r="O3878" s="50"/>
    </row>
    <row r="3879" spans="2:15" x14ac:dyDescent="0.2">
      <c r="B3879">
        <v>3864</v>
      </c>
      <c r="C3879" s="48">
        <f ca="1"/>
        <v>-2.2899220148855641</v>
      </c>
      <c r="D3879" s="48">
        <f t="shared" ca="1" si="220"/>
        <v>0.53021672057064295</v>
      </c>
      <c r="E3879" s="48">
        <f t="shared" ca="1" si="221"/>
        <v>0</v>
      </c>
      <c r="F3879" s="17">
        <f t="shared" ca="1" si="222"/>
        <v>0</v>
      </c>
      <c r="H3879" s="17">
        <v>3864</v>
      </c>
      <c r="I3879" s="43">
        <v>0.66999399181582664</v>
      </c>
      <c r="J3879" s="43">
        <v>2.0110184201892867E-2</v>
      </c>
      <c r="K3879" s="43"/>
      <c r="L3879" s="43">
        <v>0.2462</v>
      </c>
      <c r="O3879" s="50"/>
    </row>
    <row r="3880" spans="2:15" x14ac:dyDescent="0.2">
      <c r="B3880">
        <v>3865</v>
      </c>
      <c r="C3880" s="48">
        <f ca="1"/>
        <v>-0.22793122228150728</v>
      </c>
      <c r="D3880" s="48">
        <f t="shared" ca="1" si="220"/>
        <v>0.64974000111193919</v>
      </c>
      <c r="E3880" s="48">
        <f t="shared" ca="1" si="221"/>
        <v>0</v>
      </c>
      <c r="F3880" s="17">
        <f t="shared" ca="1" si="222"/>
        <v>0</v>
      </c>
      <c r="H3880" s="17">
        <v>3865</v>
      </c>
      <c r="I3880" s="43">
        <v>0.66825967790655982</v>
      </c>
      <c r="J3880" s="43">
        <v>1.9152313212376933E-2</v>
      </c>
      <c r="K3880" s="43"/>
      <c r="L3880" s="43">
        <v>0.24940000000000001</v>
      </c>
      <c r="O3880" s="50"/>
    </row>
    <row r="3881" spans="2:15" x14ac:dyDescent="0.2">
      <c r="B3881">
        <v>3866</v>
      </c>
      <c r="C3881" s="48">
        <f ca="1"/>
        <v>-0.43367770696526636</v>
      </c>
      <c r="D3881" s="48">
        <f t="shared" ca="1" si="220"/>
        <v>0.63669342433849907</v>
      </c>
      <c r="E3881" s="48">
        <f t="shared" ca="1" si="221"/>
        <v>0</v>
      </c>
      <c r="F3881" s="17">
        <f t="shared" ca="1" si="222"/>
        <v>0</v>
      </c>
      <c r="H3881" s="17">
        <v>3866</v>
      </c>
      <c r="I3881" s="43">
        <v>0.66970513421537126</v>
      </c>
      <c r="J3881" s="43">
        <v>1.9969574541636975E-2</v>
      </c>
      <c r="K3881" s="43"/>
      <c r="L3881" s="43">
        <v>0.25640000000000002</v>
      </c>
      <c r="O3881" s="50"/>
    </row>
    <row r="3882" spans="2:15" x14ac:dyDescent="0.2">
      <c r="B3882">
        <v>3867</v>
      </c>
      <c r="C3882" s="48">
        <f ca="1"/>
        <v>0.94175093385639774</v>
      </c>
      <c r="D3882" s="48">
        <f t="shared" ca="1" si="220"/>
        <v>0.72915642865020125</v>
      </c>
      <c r="E3882" s="48">
        <f t="shared" ca="1" si="221"/>
        <v>0</v>
      </c>
      <c r="F3882" s="17">
        <f t="shared" ca="1" si="222"/>
        <v>0</v>
      </c>
      <c r="H3882" s="17">
        <v>3867</v>
      </c>
      <c r="I3882" s="43">
        <v>0.66913415568192636</v>
      </c>
      <c r="J3882" s="43">
        <v>1.9430782738524589E-2</v>
      </c>
      <c r="K3882" s="43"/>
      <c r="L3882" s="43">
        <v>0.249</v>
      </c>
      <c r="O3882" s="50"/>
    </row>
    <row r="3883" spans="2:15" x14ac:dyDescent="0.2">
      <c r="B3883">
        <v>3868</v>
      </c>
      <c r="C3883" s="48">
        <f ca="1"/>
        <v>-3.5373411416124191E-2</v>
      </c>
      <c r="D3883" s="48">
        <f t="shared" ca="1" si="220"/>
        <v>0.6621923495277442</v>
      </c>
      <c r="E3883" s="48">
        <f t="shared" ca="1" si="221"/>
        <v>0</v>
      </c>
      <c r="F3883" s="17">
        <f t="shared" ca="1" si="222"/>
        <v>0</v>
      </c>
      <c r="H3883" s="17">
        <v>3868</v>
      </c>
      <c r="I3883" s="43">
        <v>0.66875444283821261</v>
      </c>
      <c r="J3883" s="43">
        <v>1.9550486315964448E-2</v>
      </c>
      <c r="K3883" s="43"/>
      <c r="L3883" s="43">
        <v>0.24579999999999999</v>
      </c>
      <c r="O3883" s="50"/>
    </row>
    <row r="3884" spans="2:15" x14ac:dyDescent="0.2">
      <c r="B3884">
        <v>3869</v>
      </c>
      <c r="C3884" s="48">
        <f ca="1"/>
        <v>-0.9269425117340685</v>
      </c>
      <c r="D3884" s="48">
        <f t="shared" ca="1" si="220"/>
        <v>0.60647198146724801</v>
      </c>
      <c r="E3884" s="48">
        <f t="shared" ca="1" si="221"/>
        <v>0</v>
      </c>
      <c r="F3884" s="17">
        <f t="shared" ca="1" si="222"/>
        <v>0</v>
      </c>
      <c r="H3884" s="17">
        <v>3869</v>
      </c>
      <c r="I3884" s="43">
        <v>0.66845659996134277</v>
      </c>
      <c r="J3884" s="43">
        <v>1.875304809490648E-2</v>
      </c>
      <c r="K3884" s="43"/>
      <c r="L3884" s="43">
        <v>0.25319999999999998</v>
      </c>
      <c r="O3884" s="50"/>
    </row>
    <row r="3885" spans="2:15" x14ac:dyDescent="0.2">
      <c r="B3885">
        <v>3870</v>
      </c>
      <c r="C3885" s="48">
        <f ca="1"/>
        <v>0.54914203822244223</v>
      </c>
      <c r="D3885" s="48">
        <f t="shared" ca="1" si="220"/>
        <v>0.70147269225553144</v>
      </c>
      <c r="E3885" s="48">
        <f t="shared" ca="1" si="221"/>
        <v>0</v>
      </c>
      <c r="F3885" s="17">
        <f t="shared" ca="1" si="222"/>
        <v>0</v>
      </c>
      <c r="H3885" s="17">
        <v>3870</v>
      </c>
      <c r="I3885" s="43">
        <v>0.66851465811385713</v>
      </c>
      <c r="J3885" s="43">
        <v>1.9044539921284836E-2</v>
      </c>
      <c r="K3885" s="43"/>
      <c r="L3885" s="43">
        <v>0.25180000000000002</v>
      </c>
      <c r="O3885" s="50"/>
    </row>
    <row r="3886" spans="2:15" x14ac:dyDescent="0.2">
      <c r="B3886">
        <v>3871</v>
      </c>
      <c r="C3886" s="48">
        <f ca="1"/>
        <v>-1.1384788675565631</v>
      </c>
      <c r="D3886" s="48">
        <f t="shared" ca="1" si="220"/>
        <v>0.59395508151113285</v>
      </c>
      <c r="E3886" s="48">
        <f t="shared" ca="1" si="221"/>
        <v>0</v>
      </c>
      <c r="F3886" s="17">
        <f t="shared" ca="1" si="222"/>
        <v>0</v>
      </c>
      <c r="H3886" s="17">
        <v>3871</v>
      </c>
      <c r="I3886" s="43">
        <v>0.66900555081191038</v>
      </c>
      <c r="J3886" s="43">
        <v>1.9390214496542491E-2</v>
      </c>
      <c r="K3886" s="43"/>
      <c r="L3886" s="43">
        <v>0.24840000000000001</v>
      </c>
      <c r="O3886" s="50"/>
    </row>
    <row r="3887" spans="2:15" x14ac:dyDescent="0.2">
      <c r="B3887">
        <v>3872</v>
      </c>
      <c r="C3887" s="48">
        <f ca="1"/>
        <v>-1.795524919339047</v>
      </c>
      <c r="D3887" s="48">
        <f t="shared" ca="1" si="220"/>
        <v>0.55670038591146309</v>
      </c>
      <c r="E3887" s="48">
        <f t="shared" ca="1" si="221"/>
        <v>0</v>
      </c>
      <c r="F3887" s="17">
        <f t="shared" ca="1" si="222"/>
        <v>0</v>
      </c>
      <c r="H3887" s="17">
        <v>3872</v>
      </c>
      <c r="I3887" s="43">
        <v>0.66999542634562725</v>
      </c>
      <c r="J3887" s="43">
        <v>1.9921649742629714E-2</v>
      </c>
      <c r="K3887" s="43"/>
      <c r="L3887" s="43">
        <v>0.25900000000000001</v>
      </c>
      <c r="O3887" s="50"/>
    </row>
    <row r="3888" spans="2:15" x14ac:dyDescent="0.2">
      <c r="B3888">
        <v>3873</v>
      </c>
      <c r="C3888" s="48">
        <f ca="1"/>
        <v>-2.1317276567012651</v>
      </c>
      <c r="D3888" s="48">
        <f t="shared" ca="1" si="220"/>
        <v>0.53855079081163937</v>
      </c>
      <c r="E3888" s="48">
        <f t="shared" ca="1" si="221"/>
        <v>0</v>
      </c>
      <c r="F3888" s="17">
        <f t="shared" ca="1" si="222"/>
        <v>0</v>
      </c>
      <c r="H3888" s="17">
        <v>3873</v>
      </c>
      <c r="I3888" s="43">
        <v>0.66839171889364879</v>
      </c>
      <c r="J3888" s="43">
        <v>1.8822795515778503E-2</v>
      </c>
      <c r="K3888" s="43"/>
      <c r="L3888" s="43">
        <v>0.2442</v>
      </c>
      <c r="O3888" s="50"/>
    </row>
    <row r="3889" spans="2:15" x14ac:dyDescent="0.2">
      <c r="B3889">
        <v>3874</v>
      </c>
      <c r="C3889" s="48">
        <f ca="1"/>
        <v>1.0999463409420562</v>
      </c>
      <c r="D3889" s="48">
        <f t="shared" ca="1" si="220"/>
        <v>0.74061755626943648</v>
      </c>
      <c r="E3889" s="48">
        <f t="shared" ca="1" si="221"/>
        <v>0</v>
      </c>
      <c r="F3889" s="17">
        <f t="shared" ca="1" si="222"/>
        <v>0</v>
      </c>
      <c r="H3889" s="17">
        <v>3874</v>
      </c>
      <c r="I3889" s="43">
        <v>0.66977972955792942</v>
      </c>
      <c r="J3889" s="43">
        <v>1.9776684117177524E-2</v>
      </c>
      <c r="K3889" s="43"/>
      <c r="L3889" s="43">
        <v>0.25359999999999999</v>
      </c>
      <c r="O3889" s="50"/>
    </row>
    <row r="3890" spans="2:15" x14ac:dyDescent="0.2">
      <c r="B3890">
        <v>3875</v>
      </c>
      <c r="C3890" s="48">
        <f ca="1"/>
        <v>-0.16093817089232512</v>
      </c>
      <c r="D3890" s="48">
        <f t="shared" ca="1" si="220"/>
        <v>0.65404552557572293</v>
      </c>
      <c r="E3890" s="48">
        <f t="shared" ca="1" si="221"/>
        <v>0</v>
      </c>
      <c r="F3890" s="17">
        <f t="shared" ca="1" si="222"/>
        <v>0</v>
      </c>
      <c r="H3890" s="17">
        <v>3875</v>
      </c>
      <c r="I3890" s="43">
        <v>0.66979928683160839</v>
      </c>
      <c r="J3890" s="43">
        <v>2.0103450094090772E-2</v>
      </c>
      <c r="K3890" s="43"/>
      <c r="L3890" s="43">
        <v>0.2492</v>
      </c>
      <c r="O3890" s="50"/>
    </row>
    <row r="3891" spans="2:15" x14ac:dyDescent="0.2">
      <c r="B3891">
        <v>3876</v>
      </c>
      <c r="C3891" s="48">
        <f ca="1"/>
        <v>-0.1848107245631008</v>
      </c>
      <c r="D3891" s="48">
        <f t="shared" ca="1" si="220"/>
        <v>0.65250801676014425</v>
      </c>
      <c r="E3891" s="48">
        <f t="shared" ca="1" si="221"/>
        <v>0</v>
      </c>
      <c r="F3891" s="17">
        <f t="shared" ca="1" si="222"/>
        <v>0</v>
      </c>
      <c r="H3891" s="17">
        <v>3876</v>
      </c>
      <c r="I3891" s="43">
        <v>0.66968115947654805</v>
      </c>
      <c r="J3891" s="43">
        <v>2.0143406595365447E-2</v>
      </c>
      <c r="K3891" s="43"/>
      <c r="L3891" s="43">
        <v>0.25619999999999998</v>
      </c>
      <c r="O3891" s="50"/>
    </row>
    <row r="3892" spans="2:15" x14ac:dyDescent="0.2">
      <c r="B3892">
        <v>3877</v>
      </c>
      <c r="C3892" s="48">
        <f ca="1"/>
        <v>-0.24401325492821349</v>
      </c>
      <c r="D3892" s="48">
        <f t="shared" ca="1" si="220"/>
        <v>0.64871066306387226</v>
      </c>
      <c r="E3892" s="48">
        <f t="shared" ca="1" si="221"/>
        <v>0</v>
      </c>
      <c r="F3892" s="17">
        <f t="shared" ca="1" si="222"/>
        <v>0</v>
      </c>
      <c r="H3892" s="17">
        <v>3877</v>
      </c>
      <c r="I3892" s="43">
        <v>0.67028771277936272</v>
      </c>
      <c r="J3892" s="43">
        <v>2.0290257366688776E-2</v>
      </c>
      <c r="K3892" s="43"/>
      <c r="L3892" s="43">
        <v>0.26279999999999998</v>
      </c>
      <c r="O3892" s="50"/>
    </row>
    <row r="3893" spans="2:15" x14ac:dyDescent="0.2">
      <c r="B3893">
        <v>3878</v>
      </c>
      <c r="C3893" s="48">
        <f ca="1"/>
        <v>0.35678493357960533</v>
      </c>
      <c r="D3893" s="48">
        <f t="shared" ca="1" si="220"/>
        <v>0.68829530684213625</v>
      </c>
      <c r="E3893" s="48">
        <f t="shared" ca="1" si="221"/>
        <v>0</v>
      </c>
      <c r="F3893" s="17">
        <f t="shared" ca="1" si="222"/>
        <v>0</v>
      </c>
      <c r="H3893" s="17">
        <v>3878</v>
      </c>
      <c r="I3893" s="43">
        <v>0.66918796267034741</v>
      </c>
      <c r="J3893" s="43">
        <v>1.9106340687846422E-2</v>
      </c>
      <c r="K3893" s="43"/>
      <c r="L3893" s="43">
        <v>0.24399999999999999</v>
      </c>
      <c r="O3893" s="50"/>
    </row>
    <row r="3894" spans="2:15" x14ac:dyDescent="0.2">
      <c r="B3894">
        <v>3879</v>
      </c>
      <c r="C3894" s="48">
        <f ca="1"/>
        <v>0.17512650661593937</v>
      </c>
      <c r="D3894" s="48">
        <f t="shared" ca="1" si="220"/>
        <v>0.67607818404872411</v>
      </c>
      <c r="E3894" s="48">
        <f t="shared" ca="1" si="221"/>
        <v>0</v>
      </c>
      <c r="F3894" s="17">
        <f t="shared" ca="1" si="222"/>
        <v>0</v>
      </c>
      <c r="H3894" s="17">
        <v>3879</v>
      </c>
      <c r="I3894" s="43">
        <v>0.66924380073652423</v>
      </c>
      <c r="J3894" s="43">
        <v>1.9743303099767243E-2</v>
      </c>
      <c r="K3894" s="43"/>
      <c r="L3894" s="43">
        <v>0.25440000000000002</v>
      </c>
      <c r="O3894" s="50"/>
    </row>
    <row r="3895" spans="2:15" x14ac:dyDescent="0.2">
      <c r="B3895">
        <v>3880</v>
      </c>
      <c r="C3895" s="48">
        <f ca="1"/>
        <v>-0.67916652122725429</v>
      </c>
      <c r="D3895" s="48">
        <f t="shared" ca="1" si="220"/>
        <v>0.62146906700394033</v>
      </c>
      <c r="E3895" s="48">
        <f t="shared" ca="1" si="221"/>
        <v>0</v>
      </c>
      <c r="F3895" s="17">
        <f t="shared" ca="1" si="222"/>
        <v>0</v>
      </c>
      <c r="H3895" s="17">
        <v>3880</v>
      </c>
      <c r="I3895" s="43">
        <v>0.66888937122803849</v>
      </c>
      <c r="J3895" s="43">
        <v>1.9236493345861569E-2</v>
      </c>
      <c r="K3895" s="43"/>
      <c r="L3895" s="43">
        <v>0.25140000000000001</v>
      </c>
      <c r="O3895" s="50"/>
    </row>
    <row r="3896" spans="2:15" x14ac:dyDescent="0.2">
      <c r="B3896">
        <v>3881</v>
      </c>
      <c r="C3896" s="48">
        <f ca="1"/>
        <v>0.46431476184080522</v>
      </c>
      <c r="D3896" s="48">
        <f t="shared" ca="1" si="220"/>
        <v>0.69563080332044036</v>
      </c>
      <c r="E3896" s="48">
        <f t="shared" ca="1" si="221"/>
        <v>0</v>
      </c>
      <c r="F3896" s="17">
        <f t="shared" ca="1" si="222"/>
        <v>0</v>
      </c>
      <c r="H3896" s="17">
        <v>3881</v>
      </c>
      <c r="I3896" s="43">
        <v>0.66967224009855519</v>
      </c>
      <c r="J3896" s="43">
        <v>1.9766531428693383E-2</v>
      </c>
      <c r="K3896" s="43"/>
      <c r="L3896" s="43">
        <v>0.25380000000000003</v>
      </c>
      <c r="O3896" s="50"/>
    </row>
    <row r="3897" spans="2:15" x14ac:dyDescent="0.2">
      <c r="B3897">
        <v>3882</v>
      </c>
      <c r="C3897" s="48">
        <f ca="1"/>
        <v>-1.5412450106669737</v>
      </c>
      <c r="D3897" s="48">
        <f t="shared" ca="1" si="220"/>
        <v>0.57083260251643986</v>
      </c>
      <c r="E3897" s="48">
        <f t="shared" ca="1" si="221"/>
        <v>0</v>
      </c>
      <c r="F3897" s="17">
        <f t="shared" ca="1" si="222"/>
        <v>0</v>
      </c>
      <c r="H3897" s="17">
        <v>3882</v>
      </c>
      <c r="I3897" s="43">
        <v>0.67095933973359057</v>
      </c>
      <c r="J3897" s="43">
        <v>2.0643509289901836E-2</v>
      </c>
      <c r="K3897" s="43"/>
      <c r="L3897" s="43">
        <v>0.26</v>
      </c>
      <c r="O3897" s="50"/>
    </row>
    <row r="3898" spans="2:15" x14ac:dyDescent="0.2">
      <c r="B3898">
        <v>3883</v>
      </c>
      <c r="C3898" s="48">
        <f ca="1"/>
        <v>-0.45833923813601185</v>
      </c>
      <c r="D3898" s="48">
        <f t="shared" ca="1" si="220"/>
        <v>0.6351473005030519</v>
      </c>
      <c r="E3898" s="48">
        <f t="shared" ca="1" si="221"/>
        <v>0</v>
      </c>
      <c r="F3898" s="17">
        <f t="shared" ca="1" si="222"/>
        <v>0</v>
      </c>
      <c r="H3898" s="17">
        <v>3883</v>
      </c>
      <c r="I3898" s="43">
        <v>0.66932038750362233</v>
      </c>
      <c r="J3898" s="43">
        <v>1.9827793250320705E-2</v>
      </c>
      <c r="K3898" s="43"/>
      <c r="L3898" s="43">
        <v>0.25219999999999998</v>
      </c>
      <c r="O3898" s="50"/>
    </row>
    <row r="3899" spans="2:15" x14ac:dyDescent="0.2">
      <c r="B3899">
        <v>3884</v>
      </c>
      <c r="C3899" s="48">
        <f ca="1"/>
        <v>0.7905200104317428</v>
      </c>
      <c r="D3899" s="48">
        <f t="shared" ca="1" si="220"/>
        <v>0.71836573147172555</v>
      </c>
      <c r="E3899" s="48">
        <f t="shared" ca="1" si="221"/>
        <v>0</v>
      </c>
      <c r="F3899" s="17">
        <f t="shared" ca="1" si="222"/>
        <v>0</v>
      </c>
      <c r="H3899" s="17">
        <v>3884</v>
      </c>
      <c r="I3899" s="43">
        <v>0.66821718315489798</v>
      </c>
      <c r="J3899" s="43">
        <v>1.8797966732802981E-2</v>
      </c>
      <c r="K3899" s="43"/>
      <c r="L3899" s="43">
        <v>0.2462</v>
      </c>
      <c r="O3899" s="50"/>
    </row>
    <row r="3900" spans="2:15" x14ac:dyDescent="0.2">
      <c r="B3900">
        <v>3885</v>
      </c>
      <c r="C3900" s="48">
        <f ca="1"/>
        <v>-0.10505793298209366</v>
      </c>
      <c r="D3900" s="48">
        <f t="shared" ca="1" si="220"/>
        <v>0.65765866548757079</v>
      </c>
      <c r="E3900" s="48">
        <f t="shared" ca="1" si="221"/>
        <v>0</v>
      </c>
      <c r="F3900" s="17">
        <f t="shared" ca="1" si="222"/>
        <v>0</v>
      </c>
      <c r="H3900" s="17">
        <v>3885</v>
      </c>
      <c r="I3900" s="43">
        <v>0.66926490384505521</v>
      </c>
      <c r="J3900" s="43">
        <v>1.9441395950881495E-2</v>
      </c>
      <c r="K3900" s="43"/>
      <c r="L3900" s="43">
        <v>0.25080000000000002</v>
      </c>
      <c r="O3900" s="50"/>
    </row>
    <row r="3901" spans="2:15" x14ac:dyDescent="0.2">
      <c r="B3901">
        <v>3886</v>
      </c>
      <c r="C3901" s="48">
        <f ca="1"/>
        <v>0.38424687638001437</v>
      </c>
      <c r="D3901" s="48">
        <f t="shared" ca="1" si="220"/>
        <v>0.69016132482582093</v>
      </c>
      <c r="E3901" s="48">
        <f t="shared" ca="1" si="221"/>
        <v>0</v>
      </c>
      <c r="F3901" s="17">
        <f t="shared" ca="1" si="222"/>
        <v>0</v>
      </c>
      <c r="H3901" s="17">
        <v>3886</v>
      </c>
      <c r="I3901" s="43">
        <v>0.66853996765042289</v>
      </c>
      <c r="J3901" s="43">
        <v>1.9253303798913025E-2</v>
      </c>
      <c r="K3901" s="43"/>
      <c r="L3901" s="43">
        <v>0.25419999999999998</v>
      </c>
      <c r="O3901" s="50"/>
    </row>
    <row r="3902" spans="2:15" x14ac:dyDescent="0.2">
      <c r="B3902">
        <v>3887</v>
      </c>
      <c r="C3902" s="48">
        <f ca="1"/>
        <v>1.118125532198786</v>
      </c>
      <c r="D3902" s="48">
        <f t="shared" ca="1" si="220"/>
        <v>0.74194611121441878</v>
      </c>
      <c r="E3902" s="48">
        <f t="shared" ca="1" si="221"/>
        <v>0</v>
      </c>
      <c r="F3902" s="17">
        <f t="shared" ca="1" si="222"/>
        <v>0</v>
      </c>
      <c r="H3902" s="17">
        <v>3887</v>
      </c>
      <c r="I3902" s="43">
        <v>0.66874662333307422</v>
      </c>
      <c r="J3902" s="43">
        <v>1.9237544131112921E-2</v>
      </c>
      <c r="K3902" s="43"/>
      <c r="L3902" s="43">
        <v>0.24859999999999999</v>
      </c>
      <c r="O3902" s="50"/>
    </row>
    <row r="3903" spans="2:15" x14ac:dyDescent="0.2">
      <c r="B3903">
        <v>3888</v>
      </c>
      <c r="C3903" s="48">
        <f ca="1"/>
        <v>-2.0185142441413184</v>
      </c>
      <c r="D3903" s="48">
        <f t="shared" ca="1" si="220"/>
        <v>0.54459545525040298</v>
      </c>
      <c r="E3903" s="48">
        <f t="shared" ca="1" si="221"/>
        <v>0</v>
      </c>
      <c r="F3903" s="17">
        <f t="shared" ca="1" si="222"/>
        <v>0</v>
      </c>
      <c r="H3903" s="17">
        <v>3888</v>
      </c>
      <c r="I3903" s="43">
        <v>0.66912171808542809</v>
      </c>
      <c r="J3903" s="43">
        <v>1.919817136269519E-2</v>
      </c>
      <c r="K3903" s="43"/>
      <c r="L3903" s="43">
        <v>0.25119999999999998</v>
      </c>
      <c r="O3903" s="50"/>
    </row>
    <row r="3904" spans="2:15" x14ac:dyDescent="0.2">
      <c r="B3904">
        <v>3889</v>
      </c>
      <c r="C3904" s="48">
        <f ca="1"/>
        <v>-0.50265927699538682</v>
      </c>
      <c r="D3904" s="48">
        <f t="shared" ca="1" si="220"/>
        <v>0.63237814176440399</v>
      </c>
      <c r="E3904" s="48">
        <f t="shared" ca="1" si="221"/>
        <v>0</v>
      </c>
      <c r="F3904" s="17">
        <f t="shared" ca="1" si="222"/>
        <v>0</v>
      </c>
      <c r="H3904" s="17">
        <v>3889</v>
      </c>
      <c r="I3904" s="43">
        <v>0.66858817188277131</v>
      </c>
      <c r="J3904" s="43">
        <v>1.9135293043542854E-2</v>
      </c>
      <c r="K3904" s="43"/>
      <c r="L3904" s="43">
        <v>0.23980000000000001</v>
      </c>
      <c r="O3904" s="50"/>
    </row>
    <row r="3905" spans="2:15" x14ac:dyDescent="0.2">
      <c r="B3905">
        <v>3890</v>
      </c>
      <c r="C3905" s="48">
        <f ca="1"/>
        <v>0.56593013705453332</v>
      </c>
      <c r="D3905" s="48">
        <f t="shared" ca="1" si="220"/>
        <v>0.70263465835039507</v>
      </c>
      <c r="E3905" s="48">
        <f t="shared" ca="1" si="221"/>
        <v>0</v>
      </c>
      <c r="F3905" s="17">
        <f t="shared" ca="1" si="222"/>
        <v>0</v>
      </c>
      <c r="H3905" s="17">
        <v>3890</v>
      </c>
      <c r="I3905" s="43">
        <v>0.66877166114301767</v>
      </c>
      <c r="J3905" s="43">
        <v>1.9296972922807798E-2</v>
      </c>
      <c r="K3905" s="43"/>
      <c r="L3905" s="43">
        <v>0.24979999999999999</v>
      </c>
      <c r="O3905" s="50"/>
    </row>
    <row r="3906" spans="2:15" x14ac:dyDescent="0.2">
      <c r="B3906">
        <v>3891</v>
      </c>
      <c r="C3906" s="48">
        <f ca="1"/>
        <v>-0.73537302191175791</v>
      </c>
      <c r="D3906" s="48">
        <f t="shared" ca="1" si="220"/>
        <v>0.61803487104955857</v>
      </c>
      <c r="E3906" s="48">
        <f t="shared" ca="1" si="221"/>
        <v>0</v>
      </c>
      <c r="F3906" s="17">
        <f t="shared" ca="1" si="222"/>
        <v>0</v>
      </c>
      <c r="H3906" s="17">
        <v>3891</v>
      </c>
      <c r="I3906" s="43">
        <v>0.66829515966287012</v>
      </c>
      <c r="J3906" s="43">
        <v>1.8881835693826777E-2</v>
      </c>
      <c r="K3906" s="43"/>
      <c r="L3906" s="43">
        <v>0.24840000000000001</v>
      </c>
      <c r="O3906" s="50"/>
    </row>
    <row r="3907" spans="2:15" x14ac:dyDescent="0.2">
      <c r="B3907">
        <v>3892</v>
      </c>
      <c r="C3907" s="48">
        <f ca="1"/>
        <v>0.36094043354928734</v>
      </c>
      <c r="D3907" s="48">
        <f t="shared" ca="1" si="220"/>
        <v>0.68857734558895378</v>
      </c>
      <c r="E3907" s="48">
        <f t="shared" ca="1" si="221"/>
        <v>0</v>
      </c>
      <c r="F3907" s="17">
        <f t="shared" ca="1" si="222"/>
        <v>0</v>
      </c>
      <c r="H3907" s="17">
        <v>3892</v>
      </c>
      <c r="I3907" s="43">
        <v>0.66829940945361421</v>
      </c>
      <c r="J3907" s="43">
        <v>1.8930214509809026E-2</v>
      </c>
      <c r="K3907" s="43"/>
      <c r="L3907" s="43">
        <v>0.2482</v>
      </c>
      <c r="O3907" s="50"/>
    </row>
    <row r="3908" spans="2:15" x14ac:dyDescent="0.2">
      <c r="B3908">
        <v>3893</v>
      </c>
      <c r="C3908" s="48">
        <f ca="1"/>
        <v>0.59751858580176065</v>
      </c>
      <c r="D3908" s="48">
        <f t="shared" ca="1" si="220"/>
        <v>0.70482623168975089</v>
      </c>
      <c r="E3908" s="48">
        <f t="shared" ca="1" si="221"/>
        <v>0</v>
      </c>
      <c r="F3908" s="17">
        <f t="shared" ca="1" si="222"/>
        <v>0</v>
      </c>
      <c r="H3908" s="17">
        <v>3893</v>
      </c>
      <c r="I3908" s="43">
        <v>0.66883161120649481</v>
      </c>
      <c r="J3908" s="43">
        <v>1.9215035851274015E-2</v>
      </c>
      <c r="K3908" s="43"/>
      <c r="L3908" s="43">
        <v>0.2462</v>
      </c>
      <c r="O3908" s="50"/>
    </row>
    <row r="3909" spans="2:15" x14ac:dyDescent="0.2">
      <c r="B3909">
        <v>3894</v>
      </c>
      <c r="C3909" s="48">
        <f ca="1"/>
        <v>-0.94335421934670927</v>
      </c>
      <c r="D3909" s="48">
        <f t="shared" ca="1" si="220"/>
        <v>0.60549151004732327</v>
      </c>
      <c r="E3909" s="48">
        <f t="shared" ca="1" si="221"/>
        <v>0</v>
      </c>
      <c r="F3909" s="17">
        <f t="shared" ca="1" si="222"/>
        <v>0</v>
      </c>
      <c r="H3909" s="17">
        <v>3894</v>
      </c>
      <c r="I3909" s="43">
        <v>0.66892070185522245</v>
      </c>
      <c r="J3909" s="43">
        <v>1.925386615825753E-2</v>
      </c>
      <c r="K3909" s="43"/>
      <c r="L3909" s="43">
        <v>0.2482</v>
      </c>
      <c r="O3909" s="50"/>
    </row>
    <row r="3910" spans="2:15" x14ac:dyDescent="0.2">
      <c r="B3910">
        <v>3895</v>
      </c>
      <c r="C3910" s="48">
        <f ca="1"/>
        <v>-0.57694579958911174</v>
      </c>
      <c r="D3910" s="48">
        <f t="shared" ca="1" si="220"/>
        <v>0.62776369919990371</v>
      </c>
      <c r="E3910" s="48">
        <f t="shared" ca="1" si="221"/>
        <v>0</v>
      </c>
      <c r="F3910" s="17">
        <f t="shared" ca="1" si="222"/>
        <v>0</v>
      </c>
      <c r="H3910" s="17">
        <v>3895</v>
      </c>
      <c r="I3910" s="43">
        <v>0.6700840233171087</v>
      </c>
      <c r="J3910" s="43">
        <v>2.0238749883159483E-2</v>
      </c>
      <c r="K3910" s="43"/>
      <c r="L3910" s="43">
        <v>0.26040000000000002</v>
      </c>
      <c r="O3910" s="50"/>
    </row>
    <row r="3911" spans="2:15" x14ac:dyDescent="0.2">
      <c r="B3911">
        <v>3896</v>
      </c>
      <c r="C3911" s="48">
        <f ca="1"/>
        <v>0.39992627272254999</v>
      </c>
      <c r="D3911" s="48">
        <f t="shared" ca="1" si="220"/>
        <v>0.69122899567501583</v>
      </c>
      <c r="E3911" s="48">
        <f t="shared" ca="1" si="221"/>
        <v>0</v>
      </c>
      <c r="F3911" s="17">
        <f t="shared" ca="1" si="222"/>
        <v>0</v>
      </c>
      <c r="H3911" s="17">
        <v>3896</v>
      </c>
      <c r="I3911" s="43">
        <v>0.66926975312968839</v>
      </c>
      <c r="J3911" s="43">
        <v>1.9486201167183758E-2</v>
      </c>
      <c r="K3911" s="43"/>
      <c r="L3911" s="43">
        <v>0.26240000000000002</v>
      </c>
      <c r="O3911" s="50"/>
    </row>
    <row r="3912" spans="2:15" x14ac:dyDescent="0.2">
      <c r="B3912">
        <v>3897</v>
      </c>
      <c r="C3912" s="48">
        <f ca="1"/>
        <v>0.66030879519818275</v>
      </c>
      <c r="D3912" s="48">
        <f t="shared" ca="1" si="220"/>
        <v>0.70920286959026901</v>
      </c>
      <c r="E3912" s="48">
        <f t="shared" ca="1" si="221"/>
        <v>0</v>
      </c>
      <c r="F3912" s="17">
        <f t="shared" ca="1" si="222"/>
        <v>0</v>
      </c>
      <c r="H3912" s="17">
        <v>3897</v>
      </c>
      <c r="I3912" s="43">
        <v>0.6674701224635502</v>
      </c>
      <c r="J3912" s="43">
        <v>1.8322019749066335E-2</v>
      </c>
      <c r="K3912" s="43"/>
      <c r="L3912" s="43">
        <v>0.25159999999999999</v>
      </c>
      <c r="O3912" s="50"/>
    </row>
    <row r="3913" spans="2:15" x14ac:dyDescent="0.2">
      <c r="B3913">
        <v>3898</v>
      </c>
      <c r="C3913" s="48">
        <f ca="1"/>
        <v>0.94716328252716941</v>
      </c>
      <c r="D3913" s="48">
        <f t="shared" ca="1" si="220"/>
        <v>0.72954560287502057</v>
      </c>
      <c r="E3913" s="48">
        <f t="shared" ca="1" si="221"/>
        <v>0</v>
      </c>
      <c r="F3913" s="17">
        <f t="shared" ca="1" si="222"/>
        <v>0</v>
      </c>
      <c r="H3913" s="17">
        <v>3898</v>
      </c>
      <c r="I3913" s="43">
        <v>0.66879929852560138</v>
      </c>
      <c r="J3913" s="43">
        <v>1.9289634642183421E-2</v>
      </c>
      <c r="K3913" s="43"/>
      <c r="L3913" s="43">
        <v>0.26100000000000001</v>
      </c>
      <c r="O3913" s="50"/>
    </row>
    <row r="3914" spans="2:15" x14ac:dyDescent="0.2">
      <c r="B3914">
        <v>3899</v>
      </c>
      <c r="C3914" s="48">
        <f ca="1"/>
        <v>1.218986644848689</v>
      </c>
      <c r="D3914" s="48">
        <f t="shared" ca="1" si="220"/>
        <v>0.74936055986582117</v>
      </c>
      <c r="E3914" s="48">
        <f t="shared" ca="1" si="221"/>
        <v>0</v>
      </c>
      <c r="F3914" s="17">
        <f t="shared" ca="1" si="222"/>
        <v>0</v>
      </c>
      <c r="H3914" s="17">
        <v>3899</v>
      </c>
      <c r="I3914" s="43">
        <v>0.66814341097431107</v>
      </c>
      <c r="J3914" s="43">
        <v>1.8708682726101968E-2</v>
      </c>
      <c r="K3914" s="43"/>
      <c r="L3914" s="43">
        <v>0.246</v>
      </c>
      <c r="O3914" s="50"/>
    </row>
    <row r="3915" spans="2:15" x14ac:dyDescent="0.2">
      <c r="B3915">
        <v>3900</v>
      </c>
      <c r="C3915" s="48">
        <f ca="1"/>
        <v>4.4974221997209483E-2</v>
      </c>
      <c r="D3915" s="48">
        <f t="shared" ca="1" si="220"/>
        <v>0.6674585839350663</v>
      </c>
      <c r="E3915" s="48">
        <f t="shared" ca="1" si="221"/>
        <v>0</v>
      </c>
      <c r="F3915" s="17">
        <f t="shared" ca="1" si="222"/>
        <v>0</v>
      </c>
      <c r="H3915" s="17">
        <v>3900</v>
      </c>
      <c r="I3915" s="43">
        <v>0.66918884233923615</v>
      </c>
      <c r="J3915" s="43">
        <v>1.9502728762619728E-2</v>
      </c>
      <c r="K3915" s="43"/>
      <c r="L3915" s="43">
        <v>0.25019999999999998</v>
      </c>
      <c r="O3915" s="50"/>
    </row>
    <row r="3916" spans="2:15" x14ac:dyDescent="0.2">
      <c r="B3916">
        <v>3901</v>
      </c>
      <c r="C3916" s="48">
        <f ca="1"/>
        <v>-2.2380112728847892</v>
      </c>
      <c r="D3916" s="48">
        <f t="shared" ca="1" si="220"/>
        <v>0.53293719191303424</v>
      </c>
      <c r="E3916" s="48">
        <f t="shared" ca="1" si="221"/>
        <v>0</v>
      </c>
      <c r="F3916" s="17">
        <f t="shared" ca="1" si="222"/>
        <v>0</v>
      </c>
      <c r="H3916" s="17">
        <v>3901</v>
      </c>
      <c r="I3916" s="43">
        <v>0.66931283915059914</v>
      </c>
      <c r="J3916" s="43">
        <v>1.9833338644948656E-2</v>
      </c>
      <c r="K3916" s="43"/>
      <c r="L3916" s="43">
        <v>0.25059999999999999</v>
      </c>
      <c r="O3916" s="50"/>
    </row>
    <row r="3917" spans="2:15" x14ac:dyDescent="0.2">
      <c r="B3917">
        <v>3902</v>
      </c>
      <c r="C3917" s="48">
        <f ca="1"/>
        <v>0.15956405964572926</v>
      </c>
      <c r="D3917" s="48">
        <f t="shared" ca="1" si="220"/>
        <v>0.67504169812344694</v>
      </c>
      <c r="E3917" s="48">
        <f t="shared" ca="1" si="221"/>
        <v>0</v>
      </c>
      <c r="F3917" s="17">
        <f t="shared" ca="1" si="222"/>
        <v>0</v>
      </c>
      <c r="H3917" s="17">
        <v>3902</v>
      </c>
      <c r="I3917" s="43">
        <v>0.66934501010317204</v>
      </c>
      <c r="J3917" s="43">
        <v>1.99226847747337E-2</v>
      </c>
      <c r="K3917" s="43"/>
      <c r="L3917" s="43">
        <v>0.25119999999999998</v>
      </c>
      <c r="O3917" s="50"/>
    </row>
    <row r="3918" spans="2:15" x14ac:dyDescent="0.2">
      <c r="B3918">
        <v>3903</v>
      </c>
      <c r="C3918" s="48">
        <f ca="1"/>
        <v>-1.414539681918852</v>
      </c>
      <c r="D3918" s="48">
        <f t="shared" ca="1" si="220"/>
        <v>0.57800791304532662</v>
      </c>
      <c r="E3918" s="48">
        <f t="shared" ca="1" si="221"/>
        <v>0</v>
      </c>
      <c r="F3918" s="17">
        <f t="shared" ca="1" si="222"/>
        <v>0</v>
      </c>
      <c r="H3918" s="17">
        <v>3903</v>
      </c>
      <c r="I3918" s="43">
        <v>0.66843649949401174</v>
      </c>
      <c r="J3918" s="43">
        <v>1.9093374268260677E-2</v>
      </c>
      <c r="K3918" s="43"/>
      <c r="L3918" s="43">
        <v>0.25140000000000001</v>
      </c>
      <c r="O3918" s="50"/>
    </row>
    <row r="3919" spans="2:15" x14ac:dyDescent="0.2">
      <c r="B3919">
        <v>3904</v>
      </c>
      <c r="C3919" s="48">
        <f ca="1"/>
        <v>1.0503842390158793</v>
      </c>
      <c r="D3919" s="48">
        <f t="shared" ca="1" si="220"/>
        <v>0.73700757584835441</v>
      </c>
      <c r="E3919" s="48">
        <f t="shared" ca="1" si="221"/>
        <v>0</v>
      </c>
      <c r="F3919" s="17">
        <f t="shared" ca="1" si="222"/>
        <v>0</v>
      </c>
      <c r="H3919" s="17">
        <v>3904</v>
      </c>
      <c r="I3919" s="43">
        <v>0.6685559642730039</v>
      </c>
      <c r="J3919" s="43">
        <v>1.9178641468024973E-2</v>
      </c>
      <c r="K3919" s="43"/>
      <c r="L3919" s="43">
        <v>0.24540000000000001</v>
      </c>
      <c r="O3919" s="50"/>
    </row>
    <row r="3920" spans="2:15" x14ac:dyDescent="0.2">
      <c r="B3920">
        <v>3905</v>
      </c>
      <c r="C3920" s="48">
        <f ca="1"/>
        <v>0.51889713213521738</v>
      </c>
      <c r="D3920" s="48">
        <f t="shared" ref="D3920:D3983" ca="1" si="223">S0*EXP((μ-0.5*σ*σ)*T+σ*SQRT(T)*$C3920)</f>
        <v>0.69938417817357013</v>
      </c>
      <c r="E3920" s="48">
        <f t="shared" ref="E3920:E3983" ca="1" si="224">MAX(0,CP*(D3920-K))</f>
        <v>0</v>
      </c>
      <c r="F3920" s="17">
        <f t="shared" ref="F3920:F3983" ca="1" si="225">(CP*(D3920-K)&gt;0)*1</f>
        <v>0</v>
      </c>
      <c r="H3920" s="17">
        <v>3905</v>
      </c>
      <c r="I3920" s="43">
        <v>0.67030262959127518</v>
      </c>
      <c r="J3920" s="43">
        <v>2.0286186756469128E-2</v>
      </c>
      <c r="K3920" s="43"/>
      <c r="L3920" s="43">
        <v>0.25879999999999997</v>
      </c>
      <c r="O3920" s="50"/>
    </row>
    <row r="3921" spans="2:15" x14ac:dyDescent="0.2">
      <c r="B3921">
        <v>3906</v>
      </c>
      <c r="C3921" s="48">
        <f ca="1"/>
        <v>6.9287048067811149E-2</v>
      </c>
      <c r="D3921" s="48">
        <f t="shared" ca="1" si="223"/>
        <v>0.6690603610312208</v>
      </c>
      <c r="E3921" s="48">
        <f t="shared" ca="1" si="224"/>
        <v>0</v>
      </c>
      <c r="F3921" s="17">
        <f t="shared" ca="1" si="225"/>
        <v>0</v>
      </c>
      <c r="H3921" s="17">
        <v>3906</v>
      </c>
      <c r="I3921" s="43">
        <v>0.6693536292252984</v>
      </c>
      <c r="J3921" s="43">
        <v>1.9869866904060271E-2</v>
      </c>
      <c r="K3921" s="43"/>
      <c r="L3921" s="43">
        <v>0.25480000000000003</v>
      </c>
      <c r="O3921" s="50"/>
    </row>
    <row r="3922" spans="2:15" x14ac:dyDescent="0.2">
      <c r="B3922">
        <v>3907</v>
      </c>
      <c r="C3922" s="48">
        <f ca="1"/>
        <v>0.94219831547791211</v>
      </c>
      <c r="D3922" s="48">
        <f t="shared" ca="1" si="223"/>
        <v>0.72918858969481626</v>
      </c>
      <c r="E3922" s="48">
        <f t="shared" ca="1" si="224"/>
        <v>0</v>
      </c>
      <c r="F3922" s="17">
        <f t="shared" ca="1" si="225"/>
        <v>0</v>
      </c>
      <c r="H3922" s="17">
        <v>3907</v>
      </c>
      <c r="I3922" s="43">
        <v>0.66810087928803408</v>
      </c>
      <c r="J3922" s="43">
        <v>1.8604208679589725E-2</v>
      </c>
      <c r="K3922" s="43"/>
      <c r="L3922" s="43">
        <v>0.2432</v>
      </c>
      <c r="O3922" s="50"/>
    </row>
    <row r="3923" spans="2:15" x14ac:dyDescent="0.2">
      <c r="B3923">
        <v>3908</v>
      </c>
      <c r="C3923" s="48">
        <f ca="1"/>
        <v>-0.31800193386596398</v>
      </c>
      <c r="D3923" s="48">
        <f t="shared" ca="1" si="223"/>
        <v>0.64399595242267649</v>
      </c>
      <c r="E3923" s="48">
        <f t="shared" ca="1" si="224"/>
        <v>0</v>
      </c>
      <c r="F3923" s="17">
        <f t="shared" ca="1" si="225"/>
        <v>0</v>
      </c>
      <c r="H3923" s="17">
        <v>3908</v>
      </c>
      <c r="I3923" s="43">
        <v>0.66856835383861912</v>
      </c>
      <c r="J3923" s="43">
        <v>1.9010242819977326E-2</v>
      </c>
      <c r="K3923" s="43"/>
      <c r="L3923" s="43">
        <v>0.25059999999999999</v>
      </c>
      <c r="O3923" s="50"/>
    </row>
    <row r="3924" spans="2:15" x14ac:dyDescent="0.2">
      <c r="B3924">
        <v>3909</v>
      </c>
      <c r="C3924" s="48">
        <f ca="1"/>
        <v>1.2249070346452637</v>
      </c>
      <c r="D3924" s="48">
        <f t="shared" ca="1" si="223"/>
        <v>0.74979807149740707</v>
      </c>
      <c r="E3924" s="48">
        <f t="shared" ca="1" si="224"/>
        <v>0</v>
      </c>
      <c r="F3924" s="17">
        <f t="shared" ca="1" si="225"/>
        <v>0</v>
      </c>
      <c r="H3924" s="17">
        <v>3909</v>
      </c>
      <c r="I3924" s="43">
        <v>0.66951974601506703</v>
      </c>
      <c r="J3924" s="43">
        <v>1.982922715695044E-2</v>
      </c>
      <c r="K3924" s="43"/>
      <c r="L3924" s="43">
        <v>0.24840000000000001</v>
      </c>
      <c r="O3924" s="50"/>
    </row>
    <row r="3925" spans="2:15" x14ac:dyDescent="0.2">
      <c r="B3925">
        <v>3910</v>
      </c>
      <c r="C3925" s="48">
        <f ca="1"/>
        <v>0.83282031384837951</v>
      </c>
      <c r="D3925" s="48">
        <f t="shared" ca="1" si="223"/>
        <v>0.72136777295630528</v>
      </c>
      <c r="E3925" s="48">
        <f t="shared" ca="1" si="224"/>
        <v>0</v>
      </c>
      <c r="F3925" s="17">
        <f t="shared" ca="1" si="225"/>
        <v>0</v>
      </c>
      <c r="H3925" s="17">
        <v>3910</v>
      </c>
      <c r="I3925" s="43">
        <v>0.66845000122360887</v>
      </c>
      <c r="J3925" s="43">
        <v>1.8965763711146815E-2</v>
      </c>
      <c r="K3925" s="43"/>
      <c r="L3925" s="43">
        <v>0.24959999999999999</v>
      </c>
      <c r="O3925" s="50"/>
    </row>
    <row r="3926" spans="2:15" x14ac:dyDescent="0.2">
      <c r="B3926">
        <v>3911</v>
      </c>
      <c r="C3926" s="48">
        <f ca="1"/>
        <v>-0.65099204491904927</v>
      </c>
      <c r="D3926" s="48">
        <f t="shared" ca="1" si="223"/>
        <v>0.62319769040760997</v>
      </c>
      <c r="E3926" s="48">
        <f t="shared" ca="1" si="224"/>
        <v>0</v>
      </c>
      <c r="F3926" s="17">
        <f t="shared" ca="1" si="225"/>
        <v>0</v>
      </c>
      <c r="H3926" s="17">
        <v>3911</v>
      </c>
      <c r="I3926" s="43">
        <v>0.66877807592811656</v>
      </c>
      <c r="J3926" s="43">
        <v>1.9072731436260936E-2</v>
      </c>
      <c r="K3926" s="43"/>
      <c r="L3926" s="43">
        <v>0.24579999999999999</v>
      </c>
      <c r="O3926" s="50"/>
    </row>
    <row r="3927" spans="2:15" x14ac:dyDescent="0.2">
      <c r="B3927">
        <v>3912</v>
      </c>
      <c r="C3927" s="48">
        <f ca="1"/>
        <v>1.1737267470909012</v>
      </c>
      <c r="D3927" s="48">
        <f t="shared" ca="1" si="223"/>
        <v>0.74602431777429057</v>
      </c>
      <c r="E3927" s="48">
        <f t="shared" ca="1" si="224"/>
        <v>0</v>
      </c>
      <c r="F3927" s="17">
        <f t="shared" ca="1" si="225"/>
        <v>0</v>
      </c>
      <c r="H3927" s="17">
        <v>3912</v>
      </c>
      <c r="I3927" s="43">
        <v>0.66888712378594961</v>
      </c>
      <c r="J3927" s="43">
        <v>1.9270372325128564E-2</v>
      </c>
      <c r="K3927" s="43"/>
      <c r="L3927" s="43">
        <v>0.2452</v>
      </c>
      <c r="O3927" s="50"/>
    </row>
    <row r="3928" spans="2:15" x14ac:dyDescent="0.2">
      <c r="B3928">
        <v>3913</v>
      </c>
      <c r="C3928" s="48">
        <f ca="1"/>
        <v>0.67618806591844138</v>
      </c>
      <c r="D3928" s="48">
        <f t="shared" ca="1" si="223"/>
        <v>0.71031399414551466</v>
      </c>
      <c r="E3928" s="48">
        <f t="shared" ca="1" si="224"/>
        <v>0</v>
      </c>
      <c r="F3928" s="17">
        <f t="shared" ca="1" si="225"/>
        <v>0</v>
      </c>
      <c r="H3928" s="17">
        <v>3913</v>
      </c>
      <c r="I3928" s="43">
        <v>0.66855070824201435</v>
      </c>
      <c r="J3928" s="43">
        <v>1.8990886663546827E-2</v>
      </c>
      <c r="K3928" s="43"/>
      <c r="L3928" s="43">
        <v>0.24779999999999999</v>
      </c>
      <c r="O3928" s="50"/>
    </row>
    <row r="3929" spans="2:15" x14ac:dyDescent="0.2">
      <c r="B3929">
        <v>3914</v>
      </c>
      <c r="C3929" s="48">
        <f ca="1"/>
        <v>-1.7271760623581265</v>
      </c>
      <c r="D3929" s="48">
        <f t="shared" ca="1" si="223"/>
        <v>0.56046428986614394</v>
      </c>
      <c r="E3929" s="48">
        <f t="shared" ca="1" si="224"/>
        <v>0</v>
      </c>
      <c r="F3929" s="17">
        <f t="shared" ca="1" si="225"/>
        <v>0</v>
      </c>
      <c r="H3929" s="17">
        <v>3914</v>
      </c>
      <c r="I3929" s="43">
        <v>0.66911515509858943</v>
      </c>
      <c r="J3929" s="43">
        <v>1.9549015722033266E-2</v>
      </c>
      <c r="K3929" s="43"/>
      <c r="L3929" s="43">
        <v>0.25700000000000001</v>
      </c>
      <c r="O3929" s="50"/>
    </row>
    <row r="3930" spans="2:15" x14ac:dyDescent="0.2">
      <c r="B3930">
        <v>3915</v>
      </c>
      <c r="C3930" s="48">
        <f ca="1"/>
        <v>-0.84574197022959896</v>
      </c>
      <c r="D3930" s="48">
        <f t="shared" ca="1" si="223"/>
        <v>0.61134649059777391</v>
      </c>
      <c r="E3930" s="48">
        <f t="shared" ca="1" si="224"/>
        <v>0</v>
      </c>
      <c r="F3930" s="17">
        <f t="shared" ca="1" si="225"/>
        <v>0</v>
      </c>
      <c r="H3930" s="17">
        <v>3915</v>
      </c>
      <c r="I3930" s="43">
        <v>0.66846815059161468</v>
      </c>
      <c r="J3930" s="43">
        <v>1.8997796466422776E-2</v>
      </c>
      <c r="K3930" s="43"/>
      <c r="L3930" s="43">
        <v>0.2492</v>
      </c>
      <c r="O3930" s="50"/>
    </row>
    <row r="3931" spans="2:15" x14ac:dyDescent="0.2">
      <c r="B3931">
        <v>3916</v>
      </c>
      <c r="C3931" s="48">
        <f ca="1"/>
        <v>0.53229152516049638</v>
      </c>
      <c r="D3931" s="48">
        <f t="shared" ca="1" si="223"/>
        <v>0.70030833854244157</v>
      </c>
      <c r="E3931" s="48">
        <f t="shared" ca="1" si="224"/>
        <v>0</v>
      </c>
      <c r="F3931" s="17">
        <f t="shared" ca="1" si="225"/>
        <v>0</v>
      </c>
      <c r="H3931" s="17">
        <v>3916</v>
      </c>
      <c r="I3931" s="43">
        <v>0.66838857186254552</v>
      </c>
      <c r="J3931" s="43">
        <v>1.8901344618635102E-2</v>
      </c>
      <c r="K3931" s="43"/>
      <c r="L3931" s="43">
        <v>0.25280000000000002</v>
      </c>
      <c r="O3931" s="50"/>
    </row>
    <row r="3932" spans="2:15" x14ac:dyDescent="0.2">
      <c r="B3932">
        <v>3917</v>
      </c>
      <c r="C3932" s="48">
        <f ca="1"/>
        <v>-1.0274890607056217</v>
      </c>
      <c r="D3932" s="48">
        <f t="shared" ca="1" si="223"/>
        <v>0.60048994702736125</v>
      </c>
      <c r="E3932" s="48">
        <f t="shared" ca="1" si="224"/>
        <v>0</v>
      </c>
      <c r="F3932" s="17">
        <f t="shared" ca="1" si="225"/>
        <v>0</v>
      </c>
      <c r="H3932" s="17">
        <v>3917</v>
      </c>
      <c r="I3932" s="43">
        <v>0.66925907214010949</v>
      </c>
      <c r="J3932" s="43">
        <v>1.959665804882826E-2</v>
      </c>
      <c r="K3932" s="43"/>
      <c r="L3932" s="43">
        <v>0.25140000000000001</v>
      </c>
      <c r="O3932" s="50"/>
    </row>
    <row r="3933" spans="2:15" x14ac:dyDescent="0.2">
      <c r="B3933">
        <v>3918</v>
      </c>
      <c r="C3933" s="48">
        <f ca="1"/>
        <v>-0.2824959085981838</v>
      </c>
      <c r="D3933" s="48">
        <f t="shared" ca="1" si="223"/>
        <v>0.64625417762928006</v>
      </c>
      <c r="E3933" s="48">
        <f t="shared" ca="1" si="224"/>
        <v>0</v>
      </c>
      <c r="F3933" s="17">
        <f t="shared" ca="1" si="225"/>
        <v>0</v>
      </c>
      <c r="H3933" s="17">
        <v>3918</v>
      </c>
      <c r="I3933" s="43">
        <v>0.66925204801220539</v>
      </c>
      <c r="J3933" s="43">
        <v>1.967749133501201E-2</v>
      </c>
      <c r="K3933" s="43"/>
      <c r="L3933" s="43">
        <v>0.25979999999999998</v>
      </c>
      <c r="O3933" s="50"/>
    </row>
    <row r="3934" spans="2:15" x14ac:dyDescent="0.2">
      <c r="B3934">
        <v>3919</v>
      </c>
      <c r="C3934" s="48">
        <f ca="1"/>
        <v>0.83328698383726618</v>
      </c>
      <c r="D3934" s="48">
        <f t="shared" ca="1" si="223"/>
        <v>0.72140096227368111</v>
      </c>
      <c r="E3934" s="48">
        <f t="shared" ca="1" si="224"/>
        <v>0</v>
      </c>
      <c r="F3934" s="17">
        <f t="shared" ca="1" si="225"/>
        <v>0</v>
      </c>
      <c r="H3934" s="17">
        <v>3919</v>
      </c>
      <c r="I3934" s="43">
        <v>0.66787533776398789</v>
      </c>
      <c r="J3934" s="43">
        <v>1.8538220768436111E-2</v>
      </c>
      <c r="K3934" s="43"/>
      <c r="L3934" s="43">
        <v>0.24379999999999999</v>
      </c>
      <c r="O3934" s="50"/>
    </row>
    <row r="3935" spans="2:15" x14ac:dyDescent="0.2">
      <c r="B3935">
        <v>3920</v>
      </c>
      <c r="C3935" s="48">
        <f ca="1"/>
        <v>1.8215993996244171</v>
      </c>
      <c r="D3935" s="48">
        <f t="shared" ca="1" si="223"/>
        <v>0.79522915846035946</v>
      </c>
      <c r="E3935" s="48">
        <f t="shared" ca="1" si="224"/>
        <v>7.0291584603594526E-3</v>
      </c>
      <c r="F3935" s="17">
        <f t="shared" ca="1" si="225"/>
        <v>1</v>
      </c>
      <c r="H3935" s="17">
        <v>3920</v>
      </c>
      <c r="I3935" s="43">
        <v>0.66895493870814127</v>
      </c>
      <c r="J3935" s="43">
        <v>1.9358624914693472E-2</v>
      </c>
      <c r="K3935" s="43"/>
      <c r="L3935" s="43">
        <v>0.24579999999999999</v>
      </c>
      <c r="O3935" s="50"/>
    </row>
    <row r="3936" spans="2:15" x14ac:dyDescent="0.2">
      <c r="B3936">
        <v>3921</v>
      </c>
      <c r="C3936" s="48">
        <f ca="1"/>
        <v>-1.0224747936365053</v>
      </c>
      <c r="D3936" s="48">
        <f t="shared" ca="1" si="223"/>
        <v>0.6007868689561886</v>
      </c>
      <c r="E3936" s="48">
        <f t="shared" ca="1" si="224"/>
        <v>0</v>
      </c>
      <c r="F3936" s="17">
        <f t="shared" ca="1" si="225"/>
        <v>0</v>
      </c>
      <c r="H3936" s="17">
        <v>3921</v>
      </c>
      <c r="I3936" s="43">
        <v>0.66852755379868634</v>
      </c>
      <c r="J3936" s="43">
        <v>1.8812011248555777E-2</v>
      </c>
      <c r="K3936" s="43"/>
      <c r="L3936" s="43">
        <v>0.24360000000000001</v>
      </c>
      <c r="O3936" s="50"/>
    </row>
    <row r="3937" spans="2:15" x14ac:dyDescent="0.2">
      <c r="B3937">
        <v>3922</v>
      </c>
      <c r="C3937" s="48">
        <f ca="1"/>
        <v>1.899761760856358</v>
      </c>
      <c r="D3937" s="48">
        <f t="shared" ca="1" si="223"/>
        <v>0.8013807297472566</v>
      </c>
      <c r="E3937" s="48">
        <f t="shared" ca="1" si="224"/>
        <v>1.3180729747256592E-2</v>
      </c>
      <c r="F3937" s="17">
        <f t="shared" ca="1" si="225"/>
        <v>1</v>
      </c>
      <c r="H3937" s="17">
        <v>3922</v>
      </c>
      <c r="I3937" s="43">
        <v>0.66986878733944077</v>
      </c>
      <c r="J3937" s="43">
        <v>1.9905121919828524E-2</v>
      </c>
      <c r="K3937" s="43"/>
      <c r="L3937" s="43">
        <v>0.25019999999999998</v>
      </c>
      <c r="O3937" s="50"/>
    </row>
    <row r="3938" spans="2:15" x14ac:dyDescent="0.2">
      <c r="B3938">
        <v>3923</v>
      </c>
      <c r="C3938" s="48">
        <f ca="1"/>
        <v>-0.49588085781541985</v>
      </c>
      <c r="D3938" s="48">
        <f t="shared" ca="1" si="223"/>
        <v>0.63280088056739736</v>
      </c>
      <c r="E3938" s="48">
        <f t="shared" ca="1" si="224"/>
        <v>0</v>
      </c>
      <c r="F3938" s="17">
        <f t="shared" ca="1" si="225"/>
        <v>0</v>
      </c>
      <c r="H3938" s="17">
        <v>3923</v>
      </c>
      <c r="I3938" s="43">
        <v>0.66937929635403848</v>
      </c>
      <c r="J3938" s="43">
        <v>1.9657022983437581E-2</v>
      </c>
      <c r="K3938" s="43"/>
      <c r="L3938" s="43">
        <v>0.24640000000000001</v>
      </c>
      <c r="O3938" s="50"/>
    </row>
    <row r="3939" spans="2:15" x14ac:dyDescent="0.2">
      <c r="B3939">
        <v>3924</v>
      </c>
      <c r="C3939" s="48">
        <f ca="1"/>
        <v>-0.37824051075694104</v>
      </c>
      <c r="D3939" s="48">
        <f t="shared" ca="1" si="223"/>
        <v>0.64018274339464731</v>
      </c>
      <c r="E3939" s="48">
        <f t="shared" ca="1" si="224"/>
        <v>0</v>
      </c>
      <c r="F3939" s="17">
        <f t="shared" ca="1" si="225"/>
        <v>0</v>
      </c>
      <c r="H3939" s="17">
        <v>3924</v>
      </c>
      <c r="I3939" s="43">
        <v>0.66978522309978539</v>
      </c>
      <c r="J3939" s="43">
        <v>1.9759604544029467E-2</v>
      </c>
      <c r="K3939" s="43"/>
      <c r="L3939" s="43">
        <v>0.24879999999999999</v>
      </c>
      <c r="O3939" s="50"/>
    </row>
    <row r="3940" spans="2:15" x14ac:dyDescent="0.2">
      <c r="B3940">
        <v>3925</v>
      </c>
      <c r="C3940" s="48">
        <f ca="1"/>
        <v>1.8772192973715887</v>
      </c>
      <c r="D3940" s="48">
        <f t="shared" ca="1" si="223"/>
        <v>0.79960171523504897</v>
      </c>
      <c r="E3940" s="48">
        <f t="shared" ca="1" si="224"/>
        <v>1.1401715235048959E-2</v>
      </c>
      <c r="F3940" s="17">
        <f t="shared" ca="1" si="225"/>
        <v>1</v>
      </c>
      <c r="H3940" s="17">
        <v>3925</v>
      </c>
      <c r="I3940" s="43">
        <v>0.66906394774384104</v>
      </c>
      <c r="J3940" s="43">
        <v>1.9653415932009689E-2</v>
      </c>
      <c r="K3940" s="43"/>
      <c r="L3940" s="43">
        <v>0.25580000000000003</v>
      </c>
      <c r="O3940" s="50"/>
    </row>
    <row r="3941" spans="2:15" x14ac:dyDescent="0.2">
      <c r="B3941">
        <v>3926</v>
      </c>
      <c r="C3941" s="48">
        <f ca="1"/>
        <v>1.2340391977224279</v>
      </c>
      <c r="D3941" s="48">
        <f t="shared" ca="1" si="223"/>
        <v>0.75047343130935729</v>
      </c>
      <c r="E3941" s="48">
        <f t="shared" ca="1" si="224"/>
        <v>0</v>
      </c>
      <c r="F3941" s="17">
        <f t="shared" ca="1" si="225"/>
        <v>0</v>
      </c>
      <c r="H3941" s="17">
        <v>3926</v>
      </c>
      <c r="I3941" s="43">
        <v>0.66905146533002458</v>
      </c>
      <c r="J3941" s="43">
        <v>1.940964013285968E-2</v>
      </c>
      <c r="K3941" s="43"/>
      <c r="L3941" s="43">
        <v>0.251</v>
      </c>
      <c r="O3941" s="50"/>
    </row>
    <row r="3942" spans="2:15" x14ac:dyDescent="0.2">
      <c r="B3942">
        <v>3927</v>
      </c>
      <c r="C3942" s="48">
        <f ca="1"/>
        <v>0.54962180219270151</v>
      </c>
      <c r="D3942" s="48">
        <f t="shared" ca="1" si="223"/>
        <v>0.70150587179778401</v>
      </c>
      <c r="E3942" s="48">
        <f t="shared" ca="1" si="224"/>
        <v>0</v>
      </c>
      <c r="F3942" s="17">
        <f t="shared" ca="1" si="225"/>
        <v>0</v>
      </c>
      <c r="H3942" s="17">
        <v>3927</v>
      </c>
      <c r="I3942" s="43">
        <v>0.66935443379907078</v>
      </c>
      <c r="J3942" s="43">
        <v>1.9553045003937029E-2</v>
      </c>
      <c r="K3942" s="43"/>
      <c r="L3942" s="43">
        <v>0.25700000000000001</v>
      </c>
      <c r="O3942" s="50"/>
    </row>
    <row r="3943" spans="2:15" x14ac:dyDescent="0.2">
      <c r="B3943">
        <v>3928</v>
      </c>
      <c r="C3943" s="48">
        <f ca="1"/>
        <v>-1.7640233448568328</v>
      </c>
      <c r="D3943" s="48">
        <f t="shared" ca="1" si="223"/>
        <v>0.55843199582655656</v>
      </c>
      <c r="E3943" s="48">
        <f t="shared" ca="1" si="224"/>
        <v>0</v>
      </c>
      <c r="F3943" s="17">
        <f t="shared" ca="1" si="225"/>
        <v>0</v>
      </c>
      <c r="H3943" s="17">
        <v>3928</v>
      </c>
      <c r="I3943" s="43">
        <v>0.66856003642095307</v>
      </c>
      <c r="J3943" s="43">
        <v>1.9404076584089869E-2</v>
      </c>
      <c r="K3943" s="43"/>
      <c r="L3943" s="43">
        <v>0.25480000000000003</v>
      </c>
      <c r="O3943" s="50"/>
    </row>
    <row r="3944" spans="2:15" x14ac:dyDescent="0.2">
      <c r="B3944">
        <v>3929</v>
      </c>
      <c r="C3944" s="48">
        <f ca="1"/>
        <v>0.99106248750781589</v>
      </c>
      <c r="D3944" s="48">
        <f t="shared" ca="1" si="223"/>
        <v>0.73270985407123423</v>
      </c>
      <c r="E3944" s="48">
        <f t="shared" ca="1" si="224"/>
        <v>0</v>
      </c>
      <c r="F3944" s="17">
        <f t="shared" ca="1" si="225"/>
        <v>0</v>
      </c>
      <c r="H3944" s="17">
        <v>3929</v>
      </c>
      <c r="I3944" s="43">
        <v>0.67018108796194742</v>
      </c>
      <c r="J3944" s="43">
        <v>2.0330133759777144E-2</v>
      </c>
      <c r="K3944" s="43"/>
      <c r="L3944" s="43">
        <v>0.25480000000000003</v>
      </c>
      <c r="O3944" s="50"/>
    </row>
    <row r="3945" spans="2:15" x14ac:dyDescent="0.2">
      <c r="B3945">
        <v>3930</v>
      </c>
      <c r="C3945" s="48">
        <f ca="1"/>
        <v>-0.89933029420365584</v>
      </c>
      <c r="D3945" s="48">
        <f t="shared" ca="1" si="223"/>
        <v>0.60812517997515469</v>
      </c>
      <c r="E3945" s="48">
        <f t="shared" ca="1" si="224"/>
        <v>0</v>
      </c>
      <c r="F3945" s="17">
        <f t="shared" ca="1" si="225"/>
        <v>0</v>
      </c>
      <c r="H3945" s="17">
        <v>3930</v>
      </c>
      <c r="I3945" s="43">
        <v>0.66939273780532049</v>
      </c>
      <c r="J3945" s="43">
        <v>1.9720332909900051E-2</v>
      </c>
      <c r="K3945" s="43"/>
      <c r="L3945" s="43">
        <v>0.25059999999999999</v>
      </c>
      <c r="O3945" s="50"/>
    </row>
    <row r="3946" spans="2:15" x14ac:dyDescent="0.2">
      <c r="B3946">
        <v>3931</v>
      </c>
      <c r="C3946" s="48">
        <f ca="1"/>
        <v>-0.84658422887236651</v>
      </c>
      <c r="D3946" s="48">
        <f t="shared" ca="1" si="223"/>
        <v>0.61129572884737959</v>
      </c>
      <c r="E3946" s="48">
        <f t="shared" ca="1" si="224"/>
        <v>0</v>
      </c>
      <c r="F3946" s="17">
        <f t="shared" ca="1" si="225"/>
        <v>0</v>
      </c>
      <c r="H3946" s="17">
        <v>3931</v>
      </c>
      <c r="I3946" s="43">
        <v>0.66913093765017462</v>
      </c>
      <c r="J3946" s="43">
        <v>1.9350371556284135E-2</v>
      </c>
      <c r="K3946" s="43"/>
      <c r="L3946" s="43">
        <v>0.25059999999999999</v>
      </c>
      <c r="O3946" s="50"/>
    </row>
    <row r="3947" spans="2:15" x14ac:dyDescent="0.2">
      <c r="B3947">
        <v>3932</v>
      </c>
      <c r="C3947" s="48">
        <f ca="1"/>
        <v>-1.0965765246690591</v>
      </c>
      <c r="D3947" s="48">
        <f t="shared" ca="1" si="223"/>
        <v>0.5964138123203292</v>
      </c>
      <c r="E3947" s="48">
        <f t="shared" ca="1" si="224"/>
        <v>0</v>
      </c>
      <c r="F3947" s="17">
        <f t="shared" ca="1" si="225"/>
        <v>0</v>
      </c>
      <c r="H3947" s="17">
        <v>3932</v>
      </c>
      <c r="I3947" s="43">
        <v>0.667868403002703</v>
      </c>
      <c r="J3947" s="43">
        <v>1.8691000920979889E-2</v>
      </c>
      <c r="K3947" s="43"/>
      <c r="L3947" s="43">
        <v>0.24</v>
      </c>
      <c r="O3947" s="50"/>
    </row>
    <row r="3948" spans="2:15" x14ac:dyDescent="0.2">
      <c r="B3948">
        <v>3933</v>
      </c>
      <c r="C3948" s="48">
        <f ca="1"/>
        <v>-1.0222207180602214</v>
      </c>
      <c r="D3948" s="48">
        <f t="shared" ca="1" si="223"/>
        <v>0.60080191805560068</v>
      </c>
      <c r="E3948" s="48">
        <f t="shared" ca="1" si="224"/>
        <v>0</v>
      </c>
      <c r="F3948" s="17">
        <f t="shared" ca="1" si="225"/>
        <v>0</v>
      </c>
      <c r="H3948" s="17">
        <v>3933</v>
      </c>
      <c r="I3948" s="43">
        <v>0.66973064072459099</v>
      </c>
      <c r="J3948" s="43">
        <v>1.9433352194134841E-2</v>
      </c>
      <c r="K3948" s="43"/>
      <c r="L3948" s="43">
        <v>0.249</v>
      </c>
      <c r="O3948" s="50"/>
    </row>
    <row r="3949" spans="2:15" x14ac:dyDescent="0.2">
      <c r="B3949">
        <v>3934</v>
      </c>
      <c r="C3949" s="48">
        <f ca="1"/>
        <v>0.65359226799286252</v>
      </c>
      <c r="D3949" s="48">
        <f t="shared" ca="1" si="223"/>
        <v>0.7087334154177084</v>
      </c>
      <c r="E3949" s="48">
        <f t="shared" ca="1" si="224"/>
        <v>0</v>
      </c>
      <c r="F3949" s="17">
        <f t="shared" ca="1" si="225"/>
        <v>0</v>
      </c>
      <c r="H3949" s="17">
        <v>3934</v>
      </c>
      <c r="I3949" s="43">
        <v>0.66917339310728574</v>
      </c>
      <c r="J3949" s="43">
        <v>1.9546812769803249E-2</v>
      </c>
      <c r="K3949" s="43"/>
      <c r="L3949" s="43">
        <v>0.25380000000000003</v>
      </c>
      <c r="O3949" s="50"/>
    </row>
    <row r="3950" spans="2:15" x14ac:dyDescent="0.2">
      <c r="B3950">
        <v>3935</v>
      </c>
      <c r="C3950" s="48">
        <f ca="1"/>
        <v>0.8284233242403406</v>
      </c>
      <c r="D3950" s="48">
        <f t="shared" ca="1" si="223"/>
        <v>0.72105513639248164</v>
      </c>
      <c r="E3950" s="48">
        <f t="shared" ca="1" si="224"/>
        <v>0</v>
      </c>
      <c r="F3950" s="17">
        <f t="shared" ca="1" si="225"/>
        <v>0</v>
      </c>
      <c r="H3950" s="17">
        <v>3935</v>
      </c>
      <c r="I3950" s="43">
        <v>0.669296410506103</v>
      </c>
      <c r="J3950" s="43">
        <v>1.9358821792121221E-2</v>
      </c>
      <c r="K3950" s="43"/>
      <c r="L3950" s="43">
        <v>0.245</v>
      </c>
      <c r="O3950" s="50"/>
    </row>
    <row r="3951" spans="2:15" x14ac:dyDescent="0.2">
      <c r="B3951">
        <v>3936</v>
      </c>
      <c r="C3951" s="48">
        <f ca="1"/>
        <v>1.2720569715691219</v>
      </c>
      <c r="D3951" s="48">
        <f t="shared" ca="1" si="223"/>
        <v>0.75329154080793626</v>
      </c>
      <c r="E3951" s="48">
        <f t="shared" ca="1" si="224"/>
        <v>0</v>
      </c>
      <c r="F3951" s="17">
        <f t="shared" ca="1" si="225"/>
        <v>0</v>
      </c>
      <c r="H3951" s="17">
        <v>3936</v>
      </c>
      <c r="I3951" s="43">
        <v>0.66937823987261413</v>
      </c>
      <c r="J3951" s="43">
        <v>1.962882712192859E-2</v>
      </c>
      <c r="K3951" s="43"/>
      <c r="L3951" s="43">
        <v>0.25080000000000002</v>
      </c>
      <c r="O3951" s="50"/>
    </row>
    <row r="3952" spans="2:15" x14ac:dyDescent="0.2">
      <c r="B3952">
        <v>3937</v>
      </c>
      <c r="C3952" s="48">
        <f ca="1"/>
        <v>-0.89715580076564039</v>
      </c>
      <c r="D3952" s="48">
        <f t="shared" ca="1" si="223"/>
        <v>0.60825556249208679</v>
      </c>
      <c r="E3952" s="48">
        <f t="shared" ca="1" si="224"/>
        <v>0</v>
      </c>
      <c r="F3952" s="17">
        <f t="shared" ca="1" si="225"/>
        <v>0</v>
      </c>
      <c r="H3952" s="17">
        <v>3937</v>
      </c>
      <c r="I3952" s="43">
        <v>0.66979050579347998</v>
      </c>
      <c r="J3952" s="43">
        <v>1.998227832194021E-2</v>
      </c>
      <c r="K3952" s="43"/>
      <c r="L3952" s="43">
        <v>0.25819999999999999</v>
      </c>
      <c r="O3952" s="50"/>
    </row>
    <row r="3953" spans="2:15" x14ac:dyDescent="0.2">
      <c r="B3953">
        <v>3938</v>
      </c>
      <c r="C3953" s="48">
        <f ca="1"/>
        <v>1.8544089022509882</v>
      </c>
      <c r="D3953" s="48">
        <f t="shared" ca="1" si="223"/>
        <v>0.79780557594758383</v>
      </c>
      <c r="E3953" s="48">
        <f t="shared" ca="1" si="224"/>
        <v>9.605575947583822E-3</v>
      </c>
      <c r="F3953" s="17">
        <f t="shared" ca="1" si="225"/>
        <v>1</v>
      </c>
      <c r="H3953" s="17">
        <v>3938</v>
      </c>
      <c r="I3953" s="43">
        <v>0.66925998479726057</v>
      </c>
      <c r="J3953" s="43">
        <v>1.9187378604448774E-2</v>
      </c>
      <c r="K3953" s="43"/>
      <c r="L3953" s="43">
        <v>0.25219999999999998</v>
      </c>
      <c r="O3953" s="50"/>
    </row>
    <row r="3954" spans="2:15" x14ac:dyDescent="0.2">
      <c r="B3954">
        <v>3939</v>
      </c>
      <c r="C3954" s="48">
        <f ca="1"/>
        <v>-1.6341109729133387</v>
      </c>
      <c r="D3954" s="48">
        <f t="shared" ca="1" si="223"/>
        <v>0.56563024139229412</v>
      </c>
      <c r="E3954" s="48">
        <f t="shared" ca="1" si="224"/>
        <v>0</v>
      </c>
      <c r="F3954" s="17">
        <f t="shared" ca="1" si="225"/>
        <v>0</v>
      </c>
      <c r="H3954" s="17">
        <v>3939</v>
      </c>
      <c r="I3954" s="43">
        <v>0.66884518533186099</v>
      </c>
      <c r="J3954" s="43">
        <v>1.9526503658131383E-2</v>
      </c>
      <c r="K3954" s="43"/>
      <c r="L3954" s="43">
        <v>0.25180000000000002</v>
      </c>
      <c r="O3954" s="50"/>
    </row>
    <row r="3955" spans="2:15" x14ac:dyDescent="0.2">
      <c r="B3955">
        <v>3940</v>
      </c>
      <c r="C3955" s="48">
        <f ca="1"/>
        <v>1.3328959942366996</v>
      </c>
      <c r="D3955" s="48">
        <f t="shared" ca="1" si="223"/>
        <v>0.75782333451990525</v>
      </c>
      <c r="E3955" s="48">
        <f t="shared" ca="1" si="224"/>
        <v>0</v>
      </c>
      <c r="F3955" s="17">
        <f t="shared" ca="1" si="225"/>
        <v>0</v>
      </c>
      <c r="H3955" s="17">
        <v>3940</v>
      </c>
      <c r="I3955" s="43">
        <v>0.66820466533098644</v>
      </c>
      <c r="J3955" s="43">
        <v>1.8784313592345656E-2</v>
      </c>
      <c r="K3955" s="43"/>
      <c r="L3955" s="43">
        <v>0.254</v>
      </c>
      <c r="O3955" s="50"/>
    </row>
    <row r="3956" spans="2:15" x14ac:dyDescent="0.2">
      <c r="B3956">
        <v>3941</v>
      </c>
      <c r="C3956" s="48">
        <f ca="1"/>
        <v>-1.1242387468172859</v>
      </c>
      <c r="D3956" s="48">
        <f t="shared" ca="1" si="223"/>
        <v>0.59478951914424694</v>
      </c>
      <c r="E3956" s="48">
        <f t="shared" ca="1" si="224"/>
        <v>0</v>
      </c>
      <c r="F3956" s="17">
        <f t="shared" ca="1" si="225"/>
        <v>0</v>
      </c>
      <c r="H3956" s="17">
        <v>3941</v>
      </c>
      <c r="I3956" s="43">
        <v>0.66794222962607774</v>
      </c>
      <c r="J3956" s="43">
        <v>1.8604657303845244E-2</v>
      </c>
      <c r="K3956" s="43"/>
      <c r="L3956" s="43">
        <v>0.245</v>
      </c>
      <c r="O3956" s="50"/>
    </row>
    <row r="3957" spans="2:15" x14ac:dyDescent="0.2">
      <c r="B3957">
        <v>3942</v>
      </c>
      <c r="C3957" s="48">
        <f ca="1"/>
        <v>-0.47263066056665054</v>
      </c>
      <c r="D3957" s="48">
        <f t="shared" ca="1" si="223"/>
        <v>0.63425303656303234</v>
      </c>
      <c r="E3957" s="48">
        <f t="shared" ca="1" si="224"/>
        <v>0</v>
      </c>
      <c r="F3957" s="17">
        <f t="shared" ca="1" si="225"/>
        <v>0</v>
      </c>
      <c r="H3957" s="17">
        <v>3942</v>
      </c>
      <c r="I3957" s="43">
        <v>0.66809131814271949</v>
      </c>
      <c r="J3957" s="43">
        <v>1.8660630142279901E-2</v>
      </c>
      <c r="K3957" s="43"/>
      <c r="L3957" s="43">
        <v>0.24299999999999999</v>
      </c>
      <c r="O3957" s="50"/>
    </row>
    <row r="3958" spans="2:15" x14ac:dyDescent="0.2">
      <c r="B3958">
        <v>3943</v>
      </c>
      <c r="C3958" s="48">
        <f ca="1"/>
        <v>-0.32163588013585898</v>
      </c>
      <c r="D3958" s="48">
        <f t="shared" ca="1" si="223"/>
        <v>0.64376527474696066</v>
      </c>
      <c r="E3958" s="48">
        <f t="shared" ca="1" si="224"/>
        <v>0</v>
      </c>
      <c r="F3958" s="17">
        <f t="shared" ca="1" si="225"/>
        <v>0</v>
      </c>
      <c r="H3958" s="17">
        <v>3943</v>
      </c>
      <c r="I3958" s="43">
        <v>0.66843981579451461</v>
      </c>
      <c r="J3958" s="43">
        <v>1.8871013710774147E-2</v>
      </c>
      <c r="K3958" s="43"/>
      <c r="L3958" s="43">
        <v>0.24299999999999999</v>
      </c>
      <c r="O3958" s="50"/>
    </row>
    <row r="3959" spans="2:15" x14ac:dyDescent="0.2">
      <c r="B3959">
        <v>3944</v>
      </c>
      <c r="C3959" s="48">
        <f ca="1"/>
        <v>-0.536612966146783</v>
      </c>
      <c r="D3959" s="48">
        <f t="shared" ca="1" si="223"/>
        <v>0.63026485291636336</v>
      </c>
      <c r="E3959" s="48">
        <f t="shared" ca="1" si="224"/>
        <v>0</v>
      </c>
      <c r="F3959" s="17">
        <f t="shared" ca="1" si="225"/>
        <v>0</v>
      </c>
      <c r="H3959" s="17">
        <v>3944</v>
      </c>
      <c r="I3959" s="43">
        <v>0.66968988451332112</v>
      </c>
      <c r="J3959" s="43">
        <v>1.9967806109645624E-2</v>
      </c>
      <c r="K3959" s="43"/>
      <c r="L3959" s="43">
        <v>0.25040000000000001</v>
      </c>
      <c r="O3959" s="50"/>
    </row>
    <row r="3960" spans="2:15" x14ac:dyDescent="0.2">
      <c r="B3960">
        <v>3945</v>
      </c>
      <c r="C3960" s="48">
        <f ca="1"/>
        <v>-1.3015039916338063</v>
      </c>
      <c r="D3960" s="48">
        <f t="shared" ca="1" si="223"/>
        <v>0.58448520108702695</v>
      </c>
      <c r="E3960" s="48">
        <f t="shared" ca="1" si="224"/>
        <v>0</v>
      </c>
      <c r="F3960" s="17">
        <f t="shared" ca="1" si="225"/>
        <v>0</v>
      </c>
      <c r="H3960" s="17">
        <v>3945</v>
      </c>
      <c r="I3960" s="43">
        <v>0.66900156174466685</v>
      </c>
      <c r="J3960" s="43">
        <v>1.9501927415165151E-2</v>
      </c>
      <c r="K3960" s="43"/>
      <c r="L3960" s="43">
        <v>0.25440000000000002</v>
      </c>
      <c r="O3960" s="50"/>
    </row>
    <row r="3961" spans="2:15" x14ac:dyDescent="0.2">
      <c r="B3961">
        <v>3946</v>
      </c>
      <c r="C3961" s="48">
        <f ca="1"/>
        <v>-2.0031034743178595</v>
      </c>
      <c r="D3961" s="48">
        <f t="shared" ca="1" si="223"/>
        <v>0.54542349278308877</v>
      </c>
      <c r="E3961" s="48">
        <f t="shared" ca="1" si="224"/>
        <v>0</v>
      </c>
      <c r="F3961" s="17">
        <f t="shared" ca="1" si="225"/>
        <v>0</v>
      </c>
      <c r="H3961" s="17">
        <v>3946</v>
      </c>
      <c r="I3961" s="43">
        <v>0.66841457324251885</v>
      </c>
      <c r="J3961" s="43">
        <v>1.8815817610748894E-2</v>
      </c>
      <c r="K3961" s="43"/>
      <c r="L3961" s="43">
        <v>0.24460000000000001</v>
      </c>
      <c r="O3961" s="50"/>
    </row>
    <row r="3962" spans="2:15" x14ac:dyDescent="0.2">
      <c r="B3962">
        <v>3947</v>
      </c>
      <c r="C3962" s="48">
        <f ca="1"/>
        <v>-0.5115287137272343</v>
      </c>
      <c r="D3962" s="48">
        <f t="shared" ca="1" si="223"/>
        <v>0.63182542231416983</v>
      </c>
      <c r="E3962" s="48">
        <f t="shared" ca="1" si="224"/>
        <v>0</v>
      </c>
      <c r="F3962" s="17">
        <f t="shared" ca="1" si="225"/>
        <v>0</v>
      </c>
      <c r="H3962" s="17">
        <v>3947</v>
      </c>
      <c r="I3962" s="43">
        <v>0.66885504059674772</v>
      </c>
      <c r="J3962" s="43">
        <v>1.9333038854927442E-2</v>
      </c>
      <c r="K3962" s="43"/>
      <c r="L3962" s="43">
        <v>0.247</v>
      </c>
      <c r="O3962" s="50"/>
    </row>
    <row r="3963" spans="2:15" x14ac:dyDescent="0.2">
      <c r="B3963">
        <v>3948</v>
      </c>
      <c r="C3963" s="48">
        <f ca="1"/>
        <v>0.16481202067956638</v>
      </c>
      <c r="D3963" s="48">
        <f t="shared" ca="1" si="223"/>
        <v>0.67539104372208847</v>
      </c>
      <c r="E3963" s="48">
        <f t="shared" ca="1" si="224"/>
        <v>0</v>
      </c>
      <c r="F3963" s="17">
        <f t="shared" ca="1" si="225"/>
        <v>0</v>
      </c>
      <c r="H3963" s="17">
        <v>3948</v>
      </c>
      <c r="I3963" s="43">
        <v>0.66863486968784314</v>
      </c>
      <c r="J3963" s="43">
        <v>1.920917821074938E-2</v>
      </c>
      <c r="K3963" s="43"/>
      <c r="L3963" s="43">
        <v>0.25180000000000002</v>
      </c>
      <c r="O3963" s="50"/>
    </row>
    <row r="3964" spans="2:15" x14ac:dyDescent="0.2">
      <c r="B3964">
        <v>3949</v>
      </c>
      <c r="C3964" s="48">
        <f ca="1"/>
        <v>-1.2659704911310574</v>
      </c>
      <c r="D3964" s="48">
        <f t="shared" ca="1" si="223"/>
        <v>0.58653633566647756</v>
      </c>
      <c r="E3964" s="48">
        <f t="shared" ca="1" si="224"/>
        <v>0</v>
      </c>
      <c r="F3964" s="17">
        <f t="shared" ca="1" si="225"/>
        <v>0</v>
      </c>
      <c r="H3964" s="17">
        <v>3949</v>
      </c>
      <c r="I3964" s="43">
        <v>0.67047037497971673</v>
      </c>
      <c r="J3964" s="43">
        <v>2.041726033758362E-2</v>
      </c>
      <c r="K3964" s="43"/>
      <c r="L3964" s="43">
        <v>0.25159999999999999</v>
      </c>
      <c r="O3964" s="50"/>
    </row>
    <row r="3965" spans="2:15" x14ac:dyDescent="0.2">
      <c r="B3965">
        <v>3950</v>
      </c>
      <c r="C3965" s="48">
        <f ca="1"/>
        <v>-1.207633525986221</v>
      </c>
      <c r="D3965" s="48">
        <f t="shared" ca="1" si="223"/>
        <v>0.58991939761547674</v>
      </c>
      <c r="E3965" s="48">
        <f t="shared" ca="1" si="224"/>
        <v>0</v>
      </c>
      <c r="F3965" s="17">
        <f t="shared" ca="1" si="225"/>
        <v>0</v>
      </c>
      <c r="H3965" s="17">
        <v>3950</v>
      </c>
      <c r="I3965" s="43">
        <v>0.66790539263579007</v>
      </c>
      <c r="J3965" s="43">
        <v>1.8772318455923365E-2</v>
      </c>
      <c r="K3965" s="43"/>
      <c r="L3965" s="43">
        <v>0.2482</v>
      </c>
      <c r="O3965" s="50"/>
    </row>
    <row r="3966" spans="2:15" x14ac:dyDescent="0.2">
      <c r="B3966">
        <v>3951</v>
      </c>
      <c r="C3966" s="48">
        <f ca="1"/>
        <v>0.6692378455430682</v>
      </c>
      <c r="D3966" s="48">
        <f t="shared" ca="1" si="223"/>
        <v>0.70982745041023354</v>
      </c>
      <c r="E3966" s="48">
        <f t="shared" ca="1" si="224"/>
        <v>0</v>
      </c>
      <c r="F3966" s="17">
        <f t="shared" ca="1" si="225"/>
        <v>0</v>
      </c>
      <c r="H3966" s="17">
        <v>3951</v>
      </c>
      <c r="I3966" s="43">
        <v>0.66945675958038997</v>
      </c>
      <c r="J3966" s="43">
        <v>1.9663726069237965E-2</v>
      </c>
      <c r="K3966" s="43"/>
      <c r="L3966" s="43">
        <v>0.253</v>
      </c>
      <c r="O3966" s="50"/>
    </row>
    <row r="3967" spans="2:15" x14ac:dyDescent="0.2">
      <c r="B3967">
        <v>3952</v>
      </c>
      <c r="C3967" s="48">
        <f ca="1"/>
        <v>0.96031717224703905</v>
      </c>
      <c r="D3967" s="48">
        <f t="shared" ca="1" si="223"/>
        <v>0.7304922976717021</v>
      </c>
      <c r="E3967" s="48">
        <f t="shared" ca="1" si="224"/>
        <v>0</v>
      </c>
      <c r="F3967" s="17">
        <f t="shared" ca="1" si="225"/>
        <v>0</v>
      </c>
      <c r="H3967" s="17">
        <v>3952</v>
      </c>
      <c r="I3967" s="43">
        <v>0.66804792866602813</v>
      </c>
      <c r="J3967" s="43">
        <v>1.8817750287511988E-2</v>
      </c>
      <c r="K3967" s="43"/>
      <c r="L3967" s="43">
        <v>0.249</v>
      </c>
      <c r="O3967" s="50"/>
    </row>
    <row r="3968" spans="2:15" x14ac:dyDescent="0.2">
      <c r="B3968">
        <v>3953</v>
      </c>
      <c r="C3968" s="48">
        <f ca="1"/>
        <v>1.3914276927810223</v>
      </c>
      <c r="D3968" s="48">
        <f t="shared" ca="1" si="223"/>
        <v>0.76220898957823735</v>
      </c>
      <c r="E3968" s="48">
        <f t="shared" ca="1" si="224"/>
        <v>0</v>
      </c>
      <c r="F3968" s="17">
        <f t="shared" ca="1" si="225"/>
        <v>0</v>
      </c>
      <c r="H3968" s="17">
        <v>3953</v>
      </c>
      <c r="I3968" s="43">
        <v>0.66949015843171122</v>
      </c>
      <c r="J3968" s="43">
        <v>1.964786228206683E-2</v>
      </c>
      <c r="K3968" s="43"/>
      <c r="L3968" s="43">
        <v>0.2482</v>
      </c>
      <c r="O3968" s="50"/>
    </row>
    <row r="3969" spans="2:15" x14ac:dyDescent="0.2">
      <c r="B3969">
        <v>3954</v>
      </c>
      <c r="C3969" s="48">
        <f ca="1"/>
        <v>-0.90942448719527158</v>
      </c>
      <c r="D3969" s="48">
        <f t="shared" ca="1" si="223"/>
        <v>0.60752029857277345</v>
      </c>
      <c r="E3969" s="48">
        <f t="shared" ca="1" si="224"/>
        <v>0</v>
      </c>
      <c r="F3969" s="17">
        <f t="shared" ca="1" si="225"/>
        <v>0</v>
      </c>
      <c r="H3969" s="17">
        <v>3954</v>
      </c>
      <c r="I3969" s="43">
        <v>0.6677294709066075</v>
      </c>
      <c r="J3969" s="43">
        <v>1.8311656863649519E-2</v>
      </c>
      <c r="K3969" s="43"/>
      <c r="L3969" s="43">
        <v>0.23980000000000001</v>
      </c>
      <c r="O3969" s="50"/>
    </row>
    <row r="3970" spans="2:15" x14ac:dyDescent="0.2">
      <c r="B3970">
        <v>3955</v>
      </c>
      <c r="C3970" s="48">
        <f ca="1"/>
        <v>0.75624843294472166</v>
      </c>
      <c r="D3970" s="48">
        <f t="shared" ca="1" si="223"/>
        <v>0.71594265041069338</v>
      </c>
      <c r="E3970" s="48">
        <f t="shared" ca="1" si="224"/>
        <v>0</v>
      </c>
      <c r="F3970" s="17">
        <f t="shared" ca="1" si="225"/>
        <v>0</v>
      </c>
      <c r="H3970" s="17">
        <v>3955</v>
      </c>
      <c r="I3970" s="43">
        <v>0.66864217579615659</v>
      </c>
      <c r="J3970" s="43">
        <v>1.9424107462882537E-2</v>
      </c>
      <c r="K3970" s="43"/>
      <c r="L3970" s="43">
        <v>0.25519999999999998</v>
      </c>
      <c r="O3970" s="50"/>
    </row>
    <row r="3971" spans="2:15" x14ac:dyDescent="0.2">
      <c r="B3971">
        <v>3956</v>
      </c>
      <c r="C3971" s="48">
        <f ca="1"/>
        <v>-0.86618158190972139</v>
      </c>
      <c r="D3971" s="48">
        <f t="shared" ca="1" si="223"/>
        <v>0.61011581302298201</v>
      </c>
      <c r="E3971" s="48">
        <f t="shared" ca="1" si="224"/>
        <v>0</v>
      </c>
      <c r="F3971" s="17">
        <f t="shared" ca="1" si="225"/>
        <v>0</v>
      </c>
      <c r="H3971" s="17">
        <v>3956</v>
      </c>
      <c r="I3971" s="43">
        <v>0.66918594902793516</v>
      </c>
      <c r="J3971" s="43">
        <v>1.938277762792015E-2</v>
      </c>
      <c r="K3971" s="43"/>
      <c r="L3971" s="43">
        <v>0.24979999999999999</v>
      </c>
      <c r="O3971" s="50"/>
    </row>
    <row r="3972" spans="2:15" x14ac:dyDescent="0.2">
      <c r="B3972">
        <v>3957</v>
      </c>
      <c r="C3972" s="48">
        <f ca="1"/>
        <v>-0.16685104832763975</v>
      </c>
      <c r="D3972" s="48">
        <f t="shared" ca="1" si="223"/>
        <v>0.65366437024363533</v>
      </c>
      <c r="E3972" s="48">
        <f t="shared" ca="1" si="224"/>
        <v>0</v>
      </c>
      <c r="F3972" s="17">
        <f t="shared" ca="1" si="225"/>
        <v>0</v>
      </c>
      <c r="H3972" s="17">
        <v>3957</v>
      </c>
      <c r="I3972" s="43">
        <v>0.66817906627935897</v>
      </c>
      <c r="J3972" s="43">
        <v>1.9030068150876916E-2</v>
      </c>
      <c r="K3972" s="43"/>
      <c r="L3972" s="43">
        <v>0.252</v>
      </c>
      <c r="O3972" s="50"/>
    </row>
    <row r="3973" spans="2:15" x14ac:dyDescent="0.2">
      <c r="B3973">
        <v>3958</v>
      </c>
      <c r="C3973" s="48">
        <f ca="1"/>
        <v>-1.5925830942701802</v>
      </c>
      <c r="D3973" s="48">
        <f t="shared" ca="1" si="223"/>
        <v>0.56795075126371908</v>
      </c>
      <c r="E3973" s="48">
        <f t="shared" ca="1" si="224"/>
        <v>0</v>
      </c>
      <c r="F3973" s="17">
        <f t="shared" ca="1" si="225"/>
        <v>0</v>
      </c>
      <c r="H3973" s="17">
        <v>3958</v>
      </c>
      <c r="I3973" s="43">
        <v>0.66938420135212284</v>
      </c>
      <c r="J3973" s="43">
        <v>1.9997922073420476E-2</v>
      </c>
      <c r="K3973" s="43"/>
      <c r="L3973" s="43">
        <v>0.25059999999999999</v>
      </c>
      <c r="O3973" s="50"/>
    </row>
    <row r="3974" spans="2:15" x14ac:dyDescent="0.2">
      <c r="B3974">
        <v>3959</v>
      </c>
      <c r="C3974" s="48">
        <f ca="1"/>
        <v>1.5551353127750864</v>
      </c>
      <c r="D3974" s="48">
        <f t="shared" ca="1" si="223"/>
        <v>0.77461048472624727</v>
      </c>
      <c r="E3974" s="48">
        <f t="shared" ca="1" si="224"/>
        <v>0</v>
      </c>
      <c r="F3974" s="17">
        <f t="shared" ca="1" si="225"/>
        <v>0</v>
      </c>
      <c r="H3974" s="17">
        <v>3959</v>
      </c>
      <c r="I3974" s="43">
        <v>0.66992665161176368</v>
      </c>
      <c r="J3974" s="43">
        <v>1.9945689588118102E-2</v>
      </c>
      <c r="K3974" s="43"/>
      <c r="L3974" s="43">
        <v>0.251</v>
      </c>
      <c r="O3974" s="50"/>
    </row>
    <row r="3975" spans="2:15" x14ac:dyDescent="0.2">
      <c r="B3975">
        <v>3960</v>
      </c>
      <c r="C3975" s="48">
        <f ca="1"/>
        <v>1.9240926187541971</v>
      </c>
      <c r="D3975" s="48">
        <f t="shared" ca="1" si="223"/>
        <v>0.8033053232570786</v>
      </c>
      <c r="E3975" s="48">
        <f t="shared" ca="1" si="224"/>
        <v>1.5105323257078584E-2</v>
      </c>
      <c r="F3975" s="17">
        <f t="shared" ca="1" si="225"/>
        <v>1</v>
      </c>
      <c r="H3975" s="17">
        <v>3960</v>
      </c>
      <c r="I3975" s="43">
        <v>0.66920948457170493</v>
      </c>
      <c r="J3975" s="43">
        <v>1.9428068526491638E-2</v>
      </c>
      <c r="K3975" s="43"/>
      <c r="L3975" s="43">
        <v>0.24840000000000001</v>
      </c>
      <c r="O3975" s="50"/>
    </row>
    <row r="3976" spans="2:15" x14ac:dyDescent="0.2">
      <c r="B3976">
        <v>3961</v>
      </c>
      <c r="C3976" s="48">
        <f ca="1"/>
        <v>-0.94182292844638582</v>
      </c>
      <c r="D3976" s="48">
        <f t="shared" ca="1" si="223"/>
        <v>0.60558292563648797</v>
      </c>
      <c r="E3976" s="48">
        <f t="shared" ca="1" si="224"/>
        <v>0</v>
      </c>
      <c r="F3976" s="17">
        <f t="shared" ca="1" si="225"/>
        <v>0</v>
      </c>
      <c r="H3976" s="17">
        <v>3961</v>
      </c>
      <c r="I3976" s="43">
        <v>0.66922190334179643</v>
      </c>
      <c r="J3976" s="43">
        <v>1.9354918963124156E-2</v>
      </c>
      <c r="K3976" s="43"/>
      <c r="L3976" s="43">
        <v>0.25259999999999999</v>
      </c>
      <c r="O3976" s="50"/>
    </row>
    <row r="3977" spans="2:15" x14ac:dyDescent="0.2">
      <c r="B3977">
        <v>3962</v>
      </c>
      <c r="C3977" s="48">
        <f ca="1"/>
        <v>-0.4621210373356559</v>
      </c>
      <c r="D3977" s="48">
        <f t="shared" ca="1" si="223"/>
        <v>0.63491053758467852</v>
      </c>
      <c r="E3977" s="48">
        <f t="shared" ca="1" si="224"/>
        <v>0</v>
      </c>
      <c r="F3977" s="17">
        <f t="shared" ca="1" si="225"/>
        <v>0</v>
      </c>
      <c r="H3977" s="17">
        <v>3962</v>
      </c>
      <c r="I3977" s="43">
        <v>0.66926148930807583</v>
      </c>
      <c r="J3977" s="43">
        <v>1.9614274493697469E-2</v>
      </c>
      <c r="K3977" s="43"/>
      <c r="L3977" s="43">
        <v>0.25059999999999999</v>
      </c>
      <c r="O3977" s="50"/>
    </row>
    <row r="3978" spans="2:15" x14ac:dyDescent="0.2">
      <c r="B3978">
        <v>3963</v>
      </c>
      <c r="C3978" s="48">
        <f ca="1"/>
        <v>-0.6538631423781136</v>
      </c>
      <c r="D3978" s="48">
        <f t="shared" ca="1" si="223"/>
        <v>0.62302131662564975</v>
      </c>
      <c r="E3978" s="48">
        <f t="shared" ca="1" si="224"/>
        <v>0</v>
      </c>
      <c r="F3978" s="17">
        <f t="shared" ca="1" si="225"/>
        <v>0</v>
      </c>
      <c r="H3978" s="17">
        <v>3963</v>
      </c>
      <c r="I3978" s="43">
        <v>0.66867848124179297</v>
      </c>
      <c r="J3978" s="43">
        <v>1.9373433687243029E-2</v>
      </c>
      <c r="K3978" s="43"/>
      <c r="L3978" s="43">
        <v>0.25040000000000001</v>
      </c>
      <c r="O3978" s="50"/>
    </row>
    <row r="3979" spans="2:15" x14ac:dyDescent="0.2">
      <c r="B3979">
        <v>3964</v>
      </c>
      <c r="C3979" s="48">
        <f ca="1"/>
        <v>7.5005335323803005E-2</v>
      </c>
      <c r="D3979" s="48">
        <f t="shared" ca="1" si="223"/>
        <v>0.66943765113342912</v>
      </c>
      <c r="E3979" s="48">
        <f t="shared" ca="1" si="224"/>
        <v>0</v>
      </c>
      <c r="F3979" s="17">
        <f t="shared" ca="1" si="225"/>
        <v>0</v>
      </c>
      <c r="H3979" s="17">
        <v>3964</v>
      </c>
      <c r="I3979" s="43">
        <v>0.66902359960910052</v>
      </c>
      <c r="J3979" s="43">
        <v>1.9352939242307732E-2</v>
      </c>
      <c r="K3979" s="43"/>
      <c r="L3979" s="43">
        <v>0.25</v>
      </c>
      <c r="O3979" s="50"/>
    </row>
    <row r="3980" spans="2:15" x14ac:dyDescent="0.2">
      <c r="B3980">
        <v>3965</v>
      </c>
      <c r="C3980" s="48">
        <f ca="1"/>
        <v>-0.80367675331246768</v>
      </c>
      <c r="D3980" s="48">
        <f t="shared" ca="1" si="223"/>
        <v>0.61388707203205517</v>
      </c>
      <c r="E3980" s="48">
        <f t="shared" ca="1" si="224"/>
        <v>0</v>
      </c>
      <c r="F3980" s="17">
        <f t="shared" ca="1" si="225"/>
        <v>0</v>
      </c>
      <c r="H3980" s="17">
        <v>3965</v>
      </c>
      <c r="I3980" s="43">
        <v>0.66870548701562249</v>
      </c>
      <c r="J3980" s="43">
        <v>1.911718501521207E-2</v>
      </c>
      <c r="K3980" s="43"/>
      <c r="L3980" s="43">
        <v>0.24759999999999999</v>
      </c>
      <c r="O3980" s="50"/>
    </row>
    <row r="3981" spans="2:15" x14ac:dyDescent="0.2">
      <c r="B3981">
        <v>3966</v>
      </c>
      <c r="C3981" s="48">
        <f ca="1"/>
        <v>-1.7481635418927832</v>
      </c>
      <c r="D3981" s="48">
        <f t="shared" ca="1" si="223"/>
        <v>0.55930583069948081</v>
      </c>
      <c r="E3981" s="48">
        <f t="shared" ca="1" si="224"/>
        <v>0</v>
      </c>
      <c r="F3981" s="17">
        <f t="shared" ca="1" si="225"/>
        <v>0</v>
      </c>
      <c r="H3981" s="17">
        <v>3966</v>
      </c>
      <c r="I3981" s="43">
        <v>0.66981834116546146</v>
      </c>
      <c r="J3981" s="43">
        <v>1.9750202154557459E-2</v>
      </c>
      <c r="K3981" s="43"/>
      <c r="L3981" s="43">
        <v>0.2442</v>
      </c>
      <c r="O3981" s="50"/>
    </row>
    <row r="3982" spans="2:15" x14ac:dyDescent="0.2">
      <c r="B3982">
        <v>3967</v>
      </c>
      <c r="C3982" s="48">
        <f ca="1"/>
        <v>-0.5018672959605105</v>
      </c>
      <c r="D3982" s="48">
        <f t="shared" ca="1" si="223"/>
        <v>0.63242751940194142</v>
      </c>
      <c r="E3982" s="48">
        <f t="shared" ca="1" si="224"/>
        <v>0</v>
      </c>
      <c r="F3982" s="17">
        <f t="shared" ca="1" si="225"/>
        <v>0</v>
      </c>
      <c r="H3982" s="17">
        <v>3967</v>
      </c>
      <c r="I3982" s="43">
        <v>0.66871010064293568</v>
      </c>
      <c r="J3982" s="43">
        <v>1.9064500342859565E-2</v>
      </c>
      <c r="K3982" s="43"/>
      <c r="L3982" s="43">
        <v>0.2462</v>
      </c>
      <c r="O3982" s="50"/>
    </row>
    <row r="3983" spans="2:15" x14ac:dyDescent="0.2">
      <c r="B3983">
        <v>3968</v>
      </c>
      <c r="C3983" s="48">
        <f ca="1"/>
        <v>0.7746383223593043</v>
      </c>
      <c r="D3983" s="48">
        <f t="shared" ca="1" si="223"/>
        <v>0.71724184087269671</v>
      </c>
      <c r="E3983" s="48">
        <f t="shared" ca="1" si="224"/>
        <v>0</v>
      </c>
      <c r="F3983" s="17">
        <f t="shared" ca="1" si="225"/>
        <v>0</v>
      </c>
      <c r="H3983" s="17">
        <v>3968</v>
      </c>
      <c r="I3983" s="43">
        <v>0.66938720526136442</v>
      </c>
      <c r="J3983" s="43">
        <v>1.9623439325596608E-2</v>
      </c>
      <c r="K3983" s="43"/>
      <c r="L3983" s="43">
        <v>0.2482</v>
      </c>
      <c r="O3983" s="50"/>
    </row>
    <row r="3984" spans="2:15" x14ac:dyDescent="0.2">
      <c r="B3984">
        <v>3969</v>
      </c>
      <c r="C3984" s="48">
        <f ca="1"/>
        <v>-0.66077112950434957</v>
      </c>
      <c r="D3984" s="48">
        <f t="shared" ref="D3984:D4047" ca="1" si="226">S0*EXP((μ-0.5*σ*σ)*T+σ*SQRT(T)*$C3984)</f>
        <v>0.62259715803381177</v>
      </c>
      <c r="E3984" s="48">
        <f t="shared" ref="E3984:E4047" ca="1" si="227">MAX(0,CP*(D3984-K))</f>
        <v>0</v>
      </c>
      <c r="F3984" s="17">
        <f t="shared" ref="F3984:F4047" ca="1" si="228">(CP*(D3984-K)&gt;0)*1</f>
        <v>0</v>
      </c>
      <c r="H3984" s="17">
        <v>3969</v>
      </c>
      <c r="I3984" s="43">
        <v>0.6694493782216423</v>
      </c>
      <c r="J3984" s="43">
        <v>1.9758387371312219E-2</v>
      </c>
      <c r="K3984" s="43"/>
      <c r="L3984" s="43">
        <v>0.25659999999999999</v>
      </c>
      <c r="O3984" s="50"/>
    </row>
    <row r="3985" spans="2:15" x14ac:dyDescent="0.2">
      <c r="B3985">
        <v>3970</v>
      </c>
      <c r="C3985" s="48">
        <f ca="1"/>
        <v>0.17832169885458035</v>
      </c>
      <c r="D3985" s="48">
        <f t="shared" ca="1" si="226"/>
        <v>0.67629118622454321</v>
      </c>
      <c r="E3985" s="48">
        <f t="shared" ca="1" si="227"/>
        <v>0</v>
      </c>
      <c r="F3985" s="17">
        <f t="shared" ca="1" si="228"/>
        <v>0</v>
      </c>
      <c r="H3985" s="17">
        <v>3970</v>
      </c>
      <c r="I3985" s="43">
        <v>0.6698799396185523</v>
      </c>
      <c r="J3985" s="43">
        <v>2.0094645796883612E-2</v>
      </c>
      <c r="K3985" s="43"/>
      <c r="L3985" s="43">
        <v>0.25259999999999999</v>
      </c>
      <c r="O3985" s="50"/>
    </row>
    <row r="3986" spans="2:15" x14ac:dyDescent="0.2">
      <c r="B3986">
        <v>3971</v>
      </c>
      <c r="C3986" s="48">
        <f ca="1"/>
        <v>-1.2022292285946554</v>
      </c>
      <c r="D3986" s="48">
        <f t="shared" ca="1" si="226"/>
        <v>0.59023378805968529</v>
      </c>
      <c r="E3986" s="48">
        <f t="shared" ca="1" si="227"/>
        <v>0</v>
      </c>
      <c r="F3986" s="17">
        <f t="shared" ca="1" si="228"/>
        <v>0</v>
      </c>
      <c r="H3986" s="17">
        <v>3971</v>
      </c>
      <c r="I3986" s="43">
        <v>0.66924561019601103</v>
      </c>
      <c r="J3986" s="43">
        <v>1.952244711110775E-2</v>
      </c>
      <c r="K3986" s="43"/>
      <c r="L3986" s="43">
        <v>0.25559999999999999</v>
      </c>
      <c r="O3986" s="50"/>
    </row>
    <row r="3987" spans="2:15" x14ac:dyDescent="0.2">
      <c r="B3987">
        <v>3972</v>
      </c>
      <c r="C3987" s="48">
        <f ca="1"/>
        <v>5.9772331456238635E-2</v>
      </c>
      <c r="D3987" s="48">
        <f t="shared" ca="1" si="226"/>
        <v>0.66843305537466613</v>
      </c>
      <c r="E3987" s="48">
        <f t="shared" ca="1" si="227"/>
        <v>0</v>
      </c>
      <c r="F3987" s="17">
        <f t="shared" ca="1" si="228"/>
        <v>0</v>
      </c>
      <c r="H3987" s="17">
        <v>3972</v>
      </c>
      <c r="I3987" s="43">
        <v>0.66856650899476222</v>
      </c>
      <c r="J3987" s="43">
        <v>1.9229755505203634E-2</v>
      </c>
      <c r="K3987" s="43"/>
      <c r="L3987" s="43">
        <v>0.24940000000000001</v>
      </c>
      <c r="O3987" s="50"/>
    </row>
    <row r="3988" spans="2:15" x14ac:dyDescent="0.2">
      <c r="B3988">
        <v>3973</v>
      </c>
      <c r="C3988" s="48">
        <f ca="1"/>
        <v>0.19054823783530325</v>
      </c>
      <c r="D3988" s="48">
        <f t="shared" ca="1" si="226"/>
        <v>0.6771068679958272</v>
      </c>
      <c r="E3988" s="48">
        <f t="shared" ca="1" si="227"/>
        <v>0</v>
      </c>
      <c r="F3988" s="17">
        <f t="shared" ca="1" si="228"/>
        <v>0</v>
      </c>
      <c r="H3988" s="17">
        <v>3973</v>
      </c>
      <c r="I3988" s="43">
        <v>0.66863593031433788</v>
      </c>
      <c r="J3988" s="43">
        <v>1.9080971166536561E-2</v>
      </c>
      <c r="K3988" s="43"/>
      <c r="L3988" s="43">
        <v>0.24679999999999999</v>
      </c>
      <c r="O3988" s="50"/>
    </row>
    <row r="3989" spans="2:15" x14ac:dyDescent="0.2">
      <c r="B3989">
        <v>3974</v>
      </c>
      <c r="C3989" s="48">
        <f ca="1"/>
        <v>1.2956956538801845</v>
      </c>
      <c r="D3989" s="48">
        <f t="shared" ca="1" si="226"/>
        <v>0.75504911727987334</v>
      </c>
      <c r="E3989" s="48">
        <f t="shared" ca="1" si="227"/>
        <v>0</v>
      </c>
      <c r="F3989" s="17">
        <f t="shared" ca="1" si="228"/>
        <v>0</v>
      </c>
      <c r="H3989" s="17">
        <v>3974</v>
      </c>
      <c r="I3989" s="43">
        <v>0.66935030385072691</v>
      </c>
      <c r="J3989" s="43">
        <v>1.9868998185962286E-2</v>
      </c>
      <c r="K3989" s="43"/>
      <c r="L3989" s="43">
        <v>0.25280000000000002</v>
      </c>
      <c r="O3989" s="50"/>
    </row>
    <row r="3990" spans="2:15" x14ac:dyDescent="0.2">
      <c r="B3990">
        <v>3975</v>
      </c>
      <c r="C3990" s="48">
        <f ca="1"/>
        <v>-1.3269652227665232</v>
      </c>
      <c r="D3990" s="48">
        <f t="shared" ca="1" si="226"/>
        <v>0.58301989052694791</v>
      </c>
      <c r="E3990" s="48">
        <f t="shared" ca="1" si="227"/>
        <v>0</v>
      </c>
      <c r="F3990" s="17">
        <f t="shared" ca="1" si="228"/>
        <v>0</v>
      </c>
      <c r="H3990" s="17">
        <v>3975</v>
      </c>
      <c r="I3990" s="43">
        <v>0.66948212323092315</v>
      </c>
      <c r="J3990" s="43">
        <v>1.9999391002699377E-2</v>
      </c>
      <c r="K3990" s="43"/>
      <c r="L3990" s="43">
        <v>0.25659999999999999</v>
      </c>
      <c r="O3990" s="50"/>
    </row>
    <row r="3991" spans="2:15" x14ac:dyDescent="0.2">
      <c r="B3991">
        <v>3976</v>
      </c>
      <c r="C3991" s="48">
        <f ca="1"/>
        <v>-0.5468024092119006</v>
      </c>
      <c r="D3991" s="48">
        <f t="shared" ca="1" si="226"/>
        <v>0.62963203737085871</v>
      </c>
      <c r="E3991" s="48">
        <f t="shared" ca="1" si="227"/>
        <v>0</v>
      </c>
      <c r="F3991" s="17">
        <f t="shared" ca="1" si="228"/>
        <v>0</v>
      </c>
      <c r="H3991" s="17">
        <v>3976</v>
      </c>
      <c r="I3991" s="43">
        <v>0.66869712262248382</v>
      </c>
      <c r="J3991" s="43">
        <v>1.9172371410191853E-2</v>
      </c>
      <c r="K3991" s="43"/>
      <c r="L3991" s="43">
        <v>0.25119999999999998</v>
      </c>
      <c r="O3991" s="50"/>
    </row>
    <row r="3992" spans="2:15" x14ac:dyDescent="0.2">
      <c r="B3992">
        <v>3977</v>
      </c>
      <c r="C3992" s="48">
        <f ca="1"/>
        <v>1.3526779522670527</v>
      </c>
      <c r="D3992" s="48">
        <f t="shared" ca="1" si="226"/>
        <v>0.75930272401771903</v>
      </c>
      <c r="E3992" s="48">
        <f t="shared" ca="1" si="227"/>
        <v>0</v>
      </c>
      <c r="F3992" s="17">
        <f t="shared" ca="1" si="228"/>
        <v>0</v>
      </c>
      <c r="H3992" s="17">
        <v>3977</v>
      </c>
      <c r="I3992" s="43">
        <v>0.66827641716978636</v>
      </c>
      <c r="J3992" s="43">
        <v>1.8901497186993965E-2</v>
      </c>
      <c r="K3992" s="43"/>
      <c r="L3992" s="43">
        <v>0.25180000000000002</v>
      </c>
      <c r="O3992" s="50"/>
    </row>
    <row r="3993" spans="2:15" x14ac:dyDescent="0.2">
      <c r="B3993">
        <v>3978</v>
      </c>
      <c r="C3993" s="48">
        <f ca="1"/>
        <v>1.1211647203846435</v>
      </c>
      <c r="D3993" s="48">
        <f t="shared" ca="1" si="226"/>
        <v>0.74216845077362403</v>
      </c>
      <c r="E3993" s="48">
        <f t="shared" ca="1" si="227"/>
        <v>0</v>
      </c>
      <c r="F3993" s="17">
        <f t="shared" ca="1" si="228"/>
        <v>0</v>
      </c>
      <c r="H3993" s="17">
        <v>3978</v>
      </c>
      <c r="I3993" s="43">
        <v>0.66859655520403405</v>
      </c>
      <c r="J3993" s="43">
        <v>1.9247869625611608E-2</v>
      </c>
      <c r="K3993" s="43"/>
      <c r="L3993" s="43">
        <v>0.249</v>
      </c>
      <c r="O3993" s="50"/>
    </row>
    <row r="3994" spans="2:15" x14ac:dyDescent="0.2">
      <c r="B3994">
        <v>3979</v>
      </c>
      <c r="C3994" s="48">
        <f ca="1"/>
        <v>-0.10026237956999989</v>
      </c>
      <c r="D3994" s="48">
        <f t="shared" ca="1" si="226"/>
        <v>0.65796966783502786</v>
      </c>
      <c r="E3994" s="48">
        <f t="shared" ca="1" si="227"/>
        <v>0</v>
      </c>
      <c r="F3994" s="17">
        <f t="shared" ca="1" si="228"/>
        <v>0</v>
      </c>
      <c r="H3994" s="17">
        <v>3979</v>
      </c>
      <c r="I3994" s="43">
        <v>0.67037144096629797</v>
      </c>
      <c r="J3994" s="43">
        <v>2.0145169869680145E-2</v>
      </c>
      <c r="K3994" s="43"/>
      <c r="L3994" s="43">
        <v>0.253</v>
      </c>
      <c r="O3994" s="50"/>
    </row>
    <row r="3995" spans="2:15" x14ac:dyDescent="0.2">
      <c r="B3995">
        <v>3980</v>
      </c>
      <c r="C3995" s="48">
        <f ca="1"/>
        <v>-0.69870775213299097</v>
      </c>
      <c r="D3995" s="48">
        <f t="shared" ca="1" si="226"/>
        <v>0.62027294664476795</v>
      </c>
      <c r="E3995" s="48">
        <f t="shared" ca="1" si="227"/>
        <v>0</v>
      </c>
      <c r="F3995" s="17">
        <f t="shared" ca="1" si="228"/>
        <v>0</v>
      </c>
      <c r="H3995" s="17">
        <v>3980</v>
      </c>
      <c r="I3995" s="43">
        <v>0.66879233164521934</v>
      </c>
      <c r="J3995" s="43">
        <v>1.8905268850458044E-2</v>
      </c>
      <c r="K3995" s="43"/>
      <c r="L3995" s="43">
        <v>0.24679999999999999</v>
      </c>
      <c r="O3995" s="50"/>
    </row>
    <row r="3996" spans="2:15" x14ac:dyDescent="0.2">
      <c r="B3996">
        <v>3981</v>
      </c>
      <c r="C3996" s="48">
        <f ca="1"/>
        <v>0.47330800893880687</v>
      </c>
      <c r="D3996" s="48">
        <f t="shared" ca="1" si="226"/>
        <v>0.69624783802783685</v>
      </c>
      <c r="E3996" s="48">
        <f t="shared" ca="1" si="227"/>
        <v>0</v>
      </c>
      <c r="F3996" s="17">
        <f t="shared" ca="1" si="228"/>
        <v>0</v>
      </c>
      <c r="H3996" s="17">
        <v>3981</v>
      </c>
      <c r="I3996" s="43">
        <v>0.67006935902713827</v>
      </c>
      <c r="J3996" s="43">
        <v>1.992810335616978E-2</v>
      </c>
      <c r="K3996" s="43"/>
      <c r="L3996" s="43">
        <v>0.255</v>
      </c>
      <c r="O3996" s="50"/>
    </row>
    <row r="3997" spans="2:15" x14ac:dyDescent="0.2">
      <c r="B3997">
        <v>3982</v>
      </c>
      <c r="C3997" s="48">
        <f ca="1"/>
        <v>-0.7785540414204104</v>
      </c>
      <c r="D3997" s="48">
        <f t="shared" ca="1" si="226"/>
        <v>0.61540942256623876</v>
      </c>
      <c r="E3997" s="48">
        <f t="shared" ca="1" si="227"/>
        <v>0</v>
      </c>
      <c r="F3997" s="17">
        <f t="shared" ca="1" si="228"/>
        <v>0</v>
      </c>
      <c r="H3997" s="17">
        <v>3982</v>
      </c>
      <c r="I3997" s="43">
        <v>0.66782861936734639</v>
      </c>
      <c r="J3997" s="43">
        <v>1.8641205981896773E-2</v>
      </c>
      <c r="K3997" s="43"/>
      <c r="L3997" s="43">
        <v>0.2422</v>
      </c>
      <c r="O3997" s="50"/>
    </row>
    <row r="3998" spans="2:15" x14ac:dyDescent="0.2">
      <c r="B3998">
        <v>3983</v>
      </c>
      <c r="C3998" s="48">
        <f ca="1"/>
        <v>-0.22456497391342006</v>
      </c>
      <c r="D3998" s="48">
        <f t="shared" ca="1" si="226"/>
        <v>0.64995566605144284</v>
      </c>
      <c r="E3998" s="48">
        <f t="shared" ca="1" si="227"/>
        <v>0</v>
      </c>
      <c r="F3998" s="17">
        <f t="shared" ca="1" si="228"/>
        <v>0</v>
      </c>
      <c r="H3998" s="17">
        <v>3983</v>
      </c>
      <c r="I3998" s="43">
        <v>0.66946673895423969</v>
      </c>
      <c r="J3998" s="43">
        <v>1.9851336477301668E-2</v>
      </c>
      <c r="K3998" s="43"/>
      <c r="L3998" s="43">
        <v>0.25319999999999998</v>
      </c>
      <c r="O3998" s="50"/>
    </row>
    <row r="3999" spans="2:15" x14ac:dyDescent="0.2">
      <c r="B3999">
        <v>3984</v>
      </c>
      <c r="C3999" s="48">
        <f ca="1"/>
        <v>0.891862895474407</v>
      </c>
      <c r="D3999" s="48">
        <f t="shared" ca="1" si="226"/>
        <v>0.72557899743563214</v>
      </c>
      <c r="E3999" s="48">
        <f t="shared" ca="1" si="227"/>
        <v>0</v>
      </c>
      <c r="F3999" s="17">
        <f t="shared" ca="1" si="228"/>
        <v>0</v>
      </c>
      <c r="H3999" s="17">
        <v>3984</v>
      </c>
      <c r="I3999" s="43">
        <v>0.66828177723633564</v>
      </c>
      <c r="J3999" s="43">
        <v>1.88176294943131E-2</v>
      </c>
      <c r="K3999" s="43"/>
      <c r="L3999" s="43">
        <v>0.24660000000000001</v>
      </c>
      <c r="O3999" s="50"/>
    </row>
    <row r="4000" spans="2:15" x14ac:dyDescent="0.2">
      <c r="B4000">
        <v>3985</v>
      </c>
      <c r="C4000" s="48">
        <f ca="1"/>
        <v>0.59411026914243603</v>
      </c>
      <c r="D4000" s="48">
        <f t="shared" ca="1" si="226"/>
        <v>0.70458943765714221</v>
      </c>
      <c r="E4000" s="48">
        <f t="shared" ca="1" si="227"/>
        <v>0</v>
      </c>
      <c r="F4000" s="17">
        <f t="shared" ca="1" si="228"/>
        <v>0</v>
      </c>
      <c r="H4000" s="17">
        <v>3985</v>
      </c>
      <c r="I4000" s="43">
        <v>0.66867909127600456</v>
      </c>
      <c r="J4000" s="43">
        <v>1.9044872576405726E-2</v>
      </c>
      <c r="K4000" s="43"/>
      <c r="L4000" s="43">
        <v>0.24640000000000001</v>
      </c>
      <c r="O4000" s="50"/>
    </row>
    <row r="4001" spans="2:15" x14ac:dyDescent="0.2">
      <c r="B4001">
        <v>3986</v>
      </c>
      <c r="C4001" s="48">
        <f ca="1"/>
        <v>0.6129426943631765</v>
      </c>
      <c r="D4001" s="48">
        <f t="shared" ca="1" si="226"/>
        <v>0.7058988225549131</v>
      </c>
      <c r="E4001" s="48">
        <f t="shared" ca="1" si="227"/>
        <v>0</v>
      </c>
      <c r="F4001" s="17">
        <f t="shared" ca="1" si="228"/>
        <v>0</v>
      </c>
      <c r="H4001" s="17">
        <v>3986</v>
      </c>
      <c r="I4001" s="43">
        <v>0.66873636302909512</v>
      </c>
      <c r="J4001" s="43">
        <v>1.9158809498982663E-2</v>
      </c>
      <c r="K4001" s="43"/>
      <c r="L4001" s="43">
        <v>0.25259999999999999</v>
      </c>
      <c r="O4001" s="50"/>
    </row>
    <row r="4002" spans="2:15" x14ac:dyDescent="0.2">
      <c r="B4002">
        <v>3987</v>
      </c>
      <c r="C4002" s="48">
        <f ca="1"/>
        <v>1.6269446669883314</v>
      </c>
      <c r="D4002" s="48">
        <f t="shared" ca="1" si="226"/>
        <v>0.78011379899555877</v>
      </c>
      <c r="E4002" s="48">
        <f t="shared" ca="1" si="227"/>
        <v>0</v>
      </c>
      <c r="F4002" s="17">
        <f t="shared" ca="1" si="228"/>
        <v>0</v>
      </c>
      <c r="H4002" s="17">
        <v>3987</v>
      </c>
      <c r="I4002" s="43">
        <v>0.67023333460375867</v>
      </c>
      <c r="J4002" s="43">
        <v>2.0165751637421847E-2</v>
      </c>
      <c r="K4002" s="43"/>
      <c r="L4002" s="43">
        <v>0.24759999999999999</v>
      </c>
      <c r="O4002" s="50"/>
    </row>
    <row r="4003" spans="2:15" x14ac:dyDescent="0.2">
      <c r="B4003">
        <v>3988</v>
      </c>
      <c r="C4003" s="48">
        <f ca="1"/>
        <v>0.77568399895200568</v>
      </c>
      <c r="D4003" s="48">
        <f t="shared" ca="1" si="226"/>
        <v>0.71731578558262798</v>
      </c>
      <c r="E4003" s="48">
        <f t="shared" ca="1" si="227"/>
        <v>0</v>
      </c>
      <c r="F4003" s="17">
        <f t="shared" ca="1" si="228"/>
        <v>0</v>
      </c>
      <c r="H4003" s="17">
        <v>3988</v>
      </c>
      <c r="I4003" s="43">
        <v>0.66882419356707068</v>
      </c>
      <c r="J4003" s="43">
        <v>1.9122401085687666E-2</v>
      </c>
      <c r="K4003" s="43"/>
      <c r="L4003" s="43">
        <v>0.24460000000000001</v>
      </c>
      <c r="O4003" s="50"/>
    </row>
    <row r="4004" spans="2:15" x14ac:dyDescent="0.2">
      <c r="B4004">
        <v>3989</v>
      </c>
      <c r="C4004" s="48">
        <f ca="1"/>
        <v>-0.62683113842296856</v>
      </c>
      <c r="D4004" s="48">
        <f t="shared" ca="1" si="226"/>
        <v>0.62468389335959595</v>
      </c>
      <c r="E4004" s="48">
        <f t="shared" ca="1" si="227"/>
        <v>0</v>
      </c>
      <c r="F4004" s="17">
        <f t="shared" ca="1" si="228"/>
        <v>0</v>
      </c>
      <c r="H4004" s="17">
        <v>3989</v>
      </c>
      <c r="I4004" s="43">
        <v>0.66940149860429032</v>
      </c>
      <c r="J4004" s="43">
        <v>1.9866046654419874E-2</v>
      </c>
      <c r="K4004" s="43"/>
      <c r="L4004" s="43">
        <v>0.25280000000000002</v>
      </c>
      <c r="O4004" s="50"/>
    </row>
    <row r="4005" spans="2:15" x14ac:dyDescent="0.2">
      <c r="B4005">
        <v>3990</v>
      </c>
      <c r="C4005" s="48">
        <f ca="1"/>
        <v>-0.65329318281812276</v>
      </c>
      <c r="D4005" s="48">
        <f t="shared" ca="1" si="226"/>
        <v>0.62305632571959135</v>
      </c>
      <c r="E4005" s="48">
        <f t="shared" ca="1" si="227"/>
        <v>0</v>
      </c>
      <c r="F4005" s="17">
        <f t="shared" ca="1" si="228"/>
        <v>0</v>
      </c>
      <c r="H4005" s="17">
        <v>3990</v>
      </c>
      <c r="I4005" s="43">
        <v>0.66839392243153328</v>
      </c>
      <c r="J4005" s="43">
        <v>1.8805737015860895E-2</v>
      </c>
      <c r="K4005" s="43"/>
      <c r="L4005" s="43">
        <v>0.24360000000000001</v>
      </c>
      <c r="O4005" s="50"/>
    </row>
    <row r="4006" spans="2:15" x14ac:dyDescent="0.2">
      <c r="B4006">
        <v>3991</v>
      </c>
      <c r="C4006" s="48">
        <f ca="1"/>
        <v>-1.8417641874568242</v>
      </c>
      <c r="D4006" s="48">
        <f t="shared" ca="1" si="226"/>
        <v>0.55416838020443127</v>
      </c>
      <c r="E4006" s="48">
        <f t="shared" ca="1" si="227"/>
        <v>0</v>
      </c>
      <c r="F4006" s="17">
        <f t="shared" ca="1" si="228"/>
        <v>0</v>
      </c>
      <c r="H4006" s="17">
        <v>3991</v>
      </c>
      <c r="I4006" s="43">
        <v>0.66880049712471634</v>
      </c>
      <c r="J4006" s="43">
        <v>1.931344484974094E-2</v>
      </c>
      <c r="K4006" s="43"/>
      <c r="L4006" s="43">
        <v>0.248</v>
      </c>
      <c r="O4006" s="50"/>
    </row>
    <row r="4007" spans="2:15" x14ac:dyDescent="0.2">
      <c r="B4007">
        <v>3992</v>
      </c>
      <c r="C4007" s="48">
        <f ca="1"/>
        <v>0.58145459936503718</v>
      </c>
      <c r="D4007" s="48">
        <f t="shared" ca="1" si="226"/>
        <v>0.70371087633693885</v>
      </c>
      <c r="E4007" s="48">
        <f t="shared" ca="1" si="227"/>
        <v>0</v>
      </c>
      <c r="F4007" s="17">
        <f t="shared" ca="1" si="228"/>
        <v>0</v>
      </c>
      <c r="H4007" s="17">
        <v>3992</v>
      </c>
      <c r="I4007" s="43">
        <v>0.66999206648139675</v>
      </c>
      <c r="J4007" s="43">
        <v>1.9991811061580003E-2</v>
      </c>
      <c r="K4007" s="43"/>
      <c r="L4007" s="43">
        <v>0.24959999999999999</v>
      </c>
      <c r="O4007" s="50"/>
    </row>
    <row r="4008" spans="2:15" x14ac:dyDescent="0.2">
      <c r="B4008">
        <v>3993</v>
      </c>
      <c r="C4008" s="48">
        <f ca="1"/>
        <v>-0.23539874223086035</v>
      </c>
      <c r="D4008" s="48">
        <f t="shared" ca="1" si="226"/>
        <v>0.64926183602614063</v>
      </c>
      <c r="E4008" s="48">
        <f t="shared" ca="1" si="227"/>
        <v>0</v>
      </c>
      <c r="F4008" s="17">
        <f t="shared" ca="1" si="228"/>
        <v>0</v>
      </c>
      <c r="H4008" s="17">
        <v>3993</v>
      </c>
      <c r="I4008" s="43">
        <v>0.66957531903789358</v>
      </c>
      <c r="J4008" s="43">
        <v>1.986985460928168E-2</v>
      </c>
      <c r="K4008" s="43"/>
      <c r="L4008" s="43">
        <v>0.25380000000000003</v>
      </c>
      <c r="O4008" s="50"/>
    </row>
    <row r="4009" spans="2:15" x14ac:dyDescent="0.2">
      <c r="B4009">
        <v>3994</v>
      </c>
      <c r="C4009" s="48">
        <f ca="1"/>
        <v>-1.8414924191346107</v>
      </c>
      <c r="D4009" s="48">
        <f t="shared" ca="1" si="226"/>
        <v>0.55418322820973276</v>
      </c>
      <c r="E4009" s="48">
        <f t="shared" ca="1" si="227"/>
        <v>0</v>
      </c>
      <c r="F4009" s="17">
        <f t="shared" ca="1" si="228"/>
        <v>0</v>
      </c>
      <c r="H4009" s="17">
        <v>3994</v>
      </c>
      <c r="I4009" s="43">
        <v>0.6687733460751204</v>
      </c>
      <c r="J4009" s="43">
        <v>1.9169240354761592E-2</v>
      </c>
      <c r="K4009" s="43"/>
      <c r="L4009" s="43">
        <v>0.24879999999999999</v>
      </c>
      <c r="O4009" s="50"/>
    </row>
    <row r="4010" spans="2:15" x14ac:dyDescent="0.2">
      <c r="B4010">
        <v>3995</v>
      </c>
      <c r="C4010" s="48">
        <f ca="1"/>
        <v>1.488054910608309</v>
      </c>
      <c r="D4010" s="48">
        <f t="shared" ca="1" si="226"/>
        <v>0.76950466492038549</v>
      </c>
      <c r="E4010" s="48">
        <f t="shared" ca="1" si="227"/>
        <v>0</v>
      </c>
      <c r="F4010" s="17">
        <f t="shared" ca="1" si="228"/>
        <v>0</v>
      </c>
      <c r="H4010" s="17">
        <v>3995</v>
      </c>
      <c r="I4010" s="43">
        <v>0.66907014999792414</v>
      </c>
      <c r="J4010" s="43">
        <v>1.9838701917765492E-2</v>
      </c>
      <c r="K4010" s="43"/>
      <c r="L4010" s="43">
        <v>0.2586</v>
      </c>
      <c r="O4010" s="50"/>
    </row>
    <row r="4011" spans="2:15" x14ac:dyDescent="0.2">
      <c r="B4011">
        <v>3996</v>
      </c>
      <c r="C4011" s="48">
        <f ca="1"/>
        <v>0.1616145915751418</v>
      </c>
      <c r="D4011" s="48">
        <f t="shared" ca="1" si="226"/>
        <v>0.67517817615683751</v>
      </c>
      <c r="E4011" s="48">
        <f t="shared" ca="1" si="227"/>
        <v>0</v>
      </c>
      <c r="F4011" s="17">
        <f t="shared" ca="1" si="228"/>
        <v>0</v>
      </c>
      <c r="H4011" s="17">
        <v>3996</v>
      </c>
      <c r="I4011" s="43">
        <v>0.66928581873711979</v>
      </c>
      <c r="J4011" s="43">
        <v>1.9606272716195708E-2</v>
      </c>
      <c r="K4011" s="43"/>
      <c r="L4011" s="43">
        <v>0.25080000000000002</v>
      </c>
      <c r="O4011" s="50"/>
    </row>
    <row r="4012" spans="2:15" x14ac:dyDescent="0.2">
      <c r="B4012">
        <v>3997</v>
      </c>
      <c r="C4012" s="48">
        <f ca="1"/>
        <v>-1.4212723339283275</v>
      </c>
      <c r="D4012" s="48">
        <f t="shared" ca="1" si="226"/>
        <v>0.57762438462857324</v>
      </c>
      <c r="E4012" s="48">
        <f t="shared" ca="1" si="227"/>
        <v>0</v>
      </c>
      <c r="F4012" s="17">
        <f t="shared" ca="1" si="228"/>
        <v>0</v>
      </c>
      <c r="H4012" s="17">
        <v>3997</v>
      </c>
      <c r="I4012" s="43">
        <v>0.66927512064946271</v>
      </c>
      <c r="J4012" s="43">
        <v>1.9560739177131619E-2</v>
      </c>
      <c r="K4012" s="43"/>
      <c r="L4012" s="43">
        <v>0.24859999999999999</v>
      </c>
      <c r="O4012" s="50"/>
    </row>
    <row r="4013" spans="2:15" x14ac:dyDescent="0.2">
      <c r="B4013">
        <v>3998</v>
      </c>
      <c r="C4013" s="48">
        <f ca="1"/>
        <v>-1.7066678538051334</v>
      </c>
      <c r="D4013" s="48">
        <f t="shared" ca="1" si="226"/>
        <v>0.56159861226003804</v>
      </c>
      <c r="E4013" s="48">
        <f t="shared" ca="1" si="227"/>
        <v>0</v>
      </c>
      <c r="F4013" s="17">
        <f t="shared" ca="1" si="228"/>
        <v>0</v>
      </c>
      <c r="H4013" s="17">
        <v>3998</v>
      </c>
      <c r="I4013" s="43">
        <v>0.6684739632718496</v>
      </c>
      <c r="J4013" s="43">
        <v>1.8894890615585455E-2</v>
      </c>
      <c r="K4013" s="43"/>
      <c r="L4013" s="43">
        <v>0.25080000000000002</v>
      </c>
      <c r="O4013" s="50"/>
    </row>
    <row r="4014" spans="2:15" x14ac:dyDescent="0.2">
      <c r="B4014">
        <v>3999</v>
      </c>
      <c r="C4014" s="48">
        <f ca="1"/>
        <v>2.0680209787995603</v>
      </c>
      <c r="D4014" s="48">
        <f t="shared" ca="1" si="226"/>
        <v>0.81478510427409245</v>
      </c>
      <c r="E4014" s="48">
        <f t="shared" ca="1" si="227"/>
        <v>2.6585104274092441E-2</v>
      </c>
      <c r="F4014" s="17">
        <f t="shared" ca="1" si="228"/>
        <v>1</v>
      </c>
      <c r="H4014" s="17">
        <v>3999</v>
      </c>
      <c r="I4014" s="43">
        <v>0.66996193189837505</v>
      </c>
      <c r="J4014" s="43">
        <v>2.0033158785467561E-2</v>
      </c>
      <c r="K4014" s="43"/>
      <c r="L4014" s="43">
        <v>0.25719999999999998</v>
      </c>
      <c r="O4014" s="50"/>
    </row>
    <row r="4015" spans="2:15" x14ac:dyDescent="0.2">
      <c r="B4015">
        <v>4000</v>
      </c>
      <c r="C4015" s="48">
        <f ca="1"/>
        <v>0.29384558195032739</v>
      </c>
      <c r="D4015" s="48">
        <f t="shared" ca="1" si="226"/>
        <v>0.68403763598552536</v>
      </c>
      <c r="E4015" s="48">
        <f t="shared" ca="1" si="227"/>
        <v>0</v>
      </c>
      <c r="F4015" s="17">
        <f t="shared" ca="1" si="228"/>
        <v>0</v>
      </c>
      <c r="H4015" s="17">
        <v>4000</v>
      </c>
      <c r="I4015" s="43">
        <v>0.66886245830666025</v>
      </c>
      <c r="J4015" s="43">
        <v>1.9376418367086316E-2</v>
      </c>
      <c r="K4015" s="43"/>
      <c r="L4015" s="43">
        <v>0.24959999999999999</v>
      </c>
      <c r="O4015" s="50"/>
    </row>
    <row r="4016" spans="2:15" x14ac:dyDescent="0.2">
      <c r="B4016">
        <f>B4015+1</f>
        <v>4001</v>
      </c>
      <c r="C4016" s="48">
        <f ca="1"/>
        <v>1.3011852496823078</v>
      </c>
      <c r="D4016" s="48">
        <f t="shared" ca="1" si="226"/>
        <v>0.75545786450735897</v>
      </c>
      <c r="E4016" s="48">
        <f t="shared" ca="1" si="227"/>
        <v>0</v>
      </c>
      <c r="F4016" s="17">
        <f t="shared" ca="1" si="228"/>
        <v>0</v>
      </c>
      <c r="H4016" s="17">
        <v>4001</v>
      </c>
      <c r="I4016" s="43">
        <v>0.66863782527067039</v>
      </c>
      <c r="J4016" s="43">
        <v>1.8937847906888738E-2</v>
      </c>
      <c r="K4016" s="43"/>
      <c r="L4016" s="43">
        <v>0.24679999999999999</v>
      </c>
      <c r="O4016" s="50"/>
    </row>
    <row r="4017" spans="2:15" x14ac:dyDescent="0.2">
      <c r="B4017">
        <f t="shared" ref="B4017:B4080" si="229">B4016+1</f>
        <v>4002</v>
      </c>
      <c r="C4017" s="48">
        <f ca="1"/>
        <v>7.3169921008376868E-2</v>
      </c>
      <c r="D4017" s="48">
        <f t="shared" ca="1" si="226"/>
        <v>0.66931652811697473</v>
      </c>
      <c r="E4017" s="48">
        <f t="shared" ca="1" si="227"/>
        <v>0</v>
      </c>
      <c r="F4017" s="17">
        <f t="shared" ca="1" si="228"/>
        <v>0</v>
      </c>
      <c r="H4017" s="17">
        <v>4002</v>
      </c>
      <c r="I4017" s="43">
        <v>0.6687939709527807</v>
      </c>
      <c r="J4017" s="43">
        <v>1.9446044705382311E-2</v>
      </c>
      <c r="K4017" s="43"/>
      <c r="L4017" s="43">
        <v>0.25419999999999998</v>
      </c>
      <c r="O4017" s="50"/>
    </row>
    <row r="4018" spans="2:15" x14ac:dyDescent="0.2">
      <c r="B4018">
        <f t="shared" si="229"/>
        <v>4003</v>
      </c>
      <c r="C4018" s="48">
        <f ca="1"/>
        <v>1.2522272098632137</v>
      </c>
      <c r="D4018" s="48">
        <f t="shared" ca="1" si="226"/>
        <v>0.75182031999524801</v>
      </c>
      <c r="E4018" s="48">
        <f t="shared" ca="1" si="227"/>
        <v>0</v>
      </c>
      <c r="F4018" s="17">
        <f t="shared" ca="1" si="228"/>
        <v>0</v>
      </c>
      <c r="H4018" s="17">
        <v>4003</v>
      </c>
      <c r="I4018" s="43">
        <v>0.67017328002788834</v>
      </c>
      <c r="J4018" s="43">
        <v>2.0248430799271789E-2</v>
      </c>
      <c r="K4018" s="43"/>
      <c r="L4018" s="43">
        <v>0.25919999999999999</v>
      </c>
      <c r="O4018" s="50"/>
    </row>
    <row r="4019" spans="2:15" x14ac:dyDescent="0.2">
      <c r="B4019">
        <f t="shared" si="229"/>
        <v>4004</v>
      </c>
      <c r="C4019" s="48">
        <f ca="1"/>
        <v>0.90749849287887052</v>
      </c>
      <c r="D4019" s="48">
        <f t="shared" ca="1" si="226"/>
        <v>0.72669832106747623</v>
      </c>
      <c r="E4019" s="48">
        <f t="shared" ca="1" si="227"/>
        <v>0</v>
      </c>
      <c r="F4019" s="17">
        <f t="shared" ca="1" si="228"/>
        <v>0</v>
      </c>
      <c r="H4019" s="17">
        <v>4004</v>
      </c>
      <c r="I4019" s="43">
        <v>0.66959279633151059</v>
      </c>
      <c r="J4019" s="43">
        <v>1.9867837078189465E-2</v>
      </c>
      <c r="K4019" s="43"/>
      <c r="L4019" s="43">
        <v>0.25359999999999999</v>
      </c>
      <c r="O4019" s="50"/>
    </row>
    <row r="4020" spans="2:15" x14ac:dyDescent="0.2">
      <c r="B4020">
        <f t="shared" si="229"/>
        <v>4005</v>
      </c>
      <c r="C4020" s="48">
        <f ca="1"/>
        <v>-0.50243718230426915</v>
      </c>
      <c r="D4020" s="48">
        <f t="shared" ca="1" si="226"/>
        <v>0.6323919883119935</v>
      </c>
      <c r="E4020" s="48">
        <f t="shared" ca="1" si="227"/>
        <v>0</v>
      </c>
      <c r="F4020" s="17">
        <f t="shared" ca="1" si="228"/>
        <v>0</v>
      </c>
      <c r="H4020" s="17">
        <v>4005</v>
      </c>
      <c r="I4020" s="43">
        <v>0.66908775600415371</v>
      </c>
      <c r="J4020" s="43">
        <v>1.9525436852132774E-2</v>
      </c>
      <c r="K4020" s="43"/>
      <c r="L4020" s="43">
        <v>0.248</v>
      </c>
      <c r="O4020" s="50"/>
    </row>
    <row r="4021" spans="2:15" x14ac:dyDescent="0.2">
      <c r="B4021">
        <f t="shared" si="229"/>
        <v>4006</v>
      </c>
      <c r="C4021" s="48">
        <f ca="1"/>
        <v>7.1519463430317048E-3</v>
      </c>
      <c r="D4021" s="48">
        <f t="shared" ca="1" si="226"/>
        <v>0.66497439712684081</v>
      </c>
      <c r="E4021" s="48">
        <f t="shared" ca="1" si="227"/>
        <v>0</v>
      </c>
      <c r="F4021" s="17">
        <f t="shared" ca="1" si="228"/>
        <v>0</v>
      </c>
      <c r="H4021" s="17">
        <v>4006</v>
      </c>
      <c r="I4021" s="43">
        <v>0.66822046049185946</v>
      </c>
      <c r="J4021" s="43">
        <v>1.8809363262092729E-2</v>
      </c>
      <c r="K4021" s="43"/>
      <c r="L4021" s="43">
        <v>0.25140000000000001</v>
      </c>
      <c r="O4021" s="50"/>
    </row>
    <row r="4022" spans="2:15" x14ac:dyDescent="0.2">
      <c r="B4022">
        <f t="shared" si="229"/>
        <v>4007</v>
      </c>
      <c r="C4022" s="48">
        <f ca="1"/>
        <v>-0.11691272945526085</v>
      </c>
      <c r="D4022" s="48">
        <f t="shared" ca="1" si="226"/>
        <v>0.65689048617548007</v>
      </c>
      <c r="E4022" s="48">
        <f t="shared" ca="1" si="227"/>
        <v>0</v>
      </c>
      <c r="F4022" s="17">
        <f t="shared" ca="1" si="228"/>
        <v>0</v>
      </c>
      <c r="H4022" s="17">
        <v>4007</v>
      </c>
      <c r="I4022" s="43">
        <v>0.66925997963149331</v>
      </c>
      <c r="J4022" s="43">
        <v>1.9530796838486471E-2</v>
      </c>
      <c r="K4022" s="43"/>
      <c r="L4022" s="43">
        <v>0.24940000000000001</v>
      </c>
      <c r="O4022" s="50"/>
    </row>
    <row r="4023" spans="2:15" x14ac:dyDescent="0.2">
      <c r="B4023">
        <f t="shared" si="229"/>
        <v>4008</v>
      </c>
      <c r="C4023" s="48">
        <f ca="1"/>
        <v>-0.70310706636969567</v>
      </c>
      <c r="D4023" s="48">
        <f t="shared" ca="1" si="226"/>
        <v>0.62000398189393646</v>
      </c>
      <c r="E4023" s="48">
        <f t="shared" ca="1" si="227"/>
        <v>0</v>
      </c>
      <c r="F4023" s="17">
        <f t="shared" ca="1" si="228"/>
        <v>0</v>
      </c>
      <c r="H4023" s="17">
        <v>4008</v>
      </c>
      <c r="I4023" s="43">
        <v>0.6690486368979971</v>
      </c>
      <c r="J4023" s="43">
        <v>1.9442606785268136E-2</v>
      </c>
      <c r="K4023" s="43"/>
      <c r="L4023" s="43">
        <v>0.254</v>
      </c>
      <c r="O4023" s="50"/>
    </row>
    <row r="4024" spans="2:15" x14ac:dyDescent="0.2">
      <c r="B4024">
        <f t="shared" si="229"/>
        <v>4009</v>
      </c>
      <c r="C4024" s="48">
        <f ca="1"/>
        <v>1.0261157091030404</v>
      </c>
      <c r="D4024" s="48">
        <f t="shared" ca="1" si="226"/>
        <v>0.73524633923589477</v>
      </c>
      <c r="E4024" s="48">
        <f t="shared" ca="1" si="227"/>
        <v>0</v>
      </c>
      <c r="F4024" s="17">
        <f t="shared" ca="1" si="228"/>
        <v>0</v>
      </c>
      <c r="H4024" s="17">
        <v>4009</v>
      </c>
      <c r="I4024" s="43">
        <v>0.66942341771797587</v>
      </c>
      <c r="J4024" s="43">
        <v>1.9805152429714271E-2</v>
      </c>
      <c r="K4024" s="43"/>
      <c r="L4024" s="43">
        <v>0.25480000000000003</v>
      </c>
      <c r="O4024" s="50"/>
    </row>
    <row r="4025" spans="2:15" x14ac:dyDescent="0.2">
      <c r="B4025">
        <f t="shared" si="229"/>
        <v>4010</v>
      </c>
      <c r="C4025" s="48">
        <f ca="1"/>
        <v>1.7980959470069537</v>
      </c>
      <c r="D4025" s="48">
        <f t="shared" ca="1" si="226"/>
        <v>0.79338862966776635</v>
      </c>
      <c r="E4025" s="48">
        <f t="shared" ca="1" si="227"/>
        <v>5.1886296677663424E-3</v>
      </c>
      <c r="F4025" s="17">
        <f t="shared" ca="1" si="228"/>
        <v>1</v>
      </c>
      <c r="H4025" s="17">
        <v>4010</v>
      </c>
      <c r="I4025" s="43">
        <v>0.6695272912607183</v>
      </c>
      <c r="J4025" s="43">
        <v>1.9827285367425847E-2</v>
      </c>
      <c r="K4025" s="43"/>
      <c r="L4025" s="43">
        <v>0.25480000000000003</v>
      </c>
      <c r="O4025" s="50"/>
    </row>
    <row r="4026" spans="2:15" x14ac:dyDescent="0.2">
      <c r="B4026">
        <f t="shared" si="229"/>
        <v>4011</v>
      </c>
      <c r="C4026" s="48">
        <f ca="1"/>
        <v>-0.58935202082117411</v>
      </c>
      <c r="D4026" s="48">
        <f t="shared" ca="1" si="226"/>
        <v>0.62699635206585469</v>
      </c>
      <c r="E4026" s="48">
        <f t="shared" ca="1" si="227"/>
        <v>0</v>
      </c>
      <c r="F4026" s="17">
        <f t="shared" ca="1" si="228"/>
        <v>0</v>
      </c>
      <c r="H4026" s="17">
        <v>4011</v>
      </c>
      <c r="I4026" s="43">
        <v>0.66905635190229451</v>
      </c>
      <c r="J4026" s="43">
        <v>1.9031619352640382E-2</v>
      </c>
      <c r="K4026" s="43"/>
      <c r="L4026" s="43">
        <v>0.24379999999999999</v>
      </c>
      <c r="O4026" s="50"/>
    </row>
    <row r="4027" spans="2:15" x14ac:dyDescent="0.2">
      <c r="B4027">
        <f t="shared" si="229"/>
        <v>4012</v>
      </c>
      <c r="C4027" s="48">
        <f ca="1"/>
        <v>0.36706512817960762</v>
      </c>
      <c r="D4027" s="48">
        <f t="shared" ca="1" si="226"/>
        <v>0.68899324663718831</v>
      </c>
      <c r="E4027" s="48">
        <f t="shared" ca="1" si="227"/>
        <v>0</v>
      </c>
      <c r="F4027" s="17">
        <f t="shared" ca="1" si="228"/>
        <v>0</v>
      </c>
      <c r="H4027" s="17">
        <v>4012</v>
      </c>
      <c r="I4027" s="43">
        <v>0.66831254123493244</v>
      </c>
      <c r="J4027" s="43">
        <v>1.8947403057221986E-2</v>
      </c>
      <c r="K4027" s="43"/>
      <c r="L4027" s="43">
        <v>0.24660000000000001</v>
      </c>
      <c r="O4027" s="50"/>
    </row>
    <row r="4028" spans="2:15" x14ac:dyDescent="0.2">
      <c r="B4028">
        <f t="shared" si="229"/>
        <v>4013</v>
      </c>
      <c r="C4028" s="48">
        <f ca="1"/>
        <v>1.3309287652326027</v>
      </c>
      <c r="D4028" s="48">
        <f t="shared" ca="1" si="226"/>
        <v>0.75767637338424498</v>
      </c>
      <c r="E4028" s="48">
        <f t="shared" ca="1" si="227"/>
        <v>0</v>
      </c>
      <c r="F4028" s="17">
        <f t="shared" ca="1" si="228"/>
        <v>0</v>
      </c>
      <c r="H4028" s="17">
        <v>4013</v>
      </c>
      <c r="I4028" s="43">
        <v>0.66788903783611075</v>
      </c>
      <c r="J4028" s="43">
        <v>1.8672935630587098E-2</v>
      </c>
      <c r="K4028" s="43"/>
      <c r="L4028" s="43">
        <v>0.24199999999999999</v>
      </c>
      <c r="O4028" s="50"/>
    </row>
    <row r="4029" spans="2:15" x14ac:dyDescent="0.2">
      <c r="B4029">
        <f t="shared" si="229"/>
        <v>4014</v>
      </c>
      <c r="C4029" s="48">
        <f ca="1"/>
        <v>0.58373705961151079</v>
      </c>
      <c r="D4029" s="48">
        <f t="shared" ca="1" si="226"/>
        <v>0.70386924456952205</v>
      </c>
      <c r="E4029" s="48">
        <f t="shared" ca="1" si="227"/>
        <v>0</v>
      </c>
      <c r="F4029" s="17">
        <f t="shared" ca="1" si="228"/>
        <v>0</v>
      </c>
      <c r="H4029" s="17">
        <v>4014</v>
      </c>
      <c r="I4029" s="43">
        <v>0.66905274558360095</v>
      </c>
      <c r="J4029" s="43">
        <v>1.9678397548135645E-2</v>
      </c>
      <c r="K4029" s="43"/>
      <c r="L4029" s="43">
        <v>0.25280000000000002</v>
      </c>
      <c r="O4029" s="50"/>
    </row>
    <row r="4030" spans="2:15" x14ac:dyDescent="0.2">
      <c r="B4030">
        <f t="shared" si="229"/>
        <v>4015</v>
      </c>
      <c r="C4030" s="48">
        <f ca="1"/>
        <v>-0.15097215844194606</v>
      </c>
      <c r="D4030" s="48">
        <f t="shared" ca="1" si="226"/>
        <v>0.65468845676551124</v>
      </c>
      <c r="E4030" s="48">
        <f t="shared" ca="1" si="227"/>
        <v>0</v>
      </c>
      <c r="F4030" s="17">
        <f t="shared" ca="1" si="228"/>
        <v>0</v>
      </c>
      <c r="H4030" s="17">
        <v>4015</v>
      </c>
      <c r="I4030" s="43">
        <v>0.66929191137123301</v>
      </c>
      <c r="J4030" s="43">
        <v>1.9579924820296232E-2</v>
      </c>
      <c r="K4030" s="43"/>
      <c r="L4030" s="43">
        <v>0.25640000000000002</v>
      </c>
      <c r="O4030" s="50"/>
    </row>
    <row r="4031" spans="2:15" x14ac:dyDescent="0.2">
      <c r="B4031">
        <f t="shared" si="229"/>
        <v>4016</v>
      </c>
      <c r="C4031" s="48">
        <f ca="1"/>
        <v>0.82626521572510325</v>
      </c>
      <c r="D4031" s="48">
        <f t="shared" ca="1" si="226"/>
        <v>0.7209017392485022</v>
      </c>
      <c r="E4031" s="48">
        <f t="shared" ca="1" si="227"/>
        <v>0</v>
      </c>
      <c r="F4031" s="17">
        <f t="shared" ca="1" si="228"/>
        <v>0</v>
      </c>
      <c r="H4031" s="17">
        <v>4016</v>
      </c>
      <c r="I4031" s="43">
        <v>0.66979248721409923</v>
      </c>
      <c r="J4031" s="43">
        <v>1.952093764685742E-2</v>
      </c>
      <c r="K4031" s="43"/>
      <c r="L4031" s="43">
        <v>0.25180000000000002</v>
      </c>
      <c r="O4031" s="50"/>
    </row>
    <row r="4032" spans="2:15" x14ac:dyDescent="0.2">
      <c r="B4032">
        <f t="shared" si="229"/>
        <v>4017</v>
      </c>
      <c r="C4032" s="48">
        <f ca="1"/>
        <v>0.73423507324971371</v>
      </c>
      <c r="D4032" s="48">
        <f t="shared" ca="1" si="226"/>
        <v>0.71439056681446189</v>
      </c>
      <c r="E4032" s="48">
        <f t="shared" ca="1" si="227"/>
        <v>0</v>
      </c>
      <c r="F4032" s="17">
        <f t="shared" ca="1" si="228"/>
        <v>0</v>
      </c>
      <c r="H4032" s="17">
        <v>4017</v>
      </c>
      <c r="I4032" s="43">
        <v>0.66940428823151377</v>
      </c>
      <c r="J4032" s="43">
        <v>1.9885397600964569E-2</v>
      </c>
      <c r="K4032" s="43"/>
      <c r="L4032" s="43">
        <v>0.25219999999999998</v>
      </c>
      <c r="O4032" s="50"/>
    </row>
    <row r="4033" spans="2:15" x14ac:dyDescent="0.2">
      <c r="B4033">
        <f t="shared" si="229"/>
        <v>4018</v>
      </c>
      <c r="C4033" s="48">
        <f ca="1"/>
        <v>-0.70192844898048823</v>
      </c>
      <c r="D4033" s="48">
        <f t="shared" ca="1" si="226"/>
        <v>0.62007602862418476</v>
      </c>
      <c r="E4033" s="48">
        <f t="shared" ca="1" si="227"/>
        <v>0</v>
      </c>
      <c r="F4033" s="17">
        <f t="shared" ca="1" si="228"/>
        <v>0</v>
      </c>
      <c r="H4033" s="17">
        <v>4018</v>
      </c>
      <c r="I4033" s="43">
        <v>0.66985963727604914</v>
      </c>
      <c r="J4033" s="43">
        <v>2.006119335737163E-2</v>
      </c>
      <c r="K4033" s="43"/>
      <c r="L4033" s="43">
        <v>0.25119999999999998</v>
      </c>
      <c r="O4033" s="50"/>
    </row>
    <row r="4034" spans="2:15" x14ac:dyDescent="0.2">
      <c r="B4034">
        <f t="shared" si="229"/>
        <v>4019</v>
      </c>
      <c r="C4034" s="48">
        <f ca="1"/>
        <v>0.35291134308483874</v>
      </c>
      <c r="D4034" s="48">
        <f t="shared" ca="1" si="226"/>
        <v>0.6880325056614226</v>
      </c>
      <c r="E4034" s="48">
        <f t="shared" ca="1" si="227"/>
        <v>0</v>
      </c>
      <c r="F4034" s="17">
        <f t="shared" ca="1" si="228"/>
        <v>0</v>
      </c>
      <c r="H4034" s="17">
        <v>4019</v>
      </c>
      <c r="I4034" s="43">
        <v>0.66962441864757016</v>
      </c>
      <c r="J4034" s="43">
        <v>1.9866151244134947E-2</v>
      </c>
      <c r="K4034" s="43"/>
      <c r="L4034" s="43">
        <v>0.25280000000000002</v>
      </c>
      <c r="O4034" s="50"/>
    </row>
    <row r="4035" spans="2:15" x14ac:dyDescent="0.2">
      <c r="B4035">
        <f t="shared" si="229"/>
        <v>4020</v>
      </c>
      <c r="C4035" s="48">
        <f ca="1"/>
        <v>0.14702677927282481</v>
      </c>
      <c r="D4035" s="48">
        <f t="shared" ca="1" si="226"/>
        <v>0.67420784936043587</v>
      </c>
      <c r="E4035" s="48">
        <f t="shared" ca="1" si="227"/>
        <v>0</v>
      </c>
      <c r="F4035" s="17">
        <f t="shared" ca="1" si="228"/>
        <v>0</v>
      </c>
      <c r="H4035" s="17">
        <v>4020</v>
      </c>
      <c r="I4035" s="43">
        <v>0.66919150821584528</v>
      </c>
      <c r="J4035" s="43">
        <v>1.9519230416799205E-2</v>
      </c>
      <c r="K4035" s="43"/>
      <c r="L4035" s="43">
        <v>0.251</v>
      </c>
      <c r="O4035" s="50"/>
    </row>
    <row r="4036" spans="2:15" x14ac:dyDescent="0.2">
      <c r="B4036">
        <f t="shared" si="229"/>
        <v>4021</v>
      </c>
      <c r="C4036" s="48">
        <f ca="1"/>
        <v>6.0924806883837965E-5</v>
      </c>
      <c r="D4036" s="48">
        <f t="shared" ca="1" si="226"/>
        <v>0.66450968537677424</v>
      </c>
      <c r="E4036" s="48">
        <f t="shared" ca="1" si="227"/>
        <v>0</v>
      </c>
      <c r="F4036" s="17">
        <f t="shared" ca="1" si="228"/>
        <v>0</v>
      </c>
      <c r="H4036" s="17">
        <v>4021</v>
      </c>
      <c r="I4036" s="43">
        <v>0.66787228900506801</v>
      </c>
      <c r="J4036" s="43">
        <v>1.8318185145517363E-2</v>
      </c>
      <c r="K4036" s="43"/>
      <c r="L4036" s="43">
        <v>0.2414</v>
      </c>
      <c r="O4036" s="50"/>
    </row>
    <row r="4037" spans="2:15" x14ac:dyDescent="0.2">
      <c r="B4037">
        <f t="shared" si="229"/>
        <v>4022</v>
      </c>
      <c r="C4037" s="48">
        <f ca="1"/>
        <v>1.9410013273535189</v>
      </c>
      <c r="D4037" s="48">
        <f t="shared" ca="1" si="226"/>
        <v>0.80464553937618533</v>
      </c>
      <c r="E4037" s="48">
        <f t="shared" ca="1" si="227"/>
        <v>1.6445539376185314E-2</v>
      </c>
      <c r="F4037" s="17">
        <f t="shared" ca="1" si="228"/>
        <v>1</v>
      </c>
      <c r="H4037" s="17">
        <v>4022</v>
      </c>
      <c r="I4037" s="43">
        <v>0.66949130113916255</v>
      </c>
      <c r="J4037" s="43">
        <v>1.96650954540699E-2</v>
      </c>
      <c r="K4037" s="43"/>
      <c r="L4037" s="43">
        <v>0.25240000000000001</v>
      </c>
      <c r="O4037" s="50"/>
    </row>
    <row r="4038" spans="2:15" x14ac:dyDescent="0.2">
      <c r="B4038">
        <f t="shared" si="229"/>
        <v>4023</v>
      </c>
      <c r="C4038" s="48">
        <f ca="1"/>
        <v>0.5719298942347173</v>
      </c>
      <c r="D4038" s="48">
        <f t="shared" ca="1" si="226"/>
        <v>0.70305039030954153</v>
      </c>
      <c r="E4038" s="48">
        <f t="shared" ca="1" si="227"/>
        <v>0</v>
      </c>
      <c r="F4038" s="17">
        <f t="shared" ca="1" si="228"/>
        <v>0</v>
      </c>
      <c r="H4038" s="17">
        <v>4023</v>
      </c>
      <c r="I4038" s="43">
        <v>0.66893018769587431</v>
      </c>
      <c r="J4038" s="43">
        <v>1.9211424772545383E-2</v>
      </c>
      <c r="K4038" s="43"/>
      <c r="L4038" s="43">
        <v>0.24740000000000001</v>
      </c>
      <c r="O4038" s="50"/>
    </row>
    <row r="4039" spans="2:15" x14ac:dyDescent="0.2">
      <c r="B4039">
        <f t="shared" si="229"/>
        <v>4024</v>
      </c>
      <c r="C4039" s="48">
        <f ca="1"/>
        <v>-0.42391939200958006</v>
      </c>
      <c r="D4039" s="48">
        <f t="shared" ca="1" si="226"/>
        <v>0.63730624844257067</v>
      </c>
      <c r="E4039" s="48">
        <f t="shared" ca="1" si="227"/>
        <v>0</v>
      </c>
      <c r="F4039" s="17">
        <f t="shared" ca="1" si="228"/>
        <v>0</v>
      </c>
      <c r="H4039" s="17">
        <v>4024</v>
      </c>
      <c r="I4039" s="43">
        <v>0.6688366313468197</v>
      </c>
      <c r="J4039" s="43">
        <v>1.9042820623474607E-2</v>
      </c>
      <c r="K4039" s="43"/>
      <c r="L4039" s="43">
        <v>0.24940000000000001</v>
      </c>
      <c r="O4039" s="50"/>
    </row>
    <row r="4040" spans="2:15" x14ac:dyDescent="0.2">
      <c r="B4040">
        <f t="shared" si="229"/>
        <v>4025</v>
      </c>
      <c r="C4040" s="48">
        <f ca="1"/>
        <v>1.1075321102684001E-3</v>
      </c>
      <c r="D4040" s="48">
        <f t="shared" ca="1" si="226"/>
        <v>0.66457825459575126</v>
      </c>
      <c r="E4040" s="48">
        <f t="shared" ca="1" si="227"/>
        <v>0</v>
      </c>
      <c r="F4040" s="17">
        <f t="shared" ca="1" si="228"/>
        <v>0</v>
      </c>
      <c r="H4040" s="17">
        <v>4025</v>
      </c>
      <c r="I4040" s="43">
        <v>0.66882266375935739</v>
      </c>
      <c r="J4040" s="43">
        <v>1.9371193527383191E-2</v>
      </c>
      <c r="K4040" s="43"/>
      <c r="L4040" s="43">
        <v>0.24779999999999999</v>
      </c>
      <c r="O4040" s="50"/>
    </row>
    <row r="4041" spans="2:15" x14ac:dyDescent="0.2">
      <c r="B4041">
        <f t="shared" si="229"/>
        <v>4026</v>
      </c>
      <c r="C4041" s="48">
        <f ca="1"/>
        <v>-0.44844176063249086</v>
      </c>
      <c r="D4041" s="48">
        <f t="shared" ca="1" si="226"/>
        <v>0.63576735891379521</v>
      </c>
      <c r="E4041" s="48">
        <f t="shared" ca="1" si="227"/>
        <v>0</v>
      </c>
      <c r="F4041" s="17">
        <f t="shared" ca="1" si="228"/>
        <v>0</v>
      </c>
      <c r="H4041" s="17">
        <v>4026</v>
      </c>
      <c r="I4041" s="43">
        <v>0.66869632258971323</v>
      </c>
      <c r="J4041" s="43">
        <v>1.9181887266407214E-2</v>
      </c>
      <c r="K4041" s="43"/>
      <c r="L4041" s="43">
        <v>0.25540000000000002</v>
      </c>
      <c r="O4041" s="50"/>
    </row>
    <row r="4042" spans="2:15" x14ac:dyDescent="0.2">
      <c r="B4042">
        <f t="shared" si="229"/>
        <v>4027</v>
      </c>
      <c r="C4042" s="48">
        <f ca="1"/>
        <v>-0.65641995978242584</v>
      </c>
      <c r="D4042" s="48">
        <f t="shared" ca="1" si="226"/>
        <v>0.6228642913351542</v>
      </c>
      <c r="E4042" s="48">
        <f t="shared" ca="1" si="227"/>
        <v>0</v>
      </c>
      <c r="F4042" s="17">
        <f t="shared" ca="1" si="228"/>
        <v>0</v>
      </c>
      <c r="H4042" s="17">
        <v>4027</v>
      </c>
      <c r="I4042" s="43">
        <v>0.66949051565474049</v>
      </c>
      <c r="J4042" s="43">
        <v>1.9684601035955786E-2</v>
      </c>
      <c r="K4042" s="43"/>
      <c r="L4042" s="43">
        <v>0.25140000000000001</v>
      </c>
      <c r="O4042" s="50"/>
    </row>
    <row r="4043" spans="2:15" x14ac:dyDescent="0.2">
      <c r="B4043">
        <f t="shared" si="229"/>
        <v>4028</v>
      </c>
      <c r="C4043" s="48">
        <f ca="1"/>
        <v>-1.4145823142854099</v>
      </c>
      <c r="D4043" s="48">
        <f t="shared" ca="1" si="226"/>
        <v>0.57800548367326177</v>
      </c>
      <c r="E4043" s="48">
        <f t="shared" ca="1" si="227"/>
        <v>0</v>
      </c>
      <c r="F4043" s="17">
        <f t="shared" ca="1" si="228"/>
        <v>0</v>
      </c>
      <c r="H4043" s="17">
        <v>4028</v>
      </c>
      <c r="I4043" s="43">
        <v>0.669047048335079</v>
      </c>
      <c r="J4043" s="43">
        <v>1.9719314948552353E-2</v>
      </c>
      <c r="K4043" s="43"/>
      <c r="L4043" s="43">
        <v>0.25080000000000002</v>
      </c>
      <c r="O4043" s="50"/>
    </row>
    <row r="4044" spans="2:15" x14ac:dyDescent="0.2">
      <c r="B4044">
        <f t="shared" si="229"/>
        <v>4029</v>
      </c>
      <c r="C4044" s="48">
        <f ca="1"/>
        <v>0.60830242005720214</v>
      </c>
      <c r="D4044" s="48">
        <f t="shared" ca="1" si="226"/>
        <v>0.70557596682602319</v>
      </c>
      <c r="E4044" s="48">
        <f t="shared" ca="1" si="227"/>
        <v>0</v>
      </c>
      <c r="F4044" s="17">
        <f t="shared" ca="1" si="228"/>
        <v>0</v>
      </c>
      <c r="H4044" s="17">
        <v>4029</v>
      </c>
      <c r="I4044" s="43">
        <v>0.66861491801622819</v>
      </c>
      <c r="J4044" s="43">
        <v>1.8855994368880042E-2</v>
      </c>
      <c r="K4044" s="43"/>
      <c r="L4044" s="43">
        <v>0.24959999999999999</v>
      </c>
      <c r="O4044" s="50"/>
    </row>
    <row r="4045" spans="2:15" x14ac:dyDescent="0.2">
      <c r="B4045">
        <f t="shared" si="229"/>
        <v>4030</v>
      </c>
      <c r="C4045" s="48">
        <f ca="1"/>
        <v>-0.72672320041380589</v>
      </c>
      <c r="D4045" s="48">
        <f t="shared" ca="1" si="226"/>
        <v>0.61856213373110347</v>
      </c>
      <c r="E4045" s="48">
        <f t="shared" ca="1" si="227"/>
        <v>0</v>
      </c>
      <c r="F4045" s="17">
        <f t="shared" ca="1" si="228"/>
        <v>0</v>
      </c>
      <c r="H4045" s="17">
        <v>4030</v>
      </c>
      <c r="I4045" s="43">
        <v>0.6702826974020486</v>
      </c>
      <c r="J4045" s="43">
        <v>2.0337587758909537E-2</v>
      </c>
      <c r="K4045" s="43"/>
      <c r="L4045" s="43">
        <v>0.26040000000000002</v>
      </c>
      <c r="O4045" s="50"/>
    </row>
    <row r="4046" spans="2:15" x14ac:dyDescent="0.2">
      <c r="B4046">
        <f t="shared" si="229"/>
        <v>4031</v>
      </c>
      <c r="C4046" s="48">
        <f ca="1"/>
        <v>0.78066385840251884</v>
      </c>
      <c r="D4046" s="48">
        <f t="shared" ca="1" si="226"/>
        <v>0.71766803948052771</v>
      </c>
      <c r="E4046" s="48">
        <f t="shared" ca="1" si="227"/>
        <v>0</v>
      </c>
      <c r="F4046" s="17">
        <f t="shared" ca="1" si="228"/>
        <v>0</v>
      </c>
      <c r="H4046" s="17">
        <v>4031</v>
      </c>
      <c r="I4046" s="43">
        <v>0.66879084063467797</v>
      </c>
      <c r="J4046" s="43">
        <v>1.9157360833228901E-2</v>
      </c>
      <c r="K4046" s="43"/>
      <c r="L4046" s="43">
        <v>0.24660000000000001</v>
      </c>
      <c r="O4046" s="50"/>
    </row>
    <row r="4047" spans="2:15" x14ac:dyDescent="0.2">
      <c r="B4047">
        <f t="shared" si="229"/>
        <v>4032</v>
      </c>
      <c r="C4047" s="48">
        <f ca="1"/>
        <v>0.63269650679303968</v>
      </c>
      <c r="D4047" s="48">
        <f t="shared" ca="1" si="226"/>
        <v>0.70727488474477596</v>
      </c>
      <c r="E4047" s="48">
        <f t="shared" ca="1" si="227"/>
        <v>0</v>
      </c>
      <c r="F4047" s="17">
        <f t="shared" ca="1" si="228"/>
        <v>0</v>
      </c>
      <c r="H4047" s="17">
        <v>4032</v>
      </c>
      <c r="I4047" s="43">
        <v>0.66975144219334048</v>
      </c>
      <c r="J4047" s="43">
        <v>1.998002688357527E-2</v>
      </c>
      <c r="K4047" s="43"/>
      <c r="L4047" s="43">
        <v>0.25600000000000001</v>
      </c>
      <c r="O4047" s="50"/>
    </row>
    <row r="4048" spans="2:15" x14ac:dyDescent="0.2">
      <c r="B4048">
        <f t="shared" si="229"/>
        <v>4033</v>
      </c>
      <c r="C4048" s="48">
        <f ca="1"/>
        <v>0.13917561101192699</v>
      </c>
      <c r="D4048" s="48">
        <f t="shared" ref="D4048:D4111" ca="1" si="230">S0*EXP((μ-0.5*σ*σ)*T+σ*SQRT(T)*$C4048)</f>
        <v>0.67368619632001236</v>
      </c>
      <c r="E4048" s="48">
        <f t="shared" ref="E4048:E4111" ca="1" si="231">MAX(0,CP*(D4048-K))</f>
        <v>0</v>
      </c>
      <c r="F4048" s="17">
        <f t="shared" ref="F4048:F4111" ca="1" si="232">(CP*(D4048-K)&gt;0)*1</f>
        <v>0</v>
      </c>
      <c r="H4048" s="17">
        <v>4033</v>
      </c>
      <c r="I4048" s="43">
        <v>0.66805639581150733</v>
      </c>
      <c r="J4048" s="43">
        <v>1.8817723306292368E-2</v>
      </c>
      <c r="K4048" s="43"/>
      <c r="L4048" s="43">
        <v>0.24979999999999999</v>
      </c>
      <c r="O4048" s="50"/>
    </row>
    <row r="4049" spans="2:15" x14ac:dyDescent="0.2">
      <c r="B4049">
        <f t="shared" si="229"/>
        <v>4034</v>
      </c>
      <c r="C4049" s="48">
        <f ca="1"/>
        <v>0.12105395834073404</v>
      </c>
      <c r="D4049" s="48">
        <f t="shared" ca="1" si="230"/>
        <v>0.6724836847016642</v>
      </c>
      <c r="E4049" s="48">
        <f t="shared" ca="1" si="231"/>
        <v>0</v>
      </c>
      <c r="F4049" s="17">
        <f t="shared" ca="1" si="232"/>
        <v>0</v>
      </c>
      <c r="H4049" s="17">
        <v>4034</v>
      </c>
      <c r="I4049" s="43">
        <v>0.6692749763033633</v>
      </c>
      <c r="J4049" s="43">
        <v>1.9582706164413918E-2</v>
      </c>
      <c r="K4049" s="43"/>
      <c r="L4049" s="43">
        <v>0.2442</v>
      </c>
      <c r="O4049" s="50"/>
    </row>
    <row r="4050" spans="2:15" x14ac:dyDescent="0.2">
      <c r="B4050">
        <f t="shared" si="229"/>
        <v>4035</v>
      </c>
      <c r="C4050" s="48">
        <f ca="1"/>
        <v>-0.34648468987010977</v>
      </c>
      <c r="D4050" s="48">
        <f t="shared" ca="1" si="230"/>
        <v>0.64219012080865101</v>
      </c>
      <c r="E4050" s="48">
        <f t="shared" ca="1" si="231"/>
        <v>0</v>
      </c>
      <c r="F4050" s="17">
        <f t="shared" ca="1" si="232"/>
        <v>0</v>
      </c>
      <c r="H4050" s="17">
        <v>4035</v>
      </c>
      <c r="I4050" s="43">
        <v>0.6687073339805284</v>
      </c>
      <c r="J4050" s="43">
        <v>1.9362333352903726E-2</v>
      </c>
      <c r="K4050" s="43"/>
      <c r="L4050" s="43">
        <v>0.25380000000000003</v>
      </c>
      <c r="O4050" s="50"/>
    </row>
    <row r="4051" spans="2:15" x14ac:dyDescent="0.2">
      <c r="B4051">
        <f t="shared" si="229"/>
        <v>4036</v>
      </c>
      <c r="C4051" s="48">
        <f ca="1"/>
        <v>-0.42386230504970701</v>
      </c>
      <c r="D4051" s="48">
        <f t="shared" ca="1" si="230"/>
        <v>0.63730983524978624</v>
      </c>
      <c r="E4051" s="48">
        <f t="shared" ca="1" si="231"/>
        <v>0</v>
      </c>
      <c r="F4051" s="17">
        <f t="shared" ca="1" si="232"/>
        <v>0</v>
      </c>
      <c r="H4051" s="17">
        <v>4036</v>
      </c>
      <c r="I4051" s="43">
        <v>0.66989638135068241</v>
      </c>
      <c r="J4051" s="43">
        <v>1.9899375700767136E-2</v>
      </c>
      <c r="K4051" s="43"/>
      <c r="L4051" s="43">
        <v>0.25559999999999999</v>
      </c>
      <c r="O4051" s="50"/>
    </row>
    <row r="4052" spans="2:15" x14ac:dyDescent="0.2">
      <c r="B4052">
        <f t="shared" si="229"/>
        <v>4037</v>
      </c>
      <c r="C4052" s="48">
        <f ca="1"/>
        <v>6.1624719940300089E-2</v>
      </c>
      <c r="D4052" s="48">
        <f t="shared" ca="1" si="230"/>
        <v>0.66855513729947436</v>
      </c>
      <c r="E4052" s="48">
        <f t="shared" ca="1" si="231"/>
        <v>0</v>
      </c>
      <c r="F4052" s="17">
        <f t="shared" ca="1" si="232"/>
        <v>0</v>
      </c>
      <c r="H4052" s="17">
        <v>4037</v>
      </c>
      <c r="I4052" s="43">
        <v>0.66923654797561771</v>
      </c>
      <c r="J4052" s="43">
        <v>1.9602297686126566E-2</v>
      </c>
      <c r="K4052" s="43"/>
      <c r="L4052" s="43">
        <v>0.25480000000000003</v>
      </c>
      <c r="O4052" s="50"/>
    </row>
    <row r="4053" spans="2:15" x14ac:dyDescent="0.2">
      <c r="B4053">
        <f t="shared" si="229"/>
        <v>4038</v>
      </c>
      <c r="C4053" s="48">
        <f ca="1"/>
        <v>0.55150863895332647</v>
      </c>
      <c r="D4053" s="48">
        <f t="shared" ca="1" si="230"/>
        <v>0.70163637697898373</v>
      </c>
      <c r="E4053" s="48">
        <f t="shared" ca="1" si="231"/>
        <v>0</v>
      </c>
      <c r="F4053" s="17">
        <f t="shared" ca="1" si="232"/>
        <v>0</v>
      </c>
      <c r="H4053" s="17">
        <v>4038</v>
      </c>
      <c r="I4053" s="43">
        <v>0.6678334482500411</v>
      </c>
      <c r="J4053" s="43">
        <v>1.8548721623366255E-2</v>
      </c>
      <c r="K4053" s="43"/>
      <c r="L4053" s="43">
        <v>0.23680000000000001</v>
      </c>
      <c r="O4053" s="50"/>
    </row>
    <row r="4054" spans="2:15" x14ac:dyDescent="0.2">
      <c r="B4054">
        <f t="shared" si="229"/>
        <v>4039</v>
      </c>
      <c r="C4054" s="48">
        <f ca="1"/>
        <v>-0.88455100525601638</v>
      </c>
      <c r="D4054" s="48">
        <f t="shared" ca="1" si="230"/>
        <v>0.60901189625105745</v>
      </c>
      <c r="E4054" s="48">
        <f t="shared" ca="1" si="231"/>
        <v>0</v>
      </c>
      <c r="F4054" s="17">
        <f t="shared" ca="1" si="232"/>
        <v>0</v>
      </c>
      <c r="H4054" s="17">
        <v>4039</v>
      </c>
      <c r="I4054" s="43">
        <v>0.66879235514637747</v>
      </c>
      <c r="J4054" s="43">
        <v>1.9576414662714526E-2</v>
      </c>
      <c r="K4054" s="43"/>
      <c r="L4054" s="43">
        <v>0.25979999999999998</v>
      </c>
      <c r="O4054" s="50"/>
    </row>
    <row r="4055" spans="2:15" x14ac:dyDescent="0.2">
      <c r="B4055">
        <f t="shared" si="229"/>
        <v>4040</v>
      </c>
      <c r="C4055" s="48">
        <f ca="1"/>
        <v>0.66112069207319402</v>
      </c>
      <c r="D4055" s="48">
        <f t="shared" ca="1" si="230"/>
        <v>0.70925963848722018</v>
      </c>
      <c r="E4055" s="48">
        <f t="shared" ca="1" si="231"/>
        <v>0</v>
      </c>
      <c r="F4055" s="17">
        <f t="shared" ca="1" si="232"/>
        <v>0</v>
      </c>
      <c r="H4055" s="17">
        <v>4040</v>
      </c>
      <c r="I4055" s="43">
        <v>0.66810888913329636</v>
      </c>
      <c r="J4055" s="43">
        <v>1.8683307238857812E-2</v>
      </c>
      <c r="K4055" s="43"/>
      <c r="L4055" s="43">
        <v>0.2492</v>
      </c>
      <c r="O4055" s="50"/>
    </row>
    <row r="4056" spans="2:15" x14ac:dyDescent="0.2">
      <c r="B4056">
        <f t="shared" si="229"/>
        <v>4041</v>
      </c>
      <c r="C4056" s="48">
        <f ca="1"/>
        <v>-0.19558107158206087</v>
      </c>
      <c r="D4056" s="48">
        <f t="shared" ca="1" si="230"/>
        <v>0.65181553758468935</v>
      </c>
      <c r="E4056" s="48">
        <f t="shared" ca="1" si="231"/>
        <v>0</v>
      </c>
      <c r="F4056" s="17">
        <f t="shared" ca="1" si="232"/>
        <v>0</v>
      </c>
      <c r="H4056" s="17">
        <v>4041</v>
      </c>
      <c r="I4056" s="43">
        <v>0.66892131048768178</v>
      </c>
      <c r="J4056" s="43">
        <v>1.9006843222905696E-2</v>
      </c>
      <c r="K4056" s="43"/>
      <c r="L4056" s="43">
        <v>0.24440000000000001</v>
      </c>
      <c r="O4056" s="50"/>
    </row>
    <row r="4057" spans="2:15" x14ac:dyDescent="0.2">
      <c r="B4057">
        <f t="shared" si="229"/>
        <v>4042</v>
      </c>
      <c r="C4057" s="48">
        <f ca="1"/>
        <v>9.4200909541046998E-2</v>
      </c>
      <c r="D4057" s="48">
        <f t="shared" ca="1" si="230"/>
        <v>0.67070572329081679</v>
      </c>
      <c r="E4057" s="48">
        <f t="shared" ca="1" si="231"/>
        <v>0</v>
      </c>
      <c r="F4057" s="17">
        <f t="shared" ca="1" si="232"/>
        <v>0</v>
      </c>
      <c r="H4057" s="17">
        <v>4042</v>
      </c>
      <c r="I4057" s="43">
        <v>0.66838654411257581</v>
      </c>
      <c r="J4057" s="43">
        <v>1.8839776294383798E-2</v>
      </c>
      <c r="K4057" s="43"/>
      <c r="L4057" s="43">
        <v>0.24740000000000001</v>
      </c>
      <c r="O4057" s="50"/>
    </row>
    <row r="4058" spans="2:15" x14ac:dyDescent="0.2">
      <c r="B4058">
        <f t="shared" si="229"/>
        <v>4043</v>
      </c>
      <c r="C4058" s="48">
        <f ca="1"/>
        <v>-8.4744375326540763E-2</v>
      </c>
      <c r="D4058" s="48">
        <f t="shared" ca="1" si="230"/>
        <v>0.65897705337300516</v>
      </c>
      <c r="E4058" s="48">
        <f t="shared" ca="1" si="231"/>
        <v>0</v>
      </c>
      <c r="F4058" s="17">
        <f t="shared" ca="1" si="232"/>
        <v>0</v>
      </c>
      <c r="H4058" s="17">
        <v>4043</v>
      </c>
      <c r="I4058" s="43">
        <v>0.66894526376512364</v>
      </c>
      <c r="J4058" s="43">
        <v>1.9535052991828915E-2</v>
      </c>
      <c r="K4058" s="43"/>
      <c r="L4058" s="43">
        <v>0.252</v>
      </c>
      <c r="O4058" s="50"/>
    </row>
    <row r="4059" spans="2:15" x14ac:dyDescent="0.2">
      <c r="B4059">
        <f t="shared" si="229"/>
        <v>4044</v>
      </c>
      <c r="C4059" s="48">
        <f ca="1"/>
        <v>-0.293211577360808</v>
      </c>
      <c r="D4059" s="48">
        <f t="shared" ca="1" si="230"/>
        <v>0.64557181539313413</v>
      </c>
      <c r="E4059" s="48">
        <f t="shared" ca="1" si="231"/>
        <v>0</v>
      </c>
      <c r="F4059" s="17">
        <f t="shared" ca="1" si="232"/>
        <v>0</v>
      </c>
      <c r="H4059" s="17">
        <v>4044</v>
      </c>
      <c r="I4059" s="43">
        <v>0.66961900473871938</v>
      </c>
      <c r="J4059" s="43">
        <v>1.9765565522600198E-2</v>
      </c>
      <c r="K4059" s="43"/>
      <c r="L4059" s="43">
        <v>0.24560000000000001</v>
      </c>
      <c r="O4059" s="50"/>
    </row>
    <row r="4060" spans="2:15" x14ac:dyDescent="0.2">
      <c r="B4060">
        <f t="shared" si="229"/>
        <v>4045</v>
      </c>
      <c r="C4060" s="48">
        <f ca="1"/>
        <v>0.58316194345623051</v>
      </c>
      <c r="D4060" s="48">
        <f t="shared" ca="1" si="230"/>
        <v>0.70382933684505966</v>
      </c>
      <c r="E4060" s="48">
        <f t="shared" ca="1" si="231"/>
        <v>0</v>
      </c>
      <c r="F4060" s="17">
        <f t="shared" ca="1" si="232"/>
        <v>0</v>
      </c>
      <c r="H4060" s="17">
        <v>4045</v>
      </c>
      <c r="I4060" s="43">
        <v>0.66918476935326854</v>
      </c>
      <c r="J4060" s="43">
        <v>1.9581735491506661E-2</v>
      </c>
      <c r="K4060" s="43"/>
      <c r="L4060" s="43">
        <v>0.25440000000000002</v>
      </c>
      <c r="O4060" s="50"/>
    </row>
    <row r="4061" spans="2:15" x14ac:dyDescent="0.2">
      <c r="B4061">
        <f t="shared" si="229"/>
        <v>4046</v>
      </c>
      <c r="C4061" s="48">
        <f ca="1"/>
        <v>0.35456291248942684</v>
      </c>
      <c r="D4061" s="48">
        <f t="shared" ca="1" si="230"/>
        <v>0.68814454302057437</v>
      </c>
      <c r="E4061" s="48">
        <f t="shared" ca="1" si="231"/>
        <v>0</v>
      </c>
      <c r="F4061" s="17">
        <f t="shared" ca="1" si="232"/>
        <v>0</v>
      </c>
      <c r="H4061" s="17">
        <v>4046</v>
      </c>
      <c r="I4061" s="43">
        <v>0.66910001429771115</v>
      </c>
      <c r="J4061" s="43">
        <v>1.9532766827071595E-2</v>
      </c>
      <c r="K4061" s="43"/>
      <c r="L4061" s="43">
        <v>0.25340000000000001</v>
      </c>
      <c r="O4061" s="50"/>
    </row>
    <row r="4062" spans="2:15" x14ac:dyDescent="0.2">
      <c r="B4062">
        <f t="shared" si="229"/>
        <v>4047</v>
      </c>
      <c r="C4062" s="48">
        <f ca="1"/>
        <v>-0.18678814119762266</v>
      </c>
      <c r="D4062" s="48">
        <f t="shared" ca="1" si="230"/>
        <v>0.65238082369777739</v>
      </c>
      <c r="E4062" s="48">
        <f t="shared" ca="1" si="231"/>
        <v>0</v>
      </c>
      <c r="F4062" s="17">
        <f t="shared" ca="1" si="232"/>
        <v>0</v>
      </c>
      <c r="H4062" s="17">
        <v>4047</v>
      </c>
      <c r="I4062" s="43">
        <v>0.66935365389289958</v>
      </c>
      <c r="J4062" s="43">
        <v>1.9685024696096908E-2</v>
      </c>
      <c r="K4062" s="43"/>
      <c r="L4062" s="43">
        <v>0.25340000000000001</v>
      </c>
      <c r="O4062" s="50"/>
    </row>
    <row r="4063" spans="2:15" x14ac:dyDescent="0.2">
      <c r="B4063">
        <f t="shared" si="229"/>
        <v>4048</v>
      </c>
      <c r="C4063" s="48">
        <f ca="1"/>
        <v>0.82614248305057103</v>
      </c>
      <c r="D4063" s="48">
        <f t="shared" ca="1" si="230"/>
        <v>0.72089301645955395</v>
      </c>
      <c r="E4063" s="48">
        <f t="shared" ca="1" si="231"/>
        <v>0</v>
      </c>
      <c r="F4063" s="17">
        <f t="shared" ca="1" si="232"/>
        <v>0</v>
      </c>
      <c r="H4063" s="17">
        <v>4048</v>
      </c>
      <c r="I4063" s="43">
        <v>0.66935285430740488</v>
      </c>
      <c r="J4063" s="43">
        <v>1.969680566547451E-2</v>
      </c>
      <c r="K4063" s="43"/>
      <c r="L4063" s="43">
        <v>0.25359999999999999</v>
      </c>
      <c r="O4063" s="50"/>
    </row>
    <row r="4064" spans="2:15" x14ac:dyDescent="0.2">
      <c r="B4064">
        <f t="shared" si="229"/>
        <v>4049</v>
      </c>
      <c r="C4064" s="48">
        <f ca="1"/>
        <v>0.31980232982377677</v>
      </c>
      <c r="D4064" s="48">
        <f t="shared" ca="1" si="230"/>
        <v>0.68579033683489765</v>
      </c>
      <c r="E4064" s="48">
        <f t="shared" ca="1" si="231"/>
        <v>0</v>
      </c>
      <c r="F4064" s="17">
        <f t="shared" ca="1" si="232"/>
        <v>0</v>
      </c>
      <c r="H4064" s="17">
        <v>4049</v>
      </c>
      <c r="I4064" s="43">
        <v>0.66839094144895106</v>
      </c>
      <c r="J4064" s="43">
        <v>1.8902337546693179E-2</v>
      </c>
      <c r="K4064" s="43"/>
      <c r="L4064" s="43">
        <v>0.251</v>
      </c>
      <c r="O4064" s="50"/>
    </row>
    <row r="4065" spans="2:15" x14ac:dyDescent="0.2">
      <c r="B4065">
        <f t="shared" si="229"/>
        <v>4050</v>
      </c>
      <c r="C4065" s="48">
        <f ca="1"/>
        <v>0.87330223402347029</v>
      </c>
      <c r="D4065" s="48">
        <f t="shared" ca="1" si="230"/>
        <v>0.72425251169148575</v>
      </c>
      <c r="E4065" s="48">
        <f t="shared" ca="1" si="231"/>
        <v>0</v>
      </c>
      <c r="F4065" s="17">
        <f t="shared" ca="1" si="232"/>
        <v>0</v>
      </c>
      <c r="H4065" s="17">
        <v>4050</v>
      </c>
      <c r="I4065" s="43">
        <v>0.66916210844054591</v>
      </c>
      <c r="J4065" s="43">
        <v>1.96657786834726E-2</v>
      </c>
      <c r="K4065" s="43"/>
      <c r="L4065" s="43">
        <v>0.25419999999999998</v>
      </c>
      <c r="O4065" s="50"/>
    </row>
    <row r="4066" spans="2:15" x14ac:dyDescent="0.2">
      <c r="B4066">
        <f t="shared" si="229"/>
        <v>4051</v>
      </c>
      <c r="C4066" s="48">
        <f ca="1"/>
        <v>-0.62683596889939386</v>
      </c>
      <c r="D4066" s="48">
        <f t="shared" ca="1" si="230"/>
        <v>0.62468359586992428</v>
      </c>
      <c r="E4066" s="48">
        <f t="shared" ca="1" si="231"/>
        <v>0</v>
      </c>
      <c r="F4066" s="17">
        <f t="shared" ca="1" si="232"/>
        <v>0</v>
      </c>
      <c r="H4066" s="17">
        <v>4051</v>
      </c>
      <c r="I4066" s="43">
        <v>0.6680499685045308</v>
      </c>
      <c r="J4066" s="43">
        <v>1.8513215700562878E-2</v>
      </c>
      <c r="K4066" s="43"/>
      <c r="L4066" s="43">
        <v>0.24779999999999999</v>
      </c>
      <c r="O4066" s="50"/>
    </row>
    <row r="4067" spans="2:15" x14ac:dyDescent="0.2">
      <c r="B4067">
        <f t="shared" si="229"/>
        <v>4052</v>
      </c>
      <c r="C4067" s="48">
        <f ca="1"/>
        <v>-0.48446793340575545</v>
      </c>
      <c r="D4067" s="48">
        <f t="shared" ca="1" si="230"/>
        <v>0.63351329069865647</v>
      </c>
      <c r="E4067" s="48">
        <f t="shared" ca="1" si="231"/>
        <v>0</v>
      </c>
      <c r="F4067" s="17">
        <f t="shared" ca="1" si="232"/>
        <v>0</v>
      </c>
      <c r="H4067" s="17">
        <v>4052</v>
      </c>
      <c r="I4067" s="43">
        <v>0.66825585348174221</v>
      </c>
      <c r="J4067" s="43">
        <v>1.8658204526917164E-2</v>
      </c>
      <c r="K4067" s="43"/>
      <c r="L4067" s="43">
        <v>0.24399999999999999</v>
      </c>
      <c r="O4067" s="50"/>
    </row>
    <row r="4068" spans="2:15" x14ac:dyDescent="0.2">
      <c r="B4068">
        <f t="shared" si="229"/>
        <v>4053</v>
      </c>
      <c r="C4068" s="48">
        <f ca="1"/>
        <v>0.40976082596006064</v>
      </c>
      <c r="D4068" s="48">
        <f t="shared" ca="1" si="230"/>
        <v>0.69189951123250581</v>
      </c>
      <c r="E4068" s="48">
        <f t="shared" ca="1" si="231"/>
        <v>0</v>
      </c>
      <c r="F4068" s="17">
        <f t="shared" ca="1" si="232"/>
        <v>0</v>
      </c>
      <c r="H4068" s="17">
        <v>4053</v>
      </c>
      <c r="I4068" s="43">
        <v>0.6686391969530352</v>
      </c>
      <c r="J4068" s="43">
        <v>1.9081431239483797E-2</v>
      </c>
      <c r="K4068" s="43"/>
      <c r="L4068" s="43">
        <v>0.247</v>
      </c>
      <c r="O4068" s="50"/>
    </row>
    <row r="4069" spans="2:15" x14ac:dyDescent="0.2">
      <c r="B4069">
        <f t="shared" si="229"/>
        <v>4054</v>
      </c>
      <c r="C4069" s="48">
        <f ca="1"/>
        <v>-2.5842174309006122E-2</v>
      </c>
      <c r="D4069" s="48">
        <f t="shared" ca="1" si="230"/>
        <v>0.66281487799196181</v>
      </c>
      <c r="E4069" s="48">
        <f t="shared" ca="1" si="231"/>
        <v>0</v>
      </c>
      <c r="F4069" s="17">
        <f t="shared" ca="1" si="232"/>
        <v>0</v>
      </c>
      <c r="H4069" s="17">
        <v>4054</v>
      </c>
      <c r="I4069" s="43">
        <v>0.66973097741937615</v>
      </c>
      <c r="J4069" s="43">
        <v>1.9954922299075452E-2</v>
      </c>
      <c r="K4069" s="43"/>
      <c r="L4069" s="43">
        <v>0.25559999999999999</v>
      </c>
      <c r="O4069" s="50"/>
    </row>
    <row r="4070" spans="2:15" x14ac:dyDescent="0.2">
      <c r="B4070">
        <f t="shared" si="229"/>
        <v>4055</v>
      </c>
      <c r="C4070" s="48">
        <f ca="1"/>
        <v>0.90247129829433526</v>
      </c>
      <c r="D4070" s="48">
        <f t="shared" ca="1" si="230"/>
        <v>0.72633824525014001</v>
      </c>
      <c r="E4070" s="48">
        <f t="shared" ca="1" si="231"/>
        <v>0</v>
      </c>
      <c r="F4070" s="17">
        <f t="shared" ca="1" si="232"/>
        <v>0</v>
      </c>
      <c r="H4070" s="17">
        <v>4055</v>
      </c>
      <c r="I4070" s="43">
        <v>0.66931789547863496</v>
      </c>
      <c r="J4070" s="43">
        <v>1.9655118802708243E-2</v>
      </c>
      <c r="K4070" s="43"/>
      <c r="L4070" s="43">
        <v>0.25679999999999997</v>
      </c>
      <c r="O4070" s="50"/>
    </row>
    <row r="4071" spans="2:15" x14ac:dyDescent="0.2">
      <c r="B4071">
        <f t="shared" si="229"/>
        <v>4056</v>
      </c>
      <c r="C4071" s="48">
        <f ca="1"/>
        <v>1.5196681071389107</v>
      </c>
      <c r="D4071" s="48">
        <f t="shared" ca="1" si="230"/>
        <v>0.77190669443667514</v>
      </c>
      <c r="E4071" s="48">
        <f t="shared" ca="1" si="231"/>
        <v>0</v>
      </c>
      <c r="F4071" s="17">
        <f t="shared" ca="1" si="232"/>
        <v>0</v>
      </c>
      <c r="H4071" s="17">
        <v>4056</v>
      </c>
      <c r="I4071" s="43">
        <v>0.66950275250093083</v>
      </c>
      <c r="J4071" s="43">
        <v>1.9643003301555363E-2</v>
      </c>
      <c r="K4071" s="43"/>
      <c r="L4071" s="43">
        <v>0.2462</v>
      </c>
      <c r="O4071" s="50"/>
    </row>
    <row r="4072" spans="2:15" x14ac:dyDescent="0.2">
      <c r="B4072">
        <f t="shared" si="229"/>
        <v>4057</v>
      </c>
      <c r="C4072" s="48">
        <f ca="1"/>
        <v>1.1681163317353092</v>
      </c>
      <c r="D4072" s="48">
        <f t="shared" ca="1" si="230"/>
        <v>0.74561179339732386</v>
      </c>
      <c r="E4072" s="48">
        <f t="shared" ca="1" si="231"/>
        <v>0</v>
      </c>
      <c r="F4072" s="17">
        <f t="shared" ca="1" si="232"/>
        <v>0</v>
      </c>
      <c r="H4072" s="17">
        <v>4057</v>
      </c>
      <c r="I4072" s="43">
        <v>0.66888758035243434</v>
      </c>
      <c r="J4072" s="43">
        <v>1.9314268451363407E-2</v>
      </c>
      <c r="K4072" s="43"/>
      <c r="L4072" s="43">
        <v>0.25140000000000001</v>
      </c>
      <c r="O4072" s="50"/>
    </row>
    <row r="4073" spans="2:15" x14ac:dyDescent="0.2">
      <c r="B4073">
        <f t="shared" si="229"/>
        <v>4058</v>
      </c>
      <c r="C4073" s="48">
        <f ca="1"/>
        <v>0.23048210553089621</v>
      </c>
      <c r="D4073" s="48">
        <f t="shared" ca="1" si="230"/>
        <v>0.67977787790261746</v>
      </c>
      <c r="E4073" s="48">
        <f t="shared" ca="1" si="231"/>
        <v>0</v>
      </c>
      <c r="F4073" s="17">
        <f t="shared" ca="1" si="232"/>
        <v>0</v>
      </c>
      <c r="H4073" s="17">
        <v>4058</v>
      </c>
      <c r="I4073" s="43">
        <v>0.67016387433737257</v>
      </c>
      <c r="J4073" s="43">
        <v>2.0165446708766445E-2</v>
      </c>
      <c r="K4073" s="43"/>
      <c r="L4073" s="43">
        <v>0.25740000000000002</v>
      </c>
      <c r="O4073" s="50"/>
    </row>
    <row r="4074" spans="2:15" x14ac:dyDescent="0.2">
      <c r="B4074">
        <f t="shared" si="229"/>
        <v>4059</v>
      </c>
      <c r="C4074" s="48">
        <f ca="1"/>
        <v>-0.5533315010804325</v>
      </c>
      <c r="D4074" s="48">
        <f t="shared" ca="1" si="230"/>
        <v>0.62922688204638122</v>
      </c>
      <c r="E4074" s="48">
        <f t="shared" ca="1" si="231"/>
        <v>0</v>
      </c>
      <c r="F4074" s="17">
        <f t="shared" ca="1" si="232"/>
        <v>0</v>
      </c>
      <c r="H4074" s="17">
        <v>4059</v>
      </c>
      <c r="I4074" s="43">
        <v>0.66796984445934382</v>
      </c>
      <c r="J4074" s="43">
        <v>1.8673384877111333E-2</v>
      </c>
      <c r="K4074" s="43"/>
      <c r="L4074" s="43">
        <v>0.24640000000000001</v>
      </c>
      <c r="O4074" s="50"/>
    </row>
    <row r="4075" spans="2:15" x14ac:dyDescent="0.2">
      <c r="B4075">
        <f t="shared" si="229"/>
        <v>4060</v>
      </c>
      <c r="C4075" s="48">
        <f ca="1"/>
        <v>0.6887830992165479</v>
      </c>
      <c r="D4075" s="48">
        <f t="shared" ca="1" si="230"/>
        <v>0.7111965477110167</v>
      </c>
      <c r="E4075" s="48">
        <f t="shared" ca="1" si="231"/>
        <v>0</v>
      </c>
      <c r="F4075" s="17">
        <f t="shared" ca="1" si="232"/>
        <v>0</v>
      </c>
      <c r="H4075" s="17">
        <v>4060</v>
      </c>
      <c r="I4075" s="43">
        <v>0.66923494903757463</v>
      </c>
      <c r="J4075" s="43">
        <v>1.9486735908484334E-2</v>
      </c>
      <c r="K4075" s="43"/>
      <c r="L4075" s="43">
        <v>0.25219999999999998</v>
      </c>
      <c r="O4075" s="50"/>
    </row>
    <row r="4076" spans="2:15" x14ac:dyDescent="0.2">
      <c r="B4076">
        <f t="shared" si="229"/>
        <v>4061</v>
      </c>
      <c r="C4076" s="48">
        <f ca="1"/>
        <v>0.92878667554699779</v>
      </c>
      <c r="D4076" s="48">
        <f t="shared" ca="1" si="230"/>
        <v>0.72822507934249248</v>
      </c>
      <c r="E4076" s="48">
        <f t="shared" ca="1" si="231"/>
        <v>0</v>
      </c>
      <c r="F4076" s="17">
        <f t="shared" ca="1" si="232"/>
        <v>0</v>
      </c>
      <c r="H4076" s="17">
        <v>4061</v>
      </c>
      <c r="I4076" s="43">
        <v>0.66904411474910608</v>
      </c>
      <c r="J4076" s="43">
        <v>1.9360322294591299E-2</v>
      </c>
      <c r="K4076" s="43"/>
      <c r="L4076" s="43">
        <v>0.2482</v>
      </c>
      <c r="O4076" s="50"/>
    </row>
    <row r="4077" spans="2:15" x14ac:dyDescent="0.2">
      <c r="B4077">
        <f t="shared" si="229"/>
        <v>4062</v>
      </c>
      <c r="C4077" s="48">
        <f ca="1"/>
        <v>2.2724505918629516</v>
      </c>
      <c r="D4077" s="48">
        <f t="shared" ca="1" si="230"/>
        <v>0.83137304163435699</v>
      </c>
      <c r="E4077" s="48">
        <f t="shared" ca="1" si="231"/>
        <v>4.3173041634356979E-2</v>
      </c>
      <c r="F4077" s="17">
        <f t="shared" ca="1" si="232"/>
        <v>1</v>
      </c>
      <c r="H4077" s="17">
        <v>4062</v>
      </c>
      <c r="I4077" s="43">
        <v>0.66948481665722837</v>
      </c>
      <c r="J4077" s="43">
        <v>1.9875916803254262E-2</v>
      </c>
      <c r="K4077" s="43"/>
      <c r="L4077" s="43">
        <v>0.25640000000000002</v>
      </c>
      <c r="O4077" s="50"/>
    </row>
    <row r="4078" spans="2:15" x14ac:dyDescent="0.2">
      <c r="B4078">
        <f t="shared" si="229"/>
        <v>4063</v>
      </c>
      <c r="C4078" s="48">
        <f ca="1"/>
        <v>0.25031195111734672</v>
      </c>
      <c r="D4078" s="48">
        <f t="shared" ca="1" si="230"/>
        <v>0.68110812606162996</v>
      </c>
      <c r="E4078" s="48">
        <f t="shared" ca="1" si="231"/>
        <v>0</v>
      </c>
      <c r="F4078" s="17">
        <f t="shared" ca="1" si="232"/>
        <v>0</v>
      </c>
      <c r="H4078" s="17">
        <v>4063</v>
      </c>
      <c r="I4078" s="43">
        <v>0.6680827748263346</v>
      </c>
      <c r="J4078" s="43">
        <v>1.8655105057976337E-2</v>
      </c>
      <c r="K4078" s="43"/>
      <c r="L4078" s="43">
        <v>0.24940000000000001</v>
      </c>
      <c r="O4078" s="50"/>
    </row>
    <row r="4079" spans="2:15" x14ac:dyDescent="0.2">
      <c r="B4079">
        <f t="shared" si="229"/>
        <v>4064</v>
      </c>
      <c r="C4079" s="48">
        <f ca="1"/>
        <v>-0.20642589135111145</v>
      </c>
      <c r="D4079" s="48">
        <f t="shared" ca="1" si="230"/>
        <v>0.6511190127226828</v>
      </c>
      <c r="E4079" s="48">
        <f t="shared" ca="1" si="231"/>
        <v>0</v>
      </c>
      <c r="F4079" s="17">
        <f t="shared" ca="1" si="232"/>
        <v>0</v>
      </c>
      <c r="H4079" s="17">
        <v>4064</v>
      </c>
      <c r="I4079" s="43">
        <v>0.66789535913917719</v>
      </c>
      <c r="J4079" s="43">
        <v>1.8515838983590143E-2</v>
      </c>
      <c r="K4079" s="43"/>
      <c r="L4079" s="43">
        <v>0.24579999999999999</v>
      </c>
      <c r="O4079" s="50"/>
    </row>
    <row r="4080" spans="2:15" x14ac:dyDescent="0.2">
      <c r="B4080">
        <f t="shared" si="229"/>
        <v>4065</v>
      </c>
      <c r="C4080" s="48">
        <f ca="1"/>
        <v>2.0507912856174073</v>
      </c>
      <c r="D4080" s="48">
        <f t="shared" ca="1" si="230"/>
        <v>0.813402259145661</v>
      </c>
      <c r="E4080" s="48">
        <f t="shared" ca="1" si="231"/>
        <v>2.5202259145660988E-2</v>
      </c>
      <c r="F4080" s="17">
        <f t="shared" ca="1" si="232"/>
        <v>1</v>
      </c>
      <c r="H4080" s="17">
        <v>4065</v>
      </c>
      <c r="I4080" s="43">
        <v>0.66813313339464353</v>
      </c>
      <c r="J4080" s="43">
        <v>1.8753546223417024E-2</v>
      </c>
      <c r="K4080" s="43"/>
      <c r="L4080" s="43">
        <v>0.24340000000000001</v>
      </c>
      <c r="O4080" s="50"/>
    </row>
    <row r="4081" spans="2:15" x14ac:dyDescent="0.2">
      <c r="B4081">
        <f t="shared" ref="B4081:B4144" si="233">B4080+1</f>
        <v>4066</v>
      </c>
      <c r="C4081" s="48">
        <f ca="1"/>
        <v>-1.2938472473587708</v>
      </c>
      <c r="D4081" s="48">
        <f t="shared" ca="1" si="230"/>
        <v>0.58492657159277073</v>
      </c>
      <c r="E4081" s="48">
        <f t="shared" ca="1" si="231"/>
        <v>0</v>
      </c>
      <c r="F4081" s="17">
        <f t="shared" ca="1" si="232"/>
        <v>0</v>
      </c>
      <c r="H4081" s="17">
        <v>4066</v>
      </c>
      <c r="I4081" s="43">
        <v>0.66953196705916307</v>
      </c>
      <c r="J4081" s="43">
        <v>1.95742204584116E-2</v>
      </c>
      <c r="K4081" s="43"/>
      <c r="L4081" s="43">
        <v>0.24660000000000001</v>
      </c>
      <c r="O4081" s="50"/>
    </row>
    <row r="4082" spans="2:15" x14ac:dyDescent="0.2">
      <c r="B4082">
        <f t="shared" si="233"/>
        <v>4067</v>
      </c>
      <c r="C4082" s="48">
        <f ca="1"/>
        <v>-0.31976230592659816</v>
      </c>
      <c r="D4082" s="48">
        <f t="shared" ca="1" si="230"/>
        <v>0.64388419621913806</v>
      </c>
      <c r="E4082" s="48">
        <f t="shared" ca="1" si="231"/>
        <v>0</v>
      </c>
      <c r="F4082" s="17">
        <f t="shared" ca="1" si="232"/>
        <v>0</v>
      </c>
      <c r="H4082" s="17">
        <v>4067</v>
      </c>
      <c r="I4082" s="43">
        <v>0.66790602342890582</v>
      </c>
      <c r="J4082" s="43">
        <v>1.8388175601331096E-2</v>
      </c>
      <c r="K4082" s="43"/>
      <c r="L4082" s="43">
        <v>0.2414</v>
      </c>
      <c r="O4082" s="50"/>
    </row>
    <row r="4083" spans="2:15" x14ac:dyDescent="0.2">
      <c r="B4083">
        <f t="shared" si="233"/>
        <v>4068</v>
      </c>
      <c r="C4083" s="48">
        <f ca="1"/>
        <v>-0.25067994060723964</v>
      </c>
      <c r="D4083" s="48">
        <f t="shared" ca="1" si="230"/>
        <v>0.64828443697974369</v>
      </c>
      <c r="E4083" s="48">
        <f t="shared" ca="1" si="231"/>
        <v>0</v>
      </c>
      <c r="F4083" s="17">
        <f t="shared" ca="1" si="232"/>
        <v>0</v>
      </c>
      <c r="H4083" s="17">
        <v>4068</v>
      </c>
      <c r="I4083" s="43">
        <v>0.66914192334922951</v>
      </c>
      <c r="J4083" s="43">
        <v>1.9544299574992527E-2</v>
      </c>
      <c r="K4083" s="43"/>
      <c r="L4083" s="43">
        <v>0.25119999999999998</v>
      </c>
      <c r="O4083" s="50"/>
    </row>
    <row r="4084" spans="2:15" x14ac:dyDescent="0.2">
      <c r="B4084">
        <f t="shared" si="233"/>
        <v>4069</v>
      </c>
      <c r="C4084" s="48">
        <f ca="1"/>
        <v>-0.85050823724141245</v>
      </c>
      <c r="D4084" s="48">
        <f t="shared" ca="1" si="230"/>
        <v>0.61105928990696323</v>
      </c>
      <c r="E4084" s="48">
        <f t="shared" ca="1" si="231"/>
        <v>0</v>
      </c>
      <c r="F4084" s="17">
        <f t="shared" ca="1" si="232"/>
        <v>0</v>
      </c>
      <c r="H4084" s="17">
        <v>4069</v>
      </c>
      <c r="I4084" s="43">
        <v>0.67021235455191575</v>
      </c>
      <c r="J4084" s="43">
        <v>2.0007687473162152E-2</v>
      </c>
      <c r="K4084" s="43"/>
      <c r="L4084" s="43">
        <v>0.253</v>
      </c>
      <c r="O4084" s="50"/>
    </row>
    <row r="4085" spans="2:15" x14ac:dyDescent="0.2">
      <c r="B4085">
        <f t="shared" si="233"/>
        <v>4070</v>
      </c>
      <c r="C4085" s="48">
        <f ca="1"/>
        <v>-4.899529416121319E-2</v>
      </c>
      <c r="D4085" s="48">
        <f t="shared" ca="1" si="230"/>
        <v>0.66130365719655637</v>
      </c>
      <c r="E4085" s="48">
        <f t="shared" ca="1" si="231"/>
        <v>0</v>
      </c>
      <c r="F4085" s="17">
        <f t="shared" ca="1" si="232"/>
        <v>0</v>
      </c>
      <c r="H4085" s="17">
        <v>4070</v>
      </c>
      <c r="I4085" s="43">
        <v>0.66899461726234599</v>
      </c>
      <c r="J4085" s="43">
        <v>1.9375220443336588E-2</v>
      </c>
      <c r="K4085" s="43"/>
      <c r="L4085" s="43">
        <v>0.2576</v>
      </c>
      <c r="O4085" s="50"/>
    </row>
    <row r="4086" spans="2:15" x14ac:dyDescent="0.2">
      <c r="B4086">
        <f t="shared" si="233"/>
        <v>4071</v>
      </c>
      <c r="C4086" s="48">
        <f ca="1"/>
        <v>-1.5664644966135439</v>
      </c>
      <c r="D4086" s="48">
        <f t="shared" ca="1" si="230"/>
        <v>0.56941508989932899</v>
      </c>
      <c r="E4086" s="48">
        <f t="shared" ca="1" si="231"/>
        <v>0</v>
      </c>
      <c r="F4086" s="17">
        <f t="shared" ca="1" si="232"/>
        <v>0</v>
      </c>
      <c r="H4086" s="17">
        <v>4071</v>
      </c>
      <c r="I4086" s="43">
        <v>0.66857016588256246</v>
      </c>
      <c r="J4086" s="43">
        <v>1.892400955801567E-2</v>
      </c>
      <c r="K4086" s="43"/>
      <c r="L4086" s="43">
        <v>0.245</v>
      </c>
      <c r="O4086" s="50"/>
    </row>
    <row r="4087" spans="2:15" x14ac:dyDescent="0.2">
      <c r="B4087">
        <f t="shared" si="233"/>
        <v>4072</v>
      </c>
      <c r="C4087" s="48">
        <f ca="1"/>
        <v>0.87195067473965371</v>
      </c>
      <c r="D4087" s="48">
        <f t="shared" ca="1" si="230"/>
        <v>0.7241560137838311</v>
      </c>
      <c r="E4087" s="48">
        <f t="shared" ca="1" si="231"/>
        <v>0</v>
      </c>
      <c r="F4087" s="17">
        <f t="shared" ca="1" si="232"/>
        <v>0</v>
      </c>
      <c r="H4087" s="17">
        <v>4072</v>
      </c>
      <c r="I4087" s="43">
        <v>0.66949682994845316</v>
      </c>
      <c r="J4087" s="43">
        <v>2.0017481764565932E-2</v>
      </c>
      <c r="K4087" s="43"/>
      <c r="L4087" s="43">
        <v>0.25559999999999999</v>
      </c>
      <c r="O4087" s="50"/>
    </row>
    <row r="4088" spans="2:15" x14ac:dyDescent="0.2">
      <c r="B4088">
        <f t="shared" si="233"/>
        <v>4073</v>
      </c>
      <c r="C4088" s="48">
        <f ca="1"/>
        <v>-0.26654208949993136</v>
      </c>
      <c r="D4088" s="48">
        <f t="shared" ca="1" si="230"/>
        <v>0.64727143613865712</v>
      </c>
      <c r="E4088" s="48">
        <f t="shared" ca="1" si="231"/>
        <v>0</v>
      </c>
      <c r="F4088" s="17">
        <f t="shared" ca="1" si="232"/>
        <v>0</v>
      </c>
      <c r="H4088" s="17">
        <v>4073</v>
      </c>
      <c r="I4088" s="43">
        <v>0.66862584558008165</v>
      </c>
      <c r="J4088" s="43">
        <v>1.9097368453687785E-2</v>
      </c>
      <c r="K4088" s="43"/>
      <c r="L4088" s="43">
        <v>0.2422</v>
      </c>
      <c r="O4088" s="50"/>
    </row>
    <row r="4089" spans="2:15" x14ac:dyDescent="0.2">
      <c r="B4089">
        <f t="shared" si="233"/>
        <v>4074</v>
      </c>
      <c r="C4089" s="48">
        <f ca="1"/>
        <v>-0.5025442731894858</v>
      </c>
      <c r="D4089" s="48">
        <f t="shared" ca="1" si="230"/>
        <v>0.63238531166683265</v>
      </c>
      <c r="E4089" s="48">
        <f t="shared" ca="1" si="231"/>
        <v>0</v>
      </c>
      <c r="F4089" s="17">
        <f t="shared" ca="1" si="232"/>
        <v>0</v>
      </c>
      <c r="H4089" s="17">
        <v>4074</v>
      </c>
      <c r="I4089" s="43">
        <v>0.66834906091505708</v>
      </c>
      <c r="J4089" s="43">
        <v>1.8793348176047026E-2</v>
      </c>
      <c r="K4089" s="43"/>
      <c r="L4089" s="43">
        <v>0.24479999999999999</v>
      </c>
      <c r="O4089" s="50"/>
    </row>
    <row r="4090" spans="2:15" x14ac:dyDescent="0.2">
      <c r="B4090">
        <f t="shared" si="233"/>
        <v>4075</v>
      </c>
      <c r="C4090" s="48">
        <f ca="1"/>
        <v>1.789608166416867</v>
      </c>
      <c r="D4090" s="48">
        <f t="shared" ca="1" si="230"/>
        <v>0.79272500863285722</v>
      </c>
      <c r="E4090" s="48">
        <f t="shared" ca="1" si="231"/>
        <v>4.5250086328572081E-3</v>
      </c>
      <c r="F4090" s="17">
        <f t="shared" ca="1" si="232"/>
        <v>1</v>
      </c>
      <c r="H4090" s="17">
        <v>4075</v>
      </c>
      <c r="I4090" s="43">
        <v>0.66801852546606011</v>
      </c>
      <c r="J4090" s="43">
        <v>1.8515624059489266E-2</v>
      </c>
      <c r="K4090" s="43"/>
      <c r="L4090" s="43">
        <v>0.24840000000000001</v>
      </c>
      <c r="O4090" s="50"/>
    </row>
    <row r="4091" spans="2:15" x14ac:dyDescent="0.2">
      <c r="B4091">
        <f t="shared" si="233"/>
        <v>4076</v>
      </c>
      <c r="C4091" s="48">
        <f ca="1"/>
        <v>-1.2687680540852382</v>
      </c>
      <c r="D4091" s="48">
        <f t="shared" ca="1" si="230"/>
        <v>0.5863745885222218</v>
      </c>
      <c r="E4091" s="48">
        <f t="shared" ca="1" si="231"/>
        <v>0</v>
      </c>
      <c r="F4091" s="17">
        <f t="shared" ca="1" si="232"/>
        <v>0</v>
      </c>
      <c r="H4091" s="17">
        <v>4076</v>
      </c>
      <c r="I4091" s="43">
        <v>0.66875599952811371</v>
      </c>
      <c r="J4091" s="43">
        <v>1.9579206383287827E-2</v>
      </c>
      <c r="K4091" s="43"/>
      <c r="L4091" s="43">
        <v>0.25779999999999997</v>
      </c>
      <c r="O4091" s="50"/>
    </row>
    <row r="4092" spans="2:15" x14ac:dyDescent="0.2">
      <c r="B4092">
        <f t="shared" si="233"/>
        <v>4077</v>
      </c>
      <c r="C4092" s="48">
        <f ca="1"/>
        <v>6.6588667599197454E-3</v>
      </c>
      <c r="D4092" s="48">
        <f t="shared" ca="1" si="230"/>
        <v>0.66494207253057369</v>
      </c>
      <c r="E4092" s="48">
        <f t="shared" ca="1" si="231"/>
        <v>0</v>
      </c>
      <c r="F4092" s="17">
        <f t="shared" ca="1" si="232"/>
        <v>0</v>
      </c>
      <c r="H4092" s="17">
        <v>4077</v>
      </c>
      <c r="I4092" s="43">
        <v>0.66853599363312832</v>
      </c>
      <c r="J4092" s="43">
        <v>1.8846568601543625E-2</v>
      </c>
      <c r="K4092" s="43"/>
      <c r="L4092" s="43">
        <v>0.24879999999999999</v>
      </c>
      <c r="O4092" s="50"/>
    </row>
    <row r="4093" spans="2:15" x14ac:dyDescent="0.2">
      <c r="B4093">
        <f t="shared" si="233"/>
        <v>4078</v>
      </c>
      <c r="C4093" s="48">
        <f ca="1"/>
        <v>1.1167982784185586</v>
      </c>
      <c r="D4093" s="48">
        <f t="shared" ca="1" si="230"/>
        <v>0.74184903347808717</v>
      </c>
      <c r="E4093" s="48">
        <f t="shared" ca="1" si="231"/>
        <v>0</v>
      </c>
      <c r="F4093" s="17">
        <f t="shared" ca="1" si="232"/>
        <v>0</v>
      </c>
      <c r="H4093" s="17">
        <v>4078</v>
      </c>
      <c r="I4093" s="43">
        <v>0.6691864993550124</v>
      </c>
      <c r="J4093" s="43">
        <v>1.96558997759495E-2</v>
      </c>
      <c r="K4093" s="43"/>
      <c r="L4093" s="43">
        <v>0.254</v>
      </c>
      <c r="O4093" s="50"/>
    </row>
    <row r="4094" spans="2:15" x14ac:dyDescent="0.2">
      <c r="B4094">
        <f t="shared" si="233"/>
        <v>4079</v>
      </c>
      <c r="C4094" s="48">
        <f ca="1"/>
        <v>1.1415885352238235</v>
      </c>
      <c r="D4094" s="48">
        <f t="shared" ca="1" si="230"/>
        <v>0.74366433636901375</v>
      </c>
      <c r="E4094" s="48">
        <f t="shared" ca="1" si="231"/>
        <v>0</v>
      </c>
      <c r="F4094" s="17">
        <f t="shared" ca="1" si="232"/>
        <v>0</v>
      </c>
      <c r="H4094" s="17">
        <v>4079</v>
      </c>
      <c r="I4094" s="43">
        <v>0.66853124747369175</v>
      </c>
      <c r="J4094" s="43">
        <v>1.9075647222778366E-2</v>
      </c>
      <c r="K4094" s="43"/>
      <c r="L4094" s="43">
        <v>0.25519999999999998</v>
      </c>
      <c r="O4094" s="50"/>
    </row>
    <row r="4095" spans="2:15" x14ac:dyDescent="0.2">
      <c r="B4095">
        <f t="shared" si="233"/>
        <v>4080</v>
      </c>
      <c r="C4095" s="48">
        <f ca="1"/>
        <v>0.92373243364644009</v>
      </c>
      <c r="D4095" s="48">
        <f t="shared" ca="1" si="230"/>
        <v>0.72786230615647662</v>
      </c>
      <c r="E4095" s="48">
        <f t="shared" ca="1" si="231"/>
        <v>0</v>
      </c>
      <c r="F4095" s="17">
        <f t="shared" ca="1" si="232"/>
        <v>0</v>
      </c>
      <c r="H4095" s="17">
        <v>4080</v>
      </c>
      <c r="I4095" s="43">
        <v>0.66793008946546473</v>
      </c>
      <c r="J4095" s="43">
        <v>1.8816257139823329E-2</v>
      </c>
      <c r="K4095" s="43"/>
      <c r="L4095" s="43">
        <v>0.25259999999999999</v>
      </c>
      <c r="O4095" s="50"/>
    </row>
    <row r="4096" spans="2:15" x14ac:dyDescent="0.2">
      <c r="B4096">
        <f t="shared" si="233"/>
        <v>4081</v>
      </c>
      <c r="C4096" s="48">
        <f ca="1"/>
        <v>-1.9989164739841707</v>
      </c>
      <c r="D4096" s="48">
        <f t="shared" ca="1" si="230"/>
        <v>0.54564868231314945</v>
      </c>
      <c r="E4096" s="48">
        <f t="shared" ca="1" si="231"/>
        <v>0</v>
      </c>
      <c r="F4096" s="17">
        <f t="shared" ca="1" si="232"/>
        <v>0</v>
      </c>
      <c r="H4096" s="17">
        <v>4081</v>
      </c>
      <c r="I4096" s="43">
        <v>0.66937780043217421</v>
      </c>
      <c r="J4096" s="43">
        <v>1.9574852611610617E-2</v>
      </c>
      <c r="K4096" s="43"/>
      <c r="L4096" s="43">
        <v>0.2452</v>
      </c>
      <c r="O4096" s="50"/>
    </row>
    <row r="4097" spans="2:15" x14ac:dyDescent="0.2">
      <c r="B4097">
        <f t="shared" si="233"/>
        <v>4082</v>
      </c>
      <c r="C4097" s="48">
        <f ca="1"/>
        <v>1.3158201749873093</v>
      </c>
      <c r="D4097" s="48">
        <f t="shared" ca="1" si="230"/>
        <v>0.75654864112466935</v>
      </c>
      <c r="E4097" s="48">
        <f t="shared" ca="1" si="231"/>
        <v>0</v>
      </c>
      <c r="F4097" s="17">
        <f t="shared" ca="1" si="232"/>
        <v>0</v>
      </c>
      <c r="H4097" s="17">
        <v>4082</v>
      </c>
      <c r="I4097" s="43">
        <v>0.66957463926929828</v>
      </c>
      <c r="J4097" s="43">
        <v>1.989984450040453E-2</v>
      </c>
      <c r="K4097" s="43"/>
      <c r="L4097" s="43">
        <v>0.25779999999999997</v>
      </c>
      <c r="O4097" s="50"/>
    </row>
    <row r="4098" spans="2:15" x14ac:dyDescent="0.2">
      <c r="B4098">
        <f t="shared" si="233"/>
        <v>4083</v>
      </c>
      <c r="C4098" s="48">
        <f ca="1"/>
        <v>-0.88362671518987645</v>
      </c>
      <c r="D4098" s="48">
        <f t="shared" ca="1" si="230"/>
        <v>0.60906739402574761</v>
      </c>
      <c r="E4098" s="48">
        <f t="shared" ca="1" si="231"/>
        <v>0</v>
      </c>
      <c r="F4098" s="17">
        <f t="shared" ca="1" si="232"/>
        <v>0</v>
      </c>
      <c r="H4098" s="17">
        <v>4083</v>
      </c>
      <c r="I4098" s="43">
        <v>0.66884019084808699</v>
      </c>
      <c r="J4098" s="43">
        <v>1.9007096166914764E-2</v>
      </c>
      <c r="K4098" s="43"/>
      <c r="L4098" s="43">
        <v>0.25159999999999999</v>
      </c>
      <c r="O4098" s="50"/>
    </row>
    <row r="4099" spans="2:15" x14ac:dyDescent="0.2">
      <c r="B4099">
        <f t="shared" si="233"/>
        <v>4084</v>
      </c>
      <c r="C4099" s="48">
        <f ca="1"/>
        <v>-0.13005583221343822</v>
      </c>
      <c r="D4099" s="48">
        <f t="shared" ca="1" si="230"/>
        <v>0.6560398746581303</v>
      </c>
      <c r="E4099" s="48">
        <f t="shared" ca="1" si="231"/>
        <v>0</v>
      </c>
      <c r="F4099" s="17">
        <f t="shared" ca="1" si="232"/>
        <v>0</v>
      </c>
      <c r="H4099" s="17">
        <v>4084</v>
      </c>
      <c r="I4099" s="43">
        <v>0.67003849714437524</v>
      </c>
      <c r="J4099" s="43">
        <v>2.0356747429674544E-2</v>
      </c>
      <c r="K4099" s="43"/>
      <c r="L4099" s="43">
        <v>0.25679999999999997</v>
      </c>
      <c r="O4099" s="50"/>
    </row>
    <row r="4100" spans="2:15" x14ac:dyDescent="0.2">
      <c r="B4100">
        <f t="shared" si="233"/>
        <v>4085</v>
      </c>
      <c r="C4100" s="48">
        <f ca="1"/>
        <v>0.61258664393097517</v>
      </c>
      <c r="D4100" s="48">
        <f t="shared" ca="1" si="230"/>
        <v>0.70587404445082413</v>
      </c>
      <c r="E4100" s="48">
        <f t="shared" ca="1" si="231"/>
        <v>0</v>
      </c>
      <c r="F4100" s="17">
        <f t="shared" ca="1" si="232"/>
        <v>0</v>
      </c>
      <c r="H4100" s="17">
        <v>4085</v>
      </c>
      <c r="I4100" s="43">
        <v>0.67008143231685202</v>
      </c>
      <c r="J4100" s="43">
        <v>2.0285740095404143E-2</v>
      </c>
      <c r="K4100" s="43"/>
      <c r="L4100" s="43">
        <v>0.25800000000000001</v>
      </c>
      <c r="O4100" s="50"/>
    </row>
    <row r="4101" spans="2:15" x14ac:dyDescent="0.2">
      <c r="B4101">
        <f t="shared" si="233"/>
        <v>4086</v>
      </c>
      <c r="C4101" s="48">
        <f ca="1"/>
        <v>2.2748991239394263</v>
      </c>
      <c r="D4101" s="48">
        <f t="shared" ca="1" si="230"/>
        <v>0.83157375480679319</v>
      </c>
      <c r="E4101" s="48">
        <f t="shared" ca="1" si="231"/>
        <v>4.3373754806793174E-2</v>
      </c>
      <c r="F4101" s="17">
        <f t="shared" ca="1" si="232"/>
        <v>1</v>
      </c>
      <c r="H4101" s="17">
        <v>4086</v>
      </c>
      <c r="I4101" s="43">
        <v>0.66988248918161086</v>
      </c>
      <c r="J4101" s="43">
        <v>2.0531415245551334E-2</v>
      </c>
      <c r="K4101" s="43"/>
      <c r="L4101" s="43">
        <v>0.25919999999999999</v>
      </c>
      <c r="O4101" s="50"/>
    </row>
    <row r="4102" spans="2:15" x14ac:dyDescent="0.2">
      <c r="B4102">
        <f t="shared" si="233"/>
        <v>4087</v>
      </c>
      <c r="C4102" s="48">
        <f ca="1"/>
        <v>-2.140759248184906</v>
      </c>
      <c r="D4102" s="48">
        <f t="shared" ca="1" si="230"/>
        <v>0.53807147766619245</v>
      </c>
      <c r="E4102" s="48">
        <f t="shared" ca="1" si="231"/>
        <v>0</v>
      </c>
      <c r="F4102" s="17">
        <f t="shared" ca="1" si="232"/>
        <v>0</v>
      </c>
      <c r="H4102" s="17">
        <v>4087</v>
      </c>
      <c r="I4102" s="43">
        <v>0.66838502276109479</v>
      </c>
      <c r="J4102" s="43">
        <v>1.8963876880965094E-2</v>
      </c>
      <c r="K4102" s="43"/>
      <c r="L4102" s="43">
        <v>0.2492</v>
      </c>
      <c r="O4102" s="50"/>
    </row>
    <row r="4103" spans="2:15" x14ac:dyDescent="0.2">
      <c r="B4103">
        <f t="shared" si="233"/>
        <v>4088</v>
      </c>
      <c r="C4103" s="48">
        <f ca="1"/>
        <v>-0.83109903196904011</v>
      </c>
      <c r="D4103" s="48">
        <f t="shared" ca="1" si="230"/>
        <v>0.61222967398023631</v>
      </c>
      <c r="E4103" s="48">
        <f t="shared" ca="1" si="231"/>
        <v>0</v>
      </c>
      <c r="F4103" s="17">
        <f t="shared" ca="1" si="232"/>
        <v>0</v>
      </c>
      <c r="H4103" s="17">
        <v>4088</v>
      </c>
      <c r="I4103" s="43">
        <v>0.66965037103900726</v>
      </c>
      <c r="J4103" s="43">
        <v>2.0100853107412074E-2</v>
      </c>
      <c r="K4103" s="43"/>
      <c r="L4103" s="43">
        <v>0.25659999999999999</v>
      </c>
      <c r="O4103" s="50"/>
    </row>
    <row r="4104" spans="2:15" x14ac:dyDescent="0.2">
      <c r="B4104">
        <f t="shared" si="233"/>
        <v>4089</v>
      </c>
      <c r="C4104" s="48">
        <f ca="1"/>
        <v>-0.56775807432889369</v>
      </c>
      <c r="D4104" s="48">
        <f t="shared" ca="1" si="230"/>
        <v>0.62833258176646667</v>
      </c>
      <c r="E4104" s="48">
        <f t="shared" ca="1" si="231"/>
        <v>0</v>
      </c>
      <c r="F4104" s="17">
        <f t="shared" ca="1" si="232"/>
        <v>0</v>
      </c>
      <c r="H4104" s="17">
        <v>4089</v>
      </c>
      <c r="I4104" s="43">
        <v>0.67011174321149436</v>
      </c>
      <c r="J4104" s="43">
        <v>2.0355739266537179E-2</v>
      </c>
      <c r="K4104" s="43"/>
      <c r="L4104" s="43">
        <v>0.25700000000000001</v>
      </c>
      <c r="O4104" s="50"/>
    </row>
    <row r="4105" spans="2:15" x14ac:dyDescent="0.2">
      <c r="B4105">
        <f t="shared" si="233"/>
        <v>4090</v>
      </c>
      <c r="C4105" s="48">
        <f ca="1"/>
        <v>1.1282222796542338</v>
      </c>
      <c r="D4105" s="48">
        <f t="shared" ca="1" si="230"/>
        <v>0.74268502155814708</v>
      </c>
      <c r="E4105" s="48">
        <f t="shared" ca="1" si="231"/>
        <v>0</v>
      </c>
      <c r="F4105" s="17">
        <f t="shared" ca="1" si="232"/>
        <v>0</v>
      </c>
      <c r="H4105" s="17">
        <v>4090</v>
      </c>
      <c r="I4105" s="43">
        <v>0.6682722259331767</v>
      </c>
      <c r="J4105" s="43">
        <v>1.9133134990003117E-2</v>
      </c>
      <c r="K4105" s="43"/>
      <c r="L4105" s="43">
        <v>0.25419999999999998</v>
      </c>
      <c r="O4105" s="50"/>
    </row>
    <row r="4106" spans="2:15" x14ac:dyDescent="0.2">
      <c r="B4106">
        <f t="shared" si="233"/>
        <v>4091</v>
      </c>
      <c r="C4106" s="48">
        <f ca="1"/>
        <v>-1.0288375964788534</v>
      </c>
      <c r="D4106" s="48">
        <f t="shared" ca="1" si="230"/>
        <v>0.60041011795838617</v>
      </c>
      <c r="E4106" s="48">
        <f t="shared" ca="1" si="231"/>
        <v>0</v>
      </c>
      <c r="F4106" s="17">
        <f t="shared" ca="1" si="232"/>
        <v>0</v>
      </c>
      <c r="H4106" s="17">
        <v>4091</v>
      </c>
      <c r="I4106" s="43">
        <v>0.6698962046182888</v>
      </c>
      <c r="J4106" s="43">
        <v>2.0118213900459689E-2</v>
      </c>
      <c r="K4106" s="43"/>
      <c r="L4106" s="43">
        <v>0.25119999999999998</v>
      </c>
      <c r="O4106" s="50"/>
    </row>
    <row r="4107" spans="2:15" x14ac:dyDescent="0.2">
      <c r="B4107">
        <f t="shared" si="233"/>
        <v>4092</v>
      </c>
      <c r="C4107" s="48">
        <f ca="1"/>
        <v>-0.37248788092496765</v>
      </c>
      <c r="D4107" s="48">
        <f t="shared" ca="1" si="230"/>
        <v>0.6405459178308448</v>
      </c>
      <c r="E4107" s="48">
        <f t="shared" ca="1" si="231"/>
        <v>0</v>
      </c>
      <c r="F4107" s="17">
        <f t="shared" ca="1" si="232"/>
        <v>0</v>
      </c>
      <c r="H4107" s="17">
        <v>4092</v>
      </c>
      <c r="I4107" s="43">
        <v>0.66813389052494743</v>
      </c>
      <c r="J4107" s="43">
        <v>1.8608009261843344E-2</v>
      </c>
      <c r="K4107" s="43"/>
      <c r="L4107" s="43">
        <v>0.24879999999999999</v>
      </c>
      <c r="O4107" s="50"/>
    </row>
    <row r="4108" spans="2:15" x14ac:dyDescent="0.2">
      <c r="B4108">
        <f t="shared" si="233"/>
        <v>4093</v>
      </c>
      <c r="C4108" s="48">
        <f ca="1"/>
        <v>-0.62947285772480499</v>
      </c>
      <c r="D4108" s="48">
        <f t="shared" ca="1" si="230"/>
        <v>0.62452122160702517</v>
      </c>
      <c r="E4108" s="48">
        <f t="shared" ca="1" si="231"/>
        <v>0</v>
      </c>
      <c r="F4108" s="17">
        <f t="shared" ca="1" si="232"/>
        <v>0</v>
      </c>
      <c r="H4108" s="17">
        <v>4093</v>
      </c>
      <c r="I4108" s="43">
        <v>0.66953813258594796</v>
      </c>
      <c r="J4108" s="43">
        <v>1.9350228192933906E-2</v>
      </c>
      <c r="K4108" s="43"/>
      <c r="L4108" s="43">
        <v>0.2404</v>
      </c>
      <c r="O4108" s="50"/>
    </row>
    <row r="4109" spans="2:15" x14ac:dyDescent="0.2">
      <c r="B4109">
        <f t="shared" si="233"/>
        <v>4094</v>
      </c>
      <c r="C4109" s="48">
        <f ca="1"/>
        <v>0.94177370100610536</v>
      </c>
      <c r="D4109" s="48">
        <f t="shared" ca="1" si="230"/>
        <v>0.72915806528424365</v>
      </c>
      <c r="E4109" s="48">
        <f t="shared" ca="1" si="231"/>
        <v>0</v>
      </c>
      <c r="F4109" s="17">
        <f t="shared" ca="1" si="232"/>
        <v>0</v>
      </c>
      <c r="H4109" s="17">
        <v>4094</v>
      </c>
      <c r="I4109" s="43">
        <v>0.66944195476873258</v>
      </c>
      <c r="J4109" s="43">
        <v>1.9693942941902978E-2</v>
      </c>
      <c r="K4109" s="43"/>
      <c r="L4109" s="43">
        <v>0.252</v>
      </c>
      <c r="O4109" s="50"/>
    </row>
    <row r="4110" spans="2:15" x14ac:dyDescent="0.2">
      <c r="B4110">
        <f t="shared" si="233"/>
        <v>4095</v>
      </c>
      <c r="C4110" s="48">
        <f ca="1"/>
        <v>-0.55252243659162137</v>
      </c>
      <c r="D4110" s="48">
        <f t="shared" ca="1" si="230"/>
        <v>0.62927707346250261</v>
      </c>
      <c r="E4110" s="48">
        <f t="shared" ca="1" si="231"/>
        <v>0</v>
      </c>
      <c r="F4110" s="17">
        <f t="shared" ca="1" si="232"/>
        <v>0</v>
      </c>
      <c r="H4110" s="17">
        <v>4095</v>
      </c>
      <c r="I4110" s="43">
        <v>0.66935620099389859</v>
      </c>
      <c r="J4110" s="43">
        <v>1.9611556224792246E-2</v>
      </c>
      <c r="K4110" s="43"/>
      <c r="L4110" s="43">
        <v>0.25480000000000003</v>
      </c>
      <c r="O4110" s="50"/>
    </row>
    <row r="4111" spans="2:15" x14ac:dyDescent="0.2">
      <c r="B4111">
        <f t="shared" si="233"/>
        <v>4096</v>
      </c>
      <c r="C4111" s="48">
        <f ca="1"/>
        <v>-1.4577692353998302</v>
      </c>
      <c r="D4111" s="48">
        <f t="shared" ca="1" si="230"/>
        <v>0.57554974751296173</v>
      </c>
      <c r="E4111" s="48">
        <f t="shared" ca="1" si="231"/>
        <v>0</v>
      </c>
      <c r="F4111" s="17">
        <f t="shared" ca="1" si="232"/>
        <v>0</v>
      </c>
      <c r="H4111" s="17">
        <v>4096</v>
      </c>
      <c r="I4111" s="43">
        <v>0.66858676008924045</v>
      </c>
      <c r="J4111" s="43">
        <v>1.8899650438707581E-2</v>
      </c>
      <c r="K4111" s="43"/>
      <c r="L4111" s="43">
        <v>0.24299999999999999</v>
      </c>
      <c r="O4111" s="50"/>
    </row>
    <row r="4112" spans="2:15" x14ac:dyDescent="0.2">
      <c r="B4112">
        <f t="shared" si="233"/>
        <v>4097</v>
      </c>
      <c r="C4112" s="48">
        <f ca="1"/>
        <v>0.62043279664738282</v>
      </c>
      <c r="D4112" s="48">
        <f t="shared" ref="D4112:D4175" ca="1" si="234">S0*EXP((μ-0.5*σ*σ)*T+σ*SQRT(T)*$C4112)</f>
        <v>0.70642027208979963</v>
      </c>
      <c r="E4112" s="48">
        <f t="shared" ref="E4112:E4175" ca="1" si="235">MAX(0,CP*(D4112-K))</f>
        <v>0</v>
      </c>
      <c r="F4112" s="17">
        <f t="shared" ref="F4112:F4175" ca="1" si="236">(CP*(D4112-K)&gt;0)*1</f>
        <v>0</v>
      </c>
      <c r="H4112" s="17">
        <v>4097</v>
      </c>
      <c r="I4112" s="43">
        <v>0.66815924896351264</v>
      </c>
      <c r="J4112" s="43">
        <v>1.8793181478308794E-2</v>
      </c>
      <c r="K4112" s="43"/>
      <c r="L4112" s="43">
        <v>0.249</v>
      </c>
      <c r="O4112" s="50"/>
    </row>
    <row r="4113" spans="2:15" x14ac:dyDescent="0.2">
      <c r="B4113">
        <f t="shared" si="233"/>
        <v>4098</v>
      </c>
      <c r="C4113" s="48">
        <f ca="1"/>
        <v>-0.67898988838075247</v>
      </c>
      <c r="D4113" s="48">
        <f t="shared" ca="1" si="234"/>
        <v>0.62147988922713981</v>
      </c>
      <c r="E4113" s="48">
        <f t="shared" ca="1" si="235"/>
        <v>0</v>
      </c>
      <c r="F4113" s="17">
        <f t="shared" ca="1" si="236"/>
        <v>0</v>
      </c>
      <c r="H4113" s="17">
        <v>4098</v>
      </c>
      <c r="I4113" s="43">
        <v>0.668259494397622</v>
      </c>
      <c r="J4113" s="43">
        <v>1.8933961841586491E-2</v>
      </c>
      <c r="K4113" s="43"/>
      <c r="L4113" s="43">
        <v>0.24340000000000001</v>
      </c>
      <c r="O4113" s="50"/>
    </row>
    <row r="4114" spans="2:15" x14ac:dyDescent="0.2">
      <c r="B4114">
        <f t="shared" si="233"/>
        <v>4099</v>
      </c>
      <c r="C4114" s="48">
        <f ca="1"/>
        <v>1.432128686664969</v>
      </c>
      <c r="D4114" s="48">
        <f t="shared" ca="1" si="234"/>
        <v>0.76527357985763034</v>
      </c>
      <c r="E4114" s="48">
        <f t="shared" ca="1" si="235"/>
        <v>0</v>
      </c>
      <c r="F4114" s="17">
        <f t="shared" ca="1" si="236"/>
        <v>0</v>
      </c>
      <c r="H4114" s="17">
        <v>4099</v>
      </c>
      <c r="I4114" s="43">
        <v>0.66833710914771505</v>
      </c>
      <c r="J4114" s="43">
        <v>1.9056889348220991E-2</v>
      </c>
      <c r="K4114" s="43"/>
      <c r="L4114" s="43">
        <v>0.24979999999999999</v>
      </c>
      <c r="O4114" s="50"/>
    </row>
    <row r="4115" spans="2:15" x14ac:dyDescent="0.2">
      <c r="B4115">
        <f t="shared" si="233"/>
        <v>4100</v>
      </c>
      <c r="C4115" s="48">
        <f ca="1"/>
        <v>0.60909818545004824</v>
      </c>
      <c r="D4115" s="48">
        <f t="shared" ca="1" si="234"/>
        <v>0.7056313231935486</v>
      </c>
      <c r="E4115" s="48">
        <f t="shared" ca="1" si="235"/>
        <v>0</v>
      </c>
      <c r="F4115" s="17">
        <f t="shared" ca="1" si="236"/>
        <v>0</v>
      </c>
      <c r="H4115" s="17">
        <v>4100</v>
      </c>
      <c r="I4115" s="43">
        <v>0.66898268852479437</v>
      </c>
      <c r="J4115" s="43">
        <v>1.9199254858331939E-2</v>
      </c>
      <c r="K4115" s="43"/>
      <c r="L4115" s="43">
        <v>0.24399999999999999</v>
      </c>
      <c r="O4115" s="50"/>
    </row>
    <row r="4116" spans="2:15" x14ac:dyDescent="0.2">
      <c r="B4116">
        <f t="shared" si="233"/>
        <v>4101</v>
      </c>
      <c r="C4116" s="48">
        <f ca="1"/>
        <v>-2.0281794923346166E-2</v>
      </c>
      <c r="D4116" s="48">
        <f t="shared" ca="1" si="234"/>
        <v>0.66317832193495141</v>
      </c>
      <c r="E4116" s="48">
        <f t="shared" ca="1" si="235"/>
        <v>0</v>
      </c>
      <c r="F4116" s="17">
        <f t="shared" ca="1" si="236"/>
        <v>0</v>
      </c>
      <c r="H4116" s="17">
        <v>4101</v>
      </c>
      <c r="I4116" s="43">
        <v>0.66951674485539192</v>
      </c>
      <c r="J4116" s="43">
        <v>1.9731308911774374E-2</v>
      </c>
      <c r="K4116" s="43"/>
      <c r="L4116" s="43">
        <v>0.25640000000000002</v>
      </c>
      <c r="O4116" s="50"/>
    </row>
    <row r="4117" spans="2:15" x14ac:dyDescent="0.2">
      <c r="B4117">
        <f t="shared" si="233"/>
        <v>4102</v>
      </c>
      <c r="C4117" s="48">
        <f ca="1"/>
        <v>-1.1994892529814611</v>
      </c>
      <c r="D4117" s="48">
        <f t="shared" ca="1" si="234"/>
        <v>0.59039324783354907</v>
      </c>
      <c r="E4117" s="48">
        <f t="shared" ca="1" si="235"/>
        <v>0</v>
      </c>
      <c r="F4117" s="17">
        <f t="shared" ca="1" si="236"/>
        <v>0</v>
      </c>
      <c r="H4117" s="17">
        <v>4102</v>
      </c>
      <c r="I4117" s="43">
        <v>0.66854047282264339</v>
      </c>
      <c r="J4117" s="43">
        <v>1.9195052026395612E-2</v>
      </c>
      <c r="K4117" s="43"/>
      <c r="L4117" s="43">
        <v>0.24479999999999999</v>
      </c>
      <c r="O4117" s="50"/>
    </row>
    <row r="4118" spans="2:15" x14ac:dyDescent="0.2">
      <c r="B4118">
        <f t="shared" si="233"/>
        <v>4103</v>
      </c>
      <c r="C4118" s="48">
        <f ca="1"/>
        <v>-0.66796450548693587</v>
      </c>
      <c r="D4118" s="48">
        <f t="shared" ca="1" si="234"/>
        <v>0.62215578313769426</v>
      </c>
      <c r="E4118" s="48">
        <f t="shared" ca="1" si="235"/>
        <v>0</v>
      </c>
      <c r="F4118" s="17">
        <f t="shared" ca="1" si="236"/>
        <v>0</v>
      </c>
      <c r="H4118" s="17">
        <v>4103</v>
      </c>
      <c r="I4118" s="43">
        <v>0.66995085372612917</v>
      </c>
      <c r="J4118" s="43">
        <v>2.0004538083537582E-2</v>
      </c>
      <c r="K4118" s="43"/>
      <c r="L4118" s="43">
        <v>0.25359999999999999</v>
      </c>
      <c r="O4118" s="50"/>
    </row>
    <row r="4119" spans="2:15" x14ac:dyDescent="0.2">
      <c r="B4119">
        <f t="shared" si="233"/>
        <v>4104</v>
      </c>
      <c r="C4119" s="48">
        <f ca="1"/>
        <v>-0.71950455851027184</v>
      </c>
      <c r="D4119" s="48">
        <f t="shared" ca="1" si="234"/>
        <v>0.61900250106416799</v>
      </c>
      <c r="E4119" s="48">
        <f t="shared" ca="1" si="235"/>
        <v>0</v>
      </c>
      <c r="F4119" s="17">
        <f t="shared" ca="1" si="236"/>
        <v>0</v>
      </c>
      <c r="H4119" s="17">
        <v>4104</v>
      </c>
      <c r="I4119" s="43">
        <v>0.66959085066338708</v>
      </c>
      <c r="J4119" s="43">
        <v>1.9976255919770692E-2</v>
      </c>
      <c r="K4119" s="43"/>
      <c r="L4119" s="43">
        <v>0.24859999999999999</v>
      </c>
      <c r="O4119" s="50"/>
    </row>
    <row r="4120" spans="2:15" x14ac:dyDescent="0.2">
      <c r="B4120">
        <f t="shared" si="233"/>
        <v>4105</v>
      </c>
      <c r="C4120" s="48">
        <f ca="1"/>
        <v>-0.7297294742115269</v>
      </c>
      <c r="D4120" s="48">
        <f t="shared" ca="1" si="234"/>
        <v>0.61837883087753343</v>
      </c>
      <c r="E4120" s="48">
        <f t="shared" ca="1" si="235"/>
        <v>0</v>
      </c>
      <c r="F4120" s="17">
        <f t="shared" ca="1" si="236"/>
        <v>0</v>
      </c>
      <c r="H4120" s="17">
        <v>4105</v>
      </c>
      <c r="I4120" s="43">
        <v>0.66742650952032623</v>
      </c>
      <c r="J4120" s="43">
        <v>1.8045896200090745E-2</v>
      </c>
      <c r="K4120" s="43"/>
      <c r="L4120" s="43">
        <v>0.2402</v>
      </c>
      <c r="O4120" s="50"/>
    </row>
    <row r="4121" spans="2:15" x14ac:dyDescent="0.2">
      <c r="B4121">
        <f t="shared" si="233"/>
        <v>4106</v>
      </c>
      <c r="C4121" s="48">
        <f ca="1"/>
        <v>-0.64145557701792388</v>
      </c>
      <c r="D4121" s="48">
        <f t="shared" ca="1" si="234"/>
        <v>0.62378388158769382</v>
      </c>
      <c r="E4121" s="48">
        <f t="shared" ca="1" si="235"/>
        <v>0</v>
      </c>
      <c r="F4121" s="17">
        <f t="shared" ca="1" si="236"/>
        <v>0</v>
      </c>
      <c r="H4121" s="17">
        <v>4106</v>
      </c>
      <c r="I4121" s="43">
        <v>0.66868232510675762</v>
      </c>
      <c r="J4121" s="43">
        <v>1.916343562331076E-2</v>
      </c>
      <c r="K4121" s="43"/>
      <c r="L4121" s="43">
        <v>0.24759999999999999</v>
      </c>
      <c r="O4121" s="50"/>
    </row>
    <row r="4122" spans="2:15" x14ac:dyDescent="0.2">
      <c r="B4122">
        <f t="shared" si="233"/>
        <v>4107</v>
      </c>
      <c r="C4122" s="48">
        <f ca="1"/>
        <v>0.92919200935601165</v>
      </c>
      <c r="D4122" s="48">
        <f t="shared" ca="1" si="234"/>
        <v>0.72825418040591039</v>
      </c>
      <c r="E4122" s="48">
        <f t="shared" ca="1" si="235"/>
        <v>0</v>
      </c>
      <c r="F4122" s="17">
        <f t="shared" ca="1" si="236"/>
        <v>0</v>
      </c>
      <c r="H4122" s="17">
        <v>4107</v>
      </c>
      <c r="I4122" s="43">
        <v>0.66815935510156399</v>
      </c>
      <c r="J4122" s="43">
        <v>1.8917859071573315E-2</v>
      </c>
      <c r="K4122" s="43"/>
      <c r="L4122" s="43">
        <v>0.24079999999999999</v>
      </c>
      <c r="O4122" s="50"/>
    </row>
    <row r="4123" spans="2:15" x14ac:dyDescent="0.2">
      <c r="B4123">
        <f t="shared" si="233"/>
        <v>4108</v>
      </c>
      <c r="C4123" s="48">
        <f ca="1"/>
        <v>-0.98876328930937019</v>
      </c>
      <c r="D4123" s="48">
        <f t="shared" ca="1" si="234"/>
        <v>0.6027869250721154</v>
      </c>
      <c r="E4123" s="48">
        <f t="shared" ca="1" si="235"/>
        <v>0</v>
      </c>
      <c r="F4123" s="17">
        <f t="shared" ca="1" si="236"/>
        <v>0</v>
      </c>
      <c r="H4123" s="17">
        <v>4108</v>
      </c>
      <c r="I4123" s="43">
        <v>0.66780319448753522</v>
      </c>
      <c r="J4123" s="43">
        <v>1.8308758387554924E-2</v>
      </c>
      <c r="K4123" s="43"/>
      <c r="L4123" s="43">
        <v>0.2422</v>
      </c>
      <c r="O4123" s="50"/>
    </row>
    <row r="4124" spans="2:15" x14ac:dyDescent="0.2">
      <c r="B4124">
        <f t="shared" si="233"/>
        <v>4109</v>
      </c>
      <c r="C4124" s="48">
        <f ca="1"/>
        <v>1.213983982311494</v>
      </c>
      <c r="D4124" s="48">
        <f t="shared" ca="1" si="234"/>
        <v>0.74899106648098346</v>
      </c>
      <c r="E4124" s="48">
        <f t="shared" ca="1" si="235"/>
        <v>0</v>
      </c>
      <c r="F4124" s="17">
        <f t="shared" ca="1" si="236"/>
        <v>0</v>
      </c>
      <c r="H4124" s="17">
        <v>4109</v>
      </c>
      <c r="I4124" s="43">
        <v>0.66920923070020888</v>
      </c>
      <c r="J4124" s="43">
        <v>1.9655697480940443E-2</v>
      </c>
      <c r="K4124" s="43"/>
      <c r="L4124" s="43">
        <v>0.251</v>
      </c>
      <c r="O4124" s="50"/>
    </row>
    <row r="4125" spans="2:15" x14ac:dyDescent="0.2">
      <c r="B4125">
        <f t="shared" si="233"/>
        <v>4110</v>
      </c>
      <c r="C4125" s="48">
        <f ca="1"/>
        <v>1.7686439801445639</v>
      </c>
      <c r="D4125" s="48">
        <f t="shared" ca="1" si="234"/>
        <v>0.79108829173624573</v>
      </c>
      <c r="E4125" s="48">
        <f t="shared" ca="1" si="235"/>
        <v>2.8882917362457183E-3</v>
      </c>
      <c r="F4125" s="17">
        <f t="shared" ca="1" si="236"/>
        <v>1</v>
      </c>
      <c r="H4125" s="17">
        <v>4110</v>
      </c>
      <c r="I4125" s="43">
        <v>0.66767042580982838</v>
      </c>
      <c r="J4125" s="43">
        <v>1.8315675535196065E-2</v>
      </c>
      <c r="K4125" s="43"/>
      <c r="L4125" s="43">
        <v>0.24179999999999999</v>
      </c>
      <c r="O4125" s="50"/>
    </row>
    <row r="4126" spans="2:15" x14ac:dyDescent="0.2">
      <c r="B4126">
        <f t="shared" si="233"/>
        <v>4111</v>
      </c>
      <c r="C4126" s="48">
        <f ca="1"/>
        <v>-0.69543157907658149</v>
      </c>
      <c r="D4126" s="48">
        <f t="shared" ca="1" si="234"/>
        <v>0.62047332072081374</v>
      </c>
      <c r="E4126" s="48">
        <f t="shared" ca="1" si="235"/>
        <v>0</v>
      </c>
      <c r="F4126" s="17">
        <f t="shared" ca="1" si="236"/>
        <v>0</v>
      </c>
      <c r="H4126" s="17">
        <v>4111</v>
      </c>
      <c r="I4126" s="43">
        <v>0.6680543109800583</v>
      </c>
      <c r="J4126" s="43">
        <v>1.8905028810332444E-2</v>
      </c>
      <c r="K4126" s="43"/>
      <c r="L4126" s="43">
        <v>0.24679999999999999</v>
      </c>
      <c r="O4126" s="50"/>
    </row>
    <row r="4127" spans="2:15" x14ac:dyDescent="0.2">
      <c r="B4127">
        <f t="shared" si="233"/>
        <v>4112</v>
      </c>
      <c r="C4127" s="48">
        <f ca="1"/>
        <v>-0.48315346030602435</v>
      </c>
      <c r="D4127" s="48">
        <f t="shared" ca="1" si="234"/>
        <v>0.63359539337125359</v>
      </c>
      <c r="E4127" s="48">
        <f t="shared" ca="1" si="235"/>
        <v>0</v>
      </c>
      <c r="F4127" s="17">
        <f t="shared" ca="1" si="236"/>
        <v>0</v>
      </c>
      <c r="H4127" s="17">
        <v>4112</v>
      </c>
      <c r="I4127" s="43">
        <v>0.66898906163502048</v>
      </c>
      <c r="J4127" s="43">
        <v>1.9490851542565139E-2</v>
      </c>
      <c r="K4127" s="43"/>
      <c r="L4127" s="43">
        <v>0.25679999999999997</v>
      </c>
      <c r="O4127" s="50"/>
    </row>
    <row r="4128" spans="2:15" x14ac:dyDescent="0.2">
      <c r="B4128">
        <f t="shared" si="233"/>
        <v>4113</v>
      </c>
      <c r="C4128" s="48">
        <f ca="1"/>
        <v>-0.32884119695521941</v>
      </c>
      <c r="D4128" s="48">
        <f t="shared" ca="1" si="234"/>
        <v>0.64330813592305802</v>
      </c>
      <c r="E4128" s="48">
        <f t="shared" ca="1" si="235"/>
        <v>0</v>
      </c>
      <c r="F4128" s="17">
        <f t="shared" ca="1" si="236"/>
        <v>0</v>
      </c>
      <c r="H4128" s="17">
        <v>4113</v>
      </c>
      <c r="I4128" s="43">
        <v>0.66838486276183717</v>
      </c>
      <c r="J4128" s="43">
        <v>1.9200952503088904E-2</v>
      </c>
      <c r="K4128" s="43"/>
      <c r="L4128" s="43">
        <v>0.255</v>
      </c>
      <c r="O4128" s="50"/>
    </row>
    <row r="4129" spans="2:15" x14ac:dyDescent="0.2">
      <c r="B4129">
        <f t="shared" si="233"/>
        <v>4114</v>
      </c>
      <c r="C4129" s="48">
        <f ca="1"/>
        <v>-1.2750599517718741</v>
      </c>
      <c r="D4129" s="48">
        <f t="shared" ca="1" si="234"/>
        <v>0.58601097182003792</v>
      </c>
      <c r="E4129" s="48">
        <f t="shared" ca="1" si="235"/>
        <v>0</v>
      </c>
      <c r="F4129" s="17">
        <f t="shared" ca="1" si="236"/>
        <v>0</v>
      </c>
      <c r="H4129" s="17">
        <v>4114</v>
      </c>
      <c r="I4129" s="43">
        <v>0.66948062011161014</v>
      </c>
      <c r="J4129" s="43">
        <v>1.9974059390788564E-2</v>
      </c>
      <c r="K4129" s="43"/>
      <c r="L4129" s="43">
        <v>0.254</v>
      </c>
      <c r="O4129" s="50"/>
    </row>
    <row r="4130" spans="2:15" x14ac:dyDescent="0.2">
      <c r="B4130">
        <f t="shared" si="233"/>
        <v>4115</v>
      </c>
      <c r="C4130" s="48">
        <f ca="1"/>
        <v>-0.46274079802574475</v>
      </c>
      <c r="D4130" s="48">
        <f t="shared" ca="1" si="234"/>
        <v>0.63487174533070789</v>
      </c>
      <c r="E4130" s="48">
        <f t="shared" ca="1" si="235"/>
        <v>0</v>
      </c>
      <c r="F4130" s="17">
        <f t="shared" ca="1" si="236"/>
        <v>0</v>
      </c>
      <c r="H4130" s="17">
        <v>4115</v>
      </c>
      <c r="I4130" s="43">
        <v>0.66853544123835218</v>
      </c>
      <c r="J4130" s="43">
        <v>1.8977090989136039E-2</v>
      </c>
      <c r="K4130" s="43"/>
      <c r="L4130" s="43">
        <v>0.2452</v>
      </c>
      <c r="O4130" s="50"/>
    </row>
    <row r="4131" spans="2:15" x14ac:dyDescent="0.2">
      <c r="B4131">
        <f t="shared" si="233"/>
        <v>4116</v>
      </c>
      <c r="C4131" s="48">
        <f ca="1"/>
        <v>0.65713102360030995</v>
      </c>
      <c r="D4131" s="48">
        <f t="shared" ca="1" si="234"/>
        <v>0.70898071931491335</v>
      </c>
      <c r="E4131" s="48">
        <f t="shared" ca="1" si="235"/>
        <v>0</v>
      </c>
      <c r="F4131" s="17">
        <f t="shared" ca="1" si="236"/>
        <v>0</v>
      </c>
      <c r="H4131" s="17">
        <v>4116</v>
      </c>
      <c r="I4131" s="43">
        <v>0.66967349488253547</v>
      </c>
      <c r="J4131" s="43">
        <v>1.9718633720520275E-2</v>
      </c>
      <c r="K4131" s="43"/>
      <c r="L4131" s="43">
        <v>0.24660000000000001</v>
      </c>
      <c r="O4131" s="50"/>
    </row>
    <row r="4132" spans="2:15" x14ac:dyDescent="0.2">
      <c r="B4132">
        <f t="shared" si="233"/>
        <v>4117</v>
      </c>
      <c r="C4132" s="48">
        <f ca="1"/>
        <v>-0.82046048059860077</v>
      </c>
      <c r="D4132" s="48">
        <f t="shared" ca="1" si="234"/>
        <v>0.61287213437613408</v>
      </c>
      <c r="E4132" s="48">
        <f t="shared" ca="1" si="235"/>
        <v>0</v>
      </c>
      <c r="F4132" s="17">
        <f t="shared" ca="1" si="236"/>
        <v>0</v>
      </c>
      <c r="H4132" s="17">
        <v>4117</v>
      </c>
      <c r="I4132" s="43">
        <v>0.66908022044037141</v>
      </c>
      <c r="J4132" s="43">
        <v>1.919636582356727E-2</v>
      </c>
      <c r="K4132" s="43"/>
      <c r="L4132" s="43">
        <v>0.249</v>
      </c>
      <c r="O4132" s="50"/>
    </row>
    <row r="4133" spans="2:15" x14ac:dyDescent="0.2">
      <c r="B4133">
        <f t="shared" si="233"/>
        <v>4118</v>
      </c>
      <c r="C4133" s="48">
        <f ca="1"/>
        <v>0.70362507883040359</v>
      </c>
      <c r="D4133" s="48">
        <f t="shared" ca="1" si="234"/>
        <v>0.71223795584848759</v>
      </c>
      <c r="E4133" s="48">
        <f t="shared" ca="1" si="235"/>
        <v>0</v>
      </c>
      <c r="F4133" s="17">
        <f t="shared" ca="1" si="236"/>
        <v>0</v>
      </c>
      <c r="H4133" s="17">
        <v>4118</v>
      </c>
      <c r="I4133" s="43">
        <v>0.66774845378795</v>
      </c>
      <c r="J4133" s="43">
        <v>1.843857623493516E-2</v>
      </c>
      <c r="K4133" s="43"/>
      <c r="L4133" s="43">
        <v>0.2404</v>
      </c>
      <c r="O4133" s="50"/>
    </row>
    <row r="4134" spans="2:15" x14ac:dyDescent="0.2">
      <c r="B4134">
        <f t="shared" si="233"/>
        <v>4119</v>
      </c>
      <c r="C4134" s="48">
        <f ca="1"/>
        <v>2.0627593598299039</v>
      </c>
      <c r="D4134" s="48">
        <f t="shared" ca="1" si="234"/>
        <v>0.81436256064303825</v>
      </c>
      <c r="E4134" s="48">
        <f t="shared" ca="1" si="235"/>
        <v>2.6162560643038235E-2</v>
      </c>
      <c r="F4134" s="17">
        <f t="shared" ca="1" si="236"/>
        <v>1</v>
      </c>
      <c r="H4134" s="17">
        <v>4119</v>
      </c>
      <c r="I4134" s="43">
        <v>0.66818523114066852</v>
      </c>
      <c r="J4134" s="43">
        <v>1.8667592715934517E-2</v>
      </c>
      <c r="K4134" s="43"/>
      <c r="L4134" s="43">
        <v>0.246</v>
      </c>
      <c r="O4134" s="50"/>
    </row>
    <row r="4135" spans="2:15" x14ac:dyDescent="0.2">
      <c r="B4135">
        <f t="shared" si="233"/>
        <v>4120</v>
      </c>
      <c r="C4135" s="48">
        <f ca="1"/>
        <v>-0.40370727372467963</v>
      </c>
      <c r="D4135" s="48">
        <f t="shared" ca="1" si="234"/>
        <v>0.63857745024807022</v>
      </c>
      <c r="E4135" s="48">
        <f t="shared" ca="1" si="235"/>
        <v>0</v>
      </c>
      <c r="F4135" s="17">
        <f t="shared" ca="1" si="236"/>
        <v>0</v>
      </c>
      <c r="H4135" s="17">
        <v>4120</v>
      </c>
      <c r="I4135" s="43">
        <v>0.6690420909863054</v>
      </c>
      <c r="J4135" s="43">
        <v>1.9420331989932618E-2</v>
      </c>
      <c r="K4135" s="43"/>
      <c r="L4135" s="43">
        <v>0.24160000000000001</v>
      </c>
      <c r="O4135" s="50"/>
    </row>
    <row r="4136" spans="2:15" x14ac:dyDescent="0.2">
      <c r="B4136">
        <f t="shared" si="233"/>
        <v>4121</v>
      </c>
      <c r="C4136" s="48">
        <f ca="1"/>
        <v>0.63898102053904671</v>
      </c>
      <c r="D4136" s="48">
        <f t="shared" ca="1" si="234"/>
        <v>0.7077132298722788</v>
      </c>
      <c r="E4136" s="48">
        <f t="shared" ca="1" si="235"/>
        <v>0</v>
      </c>
      <c r="F4136" s="17">
        <f t="shared" ca="1" si="236"/>
        <v>0</v>
      </c>
      <c r="H4136" s="17">
        <v>4121</v>
      </c>
      <c r="I4136" s="43">
        <v>0.66904593139239388</v>
      </c>
      <c r="J4136" s="43">
        <v>1.9400947986691335E-2</v>
      </c>
      <c r="K4136" s="43"/>
      <c r="L4136" s="43">
        <v>0.25600000000000001</v>
      </c>
      <c r="O4136" s="50"/>
    </row>
    <row r="4137" spans="2:15" x14ac:dyDescent="0.2">
      <c r="B4137">
        <f t="shared" si="233"/>
        <v>4122</v>
      </c>
      <c r="C4137" s="48">
        <f ca="1"/>
        <v>-1.3382153594459456</v>
      </c>
      <c r="D4137" s="48">
        <f t="shared" ca="1" si="234"/>
        <v>0.5823736085121034</v>
      </c>
      <c r="E4137" s="48">
        <f t="shared" ca="1" si="235"/>
        <v>0</v>
      </c>
      <c r="F4137" s="17">
        <f t="shared" ca="1" si="236"/>
        <v>0</v>
      </c>
      <c r="H4137" s="17">
        <v>4122</v>
      </c>
      <c r="I4137" s="43">
        <v>0.66936207548086391</v>
      </c>
      <c r="J4137" s="43">
        <v>1.9563680057485437E-2</v>
      </c>
      <c r="K4137" s="43"/>
      <c r="L4137" s="43">
        <v>0.25380000000000003</v>
      </c>
      <c r="O4137" s="50"/>
    </row>
    <row r="4138" spans="2:15" x14ac:dyDescent="0.2">
      <c r="B4138">
        <f t="shared" si="233"/>
        <v>4123</v>
      </c>
      <c r="C4138" s="48">
        <f ca="1"/>
        <v>-8.9032269596590833E-3</v>
      </c>
      <c r="D4138" s="48">
        <f t="shared" ca="1" si="234"/>
        <v>0.66392268234257523</v>
      </c>
      <c r="E4138" s="48">
        <f t="shared" ca="1" si="235"/>
        <v>0</v>
      </c>
      <c r="F4138" s="17">
        <f t="shared" ca="1" si="236"/>
        <v>0</v>
      </c>
      <c r="H4138" s="17">
        <v>4123</v>
      </c>
      <c r="I4138" s="43">
        <v>0.66935267375059693</v>
      </c>
      <c r="J4138" s="43">
        <v>2.0049496591469356E-2</v>
      </c>
      <c r="K4138" s="43"/>
      <c r="L4138" s="43">
        <v>0.25800000000000001</v>
      </c>
      <c r="O4138" s="50"/>
    </row>
    <row r="4139" spans="2:15" x14ac:dyDescent="0.2">
      <c r="B4139">
        <f t="shared" si="233"/>
        <v>4124</v>
      </c>
      <c r="C4139" s="48">
        <f ca="1"/>
        <v>0.62944990957443836</v>
      </c>
      <c r="D4139" s="48">
        <f t="shared" ca="1" si="234"/>
        <v>0.70704854080650992</v>
      </c>
      <c r="E4139" s="48">
        <f t="shared" ca="1" si="235"/>
        <v>0</v>
      </c>
      <c r="F4139" s="17">
        <f t="shared" ca="1" si="236"/>
        <v>0</v>
      </c>
      <c r="H4139" s="17">
        <v>4124</v>
      </c>
      <c r="I4139" s="43">
        <v>0.66914545811401616</v>
      </c>
      <c r="J4139" s="43">
        <v>1.9606707012685187E-2</v>
      </c>
      <c r="K4139" s="43"/>
      <c r="L4139" s="43">
        <v>0.25040000000000001</v>
      </c>
      <c r="O4139" s="50"/>
    </row>
    <row r="4140" spans="2:15" x14ac:dyDescent="0.2">
      <c r="B4140">
        <f t="shared" si="233"/>
        <v>4125</v>
      </c>
      <c r="C4140" s="48">
        <f ca="1"/>
        <v>1.4528617952911554E-2</v>
      </c>
      <c r="D4140" s="48">
        <f t="shared" ca="1" si="234"/>
        <v>0.66545817391237805</v>
      </c>
      <c r="E4140" s="48">
        <f t="shared" ca="1" si="235"/>
        <v>0</v>
      </c>
      <c r="F4140" s="17">
        <f t="shared" ca="1" si="236"/>
        <v>0</v>
      </c>
      <c r="H4140" s="17">
        <v>4125</v>
      </c>
      <c r="I4140" s="43">
        <v>0.66859749692829784</v>
      </c>
      <c r="J4140" s="43">
        <v>1.9182671493910737E-2</v>
      </c>
      <c r="K4140" s="43"/>
      <c r="L4140" s="43">
        <v>0.25440000000000002</v>
      </c>
      <c r="O4140" s="50"/>
    </row>
    <row r="4141" spans="2:15" x14ac:dyDescent="0.2">
      <c r="B4141">
        <f t="shared" si="233"/>
        <v>4126</v>
      </c>
      <c r="C4141" s="48">
        <f ca="1"/>
        <v>-1.7975701608561307</v>
      </c>
      <c r="D4141" s="48">
        <f t="shared" ca="1" si="234"/>
        <v>0.55658814684155511</v>
      </c>
      <c r="E4141" s="48">
        <f t="shared" ca="1" si="235"/>
        <v>0</v>
      </c>
      <c r="F4141" s="17">
        <f t="shared" ca="1" si="236"/>
        <v>0</v>
      </c>
      <c r="H4141" s="17">
        <v>4126</v>
      </c>
      <c r="I4141" s="43">
        <v>0.67040728582969367</v>
      </c>
      <c r="J4141" s="43">
        <v>2.0676570884527394E-2</v>
      </c>
      <c r="K4141" s="43"/>
      <c r="L4141" s="43">
        <v>0.26540000000000002</v>
      </c>
      <c r="O4141" s="50"/>
    </row>
    <row r="4142" spans="2:15" x14ac:dyDescent="0.2">
      <c r="B4142">
        <f t="shared" si="233"/>
        <v>4127</v>
      </c>
      <c r="C4142" s="48">
        <f ca="1"/>
        <v>0.33239137350594306</v>
      </c>
      <c r="D4142" s="48">
        <f t="shared" ca="1" si="234"/>
        <v>0.6866420146927521</v>
      </c>
      <c r="E4142" s="48">
        <f t="shared" ca="1" si="235"/>
        <v>0</v>
      </c>
      <c r="F4142" s="17">
        <f t="shared" ca="1" si="236"/>
        <v>0</v>
      </c>
      <c r="H4142" s="17">
        <v>4127</v>
      </c>
      <c r="I4142" s="43">
        <v>0.66881303563895667</v>
      </c>
      <c r="J4142" s="43">
        <v>1.9155520917190083E-2</v>
      </c>
      <c r="K4142" s="43"/>
      <c r="L4142" s="43">
        <v>0.25519999999999998</v>
      </c>
      <c r="O4142" s="50"/>
    </row>
    <row r="4143" spans="2:15" x14ac:dyDescent="0.2">
      <c r="B4143">
        <f t="shared" si="233"/>
        <v>4128</v>
      </c>
      <c r="C4143" s="48">
        <f ca="1"/>
        <v>0.62295012200366706</v>
      </c>
      <c r="D4143" s="48">
        <f t="shared" ca="1" si="234"/>
        <v>0.70659561092476719</v>
      </c>
      <c r="E4143" s="48">
        <f t="shared" ca="1" si="235"/>
        <v>0</v>
      </c>
      <c r="F4143" s="17">
        <f t="shared" ca="1" si="236"/>
        <v>0</v>
      </c>
      <c r="H4143" s="17">
        <v>4128</v>
      </c>
      <c r="I4143" s="43">
        <v>0.66833580680214255</v>
      </c>
      <c r="J4143" s="43">
        <v>1.9017042196188445E-2</v>
      </c>
      <c r="K4143" s="43"/>
      <c r="L4143" s="43">
        <v>0.254</v>
      </c>
      <c r="O4143" s="50"/>
    </row>
    <row r="4144" spans="2:15" x14ac:dyDescent="0.2">
      <c r="B4144">
        <f t="shared" si="233"/>
        <v>4129</v>
      </c>
      <c r="C4144" s="48">
        <f ca="1"/>
        <v>0.46342981849708748</v>
      </c>
      <c r="D4144" s="48">
        <f t="shared" ca="1" si="234"/>
        <v>0.69557011612781494</v>
      </c>
      <c r="E4144" s="48">
        <f t="shared" ca="1" si="235"/>
        <v>0</v>
      </c>
      <c r="F4144" s="17">
        <f t="shared" ca="1" si="236"/>
        <v>0</v>
      </c>
      <c r="H4144" s="17">
        <v>4129</v>
      </c>
      <c r="I4144" s="43">
        <v>0.66904607575825603</v>
      </c>
      <c r="J4144" s="43">
        <v>1.9349752661079758E-2</v>
      </c>
      <c r="K4144" s="43"/>
      <c r="L4144" s="43">
        <v>0.2492</v>
      </c>
      <c r="O4144" s="50"/>
    </row>
    <row r="4145" spans="2:15" x14ac:dyDescent="0.2">
      <c r="B4145">
        <f t="shared" ref="B4145:B4208" si="237">B4144+1</f>
        <v>4130</v>
      </c>
      <c r="C4145" s="48">
        <f ca="1"/>
        <v>-0.21002394974336736</v>
      </c>
      <c r="D4145" s="48">
        <f t="shared" ca="1" si="234"/>
        <v>0.65088808648513152</v>
      </c>
      <c r="E4145" s="48">
        <f t="shared" ca="1" si="235"/>
        <v>0</v>
      </c>
      <c r="F4145" s="17">
        <f t="shared" ca="1" si="236"/>
        <v>0</v>
      </c>
      <c r="H4145" s="17">
        <v>4130</v>
      </c>
      <c r="I4145" s="43">
        <v>0.67044398428413776</v>
      </c>
      <c r="J4145" s="43">
        <v>2.029649851720966E-2</v>
      </c>
      <c r="K4145" s="43"/>
      <c r="L4145" s="43">
        <v>0.25340000000000001</v>
      </c>
      <c r="O4145" s="50"/>
    </row>
    <row r="4146" spans="2:15" x14ac:dyDescent="0.2">
      <c r="B4146">
        <f t="shared" si="237"/>
        <v>4131</v>
      </c>
      <c r="C4146" s="48">
        <f ca="1"/>
        <v>4.593489404383453E-2</v>
      </c>
      <c r="D4146" s="48">
        <f t="shared" ca="1" si="234"/>
        <v>0.66752180208227152</v>
      </c>
      <c r="E4146" s="48">
        <f t="shared" ca="1" si="235"/>
        <v>0</v>
      </c>
      <c r="F4146" s="17">
        <f t="shared" ca="1" si="236"/>
        <v>0</v>
      </c>
      <c r="H4146" s="17">
        <v>4131</v>
      </c>
      <c r="I4146" s="43">
        <v>0.66897303644074202</v>
      </c>
      <c r="J4146" s="43">
        <v>1.9298724192335467E-2</v>
      </c>
      <c r="K4146" s="43"/>
      <c r="L4146" s="43">
        <v>0.252</v>
      </c>
      <c r="O4146" s="50"/>
    </row>
    <row r="4147" spans="2:15" x14ac:dyDescent="0.2">
      <c r="B4147">
        <f t="shared" si="237"/>
        <v>4132</v>
      </c>
      <c r="C4147" s="48">
        <f ca="1"/>
        <v>-2.2481581808894493</v>
      </c>
      <c r="D4147" s="48">
        <f t="shared" ca="1" si="234"/>
        <v>0.53240433050764235</v>
      </c>
      <c r="E4147" s="48">
        <f t="shared" ca="1" si="235"/>
        <v>0</v>
      </c>
      <c r="F4147" s="17">
        <f t="shared" ca="1" si="236"/>
        <v>0</v>
      </c>
      <c r="H4147" s="17">
        <v>4132</v>
      </c>
      <c r="I4147" s="43">
        <v>0.66913792227142854</v>
      </c>
      <c r="J4147" s="43">
        <v>1.945039279963847E-2</v>
      </c>
      <c r="K4147" s="43"/>
      <c r="L4147" s="43">
        <v>0.25180000000000002</v>
      </c>
      <c r="O4147" s="50"/>
    </row>
    <row r="4148" spans="2:15" x14ac:dyDescent="0.2">
      <c r="B4148">
        <f t="shared" si="237"/>
        <v>4133</v>
      </c>
      <c r="C4148" s="48">
        <f ca="1"/>
        <v>-0.32029363067713468</v>
      </c>
      <c r="D4148" s="48">
        <f t="shared" ca="1" si="234"/>
        <v>0.64385046918449718</v>
      </c>
      <c r="E4148" s="48">
        <f t="shared" ca="1" si="235"/>
        <v>0</v>
      </c>
      <c r="F4148" s="17">
        <f t="shared" ca="1" si="236"/>
        <v>0</v>
      </c>
      <c r="H4148" s="17">
        <v>4133</v>
      </c>
      <c r="I4148" s="43">
        <v>0.66885516015554736</v>
      </c>
      <c r="J4148" s="43">
        <v>1.8957871072238463E-2</v>
      </c>
      <c r="K4148" s="43"/>
      <c r="L4148" s="43">
        <v>0.245</v>
      </c>
      <c r="O4148" s="50"/>
    </row>
    <row r="4149" spans="2:15" x14ac:dyDescent="0.2">
      <c r="B4149">
        <f t="shared" si="237"/>
        <v>4134</v>
      </c>
      <c r="C4149" s="48">
        <f ca="1"/>
        <v>-2.1189601640948954</v>
      </c>
      <c r="D4149" s="48">
        <f t="shared" ca="1" si="234"/>
        <v>0.53922909946676267</v>
      </c>
      <c r="E4149" s="48">
        <f t="shared" ca="1" si="235"/>
        <v>0</v>
      </c>
      <c r="F4149" s="17">
        <f t="shared" ca="1" si="236"/>
        <v>0</v>
      </c>
      <c r="H4149" s="17">
        <v>4134</v>
      </c>
      <c r="I4149" s="43">
        <v>0.66834502198421375</v>
      </c>
      <c r="J4149" s="43">
        <v>1.8917648208274362E-2</v>
      </c>
      <c r="K4149" s="43"/>
      <c r="L4149" s="43">
        <v>0.2452</v>
      </c>
      <c r="O4149" s="50"/>
    </row>
    <row r="4150" spans="2:15" x14ac:dyDescent="0.2">
      <c r="B4150">
        <f t="shared" si="237"/>
        <v>4135</v>
      </c>
      <c r="C4150" s="48">
        <f ca="1"/>
        <v>-0.85101237060795565</v>
      </c>
      <c r="D4150" s="48">
        <f t="shared" ca="1" si="234"/>
        <v>0.61102892026151689</v>
      </c>
      <c r="E4150" s="48">
        <f t="shared" ca="1" si="235"/>
        <v>0</v>
      </c>
      <c r="F4150" s="17">
        <f t="shared" ca="1" si="236"/>
        <v>0</v>
      </c>
      <c r="H4150" s="17">
        <v>4135</v>
      </c>
      <c r="I4150" s="43">
        <v>0.67019129696592727</v>
      </c>
      <c r="J4150" s="43">
        <v>2.0114089731348817E-2</v>
      </c>
      <c r="K4150" s="43"/>
      <c r="L4150" s="43">
        <v>0.24979999999999999</v>
      </c>
      <c r="O4150" s="50"/>
    </row>
    <row r="4151" spans="2:15" x14ac:dyDescent="0.2">
      <c r="B4151">
        <f t="shared" si="237"/>
        <v>4136</v>
      </c>
      <c r="C4151" s="48">
        <f ca="1"/>
        <v>-1.0705453301852113</v>
      </c>
      <c r="D4151" s="48">
        <f t="shared" ca="1" si="234"/>
        <v>0.59794638438485181</v>
      </c>
      <c r="E4151" s="48">
        <f t="shared" ca="1" si="235"/>
        <v>0</v>
      </c>
      <c r="F4151" s="17">
        <f t="shared" ca="1" si="236"/>
        <v>0</v>
      </c>
      <c r="H4151" s="17">
        <v>4136</v>
      </c>
      <c r="I4151" s="43">
        <v>0.66964613621249613</v>
      </c>
      <c r="J4151" s="43">
        <v>2.0172964461631474E-2</v>
      </c>
      <c r="K4151" s="43"/>
      <c r="L4151" s="43">
        <v>0.254</v>
      </c>
      <c r="O4151" s="50"/>
    </row>
    <row r="4152" spans="2:15" x14ac:dyDescent="0.2">
      <c r="B4152">
        <f t="shared" si="237"/>
        <v>4137</v>
      </c>
      <c r="C4152" s="48">
        <f ca="1"/>
        <v>0.47546403264468917</v>
      </c>
      <c r="D4152" s="48">
        <f t="shared" ca="1" si="234"/>
        <v>0.69639584605465388</v>
      </c>
      <c r="E4152" s="48">
        <f t="shared" ca="1" si="235"/>
        <v>0</v>
      </c>
      <c r="F4152" s="17">
        <f t="shared" ca="1" si="236"/>
        <v>0</v>
      </c>
      <c r="H4152" s="17">
        <v>4137</v>
      </c>
      <c r="I4152" s="43">
        <v>0.6683006409321105</v>
      </c>
      <c r="J4152" s="43">
        <v>1.9102914032916203E-2</v>
      </c>
      <c r="K4152" s="43"/>
      <c r="L4152" s="43">
        <v>0.2472</v>
      </c>
      <c r="O4152" s="50"/>
    </row>
    <row r="4153" spans="2:15" x14ac:dyDescent="0.2">
      <c r="B4153">
        <f t="shared" si="237"/>
        <v>4138</v>
      </c>
      <c r="C4153" s="48">
        <f ca="1"/>
        <v>-1.3852547500847452</v>
      </c>
      <c r="D4153" s="48">
        <f t="shared" ca="1" si="234"/>
        <v>0.57967910680241508</v>
      </c>
      <c r="E4153" s="48">
        <f t="shared" ca="1" si="235"/>
        <v>0</v>
      </c>
      <c r="F4153" s="17">
        <f t="shared" ca="1" si="236"/>
        <v>0</v>
      </c>
      <c r="H4153" s="17">
        <v>4138</v>
      </c>
      <c r="I4153" s="43">
        <v>0.66793123421771305</v>
      </c>
      <c r="J4153" s="43">
        <v>1.8457607383906588E-2</v>
      </c>
      <c r="K4153" s="43"/>
      <c r="L4153" s="43">
        <v>0.24879999999999999</v>
      </c>
      <c r="O4153" s="50"/>
    </row>
    <row r="4154" spans="2:15" x14ac:dyDescent="0.2">
      <c r="B4154">
        <f t="shared" si="237"/>
        <v>4139</v>
      </c>
      <c r="C4154" s="48">
        <f ca="1"/>
        <v>0.3897499743835226</v>
      </c>
      <c r="D4154" s="48">
        <f t="shared" ca="1" si="234"/>
        <v>0.69053586413232537</v>
      </c>
      <c r="E4154" s="48">
        <f t="shared" ca="1" si="235"/>
        <v>0</v>
      </c>
      <c r="F4154" s="17">
        <f t="shared" ca="1" si="236"/>
        <v>0</v>
      </c>
      <c r="H4154" s="17">
        <v>4139</v>
      </c>
      <c r="I4154" s="43">
        <v>0.66963168458317845</v>
      </c>
      <c r="J4154" s="43">
        <v>1.9626189780943014E-2</v>
      </c>
      <c r="K4154" s="43"/>
      <c r="L4154" s="43">
        <v>0.24840000000000001</v>
      </c>
      <c r="O4154" s="50"/>
    </row>
    <row r="4155" spans="2:15" x14ac:dyDescent="0.2">
      <c r="B4155">
        <f t="shared" si="237"/>
        <v>4140</v>
      </c>
      <c r="C4155" s="48">
        <f ca="1"/>
        <v>1.3438048925481736</v>
      </c>
      <c r="D4155" s="48">
        <f t="shared" ca="1" si="234"/>
        <v>0.75863879730534556</v>
      </c>
      <c r="E4155" s="48">
        <f t="shared" ca="1" si="235"/>
        <v>0</v>
      </c>
      <c r="F4155" s="17">
        <f t="shared" ca="1" si="236"/>
        <v>0</v>
      </c>
      <c r="H4155" s="17">
        <v>4140</v>
      </c>
      <c r="I4155" s="43">
        <v>0.66992199503944361</v>
      </c>
      <c r="J4155" s="43">
        <v>1.9764461594108908E-2</v>
      </c>
      <c r="K4155" s="43"/>
      <c r="L4155" s="43">
        <v>0.25180000000000002</v>
      </c>
      <c r="O4155" s="50"/>
    </row>
    <row r="4156" spans="2:15" x14ac:dyDescent="0.2">
      <c r="B4156">
        <f t="shared" si="237"/>
        <v>4141</v>
      </c>
      <c r="C4156" s="48">
        <f ca="1"/>
        <v>0.26504864628398761</v>
      </c>
      <c r="D4156" s="48">
        <f t="shared" ca="1" si="234"/>
        <v>0.68209839556292706</v>
      </c>
      <c r="E4156" s="48">
        <f t="shared" ca="1" si="235"/>
        <v>0</v>
      </c>
      <c r="F4156" s="17">
        <f t="shared" ca="1" si="236"/>
        <v>0</v>
      </c>
      <c r="H4156" s="17">
        <v>4141</v>
      </c>
      <c r="I4156" s="43">
        <v>0.66942843144707675</v>
      </c>
      <c r="J4156" s="43">
        <v>1.990607963972376E-2</v>
      </c>
      <c r="K4156" s="43"/>
      <c r="L4156" s="43">
        <v>0.25779999999999997</v>
      </c>
      <c r="O4156" s="50"/>
    </row>
    <row r="4157" spans="2:15" x14ac:dyDescent="0.2">
      <c r="B4157">
        <f t="shared" si="237"/>
        <v>4142</v>
      </c>
      <c r="C4157" s="48">
        <f ca="1"/>
        <v>-1.0391311420997695</v>
      </c>
      <c r="D4157" s="48">
        <f t="shared" ca="1" si="234"/>
        <v>0.59980112205545399</v>
      </c>
      <c r="E4157" s="48">
        <f t="shared" ca="1" si="235"/>
        <v>0</v>
      </c>
      <c r="F4157" s="17">
        <f t="shared" ca="1" si="236"/>
        <v>0</v>
      </c>
      <c r="H4157" s="17">
        <v>4142</v>
      </c>
      <c r="I4157" s="43">
        <v>0.66927585078855567</v>
      </c>
      <c r="J4157" s="43">
        <v>1.9544634266229596E-2</v>
      </c>
      <c r="K4157" s="43"/>
      <c r="L4157" s="43">
        <v>0.25359999999999999</v>
      </c>
      <c r="O4157" s="50"/>
    </row>
    <row r="4158" spans="2:15" x14ac:dyDescent="0.2">
      <c r="B4158">
        <f t="shared" si="237"/>
        <v>4143</v>
      </c>
      <c r="C4158" s="48">
        <f ca="1"/>
        <v>-0.38253358334276338</v>
      </c>
      <c r="D4158" s="48">
        <f t="shared" ca="1" si="234"/>
        <v>0.6399118477564204</v>
      </c>
      <c r="E4158" s="48">
        <f t="shared" ca="1" si="235"/>
        <v>0</v>
      </c>
      <c r="F4158" s="17">
        <f t="shared" ca="1" si="236"/>
        <v>0</v>
      </c>
      <c r="H4158" s="17">
        <v>4143</v>
      </c>
      <c r="I4158" s="43">
        <v>0.66885816953489152</v>
      </c>
      <c r="J4158" s="43">
        <v>1.9373187722854918E-2</v>
      </c>
      <c r="K4158" s="43"/>
      <c r="L4158" s="43">
        <v>0.25819999999999999</v>
      </c>
      <c r="O4158" s="50"/>
    </row>
    <row r="4159" spans="2:15" x14ac:dyDescent="0.2">
      <c r="B4159">
        <f t="shared" si="237"/>
        <v>4144</v>
      </c>
      <c r="C4159" s="48">
        <f ca="1"/>
        <v>-1.8456892840657979</v>
      </c>
      <c r="D4159" s="48">
        <f t="shared" ca="1" si="234"/>
        <v>0.55395397773284705</v>
      </c>
      <c r="E4159" s="48">
        <f t="shared" ca="1" si="235"/>
        <v>0</v>
      </c>
      <c r="F4159" s="17">
        <f t="shared" ca="1" si="236"/>
        <v>0</v>
      </c>
      <c r="H4159" s="17">
        <v>4144</v>
      </c>
      <c r="I4159" s="43">
        <v>0.66869086163499403</v>
      </c>
      <c r="J4159" s="43">
        <v>1.9140541077459314E-2</v>
      </c>
      <c r="K4159" s="43"/>
      <c r="L4159" s="43">
        <v>0.251</v>
      </c>
      <c r="O4159" s="50"/>
    </row>
    <row r="4160" spans="2:15" x14ac:dyDescent="0.2">
      <c r="B4160">
        <f t="shared" si="237"/>
        <v>4145</v>
      </c>
      <c r="C4160" s="48">
        <f ca="1"/>
        <v>-0.6908674808292905</v>
      </c>
      <c r="D4160" s="48">
        <f t="shared" ca="1" si="234"/>
        <v>0.62075257351623614</v>
      </c>
      <c r="E4160" s="48">
        <f t="shared" ca="1" si="235"/>
        <v>0</v>
      </c>
      <c r="F4160" s="17">
        <f t="shared" ca="1" si="236"/>
        <v>0</v>
      </c>
      <c r="H4160" s="17">
        <v>4145</v>
      </c>
      <c r="I4160" s="43">
        <v>0.66879046902794148</v>
      </c>
      <c r="J4160" s="43">
        <v>1.9250264616341252E-2</v>
      </c>
      <c r="K4160" s="43"/>
      <c r="L4160" s="43">
        <v>0.24640000000000001</v>
      </c>
      <c r="O4160" s="50"/>
    </row>
    <row r="4161" spans="2:15" x14ac:dyDescent="0.2">
      <c r="B4161">
        <f t="shared" si="237"/>
        <v>4146</v>
      </c>
      <c r="C4161" s="48">
        <f ca="1"/>
        <v>-0.32578745459090164</v>
      </c>
      <c r="D4161" s="48">
        <f t="shared" ca="1" si="234"/>
        <v>0.64350183989883591</v>
      </c>
      <c r="E4161" s="48">
        <f t="shared" ca="1" si="235"/>
        <v>0</v>
      </c>
      <c r="F4161" s="17">
        <f t="shared" ca="1" si="236"/>
        <v>0</v>
      </c>
      <c r="H4161" s="17">
        <v>4146</v>
      </c>
      <c r="I4161" s="43">
        <v>0.67006350349811705</v>
      </c>
      <c r="J4161" s="43">
        <v>2.0174875418191868E-2</v>
      </c>
      <c r="K4161" s="43"/>
      <c r="L4161" s="43">
        <v>0.25559999999999999</v>
      </c>
      <c r="O4161" s="50"/>
    </row>
    <row r="4162" spans="2:15" x14ac:dyDescent="0.2">
      <c r="B4162">
        <f t="shared" si="237"/>
        <v>4147</v>
      </c>
      <c r="C4162" s="48">
        <f ca="1"/>
        <v>-0.41087354590653674</v>
      </c>
      <c r="D4162" s="48">
        <f t="shared" ca="1" si="234"/>
        <v>0.63812645165031934</v>
      </c>
      <c r="E4162" s="48">
        <f t="shared" ca="1" si="235"/>
        <v>0</v>
      </c>
      <c r="F4162" s="17">
        <f t="shared" ca="1" si="236"/>
        <v>0</v>
      </c>
      <c r="H4162" s="17">
        <v>4147</v>
      </c>
      <c r="I4162" s="43">
        <v>0.67022157931694892</v>
      </c>
      <c r="J4162" s="43">
        <v>2.0066518969341984E-2</v>
      </c>
      <c r="K4162" s="43"/>
      <c r="L4162" s="43">
        <v>0.25359999999999999</v>
      </c>
      <c r="O4162" s="50"/>
    </row>
    <row r="4163" spans="2:15" x14ac:dyDescent="0.2">
      <c r="B4163">
        <f t="shared" si="237"/>
        <v>4148</v>
      </c>
      <c r="C4163" s="48">
        <f ca="1"/>
        <v>-4.1596255057237873E-2</v>
      </c>
      <c r="D4163" s="48">
        <f t="shared" ca="1" si="234"/>
        <v>0.66178622281447697</v>
      </c>
      <c r="E4163" s="48">
        <f t="shared" ca="1" si="235"/>
        <v>0</v>
      </c>
      <c r="F4163" s="17">
        <f t="shared" ca="1" si="236"/>
        <v>0</v>
      </c>
      <c r="H4163" s="17">
        <v>4148</v>
      </c>
      <c r="I4163" s="43">
        <v>0.66897941237293812</v>
      </c>
      <c r="J4163" s="43">
        <v>1.9205328288096284E-2</v>
      </c>
      <c r="K4163" s="43"/>
      <c r="L4163" s="43">
        <v>0.2472</v>
      </c>
      <c r="O4163" s="50"/>
    </row>
    <row r="4164" spans="2:15" x14ac:dyDescent="0.2">
      <c r="B4164">
        <f t="shared" si="237"/>
        <v>4149</v>
      </c>
      <c r="C4164" s="48">
        <f ca="1"/>
        <v>-2.4221706989473391</v>
      </c>
      <c r="D4164" s="48">
        <f t="shared" ca="1" si="234"/>
        <v>0.52334859232870312</v>
      </c>
      <c r="E4164" s="48">
        <f t="shared" ca="1" si="235"/>
        <v>0</v>
      </c>
      <c r="F4164" s="17">
        <f t="shared" ca="1" si="236"/>
        <v>0</v>
      </c>
      <c r="H4164" s="17">
        <v>4149</v>
      </c>
      <c r="I4164" s="43">
        <v>0.66965418385456554</v>
      </c>
      <c r="J4164" s="43">
        <v>1.970148233914884E-2</v>
      </c>
      <c r="K4164" s="43"/>
      <c r="L4164" s="43">
        <v>0.248</v>
      </c>
      <c r="O4164" s="50"/>
    </row>
    <row r="4165" spans="2:15" x14ac:dyDescent="0.2">
      <c r="B4165">
        <f t="shared" si="237"/>
        <v>4150</v>
      </c>
      <c r="C4165" s="48">
        <f ca="1"/>
        <v>-0.1145213854202845</v>
      </c>
      <c r="D4165" s="48">
        <f t="shared" ca="1" si="234"/>
        <v>0.65704537067208268</v>
      </c>
      <c r="E4165" s="48">
        <f t="shared" ca="1" si="235"/>
        <v>0</v>
      </c>
      <c r="F4165" s="17">
        <f t="shared" ca="1" si="236"/>
        <v>0</v>
      </c>
      <c r="H4165" s="17">
        <v>4150</v>
      </c>
      <c r="I4165" s="43">
        <v>0.66930157261659828</v>
      </c>
      <c r="J4165" s="43">
        <v>1.9609648505633012E-2</v>
      </c>
      <c r="K4165" s="43"/>
      <c r="L4165" s="43">
        <v>0.248</v>
      </c>
      <c r="O4165" s="50"/>
    </row>
    <row r="4166" spans="2:15" x14ac:dyDescent="0.2">
      <c r="B4166">
        <f t="shared" si="237"/>
        <v>4151</v>
      </c>
      <c r="C4166" s="48">
        <f ca="1"/>
        <v>1.1872687278596856</v>
      </c>
      <c r="D4166" s="48">
        <f t="shared" ca="1" si="234"/>
        <v>0.74702097733312234</v>
      </c>
      <c r="E4166" s="48">
        <f t="shared" ca="1" si="235"/>
        <v>0</v>
      </c>
      <c r="F4166" s="17">
        <f t="shared" ca="1" si="236"/>
        <v>0</v>
      </c>
      <c r="H4166" s="17">
        <v>4151</v>
      </c>
      <c r="I4166" s="43">
        <v>0.66875868692536022</v>
      </c>
      <c r="J4166" s="43">
        <v>1.8748730469248697E-2</v>
      </c>
      <c r="K4166" s="43"/>
      <c r="L4166" s="43">
        <v>0.246</v>
      </c>
      <c r="O4166" s="50"/>
    </row>
    <row r="4167" spans="2:15" x14ac:dyDescent="0.2">
      <c r="B4167">
        <f t="shared" si="237"/>
        <v>4152</v>
      </c>
      <c r="C4167" s="48">
        <f ca="1"/>
        <v>1.2214663414182507</v>
      </c>
      <c r="D4167" s="48">
        <f t="shared" ca="1" si="234"/>
        <v>0.74954377619595747</v>
      </c>
      <c r="E4167" s="48">
        <f t="shared" ca="1" si="235"/>
        <v>0</v>
      </c>
      <c r="F4167" s="17">
        <f t="shared" ca="1" si="236"/>
        <v>0</v>
      </c>
      <c r="H4167" s="17">
        <v>4152</v>
      </c>
      <c r="I4167" s="43">
        <v>0.66719023481251771</v>
      </c>
      <c r="J4167" s="43">
        <v>1.8058714194088023E-2</v>
      </c>
      <c r="K4167" s="43"/>
      <c r="L4167" s="43">
        <v>0.24099999999999999</v>
      </c>
      <c r="O4167" s="50"/>
    </row>
    <row r="4168" spans="2:15" x14ac:dyDescent="0.2">
      <c r="B4168">
        <f t="shared" si="237"/>
        <v>4153</v>
      </c>
      <c r="C4168" s="48">
        <f ca="1"/>
        <v>0.47581687494534097</v>
      </c>
      <c r="D4168" s="48">
        <f t="shared" ca="1" si="234"/>
        <v>0.69642007118325955</v>
      </c>
      <c r="E4168" s="48">
        <f t="shared" ca="1" si="235"/>
        <v>0</v>
      </c>
      <c r="F4168" s="17">
        <f t="shared" ca="1" si="236"/>
        <v>0</v>
      </c>
      <c r="H4168" s="17">
        <v>4153</v>
      </c>
      <c r="I4168" s="43">
        <v>0.6687917821599646</v>
      </c>
      <c r="J4168" s="43">
        <v>1.8985874688706599E-2</v>
      </c>
      <c r="K4168" s="43"/>
      <c r="L4168" s="43">
        <v>0.24379999999999999</v>
      </c>
      <c r="O4168" s="50"/>
    </row>
    <row r="4169" spans="2:15" x14ac:dyDescent="0.2">
      <c r="B4169">
        <f t="shared" si="237"/>
        <v>4154</v>
      </c>
      <c r="C4169" s="48">
        <f ca="1"/>
        <v>0.10717988997873823</v>
      </c>
      <c r="D4169" s="48">
        <f t="shared" ca="1" si="234"/>
        <v>0.67156448405599933</v>
      </c>
      <c r="E4169" s="48">
        <f t="shared" ca="1" si="235"/>
        <v>0</v>
      </c>
      <c r="F4169" s="17">
        <f t="shared" ca="1" si="236"/>
        <v>0</v>
      </c>
      <c r="H4169" s="17">
        <v>4154</v>
      </c>
      <c r="I4169" s="43">
        <v>0.66971756912937075</v>
      </c>
      <c r="J4169" s="43">
        <v>1.9841402435614872E-2</v>
      </c>
      <c r="K4169" s="43"/>
      <c r="L4169" s="43">
        <v>0.26</v>
      </c>
      <c r="O4169" s="50"/>
    </row>
    <row r="4170" spans="2:15" x14ac:dyDescent="0.2">
      <c r="B4170">
        <f t="shared" si="237"/>
        <v>4155</v>
      </c>
      <c r="C4170" s="48">
        <f ca="1"/>
        <v>-1.7284040260731937E-2</v>
      </c>
      <c r="D4170" s="48">
        <f t="shared" ca="1" si="234"/>
        <v>0.66337434731597456</v>
      </c>
      <c r="E4170" s="48">
        <f t="shared" ca="1" si="235"/>
        <v>0</v>
      </c>
      <c r="F4170" s="17">
        <f t="shared" ca="1" si="236"/>
        <v>0</v>
      </c>
      <c r="H4170" s="17">
        <v>4155</v>
      </c>
      <c r="I4170" s="43">
        <v>0.66921680090965796</v>
      </c>
      <c r="J4170" s="43">
        <v>1.9531444359387716E-2</v>
      </c>
      <c r="K4170" s="43"/>
      <c r="L4170" s="43">
        <v>0.24679999999999999</v>
      </c>
      <c r="O4170" s="50"/>
    </row>
    <row r="4171" spans="2:15" x14ac:dyDescent="0.2">
      <c r="B4171">
        <f t="shared" si="237"/>
        <v>4156</v>
      </c>
      <c r="C4171" s="48">
        <f ca="1"/>
        <v>0.61714717062754354</v>
      </c>
      <c r="D4171" s="48">
        <f t="shared" ca="1" si="234"/>
        <v>0.70619148439283719</v>
      </c>
      <c r="E4171" s="48">
        <f t="shared" ca="1" si="235"/>
        <v>0</v>
      </c>
      <c r="F4171" s="17">
        <f t="shared" ca="1" si="236"/>
        <v>0</v>
      </c>
      <c r="H4171" s="17">
        <v>4156</v>
      </c>
      <c r="I4171" s="43">
        <v>0.6678238990055253</v>
      </c>
      <c r="J4171" s="43">
        <v>1.852325265318298E-2</v>
      </c>
      <c r="K4171" s="43"/>
      <c r="L4171" s="43">
        <v>0.24940000000000001</v>
      </c>
      <c r="O4171" s="50"/>
    </row>
    <row r="4172" spans="2:15" x14ac:dyDescent="0.2">
      <c r="B4172">
        <f t="shared" si="237"/>
        <v>4157</v>
      </c>
      <c r="C4172" s="48">
        <f ca="1"/>
        <v>0.17588015910092863</v>
      </c>
      <c r="D4172" s="48">
        <f t="shared" ca="1" si="234"/>
        <v>0.67612841899157028</v>
      </c>
      <c r="E4172" s="48">
        <f t="shared" ca="1" si="235"/>
        <v>0</v>
      </c>
      <c r="F4172" s="17">
        <f t="shared" ca="1" si="236"/>
        <v>0</v>
      </c>
      <c r="H4172" s="17">
        <v>4157</v>
      </c>
      <c r="I4172" s="43">
        <v>0.66892098676986023</v>
      </c>
      <c r="J4172" s="43">
        <v>1.9308053459724996E-2</v>
      </c>
      <c r="K4172" s="43"/>
      <c r="L4172" s="43">
        <v>0.24759999999999999</v>
      </c>
      <c r="O4172" s="50"/>
    </row>
    <row r="4173" spans="2:15" x14ac:dyDescent="0.2">
      <c r="B4173">
        <f t="shared" si="237"/>
        <v>4158</v>
      </c>
      <c r="C4173" s="48">
        <f ca="1"/>
        <v>0.99618082152018239</v>
      </c>
      <c r="D4173" s="48">
        <f t="shared" ca="1" si="234"/>
        <v>0.73307967539978491</v>
      </c>
      <c r="E4173" s="48">
        <f t="shared" ca="1" si="235"/>
        <v>0</v>
      </c>
      <c r="F4173" s="17">
        <f t="shared" ca="1" si="236"/>
        <v>0</v>
      </c>
      <c r="H4173" s="17">
        <v>4158</v>
      </c>
      <c r="I4173" s="43">
        <v>0.66963857421988759</v>
      </c>
      <c r="J4173" s="43">
        <v>2.0046290185198091E-2</v>
      </c>
      <c r="K4173" s="43"/>
      <c r="L4173" s="43">
        <v>0.2586</v>
      </c>
      <c r="O4173" s="50"/>
    </row>
    <row r="4174" spans="2:15" x14ac:dyDescent="0.2">
      <c r="B4174">
        <f t="shared" si="237"/>
        <v>4159</v>
      </c>
      <c r="C4174" s="48">
        <f ca="1"/>
        <v>1.7957729850468267</v>
      </c>
      <c r="D4174" s="48">
        <f t="shared" ca="1" si="234"/>
        <v>0.79320695262096619</v>
      </c>
      <c r="E4174" s="48">
        <f t="shared" ca="1" si="235"/>
        <v>5.0069526209661763E-3</v>
      </c>
      <c r="F4174" s="17">
        <f t="shared" ca="1" si="236"/>
        <v>1</v>
      </c>
      <c r="H4174" s="17">
        <v>4159</v>
      </c>
      <c r="I4174" s="43">
        <v>0.66919790563264492</v>
      </c>
      <c r="J4174" s="43">
        <v>1.9477519387633157E-2</v>
      </c>
      <c r="K4174" s="43"/>
      <c r="L4174" s="43">
        <v>0.25600000000000001</v>
      </c>
      <c r="O4174" s="50"/>
    </row>
    <row r="4175" spans="2:15" x14ac:dyDescent="0.2">
      <c r="B4175">
        <f t="shared" si="237"/>
        <v>4160</v>
      </c>
      <c r="C4175" s="48">
        <f ca="1"/>
        <v>0.29395927351208501</v>
      </c>
      <c r="D4175" s="48">
        <f t="shared" ca="1" si="234"/>
        <v>0.68404530310770817</v>
      </c>
      <c r="E4175" s="48">
        <f t="shared" ca="1" si="235"/>
        <v>0</v>
      </c>
      <c r="F4175" s="17">
        <f t="shared" ca="1" si="236"/>
        <v>0</v>
      </c>
      <c r="H4175" s="17">
        <v>4160</v>
      </c>
      <c r="I4175" s="43">
        <v>0.66970652460815283</v>
      </c>
      <c r="J4175" s="43">
        <v>1.9739847317592974E-2</v>
      </c>
      <c r="K4175" s="43"/>
      <c r="L4175" s="43">
        <v>0.25180000000000002</v>
      </c>
      <c r="O4175" s="50"/>
    </row>
    <row r="4176" spans="2:15" x14ac:dyDescent="0.2">
      <c r="B4176">
        <f t="shared" si="237"/>
        <v>4161</v>
      </c>
      <c r="C4176" s="48">
        <f ca="1"/>
        <v>1.2200468008491632</v>
      </c>
      <c r="D4176" s="48">
        <f t="shared" ref="D4176:D4239" ca="1" si="238">S0*EXP((μ-0.5*σ*σ)*T+σ*SQRT(T)*$C4176)</f>
        <v>0.74943888569913175</v>
      </c>
      <c r="E4176" s="48">
        <f t="shared" ref="E4176:E4239" ca="1" si="239">MAX(0,CP*(D4176-K))</f>
        <v>0</v>
      </c>
      <c r="F4176" s="17">
        <f t="shared" ref="F4176:F4239" ca="1" si="240">(CP*(D4176-K)&gt;0)*1</f>
        <v>0</v>
      </c>
      <c r="H4176" s="17">
        <v>4161</v>
      </c>
      <c r="I4176" s="43">
        <v>0.66854506221610244</v>
      </c>
      <c r="J4176" s="43">
        <v>1.8894234094154326E-2</v>
      </c>
      <c r="K4176" s="43"/>
      <c r="L4176" s="43">
        <v>0.24340000000000001</v>
      </c>
      <c r="O4176" s="50"/>
    </row>
    <row r="4177" spans="2:15" x14ac:dyDescent="0.2">
      <c r="B4177">
        <f t="shared" si="237"/>
        <v>4162</v>
      </c>
      <c r="C4177" s="48">
        <f ca="1"/>
        <v>1.5669889755018007</v>
      </c>
      <c r="D4177" s="48">
        <f t="shared" ca="1" si="238"/>
        <v>0.7755162411975014</v>
      </c>
      <c r="E4177" s="48">
        <f t="shared" ca="1" si="239"/>
        <v>0</v>
      </c>
      <c r="F4177" s="17">
        <f t="shared" ca="1" si="240"/>
        <v>0</v>
      </c>
      <c r="H4177" s="17">
        <v>4162</v>
      </c>
      <c r="I4177" s="43">
        <v>0.6688416333924414</v>
      </c>
      <c r="J4177" s="43">
        <v>1.9301211894294401E-2</v>
      </c>
      <c r="K4177" s="43"/>
      <c r="L4177" s="43">
        <v>0.254</v>
      </c>
      <c r="O4177" s="50"/>
    </row>
    <row r="4178" spans="2:15" x14ac:dyDescent="0.2">
      <c r="B4178">
        <f t="shared" si="237"/>
        <v>4163</v>
      </c>
      <c r="C4178" s="48">
        <f ca="1"/>
        <v>1.2549096382974458</v>
      </c>
      <c r="D4178" s="48">
        <f t="shared" ca="1" si="238"/>
        <v>0.75201916805182589</v>
      </c>
      <c r="E4178" s="48">
        <f t="shared" ca="1" si="239"/>
        <v>0</v>
      </c>
      <c r="F4178" s="17">
        <f t="shared" ca="1" si="240"/>
        <v>0</v>
      </c>
      <c r="H4178" s="17">
        <v>4163</v>
      </c>
      <c r="I4178" s="43">
        <v>0.66938687341007486</v>
      </c>
      <c r="J4178" s="43">
        <v>1.9679680662556182E-2</v>
      </c>
      <c r="K4178" s="43"/>
      <c r="L4178" s="43">
        <v>0.25459999999999999</v>
      </c>
      <c r="O4178" s="50"/>
    </row>
    <row r="4179" spans="2:15" x14ac:dyDescent="0.2">
      <c r="B4179">
        <f t="shared" si="237"/>
        <v>4164</v>
      </c>
      <c r="C4179" s="48">
        <f ca="1"/>
        <v>0.76761869634813407</v>
      </c>
      <c r="D4179" s="48">
        <f t="shared" ca="1" si="238"/>
        <v>0.71674564740312507</v>
      </c>
      <c r="E4179" s="48">
        <f t="shared" ca="1" si="239"/>
        <v>0</v>
      </c>
      <c r="F4179" s="17">
        <f t="shared" ca="1" si="240"/>
        <v>0</v>
      </c>
      <c r="H4179" s="17">
        <v>4164</v>
      </c>
      <c r="I4179" s="43">
        <v>0.66776481510845975</v>
      </c>
      <c r="J4179" s="43">
        <v>1.8147573072122308E-2</v>
      </c>
      <c r="K4179" s="43"/>
      <c r="L4179" s="43">
        <v>0.245</v>
      </c>
      <c r="O4179" s="50"/>
    </row>
    <row r="4180" spans="2:15" x14ac:dyDescent="0.2">
      <c r="B4180">
        <f t="shared" si="237"/>
        <v>4165</v>
      </c>
      <c r="C4180" s="48">
        <f ca="1"/>
        <v>-0.79615022864547491</v>
      </c>
      <c r="D4180" s="48">
        <f t="shared" ca="1" si="238"/>
        <v>0.61434275818862083</v>
      </c>
      <c r="E4180" s="48">
        <f t="shared" ca="1" si="239"/>
        <v>0</v>
      </c>
      <c r="F4180" s="17">
        <f t="shared" ca="1" si="240"/>
        <v>0</v>
      </c>
      <c r="H4180" s="17">
        <v>4165</v>
      </c>
      <c r="I4180" s="43">
        <v>0.67017512254256562</v>
      </c>
      <c r="J4180" s="43">
        <v>2.0373804206016508E-2</v>
      </c>
      <c r="K4180" s="43"/>
      <c r="L4180" s="43">
        <v>0.25459999999999999</v>
      </c>
      <c r="O4180" s="50"/>
    </row>
    <row r="4181" spans="2:15" x14ac:dyDescent="0.2">
      <c r="B4181">
        <f t="shared" si="237"/>
        <v>4166</v>
      </c>
      <c r="C4181" s="48">
        <f ca="1"/>
        <v>0.91228521744850033</v>
      </c>
      <c r="D4181" s="48">
        <f t="shared" ca="1" si="238"/>
        <v>0.72704133897575007</v>
      </c>
      <c r="E4181" s="48">
        <f t="shared" ca="1" si="239"/>
        <v>0</v>
      </c>
      <c r="F4181" s="17">
        <f t="shared" ca="1" si="240"/>
        <v>0</v>
      </c>
      <c r="H4181" s="17">
        <v>4166</v>
      </c>
      <c r="I4181" s="43">
        <v>0.66925532420668155</v>
      </c>
      <c r="J4181" s="43">
        <v>1.9426336655681956E-2</v>
      </c>
      <c r="K4181" s="43"/>
      <c r="L4181" s="43">
        <v>0.24879999999999999</v>
      </c>
      <c r="O4181" s="50"/>
    </row>
    <row r="4182" spans="2:15" x14ac:dyDescent="0.2">
      <c r="B4182">
        <f t="shared" si="237"/>
        <v>4167</v>
      </c>
      <c r="C4182" s="48">
        <f ca="1"/>
        <v>-0.63393454949834815</v>
      </c>
      <c r="D4182" s="48">
        <f t="shared" ca="1" si="238"/>
        <v>0.62424657579981846</v>
      </c>
      <c r="E4182" s="48">
        <f t="shared" ca="1" si="239"/>
        <v>0</v>
      </c>
      <c r="F4182" s="17">
        <f t="shared" ca="1" si="240"/>
        <v>0</v>
      </c>
      <c r="H4182" s="17">
        <v>4167</v>
      </c>
      <c r="I4182" s="43">
        <v>0.67032046937545853</v>
      </c>
      <c r="J4182" s="43">
        <v>2.0489014977296594E-2</v>
      </c>
      <c r="K4182" s="43"/>
      <c r="L4182" s="43">
        <v>0.25159999999999999</v>
      </c>
      <c r="O4182" s="50"/>
    </row>
    <row r="4183" spans="2:15" x14ac:dyDescent="0.2">
      <c r="B4183">
        <f t="shared" si="237"/>
        <v>4168</v>
      </c>
      <c r="C4183" s="48">
        <f ca="1"/>
        <v>-0.70085495288796251</v>
      </c>
      <c r="D4183" s="48">
        <f t="shared" ca="1" si="238"/>
        <v>0.62014165676669664</v>
      </c>
      <c r="E4183" s="48">
        <f t="shared" ca="1" si="239"/>
        <v>0</v>
      </c>
      <c r="F4183" s="17">
        <f t="shared" ca="1" si="240"/>
        <v>0</v>
      </c>
      <c r="H4183" s="17">
        <v>4168</v>
      </c>
      <c r="I4183" s="43">
        <v>0.66797242963882797</v>
      </c>
      <c r="J4183" s="43">
        <v>1.856771330127616E-2</v>
      </c>
      <c r="K4183" s="43"/>
      <c r="L4183" s="43">
        <v>0.253</v>
      </c>
      <c r="O4183" s="50"/>
    </row>
    <row r="4184" spans="2:15" x14ac:dyDescent="0.2">
      <c r="B4184">
        <f t="shared" si="237"/>
        <v>4169</v>
      </c>
      <c r="C4184" s="48">
        <f ca="1"/>
        <v>0.1223020471196244</v>
      </c>
      <c r="D4184" s="48">
        <f t="shared" ca="1" si="238"/>
        <v>0.67256643616279643</v>
      </c>
      <c r="E4184" s="48">
        <f t="shared" ca="1" si="239"/>
        <v>0</v>
      </c>
      <c r="F4184" s="17">
        <f t="shared" ca="1" si="240"/>
        <v>0</v>
      </c>
      <c r="H4184" s="17">
        <v>4169</v>
      </c>
      <c r="I4184" s="43">
        <v>0.6693983301700408</v>
      </c>
      <c r="J4184" s="43">
        <v>1.9771334529639181E-2</v>
      </c>
      <c r="K4184" s="43"/>
      <c r="L4184" s="43">
        <v>0.24979999999999999</v>
      </c>
      <c r="O4184" s="50"/>
    </row>
    <row r="4185" spans="2:15" x14ac:dyDescent="0.2">
      <c r="B4185">
        <f t="shared" si="237"/>
        <v>4170</v>
      </c>
      <c r="C4185" s="48">
        <f ca="1"/>
        <v>-0.8942443711029695</v>
      </c>
      <c r="D4185" s="48">
        <f t="shared" ca="1" si="238"/>
        <v>0.60843017543886957</v>
      </c>
      <c r="E4185" s="48">
        <f t="shared" ca="1" si="239"/>
        <v>0</v>
      </c>
      <c r="F4185" s="17">
        <f t="shared" ca="1" si="240"/>
        <v>0</v>
      </c>
      <c r="H4185" s="17">
        <v>4170</v>
      </c>
      <c r="I4185" s="43">
        <v>0.66799188515408403</v>
      </c>
      <c r="J4185" s="43">
        <v>1.8521112703602408E-2</v>
      </c>
      <c r="K4185" s="43"/>
      <c r="L4185" s="43">
        <v>0.24640000000000001</v>
      </c>
      <c r="O4185" s="50"/>
    </row>
    <row r="4186" spans="2:15" x14ac:dyDescent="0.2">
      <c r="B4186">
        <f t="shared" si="237"/>
        <v>4171</v>
      </c>
      <c r="C4186" s="48">
        <f ca="1"/>
        <v>1.1453268567422428</v>
      </c>
      <c r="D4186" s="48">
        <f t="shared" ca="1" si="238"/>
        <v>0.74393846560664756</v>
      </c>
      <c r="E4186" s="48">
        <f t="shared" ca="1" si="239"/>
        <v>0</v>
      </c>
      <c r="F4186" s="17">
        <f t="shared" ca="1" si="240"/>
        <v>0</v>
      </c>
      <c r="H4186" s="17">
        <v>4171</v>
      </c>
      <c r="I4186" s="43">
        <v>0.66834374925047013</v>
      </c>
      <c r="J4186" s="43">
        <v>1.897573491022175E-2</v>
      </c>
      <c r="K4186" s="43"/>
      <c r="L4186" s="43">
        <v>0.249</v>
      </c>
      <c r="O4186" s="50"/>
    </row>
    <row r="4187" spans="2:15" x14ac:dyDescent="0.2">
      <c r="B4187">
        <f t="shared" si="237"/>
        <v>4172</v>
      </c>
      <c r="C4187" s="48">
        <f ca="1"/>
        <v>-0.37406554837168926</v>
      </c>
      <c r="D4187" s="48">
        <f t="shared" ca="1" si="238"/>
        <v>0.64044629619276572</v>
      </c>
      <c r="E4187" s="48">
        <f t="shared" ca="1" si="239"/>
        <v>0</v>
      </c>
      <c r="F4187" s="17">
        <f t="shared" ca="1" si="240"/>
        <v>0</v>
      </c>
      <c r="H4187" s="17">
        <v>4172</v>
      </c>
      <c r="I4187" s="43">
        <v>0.66871602107353134</v>
      </c>
      <c r="J4187" s="43">
        <v>1.9015616497262657E-2</v>
      </c>
      <c r="K4187" s="43"/>
      <c r="L4187" s="43">
        <v>0.24779999999999999</v>
      </c>
      <c r="O4187" s="50"/>
    </row>
    <row r="4188" spans="2:15" x14ac:dyDescent="0.2">
      <c r="B4188">
        <f t="shared" si="237"/>
        <v>4173</v>
      </c>
      <c r="C4188" s="48">
        <f ca="1"/>
        <v>-0.25661465584583193</v>
      </c>
      <c r="D4188" s="48">
        <f t="shared" ca="1" si="238"/>
        <v>0.6479052441141987</v>
      </c>
      <c r="E4188" s="48">
        <f t="shared" ca="1" si="239"/>
        <v>0</v>
      </c>
      <c r="F4188" s="17">
        <f t="shared" ca="1" si="240"/>
        <v>0</v>
      </c>
      <c r="H4188" s="17">
        <v>4173</v>
      </c>
      <c r="I4188" s="43">
        <v>0.66886750494925273</v>
      </c>
      <c r="J4188" s="43">
        <v>1.9369287266256377E-2</v>
      </c>
      <c r="K4188" s="43"/>
      <c r="L4188" s="43">
        <v>0.25319999999999998</v>
      </c>
      <c r="O4188" s="50"/>
    </row>
    <row r="4189" spans="2:15" x14ac:dyDescent="0.2">
      <c r="B4189">
        <f t="shared" si="237"/>
        <v>4174</v>
      </c>
      <c r="C4189" s="48">
        <f ca="1"/>
        <v>0.92581574889187379</v>
      </c>
      <c r="D4189" s="48">
        <f t="shared" ca="1" si="238"/>
        <v>0.72801181625994071</v>
      </c>
      <c r="E4189" s="48">
        <f t="shared" ca="1" si="239"/>
        <v>0</v>
      </c>
      <c r="F4189" s="17">
        <f t="shared" ca="1" si="240"/>
        <v>0</v>
      </c>
      <c r="H4189" s="17">
        <v>4174</v>
      </c>
      <c r="I4189" s="43">
        <v>0.66972708909624257</v>
      </c>
      <c r="J4189" s="43">
        <v>2.0018513511902411E-2</v>
      </c>
      <c r="K4189" s="43"/>
      <c r="L4189" s="43">
        <v>0.25600000000000001</v>
      </c>
      <c r="O4189" s="50"/>
    </row>
    <row r="4190" spans="2:15" x14ac:dyDescent="0.2">
      <c r="B4190">
        <f t="shared" si="237"/>
        <v>4175</v>
      </c>
      <c r="C4190" s="48">
        <f ca="1"/>
        <v>0.40528172029146275</v>
      </c>
      <c r="D4190" s="48">
        <f t="shared" ca="1" si="238"/>
        <v>0.69159404713900408</v>
      </c>
      <c r="E4190" s="48">
        <f t="shared" ca="1" si="239"/>
        <v>0</v>
      </c>
      <c r="F4190" s="17">
        <f t="shared" ca="1" si="240"/>
        <v>0</v>
      </c>
      <c r="H4190" s="17">
        <v>4175</v>
      </c>
      <c r="I4190" s="43">
        <v>0.66815258418385659</v>
      </c>
      <c r="J4190" s="43">
        <v>1.8930415647774944E-2</v>
      </c>
      <c r="K4190" s="43"/>
      <c r="L4190" s="43">
        <v>0.25180000000000002</v>
      </c>
      <c r="O4190" s="50"/>
    </row>
    <row r="4191" spans="2:15" x14ac:dyDescent="0.2">
      <c r="B4191">
        <f t="shared" si="237"/>
        <v>4176</v>
      </c>
      <c r="C4191" s="48">
        <f ca="1"/>
        <v>-1.2778839010760707</v>
      </c>
      <c r="D4191" s="48">
        <f t="shared" ca="1" si="238"/>
        <v>0.58584784554842095</v>
      </c>
      <c r="E4191" s="48">
        <f t="shared" ca="1" si="239"/>
        <v>0</v>
      </c>
      <c r="F4191" s="17">
        <f t="shared" ca="1" si="240"/>
        <v>0</v>
      </c>
      <c r="H4191" s="17">
        <v>4176</v>
      </c>
      <c r="I4191" s="43">
        <v>0.66886641171285632</v>
      </c>
      <c r="J4191" s="43">
        <v>1.9052483021647616E-2</v>
      </c>
      <c r="K4191" s="43"/>
      <c r="L4191" s="43">
        <v>0.249</v>
      </c>
      <c r="O4191" s="50"/>
    </row>
    <row r="4192" spans="2:15" x14ac:dyDescent="0.2">
      <c r="B4192">
        <f t="shared" si="237"/>
        <v>4177</v>
      </c>
      <c r="C4192" s="48">
        <f ca="1"/>
        <v>1.940436980945963</v>
      </c>
      <c r="D4192" s="48">
        <f t="shared" ca="1" si="238"/>
        <v>0.80460077216793613</v>
      </c>
      <c r="E4192" s="48">
        <f t="shared" ca="1" si="239"/>
        <v>1.6400772167936117E-2</v>
      </c>
      <c r="F4192" s="17">
        <f t="shared" ca="1" si="240"/>
        <v>1</v>
      </c>
      <c r="H4192" s="17">
        <v>4177</v>
      </c>
      <c r="I4192" s="43">
        <v>0.66905324316387327</v>
      </c>
      <c r="J4192" s="43">
        <v>1.9286319969883996E-2</v>
      </c>
      <c r="K4192" s="43"/>
      <c r="L4192" s="43">
        <v>0.24379999999999999</v>
      </c>
      <c r="O4192" s="50"/>
    </row>
    <row r="4193" spans="2:15" x14ac:dyDescent="0.2">
      <c r="B4193">
        <f t="shared" si="237"/>
        <v>4178</v>
      </c>
      <c r="C4193" s="48">
        <f ca="1"/>
        <v>-1.2968354319992625</v>
      </c>
      <c r="D4193" s="48">
        <f t="shared" ca="1" si="238"/>
        <v>0.58475427903007515</v>
      </c>
      <c r="E4193" s="48">
        <f t="shared" ca="1" si="239"/>
        <v>0</v>
      </c>
      <c r="F4193" s="17">
        <f t="shared" ca="1" si="240"/>
        <v>0</v>
      </c>
      <c r="H4193" s="17">
        <v>4178</v>
      </c>
      <c r="I4193" s="43">
        <v>0.66877621634465056</v>
      </c>
      <c r="J4193" s="43">
        <v>1.9381282551743744E-2</v>
      </c>
      <c r="K4193" s="43"/>
      <c r="L4193" s="43">
        <v>0.25240000000000001</v>
      </c>
      <c r="O4193" s="50"/>
    </row>
    <row r="4194" spans="2:15" x14ac:dyDescent="0.2">
      <c r="B4194">
        <f t="shared" si="237"/>
        <v>4179</v>
      </c>
      <c r="C4194" s="48">
        <f ca="1"/>
        <v>0.54188590186600782</v>
      </c>
      <c r="D4194" s="48">
        <f t="shared" ca="1" si="238"/>
        <v>0.70097106330295378</v>
      </c>
      <c r="E4194" s="48">
        <f t="shared" ca="1" si="239"/>
        <v>0</v>
      </c>
      <c r="F4194" s="17">
        <f t="shared" ca="1" si="240"/>
        <v>0</v>
      </c>
      <c r="H4194" s="17">
        <v>4179</v>
      </c>
      <c r="I4194" s="43">
        <v>0.6683736312389239</v>
      </c>
      <c r="J4194" s="43">
        <v>1.9041534994720683E-2</v>
      </c>
      <c r="K4194" s="43"/>
      <c r="L4194" s="43">
        <v>0.24379999999999999</v>
      </c>
      <c r="O4194" s="50"/>
    </row>
    <row r="4195" spans="2:15" x14ac:dyDescent="0.2">
      <c r="B4195">
        <f t="shared" si="237"/>
        <v>4180</v>
      </c>
      <c r="C4195" s="48">
        <f ca="1"/>
        <v>-0.77552864424178969</v>
      </c>
      <c r="D4195" s="48">
        <f t="shared" ca="1" si="238"/>
        <v>0.61559300580563148</v>
      </c>
      <c r="E4195" s="48">
        <f t="shared" ca="1" si="239"/>
        <v>0</v>
      </c>
      <c r="F4195" s="17">
        <f t="shared" ca="1" si="240"/>
        <v>0</v>
      </c>
      <c r="H4195" s="17">
        <v>4180</v>
      </c>
      <c r="I4195" s="43">
        <v>0.66834920283471133</v>
      </c>
      <c r="J4195" s="43">
        <v>1.9091280468823149E-2</v>
      </c>
      <c r="K4195" s="43"/>
      <c r="L4195" s="43">
        <v>0.25480000000000003</v>
      </c>
      <c r="O4195" s="50"/>
    </row>
    <row r="4196" spans="2:15" x14ac:dyDescent="0.2">
      <c r="B4196">
        <f t="shared" si="237"/>
        <v>4181</v>
      </c>
      <c r="C4196" s="48">
        <f ca="1"/>
        <v>1.2127268019967863E-2</v>
      </c>
      <c r="D4196" s="48">
        <f t="shared" ca="1" si="238"/>
        <v>0.6653006499857711</v>
      </c>
      <c r="E4196" s="48">
        <f t="shared" ca="1" si="239"/>
        <v>0</v>
      </c>
      <c r="F4196" s="17">
        <f t="shared" ca="1" si="240"/>
        <v>0</v>
      </c>
      <c r="H4196" s="17">
        <v>4181</v>
      </c>
      <c r="I4196" s="43">
        <v>0.6699320478209525</v>
      </c>
      <c r="J4196" s="43">
        <v>2.0495810494001763E-2</v>
      </c>
      <c r="K4196" s="43"/>
      <c r="L4196" s="43">
        <v>0.26619999999999999</v>
      </c>
      <c r="O4196" s="50"/>
    </row>
    <row r="4197" spans="2:15" x14ac:dyDescent="0.2">
      <c r="B4197">
        <f t="shared" si="237"/>
        <v>4182</v>
      </c>
      <c r="C4197" s="48">
        <f ca="1"/>
        <v>-0.52808853089743157</v>
      </c>
      <c r="D4197" s="48">
        <f t="shared" ca="1" si="238"/>
        <v>0.63079475170876387</v>
      </c>
      <c r="E4197" s="48">
        <f t="shared" ca="1" si="239"/>
        <v>0</v>
      </c>
      <c r="F4197" s="17">
        <f t="shared" ca="1" si="240"/>
        <v>0</v>
      </c>
      <c r="H4197" s="17">
        <v>4182</v>
      </c>
      <c r="I4197" s="43">
        <v>0.66901216131407459</v>
      </c>
      <c r="J4197" s="43">
        <v>1.945168613363726E-2</v>
      </c>
      <c r="K4197" s="43"/>
      <c r="L4197" s="43">
        <v>0.25359999999999999</v>
      </c>
      <c r="O4197" s="50"/>
    </row>
    <row r="4198" spans="2:15" x14ac:dyDescent="0.2">
      <c r="B4198">
        <f t="shared" si="237"/>
        <v>4183</v>
      </c>
      <c r="C4198" s="48">
        <f ca="1"/>
        <v>-0.12443015591231839</v>
      </c>
      <c r="D4198" s="48">
        <f t="shared" ca="1" si="238"/>
        <v>0.65640382919461149</v>
      </c>
      <c r="E4198" s="48">
        <f t="shared" ca="1" si="239"/>
        <v>0</v>
      </c>
      <c r="F4198" s="17">
        <f t="shared" ca="1" si="240"/>
        <v>0</v>
      </c>
      <c r="H4198" s="17">
        <v>4183</v>
      </c>
      <c r="I4198" s="43">
        <v>0.66868622911518028</v>
      </c>
      <c r="J4198" s="43">
        <v>1.9185026468954997E-2</v>
      </c>
      <c r="K4198" s="43"/>
      <c r="L4198" s="43">
        <v>0.25340000000000001</v>
      </c>
      <c r="O4198" s="50"/>
    </row>
    <row r="4199" spans="2:15" x14ac:dyDescent="0.2">
      <c r="B4199">
        <f t="shared" si="237"/>
        <v>4184</v>
      </c>
      <c r="C4199" s="48">
        <f ca="1"/>
        <v>1.7269891313383452</v>
      </c>
      <c r="D4199" s="48">
        <f t="shared" ca="1" si="238"/>
        <v>0.78784623360067274</v>
      </c>
      <c r="E4199" s="48">
        <f t="shared" ca="1" si="239"/>
        <v>0</v>
      </c>
      <c r="F4199" s="17">
        <f t="shared" ca="1" si="240"/>
        <v>0</v>
      </c>
      <c r="H4199" s="17">
        <v>4184</v>
      </c>
      <c r="I4199" s="43">
        <v>0.66962125286159313</v>
      </c>
      <c r="J4199" s="43">
        <v>1.9825042937353994E-2</v>
      </c>
      <c r="K4199" s="43"/>
      <c r="L4199" s="43">
        <v>0.25480000000000003</v>
      </c>
      <c r="O4199" s="50"/>
    </row>
    <row r="4200" spans="2:15" x14ac:dyDescent="0.2">
      <c r="B4200">
        <f t="shared" si="237"/>
        <v>4185</v>
      </c>
      <c r="C4200" s="48">
        <f ca="1"/>
        <v>1.0335279457115931</v>
      </c>
      <c r="D4200" s="48">
        <f t="shared" ca="1" si="238"/>
        <v>0.73578381954261607</v>
      </c>
      <c r="E4200" s="48">
        <f t="shared" ca="1" si="239"/>
        <v>0</v>
      </c>
      <c r="F4200" s="17">
        <f t="shared" ca="1" si="240"/>
        <v>0</v>
      </c>
      <c r="H4200" s="17">
        <v>4185</v>
      </c>
      <c r="I4200" s="43">
        <v>0.66973526134172512</v>
      </c>
      <c r="J4200" s="43">
        <v>2.0103792258613459E-2</v>
      </c>
      <c r="K4200" s="43"/>
      <c r="L4200" s="43">
        <v>0.25240000000000001</v>
      </c>
      <c r="O4200" s="50"/>
    </row>
    <row r="4201" spans="2:15" x14ac:dyDescent="0.2">
      <c r="B4201">
        <f t="shared" si="237"/>
        <v>4186</v>
      </c>
      <c r="C4201" s="48">
        <f ca="1"/>
        <v>1.6675043107243466</v>
      </c>
      <c r="D4201" s="48">
        <f t="shared" ca="1" si="238"/>
        <v>0.7832394637975757</v>
      </c>
      <c r="E4201" s="48">
        <f t="shared" ca="1" si="239"/>
        <v>0</v>
      </c>
      <c r="F4201" s="17">
        <f t="shared" ca="1" si="240"/>
        <v>0</v>
      </c>
      <c r="H4201" s="17">
        <v>4186</v>
      </c>
      <c r="I4201" s="43">
        <v>0.66884186115181399</v>
      </c>
      <c r="J4201" s="43">
        <v>1.9220194437408477E-2</v>
      </c>
      <c r="K4201" s="43"/>
      <c r="L4201" s="43">
        <v>0.24679999999999999</v>
      </c>
      <c r="O4201" s="50"/>
    </row>
    <row r="4202" spans="2:15" x14ac:dyDescent="0.2">
      <c r="B4202">
        <f t="shared" si="237"/>
        <v>4187</v>
      </c>
      <c r="C4202" s="48">
        <f ca="1"/>
        <v>0.33876411808596779</v>
      </c>
      <c r="D4202" s="48">
        <f t="shared" ca="1" si="238"/>
        <v>0.68707354871517423</v>
      </c>
      <c r="E4202" s="48">
        <f t="shared" ca="1" si="239"/>
        <v>0</v>
      </c>
      <c r="F4202" s="17">
        <f t="shared" ca="1" si="240"/>
        <v>0</v>
      </c>
      <c r="H4202" s="17">
        <v>4187</v>
      </c>
      <c r="I4202" s="43">
        <v>0.66980503118546064</v>
      </c>
      <c r="J4202" s="43">
        <v>1.9976596780391292E-2</v>
      </c>
      <c r="K4202" s="43"/>
      <c r="L4202" s="43">
        <v>0.2576</v>
      </c>
      <c r="O4202" s="50"/>
    </row>
    <row r="4203" spans="2:15" x14ac:dyDescent="0.2">
      <c r="B4203">
        <f t="shared" si="237"/>
        <v>4188</v>
      </c>
      <c r="C4203" s="48">
        <f ca="1"/>
        <v>-1.9355831302711912</v>
      </c>
      <c r="D4203" s="48">
        <f t="shared" ca="1" si="238"/>
        <v>0.54906630248396038</v>
      </c>
      <c r="E4203" s="48">
        <f t="shared" ca="1" si="239"/>
        <v>0</v>
      </c>
      <c r="F4203" s="17">
        <f t="shared" ca="1" si="240"/>
        <v>0</v>
      </c>
      <c r="H4203" s="17">
        <v>4188</v>
      </c>
      <c r="I4203" s="43">
        <v>0.66980447199014992</v>
      </c>
      <c r="J4203" s="43">
        <v>2.019469048575773E-2</v>
      </c>
      <c r="K4203" s="43"/>
      <c r="L4203" s="43">
        <v>0.25659999999999999</v>
      </c>
      <c r="O4203" s="50"/>
    </row>
    <row r="4204" spans="2:15" x14ac:dyDescent="0.2">
      <c r="B4204">
        <f t="shared" si="237"/>
        <v>4189</v>
      </c>
      <c r="C4204" s="48">
        <f ca="1"/>
        <v>0.76623402632586235</v>
      </c>
      <c r="D4204" s="48">
        <f t="shared" ca="1" si="238"/>
        <v>0.71664781033447289</v>
      </c>
      <c r="E4204" s="48">
        <f t="shared" ca="1" si="239"/>
        <v>0</v>
      </c>
      <c r="F4204" s="17">
        <f t="shared" ca="1" si="240"/>
        <v>0</v>
      </c>
      <c r="H4204" s="17">
        <v>4189</v>
      </c>
      <c r="I4204" s="43">
        <v>0.66815252654897062</v>
      </c>
      <c r="J4204" s="43">
        <v>1.881879835131078E-2</v>
      </c>
      <c r="K4204" s="43"/>
      <c r="L4204" s="43">
        <v>0.24740000000000001</v>
      </c>
      <c r="O4204" s="50"/>
    </row>
    <row r="4205" spans="2:15" x14ac:dyDescent="0.2">
      <c r="B4205">
        <f t="shared" si="237"/>
        <v>4190</v>
      </c>
      <c r="C4205" s="48">
        <f ca="1"/>
        <v>1.0211294449444011</v>
      </c>
      <c r="D4205" s="48">
        <f t="shared" ca="1" si="238"/>
        <v>0.73488499333508128</v>
      </c>
      <c r="E4205" s="48">
        <f t="shared" ca="1" si="239"/>
        <v>0</v>
      </c>
      <c r="F4205" s="17">
        <f t="shared" ca="1" si="240"/>
        <v>0</v>
      </c>
      <c r="H4205" s="17">
        <v>4190</v>
      </c>
      <c r="I4205" s="43">
        <v>0.66879596018850829</v>
      </c>
      <c r="J4205" s="43">
        <v>1.9484119933454534E-2</v>
      </c>
      <c r="K4205" s="43"/>
      <c r="L4205" s="43">
        <v>0.25659999999999999</v>
      </c>
      <c r="O4205" s="50"/>
    </row>
    <row r="4206" spans="2:15" x14ac:dyDescent="0.2">
      <c r="B4206">
        <f t="shared" si="237"/>
        <v>4191</v>
      </c>
      <c r="C4206" s="48">
        <f ca="1"/>
        <v>0.23115445921670333</v>
      </c>
      <c r="D4206" s="48">
        <f t="shared" ca="1" si="238"/>
        <v>0.67982293891362888</v>
      </c>
      <c r="E4206" s="48">
        <f t="shared" ca="1" si="239"/>
        <v>0</v>
      </c>
      <c r="F4206" s="17">
        <f t="shared" ca="1" si="240"/>
        <v>0</v>
      </c>
      <c r="H4206" s="17">
        <v>4191</v>
      </c>
      <c r="I4206" s="43">
        <v>0.67028208162565195</v>
      </c>
      <c r="J4206" s="43">
        <v>2.0300860489470971E-2</v>
      </c>
      <c r="K4206" s="43"/>
      <c r="L4206" s="43">
        <v>0.26019999999999999</v>
      </c>
      <c r="O4206" s="50"/>
    </row>
    <row r="4207" spans="2:15" x14ac:dyDescent="0.2">
      <c r="B4207">
        <f t="shared" si="237"/>
        <v>4192</v>
      </c>
      <c r="C4207" s="48">
        <f ca="1"/>
        <v>1.5153864705123687</v>
      </c>
      <c r="D4207" s="48">
        <f t="shared" ca="1" si="238"/>
        <v>0.77158092924566446</v>
      </c>
      <c r="E4207" s="48">
        <f t="shared" ca="1" si="239"/>
        <v>0</v>
      </c>
      <c r="F4207" s="17">
        <f t="shared" ca="1" si="240"/>
        <v>0</v>
      </c>
      <c r="H4207" s="17">
        <v>4192</v>
      </c>
      <c r="I4207" s="43">
        <v>0.66976060061755327</v>
      </c>
      <c r="J4207" s="43">
        <v>2.0004515862603132E-2</v>
      </c>
      <c r="K4207" s="43"/>
      <c r="L4207" s="43">
        <v>0.25080000000000002</v>
      </c>
      <c r="O4207" s="50"/>
    </row>
    <row r="4208" spans="2:15" x14ac:dyDescent="0.2">
      <c r="B4208">
        <f t="shared" si="237"/>
        <v>4193</v>
      </c>
      <c r="C4208" s="48">
        <f ca="1"/>
        <v>-1.0853324086998271</v>
      </c>
      <c r="D4208" s="48">
        <f t="shared" ca="1" si="238"/>
        <v>0.59707532087618276</v>
      </c>
      <c r="E4208" s="48">
        <f t="shared" ca="1" si="239"/>
        <v>0</v>
      </c>
      <c r="F4208" s="17">
        <f t="shared" ca="1" si="240"/>
        <v>0</v>
      </c>
      <c r="H4208" s="17">
        <v>4193</v>
      </c>
      <c r="I4208" s="43">
        <v>0.6687648825530399</v>
      </c>
      <c r="J4208" s="43">
        <v>1.9223962468014621E-2</v>
      </c>
      <c r="K4208" s="43"/>
      <c r="L4208" s="43">
        <v>0.2472</v>
      </c>
      <c r="O4208" s="50"/>
    </row>
    <row r="4209" spans="2:15" x14ac:dyDescent="0.2">
      <c r="B4209">
        <f t="shared" ref="B4209:B4272" si="241">B4208+1</f>
        <v>4194</v>
      </c>
      <c r="C4209" s="48">
        <f ca="1"/>
        <v>-1.7760579862034321E-2</v>
      </c>
      <c r="D4209" s="48">
        <f t="shared" ca="1" si="238"/>
        <v>0.6633431821682868</v>
      </c>
      <c r="E4209" s="48">
        <f t="shared" ca="1" si="239"/>
        <v>0</v>
      </c>
      <c r="F4209" s="17">
        <f t="shared" ca="1" si="240"/>
        <v>0</v>
      </c>
      <c r="H4209" s="17">
        <v>4194</v>
      </c>
      <c r="I4209" s="43">
        <v>0.6688306873061316</v>
      </c>
      <c r="J4209" s="43">
        <v>1.9512533834485903E-2</v>
      </c>
      <c r="K4209" s="43"/>
      <c r="L4209" s="43">
        <v>0.25340000000000001</v>
      </c>
      <c r="O4209" s="50"/>
    </row>
    <row r="4210" spans="2:15" x14ac:dyDescent="0.2">
      <c r="B4210">
        <f t="shared" si="241"/>
        <v>4195</v>
      </c>
      <c r="C4210" s="48">
        <f ca="1"/>
        <v>8.8311219610512609E-2</v>
      </c>
      <c r="D4210" s="48">
        <f t="shared" ca="1" si="238"/>
        <v>0.67031639130588483</v>
      </c>
      <c r="E4210" s="48">
        <f t="shared" ca="1" si="239"/>
        <v>0</v>
      </c>
      <c r="F4210" s="17">
        <f t="shared" ca="1" si="240"/>
        <v>0</v>
      </c>
      <c r="H4210" s="17">
        <v>4195</v>
      </c>
      <c r="I4210" s="43">
        <v>0.66898490268033839</v>
      </c>
      <c r="J4210" s="43">
        <v>1.9350172544321843E-2</v>
      </c>
      <c r="K4210" s="43"/>
      <c r="L4210" s="43">
        <v>0.24660000000000001</v>
      </c>
      <c r="O4210" s="50"/>
    </row>
    <row r="4211" spans="2:15" x14ac:dyDescent="0.2">
      <c r="B4211">
        <f t="shared" si="241"/>
        <v>4196</v>
      </c>
      <c r="C4211" s="48">
        <f ca="1"/>
        <v>1.3429036257046967</v>
      </c>
      <c r="D4211" s="48">
        <f t="shared" ca="1" si="238"/>
        <v>0.75857139249833139</v>
      </c>
      <c r="E4211" s="48">
        <f t="shared" ca="1" si="239"/>
        <v>0</v>
      </c>
      <c r="F4211" s="17">
        <f t="shared" ca="1" si="240"/>
        <v>0</v>
      </c>
      <c r="H4211" s="17">
        <v>4196</v>
      </c>
      <c r="I4211" s="43">
        <v>0.66910530618517128</v>
      </c>
      <c r="J4211" s="43">
        <v>1.9562830746872779E-2</v>
      </c>
      <c r="K4211" s="43"/>
      <c r="L4211" s="43">
        <v>0.24740000000000001</v>
      </c>
      <c r="O4211" s="50"/>
    </row>
    <row r="4212" spans="2:15" x14ac:dyDescent="0.2">
      <c r="B4212">
        <f t="shared" si="241"/>
        <v>4197</v>
      </c>
      <c r="C4212" s="48">
        <f ca="1"/>
        <v>-1.0629746246709391</v>
      </c>
      <c r="D4212" s="48">
        <f t="shared" ca="1" si="238"/>
        <v>0.59839284422738293</v>
      </c>
      <c r="E4212" s="48">
        <f t="shared" ca="1" si="239"/>
        <v>0</v>
      </c>
      <c r="F4212" s="17">
        <f t="shared" ca="1" si="240"/>
        <v>0</v>
      </c>
      <c r="H4212" s="17">
        <v>4197</v>
      </c>
      <c r="I4212" s="43">
        <v>0.66903369702633464</v>
      </c>
      <c r="J4212" s="43">
        <v>1.9626166379910319E-2</v>
      </c>
      <c r="K4212" s="43"/>
      <c r="L4212" s="43">
        <v>0.25259999999999999</v>
      </c>
      <c r="O4212" s="50"/>
    </row>
    <row r="4213" spans="2:15" x14ac:dyDescent="0.2">
      <c r="B4213">
        <f t="shared" si="241"/>
        <v>4198</v>
      </c>
      <c r="C4213" s="48">
        <f ca="1"/>
        <v>-0.85933723538472029</v>
      </c>
      <c r="D4213" s="48">
        <f t="shared" ca="1" si="238"/>
        <v>0.61052763784862674</v>
      </c>
      <c r="E4213" s="48">
        <f t="shared" ca="1" si="239"/>
        <v>0</v>
      </c>
      <c r="F4213" s="17">
        <f t="shared" ca="1" si="240"/>
        <v>0</v>
      </c>
      <c r="H4213" s="17">
        <v>4198</v>
      </c>
      <c r="I4213" s="43">
        <v>0.67043073141624232</v>
      </c>
      <c r="J4213" s="43">
        <v>2.0286738748198245E-2</v>
      </c>
      <c r="K4213" s="43"/>
      <c r="L4213" s="43">
        <v>0.2586</v>
      </c>
      <c r="O4213" s="50"/>
    </row>
    <row r="4214" spans="2:15" x14ac:dyDescent="0.2">
      <c r="B4214">
        <f t="shared" si="241"/>
        <v>4199</v>
      </c>
      <c r="C4214" s="48">
        <f ca="1"/>
        <v>0.13019398611898758</v>
      </c>
      <c r="D4214" s="48">
        <f t="shared" ca="1" si="238"/>
        <v>0.67308992761203335</v>
      </c>
      <c r="E4214" s="48">
        <f t="shared" ca="1" si="239"/>
        <v>0</v>
      </c>
      <c r="F4214" s="17">
        <f t="shared" ca="1" si="240"/>
        <v>0</v>
      </c>
      <c r="H4214" s="17">
        <v>4199</v>
      </c>
      <c r="I4214" s="43">
        <v>0.66845029235882469</v>
      </c>
      <c r="J4214" s="43">
        <v>1.8778845507770776E-2</v>
      </c>
      <c r="K4214" s="43"/>
      <c r="L4214" s="43">
        <v>0.24679999999999999</v>
      </c>
      <c r="O4214" s="50"/>
    </row>
    <row r="4215" spans="2:15" x14ac:dyDescent="0.2">
      <c r="B4215">
        <f t="shared" si="241"/>
        <v>4200</v>
      </c>
      <c r="C4215" s="48">
        <f ca="1"/>
        <v>0.6717104534662397</v>
      </c>
      <c r="D4215" s="48">
        <f t="shared" ca="1" si="238"/>
        <v>0.71000050483261612</v>
      </c>
      <c r="E4215" s="48">
        <f t="shared" ca="1" si="239"/>
        <v>0</v>
      </c>
      <c r="F4215" s="17">
        <f t="shared" ca="1" si="240"/>
        <v>0</v>
      </c>
      <c r="H4215" s="17">
        <v>4200</v>
      </c>
      <c r="I4215" s="43">
        <v>0.66972854842470841</v>
      </c>
      <c r="J4215" s="43">
        <v>1.9663968213084242E-2</v>
      </c>
      <c r="K4215" s="43"/>
      <c r="L4215" s="43">
        <v>0.24859999999999999</v>
      </c>
      <c r="O4215" s="50"/>
    </row>
    <row r="4216" spans="2:15" x14ac:dyDescent="0.2">
      <c r="B4216">
        <f t="shared" si="241"/>
        <v>4201</v>
      </c>
      <c r="C4216" s="48">
        <f ca="1"/>
        <v>0.90590450401526867</v>
      </c>
      <c r="D4216" s="48">
        <f t="shared" ca="1" si="238"/>
        <v>0.72658413133997324</v>
      </c>
      <c r="E4216" s="48">
        <f t="shared" ca="1" si="239"/>
        <v>0</v>
      </c>
      <c r="F4216" s="17">
        <f t="shared" ca="1" si="240"/>
        <v>0</v>
      </c>
      <c r="H4216" s="17">
        <v>4201</v>
      </c>
      <c r="I4216" s="43">
        <v>0.66877060957187018</v>
      </c>
      <c r="J4216" s="43">
        <v>1.876118069831699E-2</v>
      </c>
      <c r="K4216" s="43"/>
      <c r="L4216" s="43">
        <v>0.24879999999999999</v>
      </c>
      <c r="O4216" s="50"/>
    </row>
    <row r="4217" spans="2:15" x14ac:dyDescent="0.2">
      <c r="B4217">
        <f t="shared" si="241"/>
        <v>4202</v>
      </c>
      <c r="C4217" s="48">
        <f ca="1"/>
        <v>-0.23169939697778683</v>
      </c>
      <c r="D4217" s="48">
        <f t="shared" ca="1" si="238"/>
        <v>0.64949867090365565</v>
      </c>
      <c r="E4217" s="48">
        <f t="shared" ca="1" si="239"/>
        <v>0</v>
      </c>
      <c r="F4217" s="17">
        <f t="shared" ca="1" si="240"/>
        <v>0</v>
      </c>
      <c r="H4217" s="17">
        <v>4202</v>
      </c>
      <c r="I4217" s="43">
        <v>0.66950563360117854</v>
      </c>
      <c r="J4217" s="43">
        <v>1.9779906706933074E-2</v>
      </c>
      <c r="K4217" s="43"/>
      <c r="L4217" s="43">
        <v>0.25180000000000002</v>
      </c>
      <c r="O4217" s="50"/>
    </row>
    <row r="4218" spans="2:15" x14ac:dyDescent="0.2">
      <c r="B4218">
        <f t="shared" si="241"/>
        <v>4203</v>
      </c>
      <c r="C4218" s="48">
        <f ca="1"/>
        <v>-0.50944647745085714</v>
      </c>
      <c r="D4218" s="48">
        <f t="shared" ca="1" si="238"/>
        <v>0.63195513827071437</v>
      </c>
      <c r="E4218" s="48">
        <f t="shared" ca="1" si="239"/>
        <v>0</v>
      </c>
      <c r="F4218" s="17">
        <f t="shared" ca="1" si="240"/>
        <v>0</v>
      </c>
      <c r="H4218" s="17">
        <v>4203</v>
      </c>
      <c r="I4218" s="43">
        <v>0.66924954889289412</v>
      </c>
      <c r="J4218" s="43">
        <v>1.9572868909387354E-2</v>
      </c>
      <c r="K4218" s="43"/>
      <c r="L4218" s="43">
        <v>0.25040000000000001</v>
      </c>
      <c r="O4218" s="50"/>
    </row>
    <row r="4219" spans="2:15" x14ac:dyDescent="0.2">
      <c r="B4219">
        <f t="shared" si="241"/>
        <v>4204</v>
      </c>
      <c r="C4219" s="48">
        <f ca="1"/>
        <v>-0.65780666119310582</v>
      </c>
      <c r="D4219" s="48">
        <f t="shared" ca="1" si="238"/>
        <v>0.62277914451663763</v>
      </c>
      <c r="E4219" s="48">
        <f t="shared" ca="1" si="239"/>
        <v>0</v>
      </c>
      <c r="F4219" s="17">
        <f t="shared" ca="1" si="240"/>
        <v>0</v>
      </c>
      <c r="H4219" s="17">
        <v>4204</v>
      </c>
      <c r="I4219" s="43">
        <v>0.6696029478481389</v>
      </c>
      <c r="J4219" s="43">
        <v>2.0026137305021226E-2</v>
      </c>
      <c r="K4219" s="43"/>
      <c r="L4219" s="43">
        <v>0.25180000000000002</v>
      </c>
      <c r="O4219" s="50"/>
    </row>
    <row r="4220" spans="2:15" x14ac:dyDescent="0.2">
      <c r="B4220">
        <f t="shared" si="241"/>
        <v>4205</v>
      </c>
      <c r="C4220" s="48">
        <f ca="1"/>
        <v>1.1557333352386367</v>
      </c>
      <c r="D4220" s="48">
        <f t="shared" ca="1" si="238"/>
        <v>0.74470209973076928</v>
      </c>
      <c r="E4220" s="48">
        <f t="shared" ca="1" si="239"/>
        <v>0</v>
      </c>
      <c r="F4220" s="17">
        <f t="shared" ca="1" si="240"/>
        <v>0</v>
      </c>
      <c r="H4220" s="17">
        <v>4205</v>
      </c>
      <c r="I4220" s="43">
        <v>0.66851136087193019</v>
      </c>
      <c r="J4220" s="43">
        <v>1.9029702969537033E-2</v>
      </c>
      <c r="K4220" s="43"/>
      <c r="L4220" s="43">
        <v>0.249</v>
      </c>
      <c r="O4220" s="50"/>
    </row>
    <row r="4221" spans="2:15" x14ac:dyDescent="0.2">
      <c r="B4221">
        <f t="shared" si="241"/>
        <v>4206</v>
      </c>
      <c r="C4221" s="48">
        <f ca="1"/>
        <v>0.73272965432066839</v>
      </c>
      <c r="D4221" s="48">
        <f t="shared" ca="1" si="238"/>
        <v>0.71428454808953168</v>
      </c>
      <c r="E4221" s="48">
        <f t="shared" ca="1" si="239"/>
        <v>0</v>
      </c>
      <c r="F4221" s="17">
        <f t="shared" ca="1" si="240"/>
        <v>0</v>
      </c>
      <c r="H4221" s="17">
        <v>4206</v>
      </c>
      <c r="I4221" s="43">
        <v>0.66982657339521134</v>
      </c>
      <c r="J4221" s="43">
        <v>2.0185008364884804E-2</v>
      </c>
      <c r="K4221" s="43"/>
      <c r="L4221" s="43">
        <v>0.252</v>
      </c>
      <c r="O4221" s="50"/>
    </row>
    <row r="4222" spans="2:15" x14ac:dyDescent="0.2">
      <c r="B4222">
        <f t="shared" si="241"/>
        <v>4207</v>
      </c>
      <c r="C4222" s="48">
        <f ca="1"/>
        <v>-0.31073728993315441</v>
      </c>
      <c r="D4222" s="48">
        <f t="shared" ca="1" si="238"/>
        <v>0.6444573493753406</v>
      </c>
      <c r="E4222" s="48">
        <f t="shared" ca="1" si="239"/>
        <v>0</v>
      </c>
      <c r="F4222" s="17">
        <f t="shared" ca="1" si="240"/>
        <v>0</v>
      </c>
      <c r="H4222" s="17">
        <v>4207</v>
      </c>
      <c r="I4222" s="43">
        <v>0.66973066260075031</v>
      </c>
      <c r="J4222" s="43">
        <v>1.9826892578528103E-2</v>
      </c>
      <c r="K4222" s="43"/>
      <c r="L4222" s="43">
        <v>0.25719999999999998</v>
      </c>
      <c r="O4222" s="50"/>
    </row>
    <row r="4223" spans="2:15" x14ac:dyDescent="0.2">
      <c r="B4223">
        <f t="shared" si="241"/>
        <v>4208</v>
      </c>
      <c r="C4223" s="48">
        <f ca="1"/>
        <v>-0.12875881039528084</v>
      </c>
      <c r="D4223" s="48">
        <f t="shared" ca="1" si="238"/>
        <v>0.65612376790562177</v>
      </c>
      <c r="E4223" s="48">
        <f t="shared" ca="1" si="239"/>
        <v>0</v>
      </c>
      <c r="F4223" s="17">
        <f t="shared" ca="1" si="240"/>
        <v>0</v>
      </c>
      <c r="H4223" s="17">
        <v>4208</v>
      </c>
      <c r="I4223" s="43">
        <v>0.66827727218021604</v>
      </c>
      <c r="J4223" s="43">
        <v>1.8690893187612988E-2</v>
      </c>
      <c r="K4223" s="43"/>
      <c r="L4223" s="43">
        <v>0.24579999999999999</v>
      </c>
      <c r="O4223" s="50"/>
    </row>
    <row r="4224" spans="2:15" x14ac:dyDescent="0.2">
      <c r="B4224">
        <f t="shared" si="241"/>
        <v>4209</v>
      </c>
      <c r="C4224" s="48">
        <f ca="1"/>
        <v>2.5801480075389516</v>
      </c>
      <c r="D4224" s="48">
        <f t="shared" ca="1" si="238"/>
        <v>0.8569792540701775</v>
      </c>
      <c r="E4224" s="48">
        <f t="shared" ca="1" si="239"/>
        <v>6.8779254070177487E-2</v>
      </c>
      <c r="F4224" s="17">
        <f t="shared" ca="1" si="240"/>
        <v>1</v>
      </c>
      <c r="H4224" s="17">
        <v>4209</v>
      </c>
      <c r="I4224" s="43">
        <v>0.6683164992631494</v>
      </c>
      <c r="J4224" s="43">
        <v>1.8935396306747013E-2</v>
      </c>
      <c r="K4224" s="43"/>
      <c r="L4224" s="43">
        <v>0.24460000000000001</v>
      </c>
      <c r="O4224" s="50"/>
    </row>
    <row r="4225" spans="2:15" x14ac:dyDescent="0.2">
      <c r="B4225">
        <f t="shared" si="241"/>
        <v>4210</v>
      </c>
      <c r="C4225" s="48">
        <f ca="1"/>
        <v>0.56578430594044293</v>
      </c>
      <c r="D4225" s="48">
        <f t="shared" ca="1" si="238"/>
        <v>0.70262455655982836</v>
      </c>
      <c r="E4225" s="48">
        <f t="shared" ca="1" si="239"/>
        <v>0</v>
      </c>
      <c r="F4225" s="17">
        <f t="shared" ca="1" si="240"/>
        <v>0</v>
      </c>
      <c r="H4225" s="17">
        <v>4210</v>
      </c>
      <c r="I4225" s="43">
        <v>0.66781018820278626</v>
      </c>
      <c r="J4225" s="43">
        <v>1.8389050654032933E-2</v>
      </c>
      <c r="K4225" s="43"/>
      <c r="L4225" s="43">
        <v>0.24660000000000001</v>
      </c>
      <c r="O4225" s="50"/>
    </row>
    <row r="4226" spans="2:15" x14ac:dyDescent="0.2">
      <c r="B4226">
        <f t="shared" si="241"/>
        <v>4211</v>
      </c>
      <c r="C4226" s="48">
        <f ca="1"/>
        <v>0.17437619574616525</v>
      </c>
      <c r="D4226" s="48">
        <f t="shared" ca="1" si="238"/>
        <v>0.67602817554985473</v>
      </c>
      <c r="E4226" s="48">
        <f t="shared" ca="1" si="239"/>
        <v>0</v>
      </c>
      <c r="F4226" s="17">
        <f t="shared" ca="1" si="240"/>
        <v>0</v>
      </c>
      <c r="H4226" s="17">
        <v>4211</v>
      </c>
      <c r="I4226" s="43">
        <v>0.66867872856769484</v>
      </c>
      <c r="J4226" s="43">
        <v>1.9126936031229544E-2</v>
      </c>
      <c r="K4226" s="43"/>
      <c r="L4226" s="43">
        <v>0.253</v>
      </c>
      <c r="O4226" s="50"/>
    </row>
    <row r="4227" spans="2:15" x14ac:dyDescent="0.2">
      <c r="B4227">
        <f t="shared" si="241"/>
        <v>4212</v>
      </c>
      <c r="C4227" s="48">
        <f ca="1"/>
        <v>1.4952530822320391</v>
      </c>
      <c r="D4227" s="48">
        <f t="shared" ca="1" si="238"/>
        <v>0.77005093735005326</v>
      </c>
      <c r="E4227" s="48">
        <f t="shared" ca="1" si="239"/>
        <v>0</v>
      </c>
      <c r="F4227" s="17">
        <f t="shared" ca="1" si="240"/>
        <v>0</v>
      </c>
      <c r="H4227" s="17">
        <v>4212</v>
      </c>
      <c r="I4227" s="43">
        <v>0.66844180774232376</v>
      </c>
      <c r="J4227" s="43">
        <v>1.9204188308270698E-2</v>
      </c>
      <c r="K4227" s="43"/>
      <c r="L4227" s="43">
        <v>0.2482</v>
      </c>
      <c r="O4227" s="50"/>
    </row>
    <row r="4228" spans="2:15" x14ac:dyDescent="0.2">
      <c r="B4228">
        <f t="shared" si="241"/>
        <v>4213</v>
      </c>
      <c r="C4228" s="48">
        <f ca="1"/>
        <v>-0.95926170328998817</v>
      </c>
      <c r="D4228" s="48">
        <f t="shared" ca="1" si="238"/>
        <v>0.60454267488791746</v>
      </c>
      <c r="E4228" s="48">
        <f t="shared" ca="1" si="239"/>
        <v>0</v>
      </c>
      <c r="F4228" s="17">
        <f t="shared" ca="1" si="240"/>
        <v>0</v>
      </c>
      <c r="H4228" s="17">
        <v>4213</v>
      </c>
      <c r="I4228" s="43">
        <v>0.66831866114735883</v>
      </c>
      <c r="J4228" s="43">
        <v>1.8903911638627334E-2</v>
      </c>
      <c r="K4228" s="43"/>
      <c r="L4228" s="43">
        <v>0.247</v>
      </c>
      <c r="O4228" s="50"/>
    </row>
    <row r="4229" spans="2:15" x14ac:dyDescent="0.2">
      <c r="B4229">
        <f t="shared" si="241"/>
        <v>4214</v>
      </c>
      <c r="C4229" s="48">
        <f ca="1"/>
        <v>1.2519539545134561</v>
      </c>
      <c r="D4229" s="48">
        <f t="shared" ca="1" si="238"/>
        <v>0.75180006656430576</v>
      </c>
      <c r="E4229" s="48">
        <f t="shared" ca="1" si="239"/>
        <v>0</v>
      </c>
      <c r="F4229" s="17">
        <f t="shared" ca="1" si="240"/>
        <v>0</v>
      </c>
      <c r="H4229" s="17">
        <v>4214</v>
      </c>
      <c r="I4229" s="43">
        <v>0.6695084236137121</v>
      </c>
      <c r="J4229" s="43">
        <v>1.9691009822921636E-2</v>
      </c>
      <c r="K4229" s="43"/>
      <c r="L4229" s="43">
        <v>0.25059999999999999</v>
      </c>
      <c r="O4229" s="50"/>
    </row>
    <row r="4230" spans="2:15" x14ac:dyDescent="0.2">
      <c r="B4230">
        <f t="shared" si="241"/>
        <v>4215</v>
      </c>
      <c r="C4230" s="48">
        <f ca="1"/>
        <v>-0.39404644657137583</v>
      </c>
      <c r="D4230" s="48">
        <f t="shared" ca="1" si="238"/>
        <v>0.6391859444527922</v>
      </c>
      <c r="E4230" s="48">
        <f t="shared" ca="1" si="239"/>
        <v>0</v>
      </c>
      <c r="F4230" s="17">
        <f t="shared" ca="1" si="240"/>
        <v>0</v>
      </c>
      <c r="H4230" s="17">
        <v>4215</v>
      </c>
      <c r="I4230" s="43">
        <v>0.66958608185209545</v>
      </c>
      <c r="J4230" s="43">
        <v>2.0072283287693296E-2</v>
      </c>
      <c r="K4230" s="43"/>
      <c r="L4230" s="43">
        <v>0.24959999999999999</v>
      </c>
      <c r="O4230" s="50"/>
    </row>
    <row r="4231" spans="2:15" x14ac:dyDescent="0.2">
      <c r="B4231">
        <f t="shared" si="241"/>
        <v>4216</v>
      </c>
      <c r="C4231" s="48">
        <f ca="1"/>
        <v>-0.43258050164079015</v>
      </c>
      <c r="D4231" s="48">
        <f t="shared" ca="1" si="238"/>
        <v>0.63676229963488951</v>
      </c>
      <c r="E4231" s="48">
        <f t="shared" ca="1" si="239"/>
        <v>0</v>
      </c>
      <c r="F4231" s="17">
        <f t="shared" ca="1" si="240"/>
        <v>0</v>
      </c>
      <c r="H4231" s="17">
        <v>4216</v>
      </c>
      <c r="I4231" s="43">
        <v>0.66845170221406214</v>
      </c>
      <c r="J4231" s="43">
        <v>1.9140097615791989E-2</v>
      </c>
      <c r="K4231" s="43"/>
      <c r="L4231" s="43">
        <v>0.25440000000000002</v>
      </c>
      <c r="O4231" s="50"/>
    </row>
    <row r="4232" spans="2:15" x14ac:dyDescent="0.2">
      <c r="B4232">
        <f t="shared" si="241"/>
        <v>4217</v>
      </c>
      <c r="C4232" s="48">
        <f ca="1"/>
        <v>0.96633421654550788</v>
      </c>
      <c r="D4232" s="48">
        <f t="shared" ca="1" si="238"/>
        <v>0.73092575803406457</v>
      </c>
      <c r="E4232" s="48">
        <f t="shared" ca="1" si="239"/>
        <v>0</v>
      </c>
      <c r="F4232" s="17">
        <f t="shared" ca="1" si="240"/>
        <v>0</v>
      </c>
      <c r="H4232" s="17">
        <v>4217</v>
      </c>
      <c r="I4232" s="43">
        <v>0.66886391978134441</v>
      </c>
      <c r="J4232" s="43">
        <v>1.9004268909303165E-2</v>
      </c>
      <c r="K4232" s="43"/>
      <c r="L4232" s="43">
        <v>0.247</v>
      </c>
      <c r="O4232" s="50"/>
    </row>
    <row r="4233" spans="2:15" x14ac:dyDescent="0.2">
      <c r="B4233">
        <f t="shared" si="241"/>
        <v>4218</v>
      </c>
      <c r="C4233" s="48">
        <f ca="1"/>
        <v>8.0276838455367372E-2</v>
      </c>
      <c r="D4233" s="48">
        <f t="shared" ca="1" si="238"/>
        <v>0.66978565108323718</v>
      </c>
      <c r="E4233" s="48">
        <f t="shared" ca="1" si="239"/>
        <v>0</v>
      </c>
      <c r="F4233" s="17">
        <f t="shared" ca="1" si="240"/>
        <v>0</v>
      </c>
      <c r="H4233" s="17">
        <v>4218</v>
      </c>
      <c r="I4233" s="43">
        <v>0.66984648955601511</v>
      </c>
      <c r="J4233" s="43">
        <v>1.9805893231779673E-2</v>
      </c>
      <c r="K4233" s="43"/>
      <c r="L4233" s="43">
        <v>0.247</v>
      </c>
      <c r="O4233" s="50"/>
    </row>
    <row r="4234" spans="2:15" x14ac:dyDescent="0.2">
      <c r="B4234">
        <f t="shared" si="241"/>
        <v>4219</v>
      </c>
      <c r="C4234" s="48">
        <f ca="1"/>
        <v>1.0168712562375171</v>
      </c>
      <c r="D4234" s="48">
        <f t="shared" ca="1" si="238"/>
        <v>0.73457655038570446</v>
      </c>
      <c r="E4234" s="48">
        <f t="shared" ca="1" si="239"/>
        <v>0</v>
      </c>
      <c r="F4234" s="17">
        <f t="shared" ca="1" si="240"/>
        <v>0</v>
      </c>
      <c r="H4234" s="17">
        <v>4219</v>
      </c>
      <c r="I4234" s="43">
        <v>0.66890473649787652</v>
      </c>
      <c r="J4234" s="43">
        <v>1.9237329543468761E-2</v>
      </c>
      <c r="K4234" s="43"/>
      <c r="L4234" s="43">
        <v>0.25180000000000002</v>
      </c>
      <c r="O4234" s="50"/>
    </row>
    <row r="4235" spans="2:15" x14ac:dyDescent="0.2">
      <c r="B4235">
        <f t="shared" si="241"/>
        <v>4220</v>
      </c>
      <c r="C4235" s="48">
        <f ca="1"/>
        <v>1.009569467015708</v>
      </c>
      <c r="D4235" s="48">
        <f t="shared" ca="1" si="238"/>
        <v>0.73404794477825264</v>
      </c>
      <c r="E4235" s="48">
        <f t="shared" ca="1" si="239"/>
        <v>0</v>
      </c>
      <c r="F4235" s="17">
        <f t="shared" ca="1" si="240"/>
        <v>0</v>
      </c>
      <c r="H4235" s="17">
        <v>4220</v>
      </c>
      <c r="I4235" s="43">
        <v>0.6687663444650136</v>
      </c>
      <c r="J4235" s="43">
        <v>1.9005166691005063E-2</v>
      </c>
      <c r="K4235" s="43"/>
      <c r="L4235" s="43">
        <v>0.25019999999999998</v>
      </c>
      <c r="O4235" s="50"/>
    </row>
    <row r="4236" spans="2:15" x14ac:dyDescent="0.2">
      <c r="B4236">
        <f t="shared" si="241"/>
        <v>4221</v>
      </c>
      <c r="C4236" s="48">
        <f ca="1"/>
        <v>0.41248563827890572</v>
      </c>
      <c r="D4236" s="48">
        <f t="shared" ca="1" si="238"/>
        <v>0.69208540279270869</v>
      </c>
      <c r="E4236" s="48">
        <f t="shared" ca="1" si="239"/>
        <v>0</v>
      </c>
      <c r="F4236" s="17">
        <f t="shared" ca="1" si="240"/>
        <v>0</v>
      </c>
      <c r="H4236" s="17">
        <v>4221</v>
      </c>
      <c r="I4236" s="43">
        <v>0.66899509197600127</v>
      </c>
      <c r="J4236" s="43">
        <v>1.9524915763674006E-2</v>
      </c>
      <c r="K4236" s="43"/>
      <c r="L4236" s="43">
        <v>0.24779999999999999</v>
      </c>
      <c r="O4236" s="50"/>
    </row>
    <row r="4237" spans="2:15" x14ac:dyDescent="0.2">
      <c r="B4237">
        <f t="shared" si="241"/>
        <v>4222</v>
      </c>
      <c r="C4237" s="48">
        <f ca="1"/>
        <v>-0.17633092725626698</v>
      </c>
      <c r="D4237" s="48">
        <f t="shared" ca="1" si="238"/>
        <v>0.65305374269297611</v>
      </c>
      <c r="E4237" s="48">
        <f t="shared" ca="1" si="239"/>
        <v>0</v>
      </c>
      <c r="F4237" s="17">
        <f t="shared" ca="1" si="240"/>
        <v>0</v>
      </c>
      <c r="H4237" s="17">
        <v>4222</v>
      </c>
      <c r="I4237" s="43">
        <v>0.66755051586093006</v>
      </c>
      <c r="J4237" s="43">
        <v>1.7997582692336055E-2</v>
      </c>
      <c r="K4237" s="43"/>
      <c r="L4237" s="43">
        <v>0.24540000000000001</v>
      </c>
      <c r="O4237" s="50"/>
    </row>
    <row r="4238" spans="2:15" x14ac:dyDescent="0.2">
      <c r="B4238">
        <f t="shared" si="241"/>
        <v>4223</v>
      </c>
      <c r="C4238" s="48">
        <f ca="1"/>
        <v>-0.64009931463737368</v>
      </c>
      <c r="D4238" s="48">
        <f t="shared" ca="1" si="238"/>
        <v>0.62386729360408122</v>
      </c>
      <c r="E4238" s="48">
        <f t="shared" ca="1" si="239"/>
        <v>0</v>
      </c>
      <c r="F4238" s="17">
        <f t="shared" ca="1" si="240"/>
        <v>0</v>
      </c>
      <c r="H4238" s="17">
        <v>4223</v>
      </c>
      <c r="I4238" s="43">
        <v>0.66771831009170468</v>
      </c>
      <c r="J4238" s="43">
        <v>1.8611495176841915E-2</v>
      </c>
      <c r="K4238" s="43"/>
      <c r="L4238" s="43">
        <v>0.2492</v>
      </c>
      <c r="O4238" s="50"/>
    </row>
    <row r="4239" spans="2:15" x14ac:dyDescent="0.2">
      <c r="B4239">
        <f t="shared" si="241"/>
        <v>4224</v>
      </c>
      <c r="C4239" s="48">
        <f ca="1"/>
        <v>9.6125314502843937E-2</v>
      </c>
      <c r="D4239" s="48">
        <f t="shared" ca="1" si="238"/>
        <v>0.67083298313851458</v>
      </c>
      <c r="E4239" s="48">
        <f t="shared" ca="1" si="239"/>
        <v>0</v>
      </c>
      <c r="F4239" s="17">
        <f t="shared" ca="1" si="240"/>
        <v>0</v>
      </c>
      <c r="H4239" s="17">
        <v>4224</v>
      </c>
      <c r="I4239" s="43">
        <v>0.66961300991450756</v>
      </c>
      <c r="J4239" s="43">
        <v>1.9839240401585856E-2</v>
      </c>
      <c r="K4239" s="43"/>
      <c r="L4239" s="43">
        <v>0.25540000000000002</v>
      </c>
      <c r="O4239" s="50"/>
    </row>
    <row r="4240" spans="2:15" x14ac:dyDescent="0.2">
      <c r="B4240">
        <f t="shared" si="241"/>
        <v>4225</v>
      </c>
      <c r="C4240" s="48">
        <f ca="1"/>
        <v>-0.1804999436079309</v>
      </c>
      <c r="D4240" s="48">
        <f t="shared" ref="D4240:D4303" ca="1" si="242">S0*EXP((μ-0.5*σ*σ)*T+σ*SQRT(T)*$C4240)</f>
        <v>0.65278538441611245</v>
      </c>
      <c r="E4240" s="48">
        <f t="shared" ref="E4240:E4303" ca="1" si="243">MAX(0,CP*(D4240-K))</f>
        <v>0</v>
      </c>
      <c r="F4240" s="17">
        <f t="shared" ref="F4240:F4303" ca="1" si="244">(CP*(D4240-K)&gt;0)*1</f>
        <v>0</v>
      </c>
      <c r="H4240" s="17">
        <v>4225</v>
      </c>
      <c r="I4240" s="43">
        <v>0.66850459119530692</v>
      </c>
      <c r="J4240" s="43">
        <v>1.8865888665887124E-2</v>
      </c>
      <c r="K4240" s="43"/>
      <c r="L4240" s="43">
        <v>0.25740000000000002</v>
      </c>
      <c r="O4240" s="50"/>
    </row>
    <row r="4241" spans="2:15" x14ac:dyDescent="0.2">
      <c r="B4241">
        <f t="shared" si="241"/>
        <v>4226</v>
      </c>
      <c r="C4241" s="48">
        <f ca="1"/>
        <v>-0.14442535255269903</v>
      </c>
      <c r="D4241" s="48">
        <f t="shared" ca="1" si="242"/>
        <v>0.65511115071388659</v>
      </c>
      <c r="E4241" s="48">
        <f t="shared" ca="1" si="243"/>
        <v>0</v>
      </c>
      <c r="F4241" s="17">
        <f t="shared" ca="1" si="244"/>
        <v>0</v>
      </c>
      <c r="H4241" s="17">
        <v>4226</v>
      </c>
      <c r="I4241" s="43">
        <v>0.67029684862307937</v>
      </c>
      <c r="J4241" s="43">
        <v>2.0347525796980421E-2</v>
      </c>
      <c r="K4241" s="43"/>
      <c r="L4241" s="43">
        <v>0.25519999999999998</v>
      </c>
      <c r="O4241" s="50"/>
    </row>
    <row r="4242" spans="2:15" x14ac:dyDescent="0.2">
      <c r="B4242">
        <f t="shared" si="241"/>
        <v>4227</v>
      </c>
      <c r="C4242" s="48">
        <f ca="1"/>
        <v>1.0812727087246436</v>
      </c>
      <c r="D4242" s="48">
        <f t="shared" ca="1" si="242"/>
        <v>0.73925534389678471</v>
      </c>
      <c r="E4242" s="48">
        <f t="shared" ca="1" si="243"/>
        <v>0</v>
      </c>
      <c r="F4242" s="17">
        <f t="shared" ca="1" si="244"/>
        <v>0</v>
      </c>
      <c r="H4242" s="17">
        <v>4227</v>
      </c>
      <c r="I4242" s="43">
        <v>0.66974872708826183</v>
      </c>
      <c r="J4242" s="43">
        <v>1.9990610980456378E-2</v>
      </c>
      <c r="K4242" s="43"/>
      <c r="L4242" s="43">
        <v>0.25359999999999999</v>
      </c>
      <c r="O4242" s="50"/>
    </row>
    <row r="4243" spans="2:15" x14ac:dyDescent="0.2">
      <c r="B4243">
        <f t="shared" si="241"/>
        <v>4228</v>
      </c>
      <c r="C4243" s="48">
        <f ca="1"/>
        <v>-0.3719119454933339</v>
      </c>
      <c r="D4243" s="48">
        <f t="shared" ca="1" si="242"/>
        <v>0.64058228907148018</v>
      </c>
      <c r="E4243" s="48">
        <f t="shared" ca="1" si="243"/>
        <v>0</v>
      </c>
      <c r="F4243" s="17">
        <f t="shared" ca="1" si="244"/>
        <v>0</v>
      </c>
      <c r="H4243" s="17">
        <v>4228</v>
      </c>
      <c r="I4243" s="43">
        <v>0.66850311998555012</v>
      </c>
      <c r="J4243" s="43">
        <v>1.918917738859309E-2</v>
      </c>
      <c r="K4243" s="43"/>
      <c r="L4243" s="43">
        <v>0.246</v>
      </c>
      <c r="O4243" s="50"/>
    </row>
    <row r="4244" spans="2:15" x14ac:dyDescent="0.2">
      <c r="B4244">
        <f t="shared" si="241"/>
        <v>4229</v>
      </c>
      <c r="C4244" s="48">
        <f ca="1"/>
        <v>0.3189258111467993</v>
      </c>
      <c r="D4244" s="48">
        <f t="shared" ca="1" si="242"/>
        <v>0.68573107767475772</v>
      </c>
      <c r="E4244" s="48">
        <f t="shared" ca="1" si="243"/>
        <v>0</v>
      </c>
      <c r="F4244" s="17">
        <f t="shared" ca="1" si="244"/>
        <v>0</v>
      </c>
      <c r="H4244" s="17">
        <v>4229</v>
      </c>
      <c r="I4244" s="43">
        <v>0.66779146036353054</v>
      </c>
      <c r="J4244" s="43">
        <v>1.811145568201393E-2</v>
      </c>
      <c r="K4244" s="43"/>
      <c r="L4244" s="43">
        <v>0.23760000000000001</v>
      </c>
      <c r="O4244" s="50"/>
    </row>
    <row r="4245" spans="2:15" x14ac:dyDescent="0.2">
      <c r="B4245">
        <f t="shared" si="241"/>
        <v>4230</v>
      </c>
      <c r="C4245" s="48">
        <f ca="1"/>
        <v>0.3781893342966508</v>
      </c>
      <c r="D4245" s="48">
        <f t="shared" ca="1" si="242"/>
        <v>0.6897492850845135</v>
      </c>
      <c r="E4245" s="48">
        <f t="shared" ca="1" si="243"/>
        <v>0</v>
      </c>
      <c r="F4245" s="17">
        <f t="shared" ca="1" si="244"/>
        <v>0</v>
      </c>
      <c r="H4245" s="17">
        <v>4230</v>
      </c>
      <c r="I4245" s="43">
        <v>0.66871530368252396</v>
      </c>
      <c r="J4245" s="43">
        <v>1.8867278962453604E-2</v>
      </c>
      <c r="K4245" s="43"/>
      <c r="L4245" s="43">
        <v>0.2412</v>
      </c>
      <c r="O4245" s="50"/>
    </row>
    <row r="4246" spans="2:15" x14ac:dyDescent="0.2">
      <c r="B4246">
        <f t="shared" si="241"/>
        <v>4231</v>
      </c>
      <c r="C4246" s="48">
        <f ca="1"/>
        <v>-0.68568479529545434</v>
      </c>
      <c r="D4246" s="48">
        <f t="shared" ca="1" si="242"/>
        <v>0.6210698267541046</v>
      </c>
      <c r="E4246" s="48">
        <f t="shared" ca="1" si="243"/>
        <v>0</v>
      </c>
      <c r="F4246" s="17">
        <f t="shared" ca="1" si="244"/>
        <v>0</v>
      </c>
      <c r="H4246" s="17">
        <v>4231</v>
      </c>
      <c r="I4246" s="43">
        <v>0.6684802040781076</v>
      </c>
      <c r="J4246" s="43">
        <v>1.8841398720608655E-2</v>
      </c>
      <c r="K4246" s="43"/>
      <c r="L4246" s="43">
        <v>0.2394</v>
      </c>
      <c r="O4246" s="50"/>
    </row>
    <row r="4247" spans="2:15" x14ac:dyDescent="0.2">
      <c r="B4247">
        <f t="shared" si="241"/>
        <v>4232</v>
      </c>
      <c r="C4247" s="48">
        <f ca="1"/>
        <v>0.63813779416467353</v>
      </c>
      <c r="D4247" s="48">
        <f t="shared" ca="1" si="242"/>
        <v>0.70765439901660321</v>
      </c>
      <c r="E4247" s="48">
        <f t="shared" ca="1" si="243"/>
        <v>0</v>
      </c>
      <c r="F4247" s="17">
        <f t="shared" ca="1" si="244"/>
        <v>0</v>
      </c>
      <c r="H4247" s="17">
        <v>4232</v>
      </c>
      <c r="I4247" s="43">
        <v>0.66980745465353986</v>
      </c>
      <c r="J4247" s="43">
        <v>2.0050773646315575E-2</v>
      </c>
      <c r="K4247" s="43"/>
      <c r="L4247" s="43">
        <v>0.24859999999999999</v>
      </c>
      <c r="O4247" s="50"/>
    </row>
    <row r="4248" spans="2:15" x14ac:dyDescent="0.2">
      <c r="B4248">
        <f t="shared" si="241"/>
        <v>4233</v>
      </c>
      <c r="C4248" s="48">
        <f ca="1"/>
        <v>3.0119356226441667</v>
      </c>
      <c r="D4248" s="48">
        <f t="shared" ca="1" si="242"/>
        <v>0.89424747910010849</v>
      </c>
      <c r="E4248" s="48">
        <f t="shared" ca="1" si="243"/>
        <v>0.10604747910010848</v>
      </c>
      <c r="F4248" s="17">
        <f t="shared" ca="1" si="244"/>
        <v>1</v>
      </c>
      <c r="H4248" s="17">
        <v>4233</v>
      </c>
      <c r="I4248" s="43">
        <v>0.66734345140536622</v>
      </c>
      <c r="J4248" s="43">
        <v>1.7910417031005463E-2</v>
      </c>
      <c r="K4248" s="43"/>
      <c r="L4248" s="43">
        <v>0.23400000000000001</v>
      </c>
      <c r="O4248" s="50"/>
    </row>
    <row r="4249" spans="2:15" x14ac:dyDescent="0.2">
      <c r="B4249">
        <f t="shared" si="241"/>
        <v>4234</v>
      </c>
      <c r="C4249" s="48">
        <f ca="1"/>
        <v>0.90281257827778483</v>
      </c>
      <c r="D4249" s="48">
        <f t="shared" ca="1" si="242"/>
        <v>0.72636268398705628</v>
      </c>
      <c r="E4249" s="48">
        <f t="shared" ca="1" si="243"/>
        <v>0</v>
      </c>
      <c r="F4249" s="17">
        <f t="shared" ca="1" si="244"/>
        <v>0</v>
      </c>
      <c r="H4249" s="17">
        <v>4234</v>
      </c>
      <c r="I4249" s="43">
        <v>0.66821298526337036</v>
      </c>
      <c r="J4249" s="43">
        <v>1.8703830331023158E-2</v>
      </c>
      <c r="K4249" s="43"/>
      <c r="L4249" s="43">
        <v>0.248</v>
      </c>
      <c r="O4249" s="50"/>
    </row>
    <row r="4250" spans="2:15" x14ac:dyDescent="0.2">
      <c r="B4250">
        <f t="shared" si="241"/>
        <v>4235</v>
      </c>
      <c r="C4250" s="48">
        <f ca="1"/>
        <v>1.4004910544820324</v>
      </c>
      <c r="D4250" s="48">
        <f t="shared" ca="1" si="242"/>
        <v>0.76289035351293255</v>
      </c>
      <c r="E4250" s="48">
        <f t="shared" ca="1" si="243"/>
        <v>0</v>
      </c>
      <c r="F4250" s="17">
        <f t="shared" ca="1" si="244"/>
        <v>0</v>
      </c>
      <c r="H4250" s="17">
        <v>4235</v>
      </c>
      <c r="I4250" s="43">
        <v>0.66938634243289885</v>
      </c>
      <c r="J4250" s="43">
        <v>1.9585940791151224E-2</v>
      </c>
      <c r="K4250" s="43"/>
      <c r="L4250" s="43">
        <v>0.25779999999999997</v>
      </c>
      <c r="O4250" s="50"/>
    </row>
    <row r="4251" spans="2:15" x14ac:dyDescent="0.2">
      <c r="B4251">
        <f t="shared" si="241"/>
        <v>4236</v>
      </c>
      <c r="C4251" s="48">
        <f ca="1"/>
        <v>0.36245612725482007</v>
      </c>
      <c r="D4251" s="48">
        <f t="shared" ca="1" si="242"/>
        <v>0.68868024629298397</v>
      </c>
      <c r="E4251" s="48">
        <f t="shared" ca="1" si="243"/>
        <v>0</v>
      </c>
      <c r="F4251" s="17">
        <f t="shared" ca="1" si="244"/>
        <v>0</v>
      </c>
      <c r="H4251" s="17">
        <v>4236</v>
      </c>
      <c r="I4251" s="43">
        <v>0.6689864712737994</v>
      </c>
      <c r="J4251" s="43">
        <v>1.9481953304974237E-2</v>
      </c>
      <c r="K4251" s="43"/>
      <c r="L4251" s="43">
        <v>0.24940000000000001</v>
      </c>
      <c r="O4251" s="50"/>
    </row>
    <row r="4252" spans="2:15" x14ac:dyDescent="0.2">
      <c r="B4252">
        <f t="shared" si="241"/>
        <v>4237</v>
      </c>
      <c r="C4252" s="48">
        <f ca="1"/>
        <v>-0.24009545769530555</v>
      </c>
      <c r="D4252" s="48">
        <f t="shared" ca="1" si="242"/>
        <v>0.64896127317393204</v>
      </c>
      <c r="E4252" s="48">
        <f t="shared" ca="1" si="243"/>
        <v>0</v>
      </c>
      <c r="F4252" s="17">
        <f t="shared" ca="1" si="244"/>
        <v>0</v>
      </c>
      <c r="H4252" s="17">
        <v>4237</v>
      </c>
      <c r="I4252" s="43">
        <v>0.66913054106207159</v>
      </c>
      <c r="J4252" s="43">
        <v>1.9347758106654681E-2</v>
      </c>
      <c r="K4252" s="43"/>
      <c r="L4252" s="43">
        <v>0.255</v>
      </c>
      <c r="O4252" s="50"/>
    </row>
    <row r="4253" spans="2:15" x14ac:dyDescent="0.2">
      <c r="B4253">
        <f t="shared" si="241"/>
        <v>4238</v>
      </c>
      <c r="C4253" s="48">
        <f ca="1"/>
        <v>-1.7115794388269692</v>
      </c>
      <c r="D4253" s="48">
        <f t="shared" ca="1" si="242"/>
        <v>0.56132674039288855</v>
      </c>
      <c r="E4253" s="48">
        <f t="shared" ca="1" si="243"/>
        <v>0</v>
      </c>
      <c r="F4253" s="17">
        <f t="shared" ca="1" si="244"/>
        <v>0</v>
      </c>
      <c r="H4253" s="17">
        <v>4238</v>
      </c>
      <c r="I4253" s="43">
        <v>0.66747733449774027</v>
      </c>
      <c r="J4253" s="43">
        <v>1.8405534363935744E-2</v>
      </c>
      <c r="K4253" s="43"/>
      <c r="L4253" s="43">
        <v>0.24740000000000001</v>
      </c>
      <c r="O4253" s="50"/>
    </row>
    <row r="4254" spans="2:15" x14ac:dyDescent="0.2">
      <c r="B4254">
        <f t="shared" si="241"/>
        <v>4239</v>
      </c>
      <c r="C4254" s="48">
        <f ca="1"/>
        <v>0.35257077934055553</v>
      </c>
      <c r="D4254" s="48">
        <f t="shared" ca="1" si="242"/>
        <v>0.68800940513916997</v>
      </c>
      <c r="E4254" s="48">
        <f t="shared" ca="1" si="243"/>
        <v>0</v>
      </c>
      <c r="F4254" s="17">
        <f t="shared" ca="1" si="244"/>
        <v>0</v>
      </c>
      <c r="H4254" s="17">
        <v>4239</v>
      </c>
      <c r="I4254" s="43">
        <v>0.66847138727919386</v>
      </c>
      <c r="J4254" s="43">
        <v>1.8911686815426543E-2</v>
      </c>
      <c r="K4254" s="43"/>
      <c r="L4254" s="43">
        <v>0.2462</v>
      </c>
      <c r="O4254" s="50"/>
    </row>
    <row r="4255" spans="2:15" x14ac:dyDescent="0.2">
      <c r="B4255">
        <f t="shared" si="241"/>
        <v>4240</v>
      </c>
      <c r="C4255" s="48">
        <f ca="1"/>
        <v>0.45280348927737379</v>
      </c>
      <c r="D4255" s="48">
        <f t="shared" ca="1" si="242"/>
        <v>0.69484180250398153</v>
      </c>
      <c r="E4255" s="48">
        <f t="shared" ca="1" si="243"/>
        <v>0</v>
      </c>
      <c r="F4255" s="17">
        <f t="shared" ca="1" si="244"/>
        <v>0</v>
      </c>
      <c r="H4255" s="17">
        <v>4240</v>
      </c>
      <c r="I4255" s="43">
        <v>0.66963480539237441</v>
      </c>
      <c r="J4255" s="43">
        <v>1.9695055993860181E-2</v>
      </c>
      <c r="K4255" s="43"/>
      <c r="L4255" s="43">
        <v>0.25180000000000002</v>
      </c>
      <c r="O4255" s="50"/>
    </row>
    <row r="4256" spans="2:15" x14ac:dyDescent="0.2">
      <c r="B4256">
        <f t="shared" si="241"/>
        <v>4241</v>
      </c>
      <c r="C4256" s="48">
        <f ca="1"/>
        <v>0.16319508743944561</v>
      </c>
      <c r="D4256" s="48">
        <f t="shared" ca="1" si="242"/>
        <v>0.67528338865100235</v>
      </c>
      <c r="E4256" s="48">
        <f t="shared" ca="1" si="243"/>
        <v>0</v>
      </c>
      <c r="F4256" s="17">
        <f t="shared" ca="1" si="244"/>
        <v>0</v>
      </c>
      <c r="H4256" s="17">
        <v>4241</v>
      </c>
      <c r="I4256" s="43">
        <v>0.66825142151901784</v>
      </c>
      <c r="J4256" s="43">
        <v>1.8707578695672553E-2</v>
      </c>
      <c r="K4256" s="43"/>
      <c r="L4256" s="43">
        <v>0.2414</v>
      </c>
      <c r="O4256" s="50"/>
    </row>
    <row r="4257" spans="2:15" x14ac:dyDescent="0.2">
      <c r="B4257">
        <f t="shared" si="241"/>
        <v>4242</v>
      </c>
      <c r="C4257" s="48">
        <f ca="1"/>
        <v>-0.14686375077899183</v>
      </c>
      <c r="D4257" s="48">
        <f t="shared" ca="1" si="242"/>
        <v>0.65495368386173636</v>
      </c>
      <c r="E4257" s="48">
        <f t="shared" ca="1" si="243"/>
        <v>0</v>
      </c>
      <c r="F4257" s="17">
        <f t="shared" ca="1" si="244"/>
        <v>0</v>
      </c>
      <c r="H4257" s="17">
        <v>4242</v>
      </c>
      <c r="I4257" s="43">
        <v>0.6687234369827062</v>
      </c>
      <c r="J4257" s="43">
        <v>1.9594461405682228E-2</v>
      </c>
      <c r="K4257" s="43"/>
      <c r="L4257" s="43">
        <v>0.25719999999999998</v>
      </c>
      <c r="O4257" s="50"/>
    </row>
    <row r="4258" spans="2:15" x14ac:dyDescent="0.2">
      <c r="B4258">
        <f t="shared" si="241"/>
        <v>4243</v>
      </c>
      <c r="C4258" s="48">
        <f ca="1"/>
        <v>-0.31454688365161765</v>
      </c>
      <c r="D4258" s="48">
        <f t="shared" ca="1" si="242"/>
        <v>0.64421535068813296</v>
      </c>
      <c r="E4258" s="48">
        <f t="shared" ca="1" si="243"/>
        <v>0</v>
      </c>
      <c r="F4258" s="17">
        <f t="shared" ca="1" si="244"/>
        <v>0</v>
      </c>
      <c r="H4258" s="17">
        <v>4243</v>
      </c>
      <c r="I4258" s="43">
        <v>0.66932911968015596</v>
      </c>
      <c r="J4258" s="43">
        <v>1.9552036099884134E-2</v>
      </c>
      <c r="K4258" s="43"/>
      <c r="L4258" s="43">
        <v>0.25140000000000001</v>
      </c>
      <c r="O4258" s="50"/>
    </row>
    <row r="4259" spans="2:15" x14ac:dyDescent="0.2">
      <c r="B4259">
        <f t="shared" si="241"/>
        <v>4244</v>
      </c>
      <c r="C4259" s="48">
        <f ca="1"/>
        <v>0.75116106976958052</v>
      </c>
      <c r="D4259" s="48">
        <f t="shared" ca="1" si="242"/>
        <v>0.71558365921960365</v>
      </c>
      <c r="E4259" s="48">
        <f t="shared" ca="1" si="243"/>
        <v>0</v>
      </c>
      <c r="F4259" s="17">
        <f t="shared" ca="1" si="244"/>
        <v>0</v>
      </c>
      <c r="H4259" s="17">
        <v>4244</v>
      </c>
      <c r="I4259" s="43">
        <v>0.66847651922148066</v>
      </c>
      <c r="J4259" s="43">
        <v>1.8906217670214484E-2</v>
      </c>
      <c r="K4259" s="43"/>
      <c r="L4259" s="43">
        <v>0.25059999999999999</v>
      </c>
      <c r="O4259" s="50"/>
    </row>
    <row r="4260" spans="2:15" x14ac:dyDescent="0.2">
      <c r="B4260">
        <f t="shared" si="241"/>
        <v>4245</v>
      </c>
      <c r="C4260" s="48">
        <f ca="1"/>
        <v>0.24369794633841568</v>
      </c>
      <c r="D4260" s="48">
        <f t="shared" ca="1" si="242"/>
        <v>0.6806641488270595</v>
      </c>
      <c r="E4260" s="48">
        <f t="shared" ca="1" si="243"/>
        <v>0</v>
      </c>
      <c r="F4260" s="17">
        <f t="shared" ca="1" si="244"/>
        <v>0</v>
      </c>
      <c r="H4260" s="17">
        <v>4245</v>
      </c>
      <c r="I4260" s="43">
        <v>0.6681529645638119</v>
      </c>
      <c r="J4260" s="43">
        <v>1.8802980817327744E-2</v>
      </c>
      <c r="K4260" s="43"/>
      <c r="L4260" s="43">
        <v>0.24160000000000001</v>
      </c>
      <c r="O4260" s="50"/>
    </row>
    <row r="4261" spans="2:15" x14ac:dyDescent="0.2">
      <c r="B4261">
        <f t="shared" si="241"/>
        <v>4246</v>
      </c>
      <c r="C4261" s="48">
        <f ca="1"/>
        <v>0.17523910384400895</v>
      </c>
      <c r="D4261" s="48">
        <f t="shared" ca="1" si="242"/>
        <v>0.67608568901512622</v>
      </c>
      <c r="E4261" s="48">
        <f t="shared" ca="1" si="243"/>
        <v>0</v>
      </c>
      <c r="F4261" s="17">
        <f t="shared" ca="1" si="244"/>
        <v>0</v>
      </c>
      <c r="H4261" s="17">
        <v>4246</v>
      </c>
      <c r="I4261" s="43">
        <v>0.66882922653322274</v>
      </c>
      <c r="J4261" s="43">
        <v>1.9270946538390888E-2</v>
      </c>
      <c r="K4261" s="43"/>
      <c r="L4261" s="43">
        <v>0.24540000000000001</v>
      </c>
      <c r="O4261" s="50"/>
    </row>
    <row r="4262" spans="2:15" x14ac:dyDescent="0.2">
      <c r="B4262">
        <f t="shared" si="241"/>
        <v>4247</v>
      </c>
      <c r="C4262" s="48">
        <f ca="1"/>
        <v>1.618484410177772</v>
      </c>
      <c r="D4262" s="48">
        <f t="shared" ca="1" si="242"/>
        <v>0.77946339661500019</v>
      </c>
      <c r="E4262" s="48">
        <f t="shared" ca="1" si="243"/>
        <v>0</v>
      </c>
      <c r="F4262" s="17">
        <f t="shared" ca="1" si="244"/>
        <v>0</v>
      </c>
      <c r="H4262" s="17">
        <v>4247</v>
      </c>
      <c r="I4262" s="43">
        <v>0.66921512878013412</v>
      </c>
      <c r="J4262" s="43">
        <v>1.9700205709528389E-2</v>
      </c>
      <c r="K4262" s="43"/>
      <c r="L4262" s="43">
        <v>0.2616</v>
      </c>
      <c r="O4262" s="50"/>
    </row>
    <row r="4263" spans="2:15" x14ac:dyDescent="0.2">
      <c r="B4263">
        <f t="shared" si="241"/>
        <v>4248</v>
      </c>
      <c r="C4263" s="48">
        <f ca="1"/>
        <v>0.2997697483438323</v>
      </c>
      <c r="D4263" s="48">
        <f t="shared" ca="1" si="242"/>
        <v>0.68443726388180992</v>
      </c>
      <c r="E4263" s="48">
        <f t="shared" ca="1" si="243"/>
        <v>0</v>
      </c>
      <c r="F4263" s="17">
        <f t="shared" ca="1" si="244"/>
        <v>0</v>
      </c>
      <c r="H4263" s="17">
        <v>4248</v>
      </c>
      <c r="I4263" s="43">
        <v>0.66992240326128116</v>
      </c>
      <c r="J4263" s="43">
        <v>2.0128725441208684E-2</v>
      </c>
      <c r="K4263" s="43"/>
      <c r="L4263" s="43">
        <v>0.25259999999999999</v>
      </c>
      <c r="O4263" s="50"/>
    </row>
    <row r="4264" spans="2:15" x14ac:dyDescent="0.2">
      <c r="B4264">
        <f t="shared" si="241"/>
        <v>4249</v>
      </c>
      <c r="C4264" s="48">
        <f ca="1"/>
        <v>0.63734155134516868</v>
      </c>
      <c r="D4264" s="48">
        <f t="shared" ca="1" si="242"/>
        <v>0.70759885063448824</v>
      </c>
      <c r="E4264" s="48">
        <f t="shared" ca="1" si="243"/>
        <v>0</v>
      </c>
      <c r="F4264" s="17">
        <f t="shared" ca="1" si="244"/>
        <v>0</v>
      </c>
      <c r="H4264" s="17">
        <v>4249</v>
      </c>
      <c r="I4264" s="43">
        <v>0.66869004551286537</v>
      </c>
      <c r="J4264" s="43">
        <v>1.9048400078932302E-2</v>
      </c>
      <c r="K4264" s="43"/>
      <c r="L4264" s="43">
        <v>0.24579999999999999</v>
      </c>
      <c r="O4264" s="50"/>
    </row>
    <row r="4265" spans="2:15" x14ac:dyDescent="0.2">
      <c r="B4265">
        <f t="shared" si="241"/>
        <v>4250</v>
      </c>
      <c r="C4265" s="48">
        <f ca="1"/>
        <v>-1.0662880100339529</v>
      </c>
      <c r="D4265" s="48">
        <f t="shared" ca="1" si="242"/>
        <v>0.5981974061730555</v>
      </c>
      <c r="E4265" s="48">
        <f t="shared" ca="1" si="243"/>
        <v>0</v>
      </c>
      <c r="F4265" s="17">
        <f t="shared" ca="1" si="244"/>
        <v>0</v>
      </c>
      <c r="H4265" s="17">
        <v>4250</v>
      </c>
      <c r="I4265" s="43">
        <v>0.66994660537995132</v>
      </c>
      <c r="J4265" s="43">
        <v>2.0106798171032326E-2</v>
      </c>
      <c r="K4265" s="43"/>
      <c r="L4265" s="43">
        <v>0.25480000000000003</v>
      </c>
      <c r="O4265" s="50"/>
    </row>
    <row r="4266" spans="2:15" x14ac:dyDescent="0.2">
      <c r="B4266">
        <f t="shared" si="241"/>
        <v>4251</v>
      </c>
      <c r="C4266" s="48">
        <f ca="1"/>
        <v>0.64022471203179987</v>
      </c>
      <c r="D4266" s="48">
        <f t="shared" ca="1" si="242"/>
        <v>0.70780000960810019</v>
      </c>
      <c r="E4266" s="48">
        <f t="shared" ca="1" si="243"/>
        <v>0</v>
      </c>
      <c r="F4266" s="17">
        <f t="shared" ca="1" si="244"/>
        <v>0</v>
      </c>
      <c r="H4266" s="17">
        <v>4251</v>
      </c>
      <c r="I4266" s="43">
        <v>0.66947025593624143</v>
      </c>
      <c r="J4266" s="43">
        <v>1.9920608202260562E-2</v>
      </c>
      <c r="K4266" s="43"/>
      <c r="L4266" s="43">
        <v>0.25659999999999999</v>
      </c>
      <c r="O4266" s="50"/>
    </row>
    <row r="4267" spans="2:15" x14ac:dyDescent="0.2">
      <c r="B4267">
        <f t="shared" si="241"/>
        <v>4252</v>
      </c>
      <c r="C4267" s="48">
        <f ca="1"/>
        <v>-0.26776069536625385</v>
      </c>
      <c r="D4267" s="48">
        <f t="shared" ca="1" si="242"/>
        <v>0.64719367809248229</v>
      </c>
      <c r="E4267" s="48">
        <f t="shared" ca="1" si="243"/>
        <v>0</v>
      </c>
      <c r="F4267" s="17">
        <f t="shared" ca="1" si="244"/>
        <v>0</v>
      </c>
      <c r="H4267" s="17">
        <v>4252</v>
      </c>
      <c r="I4267" s="43">
        <v>0.66962267188376523</v>
      </c>
      <c r="J4267" s="43">
        <v>1.992212349295536E-2</v>
      </c>
      <c r="K4267" s="43"/>
      <c r="L4267" s="43">
        <v>0.26</v>
      </c>
      <c r="O4267" s="50"/>
    </row>
    <row r="4268" spans="2:15" x14ac:dyDescent="0.2">
      <c r="B4268">
        <f t="shared" si="241"/>
        <v>4253</v>
      </c>
      <c r="C4268" s="48">
        <f ca="1"/>
        <v>0.87224038141896543</v>
      </c>
      <c r="D4268" s="48">
        <f t="shared" ca="1" si="242"/>
        <v>0.7241766970238811</v>
      </c>
      <c r="E4268" s="48">
        <f t="shared" ca="1" si="243"/>
        <v>0</v>
      </c>
      <c r="F4268" s="17">
        <f t="shared" ca="1" si="244"/>
        <v>0</v>
      </c>
      <c r="H4268" s="17">
        <v>4253</v>
      </c>
      <c r="I4268" s="43">
        <v>0.66927080127548078</v>
      </c>
      <c r="J4268" s="43">
        <v>1.9646968193666133E-2</v>
      </c>
      <c r="K4268" s="43"/>
      <c r="L4268" s="43">
        <v>0.24940000000000001</v>
      </c>
      <c r="O4268" s="50"/>
    </row>
    <row r="4269" spans="2:15" x14ac:dyDescent="0.2">
      <c r="B4269">
        <f t="shared" si="241"/>
        <v>4254</v>
      </c>
      <c r="C4269" s="48">
        <f ca="1"/>
        <v>-0.12986305389330227</v>
      </c>
      <c r="D4269" s="48">
        <f t="shared" ca="1" si="242"/>
        <v>0.65605234316003702</v>
      </c>
      <c r="E4269" s="48">
        <f t="shared" ca="1" si="243"/>
        <v>0</v>
      </c>
      <c r="F4269" s="17">
        <f t="shared" ca="1" si="244"/>
        <v>0</v>
      </c>
      <c r="H4269" s="17">
        <v>4254</v>
      </c>
      <c r="I4269" s="43">
        <v>0.66826820191171976</v>
      </c>
      <c r="J4269" s="43">
        <v>1.8515621977416654E-2</v>
      </c>
      <c r="K4269" s="43"/>
      <c r="L4269" s="43">
        <v>0.2414</v>
      </c>
      <c r="O4269" s="50"/>
    </row>
    <row r="4270" spans="2:15" x14ac:dyDescent="0.2">
      <c r="B4270">
        <f t="shared" si="241"/>
        <v>4255</v>
      </c>
      <c r="C4270" s="48">
        <f ca="1"/>
        <v>4.1209052434430106E-2</v>
      </c>
      <c r="D4270" s="48">
        <f t="shared" ca="1" si="242"/>
        <v>0.66721087026128845</v>
      </c>
      <c r="E4270" s="48">
        <f t="shared" ca="1" si="243"/>
        <v>0</v>
      </c>
      <c r="F4270" s="17">
        <f t="shared" ca="1" si="244"/>
        <v>0</v>
      </c>
      <c r="H4270" s="17">
        <v>4255</v>
      </c>
      <c r="I4270" s="43">
        <v>0.66894421466086018</v>
      </c>
      <c r="J4270" s="43">
        <v>1.9650535133821225E-2</v>
      </c>
      <c r="K4270" s="43"/>
      <c r="L4270" s="43">
        <v>0.246</v>
      </c>
      <c r="O4270" s="50"/>
    </row>
    <row r="4271" spans="2:15" x14ac:dyDescent="0.2">
      <c r="B4271">
        <f t="shared" si="241"/>
        <v>4256</v>
      </c>
      <c r="C4271" s="48">
        <f ca="1"/>
        <v>0.12915079051990172</v>
      </c>
      <c r="D4271" s="48">
        <f t="shared" ca="1" si="242"/>
        <v>0.67302070655515334</v>
      </c>
      <c r="E4271" s="48">
        <f t="shared" ca="1" si="243"/>
        <v>0</v>
      </c>
      <c r="F4271" s="17">
        <f t="shared" ca="1" si="244"/>
        <v>0</v>
      </c>
      <c r="H4271" s="17">
        <v>4256</v>
      </c>
      <c r="I4271" s="43">
        <v>0.66886814303082154</v>
      </c>
      <c r="J4271" s="43">
        <v>1.949468387381437E-2</v>
      </c>
      <c r="K4271" s="43"/>
      <c r="L4271" s="43">
        <v>0.25580000000000003</v>
      </c>
      <c r="O4271" s="50"/>
    </row>
    <row r="4272" spans="2:15" x14ac:dyDescent="0.2">
      <c r="B4272">
        <f t="shared" si="241"/>
        <v>4257</v>
      </c>
      <c r="C4272" s="48">
        <f ca="1"/>
        <v>0.97591887109629361</v>
      </c>
      <c r="D4272" s="48">
        <f t="shared" ca="1" si="242"/>
        <v>0.73161675582102237</v>
      </c>
      <c r="E4272" s="48">
        <f t="shared" ca="1" si="243"/>
        <v>0</v>
      </c>
      <c r="F4272" s="17">
        <f t="shared" ca="1" si="244"/>
        <v>0</v>
      </c>
      <c r="H4272" s="17">
        <v>4257</v>
      </c>
      <c r="I4272" s="43">
        <v>0.66985744264930813</v>
      </c>
      <c r="J4272" s="43">
        <v>1.9896292322662205E-2</v>
      </c>
      <c r="K4272" s="43"/>
      <c r="L4272" s="43">
        <v>0.25180000000000002</v>
      </c>
      <c r="O4272" s="50"/>
    </row>
    <row r="4273" spans="2:15" x14ac:dyDescent="0.2">
      <c r="B4273">
        <f t="shared" ref="B4273:B4336" si="245">B4272+1</f>
        <v>4258</v>
      </c>
      <c r="C4273" s="48">
        <f ca="1"/>
        <v>1.0653957128769966</v>
      </c>
      <c r="D4273" s="48">
        <f t="shared" ca="1" si="242"/>
        <v>0.73809911272413908</v>
      </c>
      <c r="E4273" s="48">
        <f t="shared" ca="1" si="243"/>
        <v>0</v>
      </c>
      <c r="F4273" s="17">
        <f t="shared" ca="1" si="244"/>
        <v>0</v>
      </c>
      <c r="H4273" s="17">
        <v>4258</v>
      </c>
      <c r="I4273" s="43">
        <v>0.66757564945657943</v>
      </c>
      <c r="J4273" s="43">
        <v>1.8516136044269389E-2</v>
      </c>
      <c r="K4273" s="43"/>
      <c r="L4273" s="43">
        <v>0.249</v>
      </c>
      <c r="O4273" s="50"/>
    </row>
    <row r="4274" spans="2:15" x14ac:dyDescent="0.2">
      <c r="B4274">
        <f t="shared" si="245"/>
        <v>4259</v>
      </c>
      <c r="C4274" s="48">
        <f ca="1"/>
        <v>-0.65582898166967474</v>
      </c>
      <c r="D4274" s="48">
        <f t="shared" ca="1" si="242"/>
        <v>0.62290058235749002</v>
      </c>
      <c r="E4274" s="48">
        <f t="shared" ca="1" si="243"/>
        <v>0</v>
      </c>
      <c r="F4274" s="17">
        <f t="shared" ca="1" si="244"/>
        <v>0</v>
      </c>
      <c r="H4274" s="17">
        <v>4259</v>
      </c>
      <c r="I4274" s="43">
        <v>0.66917731822703053</v>
      </c>
      <c r="J4274" s="43">
        <v>1.9638853629386551E-2</v>
      </c>
      <c r="K4274" s="43"/>
      <c r="L4274" s="43">
        <v>0.25040000000000001</v>
      </c>
      <c r="O4274" s="50"/>
    </row>
    <row r="4275" spans="2:15" x14ac:dyDescent="0.2">
      <c r="B4275">
        <f t="shared" si="245"/>
        <v>4260</v>
      </c>
      <c r="C4275" s="48">
        <f ca="1"/>
        <v>2.3599506499321214</v>
      </c>
      <c r="D4275" s="48">
        <f t="shared" ca="1" si="242"/>
        <v>0.83857582822177235</v>
      </c>
      <c r="E4275" s="48">
        <f t="shared" ca="1" si="243"/>
        <v>5.0375828221772334E-2</v>
      </c>
      <c r="F4275" s="17">
        <f t="shared" ca="1" si="244"/>
        <v>1</v>
      </c>
      <c r="H4275" s="17">
        <v>4260</v>
      </c>
      <c r="I4275" s="43">
        <v>0.6696725517015083</v>
      </c>
      <c r="J4275" s="43">
        <v>1.9975461904400658E-2</v>
      </c>
      <c r="K4275" s="43"/>
      <c r="L4275" s="43">
        <v>0.24959999999999999</v>
      </c>
      <c r="O4275" s="50"/>
    </row>
    <row r="4276" spans="2:15" x14ac:dyDescent="0.2">
      <c r="B4276">
        <f t="shared" si="245"/>
        <v>4261</v>
      </c>
      <c r="C4276" s="48">
        <f ca="1"/>
        <v>-1.3926201073753344</v>
      </c>
      <c r="D4276" s="48">
        <f t="shared" ca="1" si="242"/>
        <v>0.57925833607459687</v>
      </c>
      <c r="E4276" s="48">
        <f t="shared" ca="1" si="243"/>
        <v>0</v>
      </c>
      <c r="F4276" s="17">
        <f t="shared" ca="1" si="244"/>
        <v>0</v>
      </c>
      <c r="H4276" s="17">
        <v>4261</v>
      </c>
      <c r="I4276" s="43">
        <v>0.67044398190625742</v>
      </c>
      <c r="J4276" s="43">
        <v>2.0202983642602233E-2</v>
      </c>
      <c r="K4276" s="43"/>
      <c r="L4276" s="43">
        <v>0.25459999999999999</v>
      </c>
      <c r="O4276" s="50"/>
    </row>
    <row r="4277" spans="2:15" x14ac:dyDescent="0.2">
      <c r="B4277">
        <f t="shared" si="245"/>
        <v>4262</v>
      </c>
      <c r="C4277" s="48">
        <f ca="1"/>
        <v>0.35989184887347669</v>
      </c>
      <c r="D4277" s="48">
        <f t="shared" ca="1" si="242"/>
        <v>0.68850616599448122</v>
      </c>
      <c r="E4277" s="48">
        <f t="shared" ca="1" si="243"/>
        <v>0</v>
      </c>
      <c r="F4277" s="17">
        <f t="shared" ca="1" si="244"/>
        <v>0</v>
      </c>
      <c r="H4277" s="17">
        <v>4262</v>
      </c>
      <c r="I4277" s="43">
        <v>0.66875228973043999</v>
      </c>
      <c r="J4277" s="43">
        <v>1.9291099245016204E-2</v>
      </c>
      <c r="K4277" s="43"/>
      <c r="L4277" s="43">
        <v>0.25019999999999998</v>
      </c>
      <c r="O4277" s="50"/>
    </row>
    <row r="4278" spans="2:15" x14ac:dyDescent="0.2">
      <c r="B4278">
        <f t="shared" si="245"/>
        <v>4263</v>
      </c>
      <c r="C4278" s="48">
        <f ca="1"/>
        <v>0.69578704900630917</v>
      </c>
      <c r="D4278" s="48">
        <f t="shared" ca="1" si="242"/>
        <v>0.71168779971334573</v>
      </c>
      <c r="E4278" s="48">
        <f t="shared" ca="1" si="243"/>
        <v>0</v>
      </c>
      <c r="F4278" s="17">
        <f t="shared" ca="1" si="244"/>
        <v>0</v>
      </c>
      <c r="H4278" s="17">
        <v>4263</v>
      </c>
      <c r="I4278" s="43">
        <v>0.66932033607533648</v>
      </c>
      <c r="J4278" s="43">
        <v>1.9672850173198034E-2</v>
      </c>
      <c r="K4278" s="43"/>
      <c r="L4278" s="43">
        <v>0.25219999999999998</v>
      </c>
      <c r="O4278" s="50"/>
    </row>
    <row r="4279" spans="2:15" x14ac:dyDescent="0.2">
      <c r="B4279">
        <f t="shared" si="245"/>
        <v>4264</v>
      </c>
      <c r="C4279" s="48">
        <f ca="1"/>
        <v>-1.0246597098608472</v>
      </c>
      <c r="D4279" s="48">
        <f t="shared" ca="1" si="242"/>
        <v>0.60065747018019666</v>
      </c>
      <c r="E4279" s="48">
        <f t="shared" ca="1" si="243"/>
        <v>0</v>
      </c>
      <c r="F4279" s="17">
        <f t="shared" ca="1" si="244"/>
        <v>0</v>
      </c>
      <c r="H4279" s="17">
        <v>4264</v>
      </c>
      <c r="I4279" s="43">
        <v>0.6701658208256055</v>
      </c>
      <c r="J4279" s="43">
        <v>2.0247763165837929E-2</v>
      </c>
      <c r="K4279" s="43"/>
      <c r="L4279" s="43">
        <v>0.25979999999999998</v>
      </c>
      <c r="O4279" s="50"/>
    </row>
    <row r="4280" spans="2:15" x14ac:dyDescent="0.2">
      <c r="B4280">
        <f t="shared" si="245"/>
        <v>4265</v>
      </c>
      <c r="C4280" s="48">
        <f ca="1"/>
        <v>1.5934049822329448</v>
      </c>
      <c r="D4280" s="48">
        <f t="shared" ca="1" si="242"/>
        <v>0.77753854044884141</v>
      </c>
      <c r="E4280" s="48">
        <f t="shared" ca="1" si="243"/>
        <v>0</v>
      </c>
      <c r="F4280" s="17">
        <f t="shared" ca="1" si="244"/>
        <v>0</v>
      </c>
      <c r="H4280" s="17">
        <v>4265</v>
      </c>
      <c r="I4280" s="43">
        <v>0.66957793902807961</v>
      </c>
      <c r="J4280" s="43">
        <v>1.9762067142442143E-2</v>
      </c>
      <c r="K4280" s="43"/>
      <c r="L4280" s="43">
        <v>0.25380000000000003</v>
      </c>
      <c r="O4280" s="50"/>
    </row>
    <row r="4281" spans="2:15" x14ac:dyDescent="0.2">
      <c r="B4281">
        <f t="shared" si="245"/>
        <v>4266</v>
      </c>
      <c r="C4281" s="48">
        <f ca="1"/>
        <v>0.23282295464492614</v>
      </c>
      <c r="D4281" s="48">
        <f t="shared" ca="1" si="242"/>
        <v>0.67993477405107872</v>
      </c>
      <c r="E4281" s="48">
        <f t="shared" ca="1" si="243"/>
        <v>0</v>
      </c>
      <c r="F4281" s="17">
        <f t="shared" ca="1" si="244"/>
        <v>0</v>
      </c>
      <c r="H4281" s="17">
        <v>4266</v>
      </c>
      <c r="I4281" s="43">
        <v>0.66959853081624499</v>
      </c>
      <c r="J4281" s="43">
        <v>1.995289980758409E-2</v>
      </c>
      <c r="K4281" s="43"/>
      <c r="L4281" s="43">
        <v>0.254</v>
      </c>
      <c r="O4281" s="50"/>
    </row>
    <row r="4282" spans="2:15" x14ac:dyDescent="0.2">
      <c r="B4282">
        <f t="shared" si="245"/>
        <v>4267</v>
      </c>
      <c r="C4282" s="48">
        <f ca="1"/>
        <v>0.10416460265549168</v>
      </c>
      <c r="D4282" s="48">
        <f t="shared" ca="1" si="242"/>
        <v>0.67136487805540379</v>
      </c>
      <c r="E4282" s="48">
        <f t="shared" ca="1" si="243"/>
        <v>0</v>
      </c>
      <c r="F4282" s="17">
        <f t="shared" ca="1" si="244"/>
        <v>0</v>
      </c>
      <c r="H4282" s="17">
        <v>4267</v>
      </c>
      <c r="I4282" s="43">
        <v>0.66872758950445788</v>
      </c>
      <c r="J4282" s="43">
        <v>1.9107712645304937E-2</v>
      </c>
      <c r="K4282" s="43"/>
      <c r="L4282" s="43">
        <v>0.254</v>
      </c>
      <c r="O4282" s="50"/>
    </row>
    <row r="4283" spans="2:15" x14ac:dyDescent="0.2">
      <c r="B4283">
        <f t="shared" si="245"/>
        <v>4268</v>
      </c>
      <c r="C4283" s="48">
        <f ca="1"/>
        <v>-0.60406749211786936</v>
      </c>
      <c r="D4283" s="48">
        <f t="shared" ca="1" si="242"/>
        <v>0.62608738966327715</v>
      </c>
      <c r="E4283" s="48">
        <f t="shared" ca="1" si="243"/>
        <v>0</v>
      </c>
      <c r="F4283" s="17">
        <f t="shared" ca="1" si="244"/>
        <v>0</v>
      </c>
      <c r="H4283" s="17">
        <v>4268</v>
      </c>
      <c r="I4283" s="43">
        <v>0.66865465837495253</v>
      </c>
      <c r="J4283" s="43">
        <v>1.9456702974267739E-2</v>
      </c>
      <c r="K4283" s="43"/>
      <c r="L4283" s="43">
        <v>0.25280000000000002</v>
      </c>
      <c r="O4283" s="50"/>
    </row>
    <row r="4284" spans="2:15" x14ac:dyDescent="0.2">
      <c r="B4284">
        <f t="shared" si="245"/>
        <v>4269</v>
      </c>
      <c r="C4284" s="48">
        <f ca="1"/>
        <v>-1.4286515560283177</v>
      </c>
      <c r="D4284" s="48">
        <f t="shared" ca="1" si="242"/>
        <v>0.5772043163795022</v>
      </c>
      <c r="E4284" s="48">
        <f t="shared" ca="1" si="243"/>
        <v>0</v>
      </c>
      <c r="F4284" s="17">
        <f t="shared" ca="1" si="244"/>
        <v>0</v>
      </c>
      <c r="H4284" s="17">
        <v>4269</v>
      </c>
      <c r="I4284" s="43">
        <v>0.66926390372378286</v>
      </c>
      <c r="J4284" s="43">
        <v>1.9796202438750882E-2</v>
      </c>
      <c r="K4284" s="43"/>
      <c r="L4284" s="43">
        <v>0.26200000000000001</v>
      </c>
      <c r="O4284" s="50"/>
    </row>
    <row r="4285" spans="2:15" x14ac:dyDescent="0.2">
      <c r="B4285">
        <f t="shared" si="245"/>
        <v>4270</v>
      </c>
      <c r="C4285" s="48">
        <f ca="1"/>
        <v>-2.2080490759640487E-2</v>
      </c>
      <c r="D4285" s="48">
        <f t="shared" ca="1" si="242"/>
        <v>0.66306073169800728</v>
      </c>
      <c r="E4285" s="48">
        <f t="shared" ca="1" si="243"/>
        <v>0</v>
      </c>
      <c r="F4285" s="17">
        <f t="shared" ca="1" si="244"/>
        <v>0</v>
      </c>
      <c r="H4285" s="17">
        <v>4270</v>
      </c>
      <c r="I4285" s="43">
        <v>0.67000363054485479</v>
      </c>
      <c r="J4285" s="43">
        <v>2.0280417186985911E-2</v>
      </c>
      <c r="K4285" s="43"/>
      <c r="L4285" s="43">
        <v>0.25719999999999998</v>
      </c>
      <c r="O4285" s="50"/>
    </row>
    <row r="4286" spans="2:15" x14ac:dyDescent="0.2">
      <c r="B4286">
        <f t="shared" si="245"/>
        <v>4271</v>
      </c>
      <c r="C4286" s="48">
        <f ca="1"/>
        <v>2.2272246925454833</v>
      </c>
      <c r="D4286" s="48">
        <f t="shared" ca="1" si="242"/>
        <v>0.82767444445806015</v>
      </c>
      <c r="E4286" s="48">
        <f t="shared" ca="1" si="243"/>
        <v>3.9474444458060143E-2</v>
      </c>
      <c r="F4286" s="17">
        <f t="shared" ca="1" si="244"/>
        <v>1</v>
      </c>
      <c r="H4286" s="17">
        <v>4271</v>
      </c>
      <c r="I4286" s="43">
        <v>0.67042238899097639</v>
      </c>
      <c r="J4286" s="43">
        <v>2.0645687425128362E-2</v>
      </c>
      <c r="K4286" s="43"/>
      <c r="L4286" s="43">
        <v>0.25679999999999997</v>
      </c>
      <c r="O4286" s="50"/>
    </row>
    <row r="4287" spans="2:15" x14ac:dyDescent="0.2">
      <c r="B4287">
        <f t="shared" si="245"/>
        <v>4272</v>
      </c>
      <c r="C4287" s="48">
        <f ca="1"/>
        <v>1.0233929911928552</v>
      </c>
      <c r="D4287" s="48">
        <f t="shared" ca="1" si="242"/>
        <v>0.73504900658370265</v>
      </c>
      <c r="E4287" s="48">
        <f t="shared" ca="1" si="243"/>
        <v>0</v>
      </c>
      <c r="F4287" s="17">
        <f t="shared" ca="1" si="244"/>
        <v>0</v>
      </c>
      <c r="H4287" s="17">
        <v>4272</v>
      </c>
      <c r="I4287" s="43">
        <v>0.66912379939534983</v>
      </c>
      <c r="J4287" s="43">
        <v>1.9363045914297054E-2</v>
      </c>
      <c r="K4287" s="43"/>
      <c r="L4287" s="43">
        <v>0.24560000000000001</v>
      </c>
      <c r="O4287" s="50"/>
    </row>
    <row r="4288" spans="2:15" x14ac:dyDescent="0.2">
      <c r="B4288">
        <f t="shared" si="245"/>
        <v>4273</v>
      </c>
      <c r="C4288" s="48">
        <f ca="1"/>
        <v>-0.25721402782261221</v>
      </c>
      <c r="D4288" s="48">
        <f t="shared" ca="1" si="242"/>
        <v>0.64786696015732581</v>
      </c>
      <c r="E4288" s="48">
        <f t="shared" ca="1" si="243"/>
        <v>0</v>
      </c>
      <c r="F4288" s="17">
        <f t="shared" ca="1" si="244"/>
        <v>0</v>
      </c>
      <c r="H4288" s="17">
        <v>4273</v>
      </c>
      <c r="I4288" s="43">
        <v>0.66919535530349639</v>
      </c>
      <c r="J4288" s="43">
        <v>1.9621574837414679E-2</v>
      </c>
      <c r="K4288" s="43"/>
      <c r="L4288" s="43">
        <v>0.25459999999999999</v>
      </c>
      <c r="O4288" s="50"/>
    </row>
    <row r="4289" spans="2:15" x14ac:dyDescent="0.2">
      <c r="B4289">
        <f t="shared" si="245"/>
        <v>4274</v>
      </c>
      <c r="C4289" s="48">
        <f ca="1"/>
        <v>0.35943791232007977</v>
      </c>
      <c r="D4289" s="48">
        <f t="shared" ca="1" si="242"/>
        <v>0.6884753543418819</v>
      </c>
      <c r="E4289" s="48">
        <f t="shared" ca="1" si="243"/>
        <v>0</v>
      </c>
      <c r="F4289" s="17">
        <f t="shared" ca="1" si="244"/>
        <v>0</v>
      </c>
      <c r="H4289" s="17">
        <v>4274</v>
      </c>
      <c r="I4289" s="43">
        <v>0.66898683492895317</v>
      </c>
      <c r="J4289" s="43">
        <v>1.9293839443390422E-2</v>
      </c>
      <c r="K4289" s="43"/>
      <c r="L4289" s="43">
        <v>0.245</v>
      </c>
      <c r="O4289" s="50"/>
    </row>
    <row r="4290" spans="2:15" x14ac:dyDescent="0.2">
      <c r="B4290">
        <f t="shared" si="245"/>
        <v>4275</v>
      </c>
      <c r="C4290" s="48">
        <f ca="1"/>
        <v>-0.87504478677430442</v>
      </c>
      <c r="D4290" s="48">
        <f t="shared" ca="1" si="242"/>
        <v>0.60958292610364395</v>
      </c>
      <c r="E4290" s="48">
        <f t="shared" ca="1" si="243"/>
        <v>0</v>
      </c>
      <c r="F4290" s="17">
        <f t="shared" ca="1" si="244"/>
        <v>0</v>
      </c>
      <c r="H4290" s="17">
        <v>4275</v>
      </c>
      <c r="I4290" s="43">
        <v>0.67052677751602674</v>
      </c>
      <c r="J4290" s="43">
        <v>2.0281919977343552E-2</v>
      </c>
      <c r="K4290" s="43"/>
      <c r="L4290" s="43">
        <v>0.25080000000000002</v>
      </c>
      <c r="O4290" s="50"/>
    </row>
    <row r="4291" spans="2:15" x14ac:dyDescent="0.2">
      <c r="B4291">
        <f t="shared" si="245"/>
        <v>4276</v>
      </c>
      <c r="C4291" s="48">
        <f ca="1"/>
        <v>-1.1179618351113618</v>
      </c>
      <c r="D4291" s="48">
        <f t="shared" ca="1" si="242"/>
        <v>0.59515770358407161</v>
      </c>
      <c r="E4291" s="48">
        <f t="shared" ca="1" si="243"/>
        <v>0</v>
      </c>
      <c r="F4291" s="17">
        <f t="shared" ca="1" si="244"/>
        <v>0</v>
      </c>
      <c r="H4291" s="17">
        <v>4276</v>
      </c>
      <c r="I4291" s="43">
        <v>0.6690236764539722</v>
      </c>
      <c r="J4291" s="43">
        <v>1.9724237435985434E-2</v>
      </c>
      <c r="K4291" s="43"/>
      <c r="L4291" s="43">
        <v>0.253</v>
      </c>
      <c r="O4291" s="50"/>
    </row>
    <row r="4292" spans="2:15" x14ac:dyDescent="0.2">
      <c r="B4292">
        <f t="shared" si="245"/>
        <v>4277</v>
      </c>
      <c r="C4292" s="48">
        <f ca="1"/>
        <v>-0.75379200221085496</v>
      </c>
      <c r="D4292" s="48">
        <f t="shared" ca="1" si="242"/>
        <v>0.61691361182278093</v>
      </c>
      <c r="E4292" s="48">
        <f t="shared" ca="1" si="243"/>
        <v>0</v>
      </c>
      <c r="F4292" s="17">
        <f t="shared" ca="1" si="244"/>
        <v>0</v>
      </c>
      <c r="H4292" s="17">
        <v>4277</v>
      </c>
      <c r="I4292" s="43">
        <v>0.66881126434699767</v>
      </c>
      <c r="J4292" s="43">
        <v>1.9032358219325987E-2</v>
      </c>
      <c r="K4292" s="43"/>
      <c r="L4292" s="43">
        <v>0.248</v>
      </c>
      <c r="O4292" s="50"/>
    </row>
    <row r="4293" spans="2:15" x14ac:dyDescent="0.2">
      <c r="B4293">
        <f t="shared" si="245"/>
        <v>4278</v>
      </c>
      <c r="C4293" s="48">
        <f ca="1"/>
        <v>2.83092645694353</v>
      </c>
      <c r="D4293" s="48">
        <f t="shared" ca="1" si="242"/>
        <v>0.87843096653767294</v>
      </c>
      <c r="E4293" s="48">
        <f t="shared" ca="1" si="243"/>
        <v>9.023096653767293E-2</v>
      </c>
      <c r="F4293" s="17">
        <f t="shared" ca="1" si="244"/>
        <v>1</v>
      </c>
      <c r="H4293" s="17">
        <v>4278</v>
      </c>
      <c r="I4293" s="43">
        <v>0.66809940932782752</v>
      </c>
      <c r="J4293" s="43">
        <v>1.8869322178996575E-2</v>
      </c>
      <c r="K4293" s="43"/>
      <c r="L4293" s="43">
        <v>0.248</v>
      </c>
      <c r="O4293" s="50"/>
    </row>
    <row r="4294" spans="2:15" x14ac:dyDescent="0.2">
      <c r="B4294">
        <f t="shared" si="245"/>
        <v>4279</v>
      </c>
      <c r="C4294" s="48">
        <f ca="1"/>
        <v>-0.56252668129032035</v>
      </c>
      <c r="D4294" s="48">
        <f t="shared" ca="1" si="242"/>
        <v>0.62865672775360004</v>
      </c>
      <c r="E4294" s="48">
        <f t="shared" ca="1" si="243"/>
        <v>0</v>
      </c>
      <c r="F4294" s="17">
        <f t="shared" ca="1" si="244"/>
        <v>0</v>
      </c>
      <c r="H4294" s="17">
        <v>4279</v>
      </c>
      <c r="I4294" s="43">
        <v>0.66948575060324189</v>
      </c>
      <c r="J4294" s="43">
        <v>1.98877248300082E-2</v>
      </c>
      <c r="K4294" s="43"/>
      <c r="L4294" s="43">
        <v>0.25059999999999999</v>
      </c>
      <c r="O4294" s="50"/>
    </row>
    <row r="4295" spans="2:15" x14ac:dyDescent="0.2">
      <c r="B4295">
        <f t="shared" si="245"/>
        <v>4280</v>
      </c>
      <c r="C4295" s="48">
        <f ca="1"/>
        <v>0.17648787123469342</v>
      </c>
      <c r="D4295" s="48">
        <f t="shared" ca="1" si="242"/>
        <v>0.67616892895291403</v>
      </c>
      <c r="E4295" s="48">
        <f t="shared" ca="1" si="243"/>
        <v>0</v>
      </c>
      <c r="F4295" s="17">
        <f t="shared" ca="1" si="244"/>
        <v>0</v>
      </c>
      <c r="H4295" s="17">
        <v>4280</v>
      </c>
      <c r="I4295" s="43">
        <v>0.67024479998335496</v>
      </c>
      <c r="J4295" s="43">
        <v>2.0265033882324878E-2</v>
      </c>
      <c r="K4295" s="43"/>
      <c r="L4295" s="43">
        <v>0.25640000000000002</v>
      </c>
      <c r="O4295" s="50"/>
    </row>
    <row r="4296" spans="2:15" x14ac:dyDescent="0.2">
      <c r="B4296">
        <f t="shared" si="245"/>
        <v>4281</v>
      </c>
      <c r="C4296" s="48">
        <f ca="1"/>
        <v>0.61964907769623045</v>
      </c>
      <c r="D4296" s="48">
        <f t="shared" ca="1" si="242"/>
        <v>0.70636569272901373</v>
      </c>
      <c r="E4296" s="48">
        <f t="shared" ca="1" si="243"/>
        <v>0</v>
      </c>
      <c r="F4296" s="17">
        <f t="shared" ca="1" si="244"/>
        <v>0</v>
      </c>
      <c r="H4296" s="17">
        <v>4281</v>
      </c>
      <c r="I4296" s="43">
        <v>0.66939066998379382</v>
      </c>
      <c r="J4296" s="43">
        <v>1.9879680145658035E-2</v>
      </c>
      <c r="K4296" s="43"/>
      <c r="L4296" s="43">
        <v>0.25380000000000003</v>
      </c>
      <c r="O4296" s="50"/>
    </row>
    <row r="4297" spans="2:15" x14ac:dyDescent="0.2">
      <c r="B4297">
        <f t="shared" si="245"/>
        <v>4282</v>
      </c>
      <c r="C4297" s="48">
        <f ca="1"/>
        <v>1.8019264282547061</v>
      </c>
      <c r="D4297" s="48">
        <f t="shared" ca="1" si="242"/>
        <v>0.79368829950971365</v>
      </c>
      <c r="E4297" s="48">
        <f t="shared" ca="1" si="243"/>
        <v>5.4882995097136344E-3</v>
      </c>
      <c r="F4297" s="17">
        <f t="shared" ca="1" si="244"/>
        <v>1</v>
      </c>
      <c r="H4297" s="17">
        <v>4282</v>
      </c>
      <c r="I4297" s="43">
        <v>0.66898852179894752</v>
      </c>
      <c r="J4297" s="43">
        <v>1.9413961162882673E-2</v>
      </c>
      <c r="K4297" s="43"/>
      <c r="L4297" s="43">
        <v>0.26079999999999998</v>
      </c>
      <c r="O4297" s="50"/>
    </row>
    <row r="4298" spans="2:15" x14ac:dyDescent="0.2">
      <c r="B4298">
        <f t="shared" si="245"/>
        <v>4283</v>
      </c>
      <c r="C4298" s="48">
        <f ca="1"/>
        <v>2.4287701712331168E-2</v>
      </c>
      <c r="D4298" s="48">
        <f t="shared" ca="1" si="242"/>
        <v>0.66609873487640969</v>
      </c>
      <c r="E4298" s="48">
        <f t="shared" ca="1" si="243"/>
        <v>0</v>
      </c>
      <c r="F4298" s="17">
        <f t="shared" ca="1" si="244"/>
        <v>0</v>
      </c>
      <c r="H4298" s="17">
        <v>4283</v>
      </c>
      <c r="I4298" s="43">
        <v>0.66881148474854013</v>
      </c>
      <c r="J4298" s="43">
        <v>1.9113807341779816E-2</v>
      </c>
      <c r="K4298" s="43"/>
      <c r="L4298" s="43">
        <v>0.24660000000000001</v>
      </c>
      <c r="O4298" s="50"/>
    </row>
    <row r="4299" spans="2:15" x14ac:dyDescent="0.2">
      <c r="B4299">
        <f t="shared" si="245"/>
        <v>4284</v>
      </c>
      <c r="C4299" s="48">
        <f ca="1"/>
        <v>-1.4419830472197408</v>
      </c>
      <c r="D4299" s="48">
        <f t="shared" ca="1" si="242"/>
        <v>0.57644618468796871</v>
      </c>
      <c r="E4299" s="48">
        <f t="shared" ca="1" si="243"/>
        <v>0</v>
      </c>
      <c r="F4299" s="17">
        <f t="shared" ca="1" si="244"/>
        <v>0</v>
      </c>
      <c r="H4299" s="17">
        <v>4284</v>
      </c>
      <c r="I4299" s="43">
        <v>0.66954397016243006</v>
      </c>
      <c r="J4299" s="43">
        <v>1.9568788743508102E-2</v>
      </c>
      <c r="K4299" s="43"/>
      <c r="L4299" s="43">
        <v>0.253</v>
      </c>
      <c r="O4299" s="50"/>
    </row>
    <row r="4300" spans="2:15" x14ac:dyDescent="0.2">
      <c r="B4300">
        <f t="shared" si="245"/>
        <v>4285</v>
      </c>
      <c r="C4300" s="48">
        <f ca="1"/>
        <v>0.78123219805376076</v>
      </c>
      <c r="D4300" s="48">
        <f t="shared" ca="1" si="242"/>
        <v>0.71770825238571589</v>
      </c>
      <c r="E4300" s="48">
        <f t="shared" ca="1" si="243"/>
        <v>0</v>
      </c>
      <c r="F4300" s="17">
        <f t="shared" ca="1" si="244"/>
        <v>0</v>
      </c>
      <c r="H4300" s="17">
        <v>4285</v>
      </c>
      <c r="I4300" s="43">
        <v>0.66871462259997205</v>
      </c>
      <c r="J4300" s="43">
        <v>1.9361613895219058E-2</v>
      </c>
      <c r="K4300" s="43"/>
      <c r="L4300" s="43">
        <v>0.25319999999999998</v>
      </c>
      <c r="O4300" s="50"/>
    </row>
    <row r="4301" spans="2:15" x14ac:dyDescent="0.2">
      <c r="B4301">
        <f t="shared" si="245"/>
        <v>4286</v>
      </c>
      <c r="C4301" s="48">
        <f ca="1"/>
        <v>0.754366823668151</v>
      </c>
      <c r="D4301" s="48">
        <f t="shared" ca="1" si="242"/>
        <v>0.71580985314885504</v>
      </c>
      <c r="E4301" s="48">
        <f t="shared" ca="1" si="243"/>
        <v>0</v>
      </c>
      <c r="F4301" s="17">
        <f t="shared" ca="1" si="244"/>
        <v>0</v>
      </c>
      <c r="H4301" s="17">
        <v>4286</v>
      </c>
      <c r="I4301" s="43">
        <v>0.66886960309105148</v>
      </c>
      <c r="J4301" s="43">
        <v>1.9375735851006024E-2</v>
      </c>
      <c r="K4301" s="43"/>
      <c r="L4301" s="43">
        <v>0.25180000000000002</v>
      </c>
      <c r="O4301" s="50"/>
    </row>
    <row r="4302" spans="2:15" x14ac:dyDescent="0.2">
      <c r="B4302">
        <f t="shared" si="245"/>
        <v>4287</v>
      </c>
      <c r="C4302" s="48">
        <f ca="1"/>
        <v>0.69484441418191401</v>
      </c>
      <c r="D4302" s="48">
        <f t="shared" ca="1" si="242"/>
        <v>0.71162166422848872</v>
      </c>
      <c r="E4302" s="48">
        <f t="shared" ca="1" si="243"/>
        <v>0</v>
      </c>
      <c r="F4302" s="17">
        <f t="shared" ca="1" si="244"/>
        <v>0</v>
      </c>
      <c r="H4302" s="17">
        <v>4287</v>
      </c>
      <c r="I4302" s="43">
        <v>0.66947859601814796</v>
      </c>
      <c r="J4302" s="43">
        <v>1.9655551033018706E-2</v>
      </c>
      <c r="K4302" s="43"/>
      <c r="L4302" s="43">
        <v>0.24940000000000001</v>
      </c>
      <c r="O4302" s="50"/>
    </row>
    <row r="4303" spans="2:15" x14ac:dyDescent="0.2">
      <c r="B4303">
        <f t="shared" si="245"/>
        <v>4288</v>
      </c>
      <c r="C4303" s="48">
        <f ca="1"/>
        <v>-0.29090575642848804</v>
      </c>
      <c r="D4303" s="48">
        <f t="shared" ca="1" si="242"/>
        <v>0.64571858672101701</v>
      </c>
      <c r="E4303" s="48">
        <f t="shared" ca="1" si="243"/>
        <v>0</v>
      </c>
      <c r="F4303" s="17">
        <f t="shared" ca="1" si="244"/>
        <v>0</v>
      </c>
      <c r="H4303" s="17">
        <v>4288</v>
      </c>
      <c r="I4303" s="43">
        <v>0.66997614597971644</v>
      </c>
      <c r="J4303" s="43">
        <v>2.0232918010984195E-2</v>
      </c>
      <c r="K4303" s="43"/>
      <c r="L4303" s="43">
        <v>0.25459999999999999</v>
      </c>
      <c r="O4303" s="50"/>
    </row>
    <row r="4304" spans="2:15" x14ac:dyDescent="0.2">
      <c r="B4304">
        <f t="shared" si="245"/>
        <v>4289</v>
      </c>
      <c r="C4304" s="48">
        <f ca="1"/>
        <v>0.74197536488547566</v>
      </c>
      <c r="D4304" s="48">
        <f t="shared" ref="D4304:D4367" ca="1" si="246">S0*EXP((μ-0.5*σ*σ)*T+σ*SQRT(T)*$C4304)</f>
        <v>0.71493592328544198</v>
      </c>
      <c r="E4304" s="48">
        <f t="shared" ref="E4304:E4367" ca="1" si="247">MAX(0,CP*(D4304-K))</f>
        <v>0</v>
      </c>
      <c r="F4304" s="17">
        <f t="shared" ref="F4304:F4367" ca="1" si="248">(CP*(D4304-K)&gt;0)*1</f>
        <v>0</v>
      </c>
      <c r="H4304" s="17">
        <v>4289</v>
      </c>
      <c r="I4304" s="43">
        <v>0.6700468807286033</v>
      </c>
      <c r="J4304" s="43">
        <v>1.9709239505982683E-2</v>
      </c>
      <c r="K4304" s="43"/>
      <c r="L4304" s="43">
        <v>0.24779999999999999</v>
      </c>
      <c r="O4304" s="50"/>
    </row>
    <row r="4305" spans="2:15" x14ac:dyDescent="0.2">
      <c r="B4305">
        <f t="shared" si="245"/>
        <v>4290</v>
      </c>
      <c r="C4305" s="48">
        <f ca="1"/>
        <v>-0.2108249049243979</v>
      </c>
      <c r="D4305" s="48">
        <f t="shared" ca="1" si="246"/>
        <v>0.65083669169330249</v>
      </c>
      <c r="E4305" s="48">
        <f t="shared" ca="1" si="247"/>
        <v>0</v>
      </c>
      <c r="F4305" s="17">
        <f t="shared" ca="1" si="248"/>
        <v>0</v>
      </c>
      <c r="H4305" s="17">
        <v>4290</v>
      </c>
      <c r="I4305" s="43">
        <v>0.6682283499860272</v>
      </c>
      <c r="J4305" s="43">
        <v>1.8949450096450257E-2</v>
      </c>
      <c r="K4305" s="43"/>
      <c r="L4305" s="43">
        <v>0.25280000000000002</v>
      </c>
      <c r="O4305" s="50"/>
    </row>
    <row r="4306" spans="2:15" x14ac:dyDescent="0.2">
      <c r="B4306">
        <f t="shared" si="245"/>
        <v>4291</v>
      </c>
      <c r="C4306" s="48">
        <f ca="1"/>
        <v>0.53707801629042962</v>
      </c>
      <c r="D4306" s="48">
        <f t="shared" ca="1" si="246"/>
        <v>0.70063888366234006</v>
      </c>
      <c r="E4306" s="48">
        <f t="shared" ca="1" si="247"/>
        <v>0</v>
      </c>
      <c r="F4306" s="17">
        <f t="shared" ca="1" si="248"/>
        <v>0</v>
      </c>
      <c r="H4306" s="17">
        <v>4291</v>
      </c>
      <c r="I4306" s="43">
        <v>0.66818243079524331</v>
      </c>
      <c r="J4306" s="43">
        <v>1.8823862636251215E-2</v>
      </c>
      <c r="K4306" s="43"/>
      <c r="L4306" s="43">
        <v>0.2452</v>
      </c>
      <c r="O4306" s="50"/>
    </row>
    <row r="4307" spans="2:15" x14ac:dyDescent="0.2">
      <c r="B4307">
        <f t="shared" si="245"/>
        <v>4292</v>
      </c>
      <c r="C4307" s="48">
        <f ca="1"/>
        <v>-1.3273061091294676</v>
      </c>
      <c r="D4307" s="48">
        <f t="shared" ca="1" si="246"/>
        <v>0.5830002972344358</v>
      </c>
      <c r="E4307" s="48">
        <f t="shared" ca="1" si="247"/>
        <v>0</v>
      </c>
      <c r="F4307" s="17">
        <f t="shared" ca="1" si="248"/>
        <v>0</v>
      </c>
      <c r="H4307" s="17">
        <v>4292</v>
      </c>
      <c r="I4307" s="43">
        <v>0.66921511559482105</v>
      </c>
      <c r="J4307" s="43">
        <v>1.9900217952455914E-2</v>
      </c>
      <c r="K4307" s="43"/>
      <c r="L4307" s="43">
        <v>0.2576</v>
      </c>
      <c r="O4307" s="50"/>
    </row>
    <row r="4308" spans="2:15" x14ac:dyDescent="0.2">
      <c r="B4308">
        <f t="shared" si="245"/>
        <v>4293</v>
      </c>
      <c r="C4308" s="48">
        <f ca="1"/>
        <v>-0.40952525592700639</v>
      </c>
      <c r="D4308" s="48">
        <f t="shared" ca="1" si="246"/>
        <v>0.63821127992603888</v>
      </c>
      <c r="E4308" s="48">
        <f t="shared" ca="1" si="247"/>
        <v>0</v>
      </c>
      <c r="F4308" s="17">
        <f t="shared" ca="1" si="248"/>
        <v>0</v>
      </c>
      <c r="H4308" s="17">
        <v>4293</v>
      </c>
      <c r="I4308" s="43">
        <v>0.66828729045318902</v>
      </c>
      <c r="J4308" s="43">
        <v>1.8772864650036546E-2</v>
      </c>
      <c r="K4308" s="43"/>
      <c r="L4308" s="43">
        <v>0.2424</v>
      </c>
      <c r="O4308" s="50"/>
    </row>
    <row r="4309" spans="2:15" x14ac:dyDescent="0.2">
      <c r="B4309">
        <f t="shared" si="245"/>
        <v>4294</v>
      </c>
      <c r="C4309" s="48">
        <f ca="1"/>
        <v>-0.18935771576877297</v>
      </c>
      <c r="D4309" s="48">
        <f t="shared" ca="1" si="246"/>
        <v>0.65221557839438349</v>
      </c>
      <c r="E4309" s="48">
        <f t="shared" ca="1" si="247"/>
        <v>0</v>
      </c>
      <c r="F4309" s="17">
        <f t="shared" ca="1" si="248"/>
        <v>0</v>
      </c>
      <c r="H4309" s="17">
        <v>4294</v>
      </c>
      <c r="I4309" s="43">
        <v>0.66900993990827484</v>
      </c>
      <c r="J4309" s="43">
        <v>1.961523476412479E-2</v>
      </c>
      <c r="K4309" s="43"/>
      <c r="L4309" s="43">
        <v>0.25619999999999998</v>
      </c>
      <c r="O4309" s="50"/>
    </row>
    <row r="4310" spans="2:15" x14ac:dyDescent="0.2">
      <c r="B4310">
        <f t="shared" si="245"/>
        <v>4295</v>
      </c>
      <c r="C4310" s="48">
        <f ca="1"/>
        <v>-1.2274720736674163</v>
      </c>
      <c r="D4310" s="48">
        <f t="shared" ca="1" si="246"/>
        <v>0.58876674181895994</v>
      </c>
      <c r="E4310" s="48">
        <f t="shared" ca="1" si="247"/>
        <v>0</v>
      </c>
      <c r="F4310" s="17">
        <f t="shared" ca="1" si="248"/>
        <v>0</v>
      </c>
      <c r="H4310" s="17">
        <v>4295</v>
      </c>
      <c r="I4310" s="43">
        <v>0.66933986370682508</v>
      </c>
      <c r="J4310" s="43">
        <v>1.9587026755635298E-2</v>
      </c>
      <c r="K4310" s="43"/>
      <c r="L4310" s="43">
        <v>0.253</v>
      </c>
      <c r="O4310" s="50"/>
    </row>
    <row r="4311" spans="2:15" x14ac:dyDescent="0.2">
      <c r="B4311">
        <f t="shared" si="245"/>
        <v>4296</v>
      </c>
      <c r="C4311" s="48">
        <f ca="1"/>
        <v>-1.1372247170849688</v>
      </c>
      <c r="D4311" s="48">
        <f t="shared" ca="1" si="246"/>
        <v>0.59402852474942225</v>
      </c>
      <c r="E4311" s="48">
        <f t="shared" ca="1" si="247"/>
        <v>0</v>
      </c>
      <c r="F4311" s="17">
        <f t="shared" ca="1" si="248"/>
        <v>0</v>
      </c>
      <c r="H4311" s="17">
        <v>4296</v>
      </c>
      <c r="I4311" s="43">
        <v>0.66883264514669771</v>
      </c>
      <c r="J4311" s="43">
        <v>1.9185924038269873E-2</v>
      </c>
      <c r="K4311" s="43"/>
      <c r="L4311" s="43">
        <v>0.24579999999999999</v>
      </c>
      <c r="O4311" s="50"/>
    </row>
    <row r="4312" spans="2:15" x14ac:dyDescent="0.2">
      <c r="B4312">
        <f t="shared" si="245"/>
        <v>4297</v>
      </c>
      <c r="C4312" s="48">
        <f ca="1"/>
        <v>-0.43548136832650125</v>
      </c>
      <c r="D4312" s="48">
        <f t="shared" ca="1" si="246"/>
        <v>0.63658021859153524</v>
      </c>
      <c r="E4312" s="48">
        <f t="shared" ca="1" si="247"/>
        <v>0</v>
      </c>
      <c r="F4312" s="17">
        <f t="shared" ca="1" si="248"/>
        <v>0</v>
      </c>
      <c r="H4312" s="17">
        <v>4297</v>
      </c>
      <c r="I4312" s="43">
        <v>0.66831432528383605</v>
      </c>
      <c r="J4312" s="43">
        <v>1.8800018991498291E-2</v>
      </c>
      <c r="K4312" s="43"/>
      <c r="L4312" s="43">
        <v>0.2452</v>
      </c>
      <c r="O4312" s="50"/>
    </row>
    <row r="4313" spans="2:15" x14ac:dyDescent="0.2">
      <c r="B4313">
        <f t="shared" si="245"/>
        <v>4298</v>
      </c>
      <c r="C4313" s="48">
        <f ca="1"/>
        <v>0.17089308355224567</v>
      </c>
      <c r="D4313" s="48">
        <f t="shared" ca="1" si="246"/>
        <v>0.67579607326445446</v>
      </c>
      <c r="E4313" s="48">
        <f t="shared" ca="1" si="247"/>
        <v>0</v>
      </c>
      <c r="F4313" s="17">
        <f t="shared" ca="1" si="248"/>
        <v>0</v>
      </c>
      <c r="H4313" s="17">
        <v>4298</v>
      </c>
      <c r="I4313" s="43">
        <v>0.67010128525950119</v>
      </c>
      <c r="J4313" s="43">
        <v>2.0340722619004291E-2</v>
      </c>
      <c r="K4313" s="43"/>
      <c r="L4313" s="43">
        <v>0.25879999999999997</v>
      </c>
      <c r="O4313" s="50"/>
    </row>
    <row r="4314" spans="2:15" x14ac:dyDescent="0.2">
      <c r="B4314">
        <f t="shared" si="245"/>
        <v>4299</v>
      </c>
      <c r="C4314" s="48">
        <f ca="1"/>
        <v>0.53395036298053866</v>
      </c>
      <c r="D4314" s="48">
        <f t="shared" ca="1" si="246"/>
        <v>0.7004228767702646</v>
      </c>
      <c r="E4314" s="48">
        <f t="shared" ca="1" si="247"/>
        <v>0</v>
      </c>
      <c r="F4314" s="17">
        <f t="shared" ca="1" si="248"/>
        <v>0</v>
      </c>
      <c r="H4314" s="17">
        <v>4299</v>
      </c>
      <c r="I4314" s="43">
        <v>0.67004244400437096</v>
      </c>
      <c r="J4314" s="43">
        <v>2.0056120150939664E-2</v>
      </c>
      <c r="K4314" s="43"/>
      <c r="L4314" s="43">
        <v>0.248</v>
      </c>
      <c r="O4314" s="50"/>
    </row>
    <row r="4315" spans="2:15" x14ac:dyDescent="0.2">
      <c r="B4315">
        <f t="shared" si="245"/>
        <v>4300</v>
      </c>
      <c r="C4315" s="48">
        <f ca="1"/>
        <v>-0.27003561859995268</v>
      </c>
      <c r="D4315" s="48">
        <f t="shared" ca="1" si="246"/>
        <v>0.64704854246582844</v>
      </c>
      <c r="E4315" s="48">
        <f t="shared" ca="1" si="247"/>
        <v>0</v>
      </c>
      <c r="F4315" s="17">
        <f t="shared" ca="1" si="248"/>
        <v>0</v>
      </c>
      <c r="H4315" s="17">
        <v>4300</v>
      </c>
      <c r="I4315" s="43">
        <v>0.66921661150145806</v>
      </c>
      <c r="J4315" s="43">
        <v>1.9639406172822841E-2</v>
      </c>
      <c r="K4315" s="43"/>
      <c r="L4315" s="43">
        <v>0.25280000000000002</v>
      </c>
      <c r="O4315" s="50"/>
    </row>
    <row r="4316" spans="2:15" x14ac:dyDescent="0.2">
      <c r="B4316">
        <f t="shared" si="245"/>
        <v>4301</v>
      </c>
      <c r="C4316" s="48">
        <f ca="1"/>
        <v>-0.24498087745686037</v>
      </c>
      <c r="D4316" s="48">
        <f t="shared" ca="1" si="246"/>
        <v>0.64864878196549547</v>
      </c>
      <c r="E4316" s="48">
        <f t="shared" ca="1" si="247"/>
        <v>0</v>
      </c>
      <c r="F4316" s="17">
        <f t="shared" ca="1" si="248"/>
        <v>0</v>
      </c>
      <c r="H4316" s="17">
        <v>4301</v>
      </c>
      <c r="I4316" s="43">
        <v>0.66903989914148121</v>
      </c>
      <c r="J4316" s="43">
        <v>1.9293468116520055E-2</v>
      </c>
      <c r="K4316" s="43"/>
      <c r="L4316" s="43">
        <v>0.25140000000000001</v>
      </c>
      <c r="O4316" s="50"/>
    </row>
    <row r="4317" spans="2:15" x14ac:dyDescent="0.2">
      <c r="B4317">
        <f t="shared" si="245"/>
        <v>4302</v>
      </c>
      <c r="C4317" s="48">
        <f ca="1"/>
        <v>0.61264240263994962</v>
      </c>
      <c r="D4317" s="48">
        <f t="shared" ca="1" si="246"/>
        <v>0.70587792472878164</v>
      </c>
      <c r="E4317" s="48">
        <f t="shared" ca="1" si="247"/>
        <v>0</v>
      </c>
      <c r="F4317" s="17">
        <f t="shared" ca="1" si="248"/>
        <v>0</v>
      </c>
      <c r="H4317" s="17">
        <v>4302</v>
      </c>
      <c r="I4317" s="43">
        <v>0.66916553003991464</v>
      </c>
      <c r="J4317" s="43">
        <v>1.9490220110519808E-2</v>
      </c>
      <c r="K4317" s="43"/>
      <c r="L4317" s="43">
        <v>0.25319999999999998</v>
      </c>
      <c r="O4317" s="50"/>
    </row>
    <row r="4318" spans="2:15" x14ac:dyDescent="0.2">
      <c r="B4318">
        <f t="shared" si="245"/>
        <v>4303</v>
      </c>
      <c r="C4318" s="48">
        <f ca="1"/>
        <v>-1.4479730472712231</v>
      </c>
      <c r="D4318" s="48">
        <f t="shared" ca="1" si="246"/>
        <v>0.57610587125806023</v>
      </c>
      <c r="E4318" s="48">
        <f t="shared" ca="1" si="247"/>
        <v>0</v>
      </c>
      <c r="F4318" s="17">
        <f t="shared" ca="1" si="248"/>
        <v>0</v>
      </c>
      <c r="H4318" s="17">
        <v>4303</v>
      </c>
      <c r="I4318" s="43">
        <v>0.66960023929207213</v>
      </c>
      <c r="J4318" s="43">
        <v>1.9884932337039841E-2</v>
      </c>
      <c r="K4318" s="43"/>
      <c r="L4318" s="43">
        <v>0.24959999999999999</v>
      </c>
      <c r="O4318" s="50"/>
    </row>
    <row r="4319" spans="2:15" x14ac:dyDescent="0.2">
      <c r="B4319">
        <f t="shared" si="245"/>
        <v>4304</v>
      </c>
      <c r="C4319" s="48">
        <f ca="1"/>
        <v>0.45241658233392362</v>
      </c>
      <c r="D4319" s="48">
        <f t="shared" ca="1" si="246"/>
        <v>0.69481529884105453</v>
      </c>
      <c r="E4319" s="48">
        <f t="shared" ca="1" si="247"/>
        <v>0</v>
      </c>
      <c r="F4319" s="17">
        <f t="shared" ca="1" si="248"/>
        <v>0</v>
      </c>
      <c r="H4319" s="17">
        <v>4304</v>
      </c>
      <c r="I4319" s="43">
        <v>0.67003777296959866</v>
      </c>
      <c r="J4319" s="43">
        <v>2.0026150196453475E-2</v>
      </c>
      <c r="K4319" s="43"/>
      <c r="L4319" s="43">
        <v>0.2492</v>
      </c>
      <c r="O4319" s="50"/>
    </row>
    <row r="4320" spans="2:15" x14ac:dyDescent="0.2">
      <c r="B4320">
        <f t="shared" si="245"/>
        <v>4305</v>
      </c>
      <c r="C4320" s="48">
        <f ca="1"/>
        <v>1.5670516844274711</v>
      </c>
      <c r="D4320" s="48">
        <f t="shared" ca="1" si="246"/>
        <v>0.77552103569747921</v>
      </c>
      <c r="E4320" s="48">
        <f t="shared" ca="1" si="247"/>
        <v>0</v>
      </c>
      <c r="F4320" s="17">
        <f t="shared" ca="1" si="248"/>
        <v>0</v>
      </c>
      <c r="H4320" s="17">
        <v>4305</v>
      </c>
      <c r="I4320" s="43">
        <v>0.66895622584386893</v>
      </c>
      <c r="J4320" s="43">
        <v>1.9588698751601002E-2</v>
      </c>
      <c r="K4320" s="43"/>
      <c r="L4320" s="43">
        <v>0.25440000000000002</v>
      </c>
      <c r="O4320" s="50"/>
    </row>
    <row r="4321" spans="2:15" x14ac:dyDescent="0.2">
      <c r="B4321">
        <f t="shared" si="245"/>
        <v>4306</v>
      </c>
      <c r="C4321" s="48">
        <f ca="1"/>
        <v>-0.14863523412235166</v>
      </c>
      <c r="D4321" s="48">
        <f t="shared" ca="1" si="246"/>
        <v>0.6548393087689014</v>
      </c>
      <c r="E4321" s="48">
        <f t="shared" ca="1" si="247"/>
        <v>0</v>
      </c>
      <c r="F4321" s="17">
        <f t="shared" ca="1" si="248"/>
        <v>0</v>
      </c>
      <c r="H4321" s="17">
        <v>4306</v>
      </c>
      <c r="I4321" s="43">
        <v>0.66913229387935069</v>
      </c>
      <c r="J4321" s="43">
        <v>1.9575682954748139E-2</v>
      </c>
      <c r="K4321" s="43"/>
      <c r="L4321" s="43">
        <v>0.252</v>
      </c>
      <c r="O4321" s="50"/>
    </row>
    <row r="4322" spans="2:15" x14ac:dyDescent="0.2">
      <c r="B4322">
        <f t="shared" si="245"/>
        <v>4307</v>
      </c>
      <c r="C4322" s="48">
        <f ca="1"/>
        <v>1.6137274224764548</v>
      </c>
      <c r="D4322" s="48">
        <f t="shared" ca="1" si="246"/>
        <v>0.77909793005852634</v>
      </c>
      <c r="E4322" s="48">
        <f t="shared" ca="1" si="247"/>
        <v>0</v>
      </c>
      <c r="F4322" s="17">
        <f t="shared" ca="1" si="248"/>
        <v>0</v>
      </c>
      <c r="H4322" s="17">
        <v>4307</v>
      </c>
      <c r="I4322" s="43">
        <v>0.66858131238069585</v>
      </c>
      <c r="J4322" s="43">
        <v>1.9280777256464651E-2</v>
      </c>
      <c r="K4322" s="43"/>
      <c r="L4322" s="43">
        <v>0.25640000000000002</v>
      </c>
      <c r="O4322" s="50"/>
    </row>
    <row r="4323" spans="2:15" x14ac:dyDescent="0.2">
      <c r="B4323">
        <f t="shared" si="245"/>
        <v>4308</v>
      </c>
      <c r="C4323" s="48">
        <f ca="1"/>
        <v>-0.85907509981097818</v>
      </c>
      <c r="D4323" s="48">
        <f t="shared" ca="1" si="246"/>
        <v>0.61054341609099716</v>
      </c>
      <c r="E4323" s="48">
        <f t="shared" ca="1" si="247"/>
        <v>0</v>
      </c>
      <c r="F4323" s="17">
        <f t="shared" ca="1" si="248"/>
        <v>0</v>
      </c>
      <c r="H4323" s="17">
        <v>4308</v>
      </c>
      <c r="I4323" s="43">
        <v>0.66840912683456555</v>
      </c>
      <c r="J4323" s="43">
        <v>1.9093714421652214E-2</v>
      </c>
      <c r="K4323" s="43"/>
      <c r="L4323" s="43">
        <v>0.245</v>
      </c>
      <c r="O4323" s="50"/>
    </row>
    <row r="4324" spans="2:15" x14ac:dyDescent="0.2">
      <c r="B4324">
        <f t="shared" si="245"/>
        <v>4309</v>
      </c>
      <c r="C4324" s="48">
        <f ca="1"/>
        <v>0.53920745218448085</v>
      </c>
      <c r="D4324" s="48">
        <f t="shared" ca="1" si="246"/>
        <v>0.70078598821527693</v>
      </c>
      <c r="E4324" s="48">
        <f t="shared" ca="1" si="247"/>
        <v>0</v>
      </c>
      <c r="F4324" s="17">
        <f t="shared" ca="1" si="248"/>
        <v>0</v>
      </c>
      <c r="H4324" s="17">
        <v>4309</v>
      </c>
      <c r="I4324" s="43">
        <v>0.66906434010400251</v>
      </c>
      <c r="J4324" s="43">
        <v>1.9367134331552432E-2</v>
      </c>
      <c r="K4324" s="43"/>
      <c r="L4324" s="43">
        <v>0.25319999999999998</v>
      </c>
      <c r="O4324" s="50"/>
    </row>
    <row r="4325" spans="2:15" x14ac:dyDescent="0.2">
      <c r="B4325">
        <f t="shared" si="245"/>
        <v>4310</v>
      </c>
      <c r="C4325" s="48">
        <f ca="1"/>
        <v>1.2882389634187459</v>
      </c>
      <c r="D4325" s="48">
        <f t="shared" ca="1" si="246"/>
        <v>0.75449425728065389</v>
      </c>
      <c r="E4325" s="48">
        <f t="shared" ca="1" si="247"/>
        <v>0</v>
      </c>
      <c r="F4325" s="17">
        <f t="shared" ca="1" si="248"/>
        <v>0</v>
      </c>
      <c r="H4325" s="17">
        <v>4310</v>
      </c>
      <c r="I4325" s="43">
        <v>0.66960312920182319</v>
      </c>
      <c r="J4325" s="43">
        <v>1.9912901906003935E-2</v>
      </c>
      <c r="K4325" s="43"/>
      <c r="L4325" s="43">
        <v>0.25940000000000002</v>
      </c>
      <c r="O4325" s="50"/>
    </row>
    <row r="4326" spans="2:15" x14ac:dyDescent="0.2">
      <c r="B4326">
        <f t="shared" si="245"/>
        <v>4311</v>
      </c>
      <c r="C4326" s="48">
        <f ca="1"/>
        <v>-0.74614119609455432</v>
      </c>
      <c r="D4326" s="48">
        <f t="shared" ca="1" si="246"/>
        <v>0.61737910901789528</v>
      </c>
      <c r="E4326" s="48">
        <f t="shared" ca="1" si="247"/>
        <v>0</v>
      </c>
      <c r="F4326" s="17">
        <f t="shared" ca="1" si="248"/>
        <v>0</v>
      </c>
      <c r="H4326" s="17">
        <v>4311</v>
      </c>
      <c r="I4326" s="43">
        <v>0.66912935513799177</v>
      </c>
      <c r="J4326" s="43">
        <v>1.9336649257274678E-2</v>
      </c>
      <c r="K4326" s="43"/>
      <c r="L4326" s="43">
        <v>0.2452</v>
      </c>
      <c r="O4326" s="50"/>
    </row>
    <row r="4327" spans="2:15" x14ac:dyDescent="0.2">
      <c r="B4327">
        <f t="shared" si="245"/>
        <v>4312</v>
      </c>
      <c r="C4327" s="48">
        <f ca="1"/>
        <v>0.31576168355795869</v>
      </c>
      <c r="D4327" s="48">
        <f t="shared" ca="1" si="246"/>
        <v>0.6855172017972071</v>
      </c>
      <c r="E4327" s="48">
        <f t="shared" ca="1" si="247"/>
        <v>0</v>
      </c>
      <c r="F4327" s="17">
        <f t="shared" ca="1" si="248"/>
        <v>0</v>
      </c>
      <c r="H4327" s="17">
        <v>4312</v>
      </c>
      <c r="I4327" s="43">
        <v>0.66900859689001313</v>
      </c>
      <c r="J4327" s="43">
        <v>1.9351700868801863E-2</v>
      </c>
      <c r="K4327" s="43"/>
      <c r="L4327" s="43">
        <v>0.24959999999999999</v>
      </c>
      <c r="O4327" s="50"/>
    </row>
    <row r="4328" spans="2:15" x14ac:dyDescent="0.2">
      <c r="B4328">
        <f t="shared" si="245"/>
        <v>4313</v>
      </c>
      <c r="C4328" s="48">
        <f ca="1"/>
        <v>-0.29793635332564505</v>
      </c>
      <c r="D4328" s="48">
        <f t="shared" ca="1" si="246"/>
        <v>0.64527117567306636</v>
      </c>
      <c r="E4328" s="48">
        <f t="shared" ca="1" si="247"/>
        <v>0</v>
      </c>
      <c r="F4328" s="17">
        <f t="shared" ca="1" si="248"/>
        <v>0</v>
      </c>
      <c r="H4328" s="17">
        <v>4313</v>
      </c>
      <c r="I4328" s="43">
        <v>0.66973545076709851</v>
      </c>
      <c r="J4328" s="43">
        <v>1.9763871239427289E-2</v>
      </c>
      <c r="K4328" s="43"/>
      <c r="L4328" s="43">
        <v>0.246</v>
      </c>
      <c r="O4328" s="50"/>
    </row>
    <row r="4329" spans="2:15" x14ac:dyDescent="0.2">
      <c r="B4329">
        <f t="shared" si="245"/>
        <v>4314</v>
      </c>
      <c r="C4329" s="48">
        <f ca="1"/>
        <v>-0.21765409500015104</v>
      </c>
      <c r="D4329" s="48">
        <f t="shared" ca="1" si="246"/>
        <v>0.65039864867898056</v>
      </c>
      <c r="E4329" s="48">
        <f t="shared" ca="1" si="247"/>
        <v>0</v>
      </c>
      <c r="F4329" s="17">
        <f t="shared" ca="1" si="248"/>
        <v>0</v>
      </c>
      <c r="H4329" s="17">
        <v>4314</v>
      </c>
      <c r="I4329" s="43">
        <v>0.66921068008180673</v>
      </c>
      <c r="J4329" s="43">
        <v>1.9668085196727587E-2</v>
      </c>
      <c r="K4329" s="43"/>
      <c r="L4329" s="43">
        <v>0.24859999999999999</v>
      </c>
      <c r="O4329" s="50"/>
    </row>
    <row r="4330" spans="2:15" x14ac:dyDescent="0.2">
      <c r="B4330">
        <f t="shared" si="245"/>
        <v>4315</v>
      </c>
      <c r="C4330" s="48">
        <f ca="1"/>
        <v>-2.1498208866374906</v>
      </c>
      <c r="D4330" s="48">
        <f t="shared" ca="1" si="246"/>
        <v>0.53759099862827342</v>
      </c>
      <c r="E4330" s="48">
        <f t="shared" ca="1" si="247"/>
        <v>0</v>
      </c>
      <c r="F4330" s="17">
        <f t="shared" ca="1" si="248"/>
        <v>0</v>
      </c>
      <c r="H4330" s="17">
        <v>4315</v>
      </c>
      <c r="I4330" s="43">
        <v>0.66855322887618618</v>
      </c>
      <c r="J4330" s="43">
        <v>1.9066073419779714E-2</v>
      </c>
      <c r="K4330" s="43"/>
      <c r="L4330" s="43">
        <v>0.25219999999999998</v>
      </c>
      <c r="O4330" s="50"/>
    </row>
    <row r="4331" spans="2:15" x14ac:dyDescent="0.2">
      <c r="B4331">
        <f t="shared" si="245"/>
        <v>4316</v>
      </c>
      <c r="C4331" s="48">
        <f ca="1"/>
        <v>0.99922849323524021</v>
      </c>
      <c r="D4331" s="48">
        <f t="shared" ca="1" si="246"/>
        <v>0.73329997125698554</v>
      </c>
      <c r="E4331" s="48">
        <f t="shared" ca="1" si="247"/>
        <v>0</v>
      </c>
      <c r="F4331" s="17">
        <f t="shared" ca="1" si="248"/>
        <v>0</v>
      </c>
      <c r="H4331" s="17">
        <v>4316</v>
      </c>
      <c r="I4331" s="43">
        <v>0.66903804807554257</v>
      </c>
      <c r="J4331" s="43">
        <v>1.9566920971207054E-2</v>
      </c>
      <c r="K4331" s="43"/>
      <c r="L4331" s="43">
        <v>0.25340000000000001</v>
      </c>
      <c r="O4331" s="50"/>
    </row>
    <row r="4332" spans="2:15" x14ac:dyDescent="0.2">
      <c r="B4332">
        <f t="shared" si="245"/>
        <v>4317</v>
      </c>
      <c r="C4332" s="48">
        <f ca="1"/>
        <v>-0.43199659580928107</v>
      </c>
      <c r="D4332" s="48">
        <f t="shared" ca="1" si="246"/>
        <v>0.63679895642019901</v>
      </c>
      <c r="E4332" s="48">
        <f t="shared" ca="1" si="247"/>
        <v>0</v>
      </c>
      <c r="F4332" s="17">
        <f t="shared" ca="1" si="248"/>
        <v>0</v>
      </c>
      <c r="H4332" s="17">
        <v>4317</v>
      </c>
      <c r="I4332" s="43">
        <v>0.66918484382466936</v>
      </c>
      <c r="J4332" s="43">
        <v>1.9633471583744108E-2</v>
      </c>
      <c r="K4332" s="43"/>
      <c r="L4332" s="43">
        <v>0.25140000000000001</v>
      </c>
      <c r="O4332" s="50"/>
    </row>
    <row r="4333" spans="2:15" x14ac:dyDescent="0.2">
      <c r="B4333">
        <f t="shared" si="245"/>
        <v>4318</v>
      </c>
      <c r="C4333" s="48">
        <f ca="1"/>
        <v>0.1588255229490465</v>
      </c>
      <c r="D4333" s="48">
        <f t="shared" ca="1" si="246"/>
        <v>0.67499254981330381</v>
      </c>
      <c r="E4333" s="48">
        <f t="shared" ca="1" si="247"/>
        <v>0</v>
      </c>
      <c r="F4333" s="17">
        <f t="shared" ca="1" si="248"/>
        <v>0</v>
      </c>
      <c r="H4333" s="17">
        <v>4318</v>
      </c>
      <c r="I4333" s="43">
        <v>0.6684452062151085</v>
      </c>
      <c r="J4333" s="43">
        <v>1.8992198691990793E-2</v>
      </c>
      <c r="K4333" s="43"/>
      <c r="L4333" s="43">
        <v>0.24260000000000001</v>
      </c>
      <c r="O4333" s="50"/>
    </row>
    <row r="4334" spans="2:15" x14ac:dyDescent="0.2">
      <c r="B4334">
        <f t="shared" si="245"/>
        <v>4319</v>
      </c>
      <c r="C4334" s="48">
        <f ca="1"/>
        <v>-1.1612768914717151</v>
      </c>
      <c r="D4334" s="48">
        <f t="shared" ca="1" si="246"/>
        <v>0.5926216074902293</v>
      </c>
      <c r="E4334" s="48">
        <f t="shared" ca="1" si="247"/>
        <v>0</v>
      </c>
      <c r="F4334" s="17">
        <f t="shared" ca="1" si="248"/>
        <v>0</v>
      </c>
      <c r="H4334" s="17">
        <v>4319</v>
      </c>
      <c r="I4334" s="43">
        <v>0.66845010718234488</v>
      </c>
      <c r="J4334" s="43">
        <v>1.8957949787556026E-2</v>
      </c>
      <c r="K4334" s="43"/>
      <c r="L4334" s="43">
        <v>0.25159999999999999</v>
      </c>
      <c r="O4334" s="50"/>
    </row>
    <row r="4335" spans="2:15" x14ac:dyDescent="0.2">
      <c r="B4335">
        <f t="shared" si="245"/>
        <v>4320</v>
      </c>
      <c r="C4335" s="48">
        <f ca="1"/>
        <v>-1.225718651113971</v>
      </c>
      <c r="D4335" s="48">
        <f t="shared" ca="1" si="246"/>
        <v>0.58886852806941947</v>
      </c>
      <c r="E4335" s="48">
        <f t="shared" ca="1" si="247"/>
        <v>0</v>
      </c>
      <c r="F4335" s="17">
        <f t="shared" ca="1" si="248"/>
        <v>0</v>
      </c>
      <c r="H4335" s="17">
        <v>4320</v>
      </c>
      <c r="I4335" s="43">
        <v>0.66867783644378631</v>
      </c>
      <c r="J4335" s="43">
        <v>1.9105055007650772E-2</v>
      </c>
      <c r="K4335" s="43"/>
      <c r="L4335" s="43">
        <v>0.248</v>
      </c>
      <c r="O4335" s="50"/>
    </row>
    <row r="4336" spans="2:15" x14ac:dyDescent="0.2">
      <c r="B4336">
        <f t="shared" si="245"/>
        <v>4321</v>
      </c>
      <c r="C4336" s="48">
        <f ca="1"/>
        <v>-0.89666684543314368</v>
      </c>
      <c r="D4336" s="48">
        <f t="shared" ca="1" si="246"/>
        <v>0.60828488407854053</v>
      </c>
      <c r="E4336" s="48">
        <f t="shared" ca="1" si="247"/>
        <v>0</v>
      </c>
      <c r="F4336" s="17">
        <f t="shared" ca="1" si="248"/>
        <v>0</v>
      </c>
      <c r="H4336" s="17">
        <v>4321</v>
      </c>
      <c r="I4336" s="43">
        <v>0.6691117889787801</v>
      </c>
      <c r="J4336" s="43">
        <v>1.9352371095892679E-2</v>
      </c>
      <c r="K4336" s="43"/>
      <c r="L4336" s="43">
        <v>0.251</v>
      </c>
      <c r="O4336" s="50"/>
    </row>
    <row r="4337" spans="2:15" x14ac:dyDescent="0.2">
      <c r="B4337">
        <f t="shared" ref="B4337:B4400" si="249">B4336+1</f>
        <v>4322</v>
      </c>
      <c r="C4337" s="48">
        <f ca="1"/>
        <v>0.28648851115722851</v>
      </c>
      <c r="D4337" s="48">
        <f t="shared" ca="1" si="246"/>
        <v>0.68354167311793546</v>
      </c>
      <c r="E4337" s="48">
        <f t="shared" ca="1" si="247"/>
        <v>0</v>
      </c>
      <c r="F4337" s="17">
        <f t="shared" ca="1" si="248"/>
        <v>0</v>
      </c>
      <c r="H4337" s="17">
        <v>4322</v>
      </c>
      <c r="I4337" s="43">
        <v>0.668512012614917</v>
      </c>
      <c r="J4337" s="43">
        <v>1.8820504740022819E-2</v>
      </c>
      <c r="K4337" s="43"/>
      <c r="L4337" s="43">
        <v>0.25019999999999998</v>
      </c>
      <c r="O4337" s="50"/>
    </row>
    <row r="4338" spans="2:15" x14ac:dyDescent="0.2">
      <c r="B4338">
        <f t="shared" si="249"/>
        <v>4323</v>
      </c>
      <c r="C4338" s="48">
        <f ca="1"/>
        <v>1.1330731965813401</v>
      </c>
      <c r="D4338" s="48">
        <f t="shared" ca="1" si="246"/>
        <v>0.74304028790937926</v>
      </c>
      <c r="E4338" s="48">
        <f t="shared" ca="1" si="247"/>
        <v>0</v>
      </c>
      <c r="F4338" s="17">
        <f t="shared" ca="1" si="248"/>
        <v>0</v>
      </c>
      <c r="H4338" s="17">
        <v>4323</v>
      </c>
      <c r="I4338" s="43">
        <v>0.67035391037567338</v>
      </c>
      <c r="J4338" s="43">
        <v>2.0298322036240792E-2</v>
      </c>
      <c r="K4338" s="43"/>
      <c r="L4338" s="43">
        <v>0.25540000000000002</v>
      </c>
      <c r="O4338" s="50"/>
    </row>
    <row r="4339" spans="2:15" x14ac:dyDescent="0.2">
      <c r="B4339">
        <f t="shared" si="249"/>
        <v>4324</v>
      </c>
      <c r="C4339" s="48">
        <f ca="1"/>
        <v>-0.25045271493728177</v>
      </c>
      <c r="D4339" s="48">
        <f t="shared" ca="1" si="246"/>
        <v>0.64829895975355678</v>
      </c>
      <c r="E4339" s="48">
        <f t="shared" ca="1" si="247"/>
        <v>0</v>
      </c>
      <c r="F4339" s="17">
        <f t="shared" ca="1" si="248"/>
        <v>0</v>
      </c>
      <c r="H4339" s="17">
        <v>4324</v>
      </c>
      <c r="I4339" s="43">
        <v>0.66941988419949783</v>
      </c>
      <c r="J4339" s="43">
        <v>1.9622467989631517E-2</v>
      </c>
      <c r="K4339" s="43"/>
      <c r="L4339" s="43">
        <v>0.252</v>
      </c>
      <c r="O4339" s="50"/>
    </row>
    <row r="4340" spans="2:15" x14ac:dyDescent="0.2">
      <c r="B4340">
        <f t="shared" si="249"/>
        <v>4325</v>
      </c>
      <c r="C4340" s="48">
        <f ca="1"/>
        <v>-0.57799220597680856</v>
      </c>
      <c r="D4340" s="48">
        <f t="shared" ca="1" si="246"/>
        <v>0.6276989408311977</v>
      </c>
      <c r="E4340" s="48">
        <f t="shared" ca="1" si="247"/>
        <v>0</v>
      </c>
      <c r="F4340" s="17">
        <f t="shared" ca="1" si="248"/>
        <v>0</v>
      </c>
      <c r="H4340" s="17">
        <v>4325</v>
      </c>
      <c r="I4340" s="43">
        <v>0.66988581846691075</v>
      </c>
      <c r="J4340" s="43">
        <v>1.9946171397386688E-2</v>
      </c>
      <c r="K4340" s="43"/>
      <c r="L4340" s="43">
        <v>0.25419999999999998</v>
      </c>
      <c r="O4340" s="50"/>
    </row>
    <row r="4341" spans="2:15" x14ac:dyDescent="0.2">
      <c r="B4341">
        <f t="shared" si="249"/>
        <v>4326</v>
      </c>
      <c r="C4341" s="48">
        <f ca="1"/>
        <v>0.6904039529495325</v>
      </c>
      <c r="D4341" s="48">
        <f t="shared" ca="1" si="246"/>
        <v>0.71131020306151749</v>
      </c>
      <c r="E4341" s="48">
        <f t="shared" ca="1" si="247"/>
        <v>0</v>
      </c>
      <c r="F4341" s="17">
        <f t="shared" ca="1" si="248"/>
        <v>0</v>
      </c>
      <c r="H4341" s="17">
        <v>4326</v>
      </c>
      <c r="I4341" s="43">
        <v>0.67005520937361973</v>
      </c>
      <c r="J4341" s="43">
        <v>1.9817287772244997E-2</v>
      </c>
      <c r="K4341" s="43"/>
      <c r="L4341" s="43">
        <v>0.24940000000000001</v>
      </c>
      <c r="O4341" s="50"/>
    </row>
    <row r="4342" spans="2:15" x14ac:dyDescent="0.2">
      <c r="B4342">
        <f t="shared" si="249"/>
        <v>4327</v>
      </c>
      <c r="C4342" s="48">
        <f ca="1"/>
        <v>1.2597179287706377</v>
      </c>
      <c r="D4342" s="48">
        <f t="shared" ca="1" si="246"/>
        <v>0.75237573761317378</v>
      </c>
      <c r="E4342" s="48">
        <f t="shared" ca="1" si="247"/>
        <v>0</v>
      </c>
      <c r="F4342" s="17">
        <f t="shared" ca="1" si="248"/>
        <v>0</v>
      </c>
      <c r="H4342" s="17">
        <v>4327</v>
      </c>
      <c r="I4342" s="43">
        <v>0.66799193722896955</v>
      </c>
      <c r="J4342" s="43">
        <v>1.872888552697527E-2</v>
      </c>
      <c r="K4342" s="43"/>
      <c r="L4342" s="43">
        <v>0.24399999999999999</v>
      </c>
      <c r="O4342" s="50"/>
    </row>
    <row r="4343" spans="2:15" x14ac:dyDescent="0.2">
      <c r="B4343">
        <f t="shared" si="249"/>
        <v>4328</v>
      </c>
      <c r="C4343" s="48">
        <f ca="1"/>
        <v>-0.49272549232650725</v>
      </c>
      <c r="D4343" s="48">
        <f t="shared" ca="1" si="246"/>
        <v>0.63299776257010221</v>
      </c>
      <c r="E4343" s="48">
        <f t="shared" ca="1" si="247"/>
        <v>0</v>
      </c>
      <c r="F4343" s="17">
        <f t="shared" ca="1" si="248"/>
        <v>0</v>
      </c>
      <c r="H4343" s="17">
        <v>4328</v>
      </c>
      <c r="I4343" s="43">
        <v>0.66950474010079553</v>
      </c>
      <c r="J4343" s="43">
        <v>1.961836329664773E-2</v>
      </c>
      <c r="K4343" s="43"/>
      <c r="L4343" s="43">
        <v>0.25259999999999999</v>
      </c>
      <c r="O4343" s="50"/>
    </row>
    <row r="4344" spans="2:15" x14ac:dyDescent="0.2">
      <c r="B4344">
        <f t="shared" si="249"/>
        <v>4329</v>
      </c>
      <c r="C4344" s="48">
        <f ca="1"/>
        <v>-2.3917926875557143E-2</v>
      </c>
      <c r="D4344" s="48">
        <f t="shared" ca="1" si="246"/>
        <v>0.66294063033330008</v>
      </c>
      <c r="E4344" s="48">
        <f t="shared" ca="1" si="247"/>
        <v>0</v>
      </c>
      <c r="F4344" s="17">
        <f t="shared" ca="1" si="248"/>
        <v>0</v>
      </c>
      <c r="H4344" s="17">
        <v>4329</v>
      </c>
      <c r="I4344" s="43">
        <v>0.66911826389628837</v>
      </c>
      <c r="J4344" s="43">
        <v>1.9574620838586403E-2</v>
      </c>
      <c r="K4344" s="43"/>
      <c r="L4344" s="43">
        <v>0.25640000000000002</v>
      </c>
      <c r="O4344" s="50"/>
    </row>
    <row r="4345" spans="2:15" x14ac:dyDescent="0.2">
      <c r="B4345">
        <f t="shared" si="249"/>
        <v>4330</v>
      </c>
      <c r="C4345" s="48">
        <f ca="1"/>
        <v>0.92452270308815365</v>
      </c>
      <c r="D4345" s="48">
        <f t="shared" ca="1" si="246"/>
        <v>0.72791901660168568</v>
      </c>
      <c r="E4345" s="48">
        <f t="shared" ca="1" si="247"/>
        <v>0</v>
      </c>
      <c r="F4345" s="17">
        <f t="shared" ca="1" si="248"/>
        <v>0</v>
      </c>
      <c r="H4345" s="17">
        <v>4330</v>
      </c>
      <c r="I4345" s="43">
        <v>0.66883662948165035</v>
      </c>
      <c r="J4345" s="43">
        <v>1.9486327891764101E-2</v>
      </c>
      <c r="K4345" s="43"/>
      <c r="L4345" s="43">
        <v>0.25359999999999999</v>
      </c>
      <c r="O4345" s="50"/>
    </row>
    <row r="4346" spans="2:15" x14ac:dyDescent="0.2">
      <c r="B4346">
        <f t="shared" si="249"/>
        <v>4331</v>
      </c>
      <c r="C4346" s="48">
        <f ca="1"/>
        <v>0.39081018008579033</v>
      </c>
      <c r="D4346" s="48">
        <f t="shared" ca="1" si="246"/>
        <v>0.69060804478299376</v>
      </c>
      <c r="E4346" s="48">
        <f t="shared" ca="1" si="247"/>
        <v>0</v>
      </c>
      <c r="F4346" s="17">
        <f t="shared" ca="1" si="248"/>
        <v>0</v>
      </c>
      <c r="H4346" s="17">
        <v>4331</v>
      </c>
      <c r="I4346" s="43">
        <v>0.66914117949197194</v>
      </c>
      <c r="J4346" s="43">
        <v>1.9256017204549641E-2</v>
      </c>
      <c r="K4346" s="43"/>
      <c r="L4346" s="43">
        <v>0.249</v>
      </c>
      <c r="O4346" s="50"/>
    </row>
    <row r="4347" spans="2:15" x14ac:dyDescent="0.2">
      <c r="B4347">
        <f t="shared" si="249"/>
        <v>4332</v>
      </c>
      <c r="C4347" s="48">
        <f ca="1"/>
        <v>-1.1024303181525399</v>
      </c>
      <c r="D4347" s="48">
        <f t="shared" ca="1" si="246"/>
        <v>0.59606971483552607</v>
      </c>
      <c r="E4347" s="48">
        <f t="shared" ca="1" si="247"/>
        <v>0</v>
      </c>
      <c r="F4347" s="17">
        <f t="shared" ca="1" si="248"/>
        <v>0</v>
      </c>
      <c r="H4347" s="17">
        <v>4332</v>
      </c>
      <c r="I4347" s="43">
        <v>0.66833193731690843</v>
      </c>
      <c r="J4347" s="43">
        <v>1.8862832592872202E-2</v>
      </c>
      <c r="K4347" s="43"/>
      <c r="L4347" s="43">
        <v>0.25080000000000002</v>
      </c>
      <c r="O4347" s="50"/>
    </row>
    <row r="4348" spans="2:15" x14ac:dyDescent="0.2">
      <c r="B4348">
        <f t="shared" si="249"/>
        <v>4333</v>
      </c>
      <c r="C4348" s="48">
        <f ca="1"/>
        <v>0.11106291127247153</v>
      </c>
      <c r="D4348" s="48">
        <f t="shared" ca="1" si="246"/>
        <v>0.67182161973600607</v>
      </c>
      <c r="E4348" s="48">
        <f t="shared" ca="1" si="247"/>
        <v>0</v>
      </c>
      <c r="F4348" s="17">
        <f t="shared" ca="1" si="248"/>
        <v>0</v>
      </c>
      <c r="H4348" s="17">
        <v>4333</v>
      </c>
      <c r="I4348" s="43">
        <v>0.66936641962312482</v>
      </c>
      <c r="J4348" s="43">
        <v>1.961681859946621E-2</v>
      </c>
      <c r="K4348" s="43"/>
      <c r="L4348" s="43">
        <v>0.2492</v>
      </c>
      <c r="O4348" s="50"/>
    </row>
    <row r="4349" spans="2:15" x14ac:dyDescent="0.2">
      <c r="B4349">
        <f t="shared" si="249"/>
        <v>4334</v>
      </c>
      <c r="C4349" s="48">
        <f ca="1"/>
        <v>-0.35839298629687966</v>
      </c>
      <c r="D4349" s="48">
        <f t="shared" ca="1" si="246"/>
        <v>0.64143662633789356</v>
      </c>
      <c r="E4349" s="48">
        <f t="shared" ca="1" si="247"/>
        <v>0</v>
      </c>
      <c r="F4349" s="17">
        <f t="shared" ca="1" si="248"/>
        <v>0</v>
      </c>
      <c r="H4349" s="17">
        <v>4334</v>
      </c>
      <c r="I4349" s="43">
        <v>0.66986576948500653</v>
      </c>
      <c r="J4349" s="43">
        <v>2.040292177152769E-2</v>
      </c>
      <c r="K4349" s="43"/>
      <c r="L4349" s="43">
        <v>0.25740000000000002</v>
      </c>
      <c r="O4349" s="50"/>
    </row>
    <row r="4350" spans="2:15" x14ac:dyDescent="0.2">
      <c r="B4350">
        <f t="shared" si="249"/>
        <v>4335</v>
      </c>
      <c r="C4350" s="48">
        <f ca="1"/>
        <v>-1.3670348348780332</v>
      </c>
      <c r="D4350" s="48">
        <f t="shared" ca="1" si="246"/>
        <v>0.58072129423015351</v>
      </c>
      <c r="E4350" s="48">
        <f t="shared" ca="1" si="247"/>
        <v>0</v>
      </c>
      <c r="F4350" s="17">
        <f t="shared" ca="1" si="248"/>
        <v>0</v>
      </c>
      <c r="H4350" s="17">
        <v>4335</v>
      </c>
      <c r="I4350" s="43">
        <v>0.66724498158662393</v>
      </c>
      <c r="J4350" s="43">
        <v>1.8213019671881901E-2</v>
      </c>
      <c r="K4350" s="43"/>
      <c r="L4350" s="43">
        <v>0.247</v>
      </c>
      <c r="O4350" s="50"/>
    </row>
    <row r="4351" spans="2:15" x14ac:dyDescent="0.2">
      <c r="B4351">
        <f t="shared" si="249"/>
        <v>4336</v>
      </c>
      <c r="C4351" s="48">
        <f ca="1"/>
        <v>-2.2163744783178108</v>
      </c>
      <c r="D4351" s="48">
        <f t="shared" ca="1" si="246"/>
        <v>0.53407522255091233</v>
      </c>
      <c r="E4351" s="48">
        <f t="shared" ca="1" si="247"/>
        <v>0</v>
      </c>
      <c r="F4351" s="17">
        <f t="shared" ca="1" si="248"/>
        <v>0</v>
      </c>
      <c r="H4351" s="17">
        <v>4336</v>
      </c>
      <c r="I4351" s="43">
        <v>0.66847373359057238</v>
      </c>
      <c r="J4351" s="43">
        <v>1.8925674367344759E-2</v>
      </c>
      <c r="K4351" s="43"/>
      <c r="L4351" s="43">
        <v>0.24440000000000001</v>
      </c>
      <c r="O4351" s="50"/>
    </row>
    <row r="4352" spans="2:15" x14ac:dyDescent="0.2">
      <c r="B4352">
        <f t="shared" si="249"/>
        <v>4337</v>
      </c>
      <c r="C4352" s="48">
        <f ca="1"/>
        <v>0.84955715088591677</v>
      </c>
      <c r="D4352" s="48">
        <f t="shared" ca="1" si="246"/>
        <v>0.7225590429312293</v>
      </c>
      <c r="E4352" s="48">
        <f t="shared" ca="1" si="247"/>
        <v>0</v>
      </c>
      <c r="F4352" s="17">
        <f t="shared" ca="1" si="248"/>
        <v>0</v>
      </c>
      <c r="H4352" s="17">
        <v>4337</v>
      </c>
      <c r="I4352" s="43">
        <v>0.66964657360285318</v>
      </c>
      <c r="J4352" s="43">
        <v>2.0009081092469665E-2</v>
      </c>
      <c r="K4352" s="43"/>
      <c r="L4352" s="43">
        <v>0.25600000000000001</v>
      </c>
      <c r="O4352" s="50"/>
    </row>
    <row r="4353" spans="2:15" x14ac:dyDescent="0.2">
      <c r="B4353">
        <f t="shared" si="249"/>
        <v>4338</v>
      </c>
      <c r="C4353" s="48">
        <f ca="1"/>
        <v>2.5145991062480458E-2</v>
      </c>
      <c r="D4353" s="48">
        <f t="shared" ca="1" si="246"/>
        <v>0.66615510025488134</v>
      </c>
      <c r="E4353" s="48">
        <f t="shared" ca="1" si="247"/>
        <v>0</v>
      </c>
      <c r="F4353" s="17">
        <f t="shared" ca="1" si="248"/>
        <v>0</v>
      </c>
      <c r="H4353" s="17">
        <v>4338</v>
      </c>
      <c r="I4353" s="43">
        <v>0.67007329864003273</v>
      </c>
      <c r="J4353" s="43">
        <v>2.014463852229699E-2</v>
      </c>
      <c r="K4353" s="43"/>
      <c r="L4353" s="43">
        <v>0.25419999999999998</v>
      </c>
      <c r="O4353" s="50"/>
    </row>
    <row r="4354" spans="2:15" x14ac:dyDescent="0.2">
      <c r="B4354">
        <f t="shared" si="249"/>
        <v>4339</v>
      </c>
      <c r="C4354" s="48">
        <f ca="1"/>
        <v>0.31435952242939097</v>
      </c>
      <c r="D4354" s="48">
        <f t="shared" ca="1" si="246"/>
        <v>0.68542244552132259</v>
      </c>
      <c r="E4354" s="48">
        <f t="shared" ca="1" si="247"/>
        <v>0</v>
      </c>
      <c r="F4354" s="17">
        <f t="shared" ca="1" si="248"/>
        <v>0</v>
      </c>
      <c r="H4354" s="17">
        <v>4339</v>
      </c>
      <c r="I4354" s="43">
        <v>0.66779499754991534</v>
      </c>
      <c r="J4354" s="43">
        <v>1.8334703592515014E-2</v>
      </c>
      <c r="K4354" s="43"/>
      <c r="L4354" s="43">
        <v>0.246</v>
      </c>
      <c r="O4354" s="50"/>
    </row>
    <row r="4355" spans="2:15" x14ac:dyDescent="0.2">
      <c r="B4355">
        <f t="shared" si="249"/>
        <v>4340</v>
      </c>
      <c r="C4355" s="48">
        <f ca="1"/>
        <v>0.85393793511479243</v>
      </c>
      <c r="D4355" s="48">
        <f t="shared" ca="1" si="246"/>
        <v>0.72287117666780587</v>
      </c>
      <c r="E4355" s="48">
        <f t="shared" ca="1" si="247"/>
        <v>0</v>
      </c>
      <c r="F4355" s="17">
        <f t="shared" ca="1" si="248"/>
        <v>0</v>
      </c>
      <c r="H4355" s="17">
        <v>4340</v>
      </c>
      <c r="I4355" s="43">
        <v>0.6682066192042051</v>
      </c>
      <c r="J4355" s="43">
        <v>1.8789810208499409E-2</v>
      </c>
      <c r="K4355" s="43"/>
      <c r="L4355" s="43">
        <v>0.24199999999999999</v>
      </c>
      <c r="O4355" s="50"/>
    </row>
    <row r="4356" spans="2:15" x14ac:dyDescent="0.2">
      <c r="B4356">
        <f t="shared" si="249"/>
        <v>4341</v>
      </c>
      <c r="C4356" s="48">
        <f ca="1"/>
        <v>1.0724670762149091</v>
      </c>
      <c r="D4356" s="48">
        <f t="shared" ca="1" si="246"/>
        <v>0.73861385631620591</v>
      </c>
      <c r="E4356" s="48">
        <f t="shared" ca="1" si="247"/>
        <v>0</v>
      </c>
      <c r="F4356" s="17">
        <f t="shared" ca="1" si="248"/>
        <v>0</v>
      </c>
      <c r="H4356" s="17">
        <v>4341</v>
      </c>
      <c r="I4356" s="43">
        <v>0.66868607816336567</v>
      </c>
      <c r="J4356" s="43">
        <v>1.8979219180195756E-2</v>
      </c>
      <c r="K4356" s="43"/>
      <c r="L4356" s="43">
        <v>0.24879999999999999</v>
      </c>
      <c r="O4356" s="50"/>
    </row>
    <row r="4357" spans="2:15" x14ac:dyDescent="0.2">
      <c r="B4357">
        <f t="shared" si="249"/>
        <v>4342</v>
      </c>
      <c r="C4357" s="48">
        <f ca="1"/>
        <v>-0.39613092100112102</v>
      </c>
      <c r="D4357" s="48">
        <f t="shared" ca="1" si="246"/>
        <v>0.63905460328141217</v>
      </c>
      <c r="E4357" s="48">
        <f t="shared" ca="1" si="247"/>
        <v>0</v>
      </c>
      <c r="F4357" s="17">
        <f t="shared" ca="1" si="248"/>
        <v>0</v>
      </c>
      <c r="H4357" s="17">
        <v>4342</v>
      </c>
      <c r="I4357" s="43">
        <v>0.67015333732431204</v>
      </c>
      <c r="J4357" s="43">
        <v>2.056102193793723E-2</v>
      </c>
      <c r="K4357" s="43"/>
      <c r="L4357" s="43">
        <v>0.253</v>
      </c>
      <c r="O4357" s="50"/>
    </row>
    <row r="4358" spans="2:15" x14ac:dyDescent="0.2">
      <c r="B4358">
        <f t="shared" si="249"/>
        <v>4343</v>
      </c>
      <c r="C4358" s="48">
        <f ca="1"/>
        <v>1.4128073022762324</v>
      </c>
      <c r="D4358" s="48">
        <f t="shared" ca="1" si="246"/>
        <v>0.76381723872836105</v>
      </c>
      <c r="E4358" s="48">
        <f t="shared" ca="1" si="247"/>
        <v>0</v>
      </c>
      <c r="F4358" s="17">
        <f t="shared" ca="1" si="248"/>
        <v>0</v>
      </c>
      <c r="H4358" s="17">
        <v>4343</v>
      </c>
      <c r="I4358" s="43">
        <v>0.6691806665671981</v>
      </c>
      <c r="J4358" s="43">
        <v>1.9431135892454834E-2</v>
      </c>
      <c r="K4358" s="43"/>
      <c r="L4358" s="43">
        <v>0.25059999999999999</v>
      </c>
      <c r="O4358" s="50"/>
    </row>
    <row r="4359" spans="2:15" x14ac:dyDescent="0.2">
      <c r="B4359">
        <f t="shared" si="249"/>
        <v>4344</v>
      </c>
      <c r="C4359" s="48">
        <f ca="1"/>
        <v>0.27099548358158837</v>
      </c>
      <c r="D4359" s="48">
        <f t="shared" ca="1" si="246"/>
        <v>0.68249841594582306</v>
      </c>
      <c r="E4359" s="48">
        <f t="shared" ca="1" si="247"/>
        <v>0</v>
      </c>
      <c r="F4359" s="17">
        <f t="shared" ca="1" si="248"/>
        <v>0</v>
      </c>
      <c r="H4359" s="17">
        <v>4344</v>
      </c>
      <c r="I4359" s="43">
        <v>0.66746416426019617</v>
      </c>
      <c r="J4359" s="43">
        <v>1.8319833676314963E-2</v>
      </c>
      <c r="K4359" s="43"/>
      <c r="L4359" s="43">
        <v>0.2424</v>
      </c>
      <c r="O4359" s="50"/>
    </row>
    <row r="4360" spans="2:15" x14ac:dyDescent="0.2">
      <c r="B4360">
        <f t="shared" si="249"/>
        <v>4345</v>
      </c>
      <c r="C4360" s="48">
        <f ca="1"/>
        <v>0.62853080995237598</v>
      </c>
      <c r="D4360" s="48">
        <f t="shared" ca="1" si="246"/>
        <v>0.70698447683439147</v>
      </c>
      <c r="E4360" s="48">
        <f t="shared" ca="1" si="247"/>
        <v>0</v>
      </c>
      <c r="F4360" s="17">
        <f t="shared" ca="1" si="248"/>
        <v>0</v>
      </c>
      <c r="H4360" s="17">
        <v>4345</v>
      </c>
      <c r="I4360" s="43">
        <v>0.66910441922528774</v>
      </c>
      <c r="J4360" s="43">
        <v>1.9483363499593686E-2</v>
      </c>
      <c r="K4360" s="43"/>
      <c r="L4360" s="43">
        <v>0.25640000000000002</v>
      </c>
      <c r="O4360" s="50"/>
    </row>
    <row r="4361" spans="2:15" x14ac:dyDescent="0.2">
      <c r="B4361">
        <f t="shared" si="249"/>
        <v>4346</v>
      </c>
      <c r="C4361" s="48">
        <f ca="1"/>
        <v>1.43642194767834</v>
      </c>
      <c r="D4361" s="48">
        <f t="shared" ca="1" si="246"/>
        <v>0.7655975594440565</v>
      </c>
      <c r="E4361" s="48">
        <f t="shared" ca="1" si="247"/>
        <v>0</v>
      </c>
      <c r="F4361" s="17">
        <f t="shared" ca="1" si="248"/>
        <v>0</v>
      </c>
      <c r="H4361" s="17">
        <v>4346</v>
      </c>
      <c r="I4361" s="43">
        <v>0.66889630043728321</v>
      </c>
      <c r="J4361" s="43">
        <v>1.9244785223465309E-2</v>
      </c>
      <c r="K4361" s="43"/>
      <c r="L4361" s="43">
        <v>0.24679999999999999</v>
      </c>
      <c r="O4361" s="50"/>
    </row>
    <row r="4362" spans="2:15" x14ac:dyDescent="0.2">
      <c r="B4362">
        <f t="shared" si="249"/>
        <v>4347</v>
      </c>
      <c r="C4362" s="48">
        <f ca="1"/>
        <v>0.475752456243349</v>
      </c>
      <c r="D4362" s="48">
        <f t="shared" ca="1" si="246"/>
        <v>0.69641564831920766</v>
      </c>
      <c r="E4362" s="48">
        <f t="shared" ca="1" si="247"/>
        <v>0</v>
      </c>
      <c r="F4362" s="17">
        <f t="shared" ca="1" si="248"/>
        <v>0</v>
      </c>
      <c r="H4362" s="17">
        <v>4347</v>
      </c>
      <c r="I4362" s="43">
        <v>0.66858257587176229</v>
      </c>
      <c r="J4362" s="43">
        <v>1.9260861545292676E-2</v>
      </c>
      <c r="K4362" s="43"/>
      <c r="L4362" s="43">
        <v>0.254</v>
      </c>
      <c r="O4362" s="50"/>
    </row>
    <row r="4363" spans="2:15" x14ac:dyDescent="0.2">
      <c r="B4363">
        <f t="shared" si="249"/>
        <v>4348</v>
      </c>
      <c r="C4363" s="48">
        <f ca="1"/>
        <v>-0.76707203686346292</v>
      </c>
      <c r="D4363" s="48">
        <f t="shared" ca="1" si="246"/>
        <v>0.61610644925420777</v>
      </c>
      <c r="E4363" s="48">
        <f t="shared" ca="1" si="247"/>
        <v>0</v>
      </c>
      <c r="F4363" s="17">
        <f t="shared" ca="1" si="248"/>
        <v>0</v>
      </c>
      <c r="H4363" s="17">
        <v>4348</v>
      </c>
      <c r="I4363" s="43">
        <v>0.66910634420632709</v>
      </c>
      <c r="J4363" s="43">
        <v>1.9490936569368941E-2</v>
      </c>
      <c r="K4363" s="43"/>
      <c r="L4363" s="43">
        <v>0.25159999999999999</v>
      </c>
      <c r="O4363" s="50"/>
    </row>
    <row r="4364" spans="2:15" x14ac:dyDescent="0.2">
      <c r="B4364">
        <f t="shared" si="249"/>
        <v>4349</v>
      </c>
      <c r="C4364" s="48">
        <f ca="1"/>
        <v>0.789799942787765</v>
      </c>
      <c r="D4364" s="48">
        <f t="shared" ca="1" si="246"/>
        <v>0.71831473675205582</v>
      </c>
      <c r="E4364" s="48">
        <f t="shared" ca="1" si="247"/>
        <v>0</v>
      </c>
      <c r="F4364" s="17">
        <f t="shared" ca="1" si="248"/>
        <v>0</v>
      </c>
      <c r="H4364" s="17">
        <v>4349</v>
      </c>
      <c r="I4364" s="43">
        <v>0.66888137605942644</v>
      </c>
      <c r="J4364" s="43">
        <v>1.9259588685890547E-2</v>
      </c>
      <c r="K4364" s="43"/>
      <c r="L4364" s="43">
        <v>0.24340000000000001</v>
      </c>
      <c r="O4364" s="50"/>
    </row>
    <row r="4365" spans="2:15" x14ac:dyDescent="0.2">
      <c r="B4365">
        <f t="shared" si="249"/>
        <v>4350</v>
      </c>
      <c r="C4365" s="48">
        <f ca="1"/>
        <v>0.25165014504377842</v>
      </c>
      <c r="D4365" s="48">
        <f t="shared" ca="1" si="246"/>
        <v>0.68119799000766768</v>
      </c>
      <c r="E4365" s="48">
        <f t="shared" ca="1" si="247"/>
        <v>0</v>
      </c>
      <c r="F4365" s="17">
        <f t="shared" ca="1" si="248"/>
        <v>0</v>
      </c>
      <c r="H4365" s="17">
        <v>4350</v>
      </c>
      <c r="I4365" s="43">
        <v>0.66901782481016625</v>
      </c>
      <c r="J4365" s="43">
        <v>1.9412514862356057E-2</v>
      </c>
      <c r="K4365" s="43"/>
      <c r="L4365" s="43">
        <v>0.25380000000000003</v>
      </c>
      <c r="O4365" s="50"/>
    </row>
    <row r="4366" spans="2:15" x14ac:dyDescent="0.2">
      <c r="B4366">
        <f t="shared" si="249"/>
        <v>4351</v>
      </c>
      <c r="C4366" s="48">
        <f ca="1"/>
        <v>0.25092923130355599</v>
      </c>
      <c r="D4366" s="48">
        <f t="shared" ca="1" si="246"/>
        <v>0.6811495769014495</v>
      </c>
      <c r="E4366" s="48">
        <f t="shared" ca="1" si="247"/>
        <v>0</v>
      </c>
      <c r="F4366" s="17">
        <f t="shared" ca="1" si="248"/>
        <v>0</v>
      </c>
      <c r="H4366" s="17">
        <v>4351</v>
      </c>
      <c r="I4366" s="43">
        <v>0.66872396214873753</v>
      </c>
      <c r="J4366" s="43">
        <v>1.8908591997349719E-2</v>
      </c>
      <c r="K4366" s="43"/>
      <c r="L4366" s="43">
        <v>0.24540000000000001</v>
      </c>
      <c r="O4366" s="50"/>
    </row>
    <row r="4367" spans="2:15" x14ac:dyDescent="0.2">
      <c r="B4367">
        <f t="shared" si="249"/>
        <v>4352</v>
      </c>
      <c r="C4367" s="48">
        <f ca="1"/>
        <v>2.0345794189409911</v>
      </c>
      <c r="D4367" s="48">
        <f t="shared" ca="1" si="246"/>
        <v>0.81210324733120343</v>
      </c>
      <c r="E4367" s="48">
        <f t="shared" ca="1" si="247"/>
        <v>2.3903247331203414E-2</v>
      </c>
      <c r="F4367" s="17">
        <f t="shared" ca="1" si="248"/>
        <v>1</v>
      </c>
      <c r="H4367" s="17">
        <v>4352</v>
      </c>
      <c r="I4367" s="43">
        <v>0.67039582006265008</v>
      </c>
      <c r="J4367" s="43">
        <v>1.9943346715636565E-2</v>
      </c>
      <c r="K4367" s="43"/>
      <c r="L4367" s="43">
        <v>0.24959999999999999</v>
      </c>
      <c r="O4367" s="50"/>
    </row>
    <row r="4368" spans="2:15" x14ac:dyDescent="0.2">
      <c r="B4368">
        <f t="shared" si="249"/>
        <v>4353</v>
      </c>
      <c r="C4368" s="48">
        <f ca="1"/>
        <v>1.2731734580045846</v>
      </c>
      <c r="D4368" s="48">
        <f t="shared" ref="D4368:D4431" ca="1" si="250">S0*EXP((μ-0.5*σ*σ)*T+σ*SQRT(T)*$C4368)</f>
        <v>0.75337446135602926</v>
      </c>
      <c r="E4368" s="48">
        <f t="shared" ref="E4368:E4431" ca="1" si="251">MAX(0,CP*(D4368-K))</f>
        <v>0</v>
      </c>
      <c r="F4368" s="17">
        <f t="shared" ref="F4368:F4431" ca="1" si="252">(CP*(D4368-K)&gt;0)*1</f>
        <v>0</v>
      </c>
      <c r="H4368" s="17">
        <v>4353</v>
      </c>
      <c r="I4368" s="43">
        <v>0.66867755661485739</v>
      </c>
      <c r="J4368" s="43">
        <v>1.9293126101378802E-2</v>
      </c>
      <c r="K4368" s="43"/>
      <c r="L4368" s="43">
        <v>0.2482</v>
      </c>
      <c r="O4368" s="50"/>
    </row>
    <row r="4369" spans="2:15" x14ac:dyDescent="0.2">
      <c r="B4369">
        <f t="shared" si="249"/>
        <v>4354</v>
      </c>
      <c r="C4369" s="48">
        <f ca="1"/>
        <v>-0.49022309826589461</v>
      </c>
      <c r="D4369" s="48">
        <f t="shared" ca="1" si="250"/>
        <v>0.63315394535713887</v>
      </c>
      <c r="E4369" s="48">
        <f t="shared" ca="1" si="251"/>
        <v>0</v>
      </c>
      <c r="F4369" s="17">
        <f t="shared" ca="1" si="252"/>
        <v>0</v>
      </c>
      <c r="H4369" s="17">
        <v>4354</v>
      </c>
      <c r="I4369" s="43">
        <v>0.66934096043413827</v>
      </c>
      <c r="J4369" s="43">
        <v>1.9690047187321119E-2</v>
      </c>
      <c r="K4369" s="43"/>
      <c r="L4369" s="43">
        <v>0.249</v>
      </c>
      <c r="O4369" s="50"/>
    </row>
    <row r="4370" spans="2:15" x14ac:dyDescent="0.2">
      <c r="B4370">
        <f t="shared" si="249"/>
        <v>4355</v>
      </c>
      <c r="C4370" s="48">
        <f ca="1"/>
        <v>1.9922126371224396</v>
      </c>
      <c r="D4370" s="48">
        <f t="shared" ca="1" si="250"/>
        <v>0.80871830112193099</v>
      </c>
      <c r="E4370" s="48">
        <f t="shared" ca="1" si="251"/>
        <v>2.0518301121930982E-2</v>
      </c>
      <c r="F4370" s="17">
        <f t="shared" ca="1" si="252"/>
        <v>1</v>
      </c>
      <c r="H4370" s="17">
        <v>4355</v>
      </c>
      <c r="I4370" s="43">
        <v>0.66783819640415443</v>
      </c>
      <c r="J4370" s="43">
        <v>1.8586495943242218E-2</v>
      </c>
      <c r="K4370" s="43"/>
      <c r="L4370" s="43">
        <v>0.2472</v>
      </c>
      <c r="O4370" s="50"/>
    </row>
    <row r="4371" spans="2:15" x14ac:dyDescent="0.2">
      <c r="B4371">
        <f t="shared" si="249"/>
        <v>4356</v>
      </c>
      <c r="C4371" s="48">
        <f ca="1"/>
        <v>-0.20535789700966145</v>
      </c>
      <c r="D4371" s="48">
        <f t="shared" ca="1" si="250"/>
        <v>0.65118757321271281</v>
      </c>
      <c r="E4371" s="48">
        <f t="shared" ca="1" si="251"/>
        <v>0</v>
      </c>
      <c r="F4371" s="17">
        <f t="shared" ca="1" si="252"/>
        <v>0</v>
      </c>
      <c r="H4371" s="17">
        <v>4356</v>
      </c>
      <c r="I4371" s="43">
        <v>0.66847920072705136</v>
      </c>
      <c r="J4371" s="43">
        <v>1.8993321701971065E-2</v>
      </c>
      <c r="K4371" s="43"/>
      <c r="L4371" s="43">
        <v>0.24940000000000001</v>
      </c>
      <c r="O4371" s="50"/>
    </row>
    <row r="4372" spans="2:15" x14ac:dyDescent="0.2">
      <c r="B4372">
        <f t="shared" si="249"/>
        <v>4357</v>
      </c>
      <c r="C4372" s="48">
        <f ca="1"/>
        <v>1.078000898659057</v>
      </c>
      <c r="D4372" s="48">
        <f t="shared" ca="1" si="250"/>
        <v>0.73901692853417567</v>
      </c>
      <c r="E4372" s="48">
        <f t="shared" ca="1" si="251"/>
        <v>0</v>
      </c>
      <c r="F4372" s="17">
        <f t="shared" ca="1" si="252"/>
        <v>0</v>
      </c>
      <c r="H4372" s="17">
        <v>4357</v>
      </c>
      <c r="I4372" s="43">
        <v>0.66828354311878224</v>
      </c>
      <c r="J4372" s="43">
        <v>1.884870460592887E-2</v>
      </c>
      <c r="K4372" s="43"/>
      <c r="L4372" s="43">
        <v>0.24399999999999999</v>
      </c>
      <c r="O4372" s="50"/>
    </row>
    <row r="4373" spans="2:15" x14ac:dyDescent="0.2">
      <c r="B4373">
        <f t="shared" si="249"/>
        <v>4358</v>
      </c>
      <c r="C4373" s="48">
        <f ca="1"/>
        <v>-0.77871098569454089</v>
      </c>
      <c r="D4373" s="48">
        <f t="shared" ca="1" si="250"/>
        <v>0.61539990057060667</v>
      </c>
      <c r="E4373" s="48">
        <f t="shared" ca="1" si="251"/>
        <v>0</v>
      </c>
      <c r="F4373" s="17">
        <f t="shared" ca="1" si="252"/>
        <v>0</v>
      </c>
      <c r="H4373" s="17">
        <v>4358</v>
      </c>
      <c r="I4373" s="43">
        <v>0.66990976499324761</v>
      </c>
      <c r="J4373" s="43">
        <v>1.9882395761811052E-2</v>
      </c>
      <c r="K4373" s="43"/>
      <c r="L4373" s="43">
        <v>0.25519999999999998</v>
      </c>
      <c r="O4373" s="50"/>
    </row>
    <row r="4374" spans="2:15" x14ac:dyDescent="0.2">
      <c r="B4374">
        <f t="shared" si="249"/>
        <v>4359</v>
      </c>
      <c r="C4374" s="48">
        <f ca="1"/>
        <v>1.0028060855980609</v>
      </c>
      <c r="D4374" s="48">
        <f t="shared" ca="1" si="250"/>
        <v>0.73355865601158021</v>
      </c>
      <c r="E4374" s="48">
        <f t="shared" ca="1" si="251"/>
        <v>0</v>
      </c>
      <c r="F4374" s="17">
        <f t="shared" ca="1" si="252"/>
        <v>0</v>
      </c>
      <c r="H4374" s="17">
        <v>4359</v>
      </c>
      <c r="I4374" s="43">
        <v>0.66840923397613639</v>
      </c>
      <c r="J4374" s="43">
        <v>1.9140734703158302E-2</v>
      </c>
      <c r="K4374" s="43"/>
      <c r="L4374" s="43">
        <v>0.25619999999999998</v>
      </c>
      <c r="O4374" s="50"/>
    </row>
    <row r="4375" spans="2:15" x14ac:dyDescent="0.2">
      <c r="B4375">
        <f t="shared" si="249"/>
        <v>4360</v>
      </c>
      <c r="C4375" s="48">
        <f ca="1"/>
        <v>2.1219007849024838E-2</v>
      </c>
      <c r="D4375" s="48">
        <f t="shared" ca="1" si="250"/>
        <v>0.66589724733328348</v>
      </c>
      <c r="E4375" s="48">
        <f t="shared" ca="1" si="251"/>
        <v>0</v>
      </c>
      <c r="F4375" s="17">
        <f t="shared" ca="1" si="252"/>
        <v>0</v>
      </c>
      <c r="H4375" s="17">
        <v>4360</v>
      </c>
      <c r="I4375" s="43">
        <v>0.66957374888739041</v>
      </c>
      <c r="J4375" s="43">
        <v>1.9768628700619042E-2</v>
      </c>
      <c r="K4375" s="43"/>
      <c r="L4375" s="43">
        <v>0.25800000000000001</v>
      </c>
      <c r="O4375" s="50"/>
    </row>
    <row r="4376" spans="2:15" x14ac:dyDescent="0.2">
      <c r="B4376">
        <f t="shared" si="249"/>
        <v>4361</v>
      </c>
      <c r="C4376" s="48">
        <f ca="1"/>
        <v>0.50960961835989282</v>
      </c>
      <c r="D4376" s="48">
        <f t="shared" ca="1" si="250"/>
        <v>0.69874409238810853</v>
      </c>
      <c r="E4376" s="48">
        <f t="shared" ca="1" si="251"/>
        <v>0</v>
      </c>
      <c r="F4376" s="17">
        <f t="shared" ca="1" si="252"/>
        <v>0</v>
      </c>
      <c r="H4376" s="17">
        <v>4361</v>
      </c>
      <c r="I4376" s="43">
        <v>0.66738452470911103</v>
      </c>
      <c r="J4376" s="43">
        <v>1.8236289675921339E-2</v>
      </c>
      <c r="K4376" s="43"/>
      <c r="L4376" s="43">
        <v>0.25380000000000003</v>
      </c>
      <c r="O4376" s="50"/>
    </row>
    <row r="4377" spans="2:15" x14ac:dyDescent="0.2">
      <c r="B4377">
        <f t="shared" si="249"/>
        <v>4362</v>
      </c>
      <c r="C4377" s="48">
        <f ca="1"/>
        <v>-0.11196482624586843</v>
      </c>
      <c r="D4377" s="48">
        <f t="shared" ca="1" si="250"/>
        <v>0.65721099634724678</v>
      </c>
      <c r="E4377" s="48">
        <f t="shared" ca="1" si="251"/>
        <v>0</v>
      </c>
      <c r="F4377" s="17">
        <f t="shared" ca="1" si="252"/>
        <v>0</v>
      </c>
      <c r="H4377" s="17">
        <v>4362</v>
      </c>
      <c r="I4377" s="43">
        <v>0.66985318117133164</v>
      </c>
      <c r="J4377" s="43">
        <v>2.0053018793672748E-2</v>
      </c>
      <c r="K4377" s="43"/>
      <c r="L4377" s="43">
        <v>0.25259999999999999</v>
      </c>
      <c r="O4377" s="50"/>
    </row>
    <row r="4378" spans="2:15" x14ac:dyDescent="0.2">
      <c r="B4378">
        <f t="shared" si="249"/>
        <v>4363</v>
      </c>
      <c r="C4378" s="48">
        <f ca="1"/>
        <v>-1.0601916866740924</v>
      </c>
      <c r="D4378" s="48">
        <f t="shared" ca="1" si="250"/>
        <v>0.59855704349699335</v>
      </c>
      <c r="E4378" s="48">
        <f t="shared" ca="1" si="251"/>
        <v>0</v>
      </c>
      <c r="F4378" s="17">
        <f t="shared" ca="1" si="252"/>
        <v>0</v>
      </c>
      <c r="H4378" s="17">
        <v>4363</v>
      </c>
      <c r="I4378" s="43">
        <v>0.66916923925873284</v>
      </c>
      <c r="J4378" s="43">
        <v>1.9634965934181403E-2</v>
      </c>
      <c r="K4378" s="43"/>
      <c r="L4378" s="43">
        <v>0.24740000000000001</v>
      </c>
      <c r="O4378" s="50"/>
    </row>
    <row r="4379" spans="2:15" x14ac:dyDescent="0.2">
      <c r="B4379">
        <f t="shared" si="249"/>
        <v>4364</v>
      </c>
      <c r="C4379" s="48">
        <f ca="1"/>
        <v>0.74958323548552552</v>
      </c>
      <c r="D4379" s="48">
        <f t="shared" ca="1" si="250"/>
        <v>0.71547235548264532</v>
      </c>
      <c r="E4379" s="48">
        <f t="shared" ca="1" si="251"/>
        <v>0</v>
      </c>
      <c r="F4379" s="17">
        <f t="shared" ca="1" si="252"/>
        <v>0</v>
      </c>
      <c r="H4379" s="17">
        <v>4364</v>
      </c>
      <c r="I4379" s="43">
        <v>0.66882056018283054</v>
      </c>
      <c r="J4379" s="43">
        <v>1.9129332818076564E-2</v>
      </c>
      <c r="K4379" s="43"/>
      <c r="L4379" s="43">
        <v>0.24479999999999999</v>
      </c>
      <c r="O4379" s="50"/>
    </row>
    <row r="4380" spans="2:15" x14ac:dyDescent="0.2">
      <c r="B4380">
        <f t="shared" si="249"/>
        <v>4365</v>
      </c>
      <c r="C4380" s="48">
        <f ca="1"/>
        <v>-0.73800675212908329</v>
      </c>
      <c r="D4380" s="48">
        <f t="shared" ca="1" si="250"/>
        <v>0.61787441739798121</v>
      </c>
      <c r="E4380" s="48">
        <f t="shared" ca="1" si="251"/>
        <v>0</v>
      </c>
      <c r="F4380" s="17">
        <f t="shared" ca="1" si="252"/>
        <v>0</v>
      </c>
      <c r="H4380" s="17">
        <v>4365</v>
      </c>
      <c r="I4380" s="43">
        <v>0.66925678434091207</v>
      </c>
      <c r="J4380" s="43">
        <v>1.9729099150534661E-2</v>
      </c>
      <c r="K4380" s="43"/>
      <c r="L4380" s="43">
        <v>0.25340000000000001</v>
      </c>
      <c r="O4380" s="50"/>
    </row>
    <row r="4381" spans="2:15" x14ac:dyDescent="0.2">
      <c r="B4381">
        <f t="shared" si="249"/>
        <v>4366</v>
      </c>
      <c r="C4381" s="48">
        <f ca="1"/>
        <v>-2.1429235858654803</v>
      </c>
      <c r="D4381" s="48">
        <f t="shared" ca="1" si="250"/>
        <v>0.53795667806507008</v>
      </c>
      <c r="E4381" s="48">
        <f t="shared" ca="1" si="251"/>
        <v>0</v>
      </c>
      <c r="F4381" s="17">
        <f t="shared" ca="1" si="252"/>
        <v>0</v>
      </c>
      <c r="H4381" s="17">
        <v>4366</v>
      </c>
      <c r="I4381" s="43">
        <v>0.66891375045249379</v>
      </c>
      <c r="J4381" s="43">
        <v>1.9441803706800511E-2</v>
      </c>
      <c r="K4381" s="43"/>
      <c r="L4381" s="43">
        <v>0.2492</v>
      </c>
      <c r="O4381" s="50"/>
    </row>
    <row r="4382" spans="2:15" x14ac:dyDescent="0.2">
      <c r="B4382">
        <f t="shared" si="249"/>
        <v>4367</v>
      </c>
      <c r="C4382" s="48">
        <f ca="1"/>
        <v>0.65215364454249125</v>
      </c>
      <c r="D4382" s="48">
        <f t="shared" ca="1" si="250"/>
        <v>0.7086329027111723</v>
      </c>
      <c r="E4382" s="48">
        <f t="shared" ca="1" si="251"/>
        <v>0</v>
      </c>
      <c r="F4382" s="17">
        <f t="shared" ca="1" si="252"/>
        <v>0</v>
      </c>
      <c r="H4382" s="17">
        <v>4367</v>
      </c>
      <c r="I4382" s="43">
        <v>0.66812963812564008</v>
      </c>
      <c r="J4382" s="43">
        <v>1.8914811083085296E-2</v>
      </c>
      <c r="K4382" s="43"/>
      <c r="L4382" s="43">
        <v>0.24660000000000001</v>
      </c>
      <c r="O4382" s="50"/>
    </row>
    <row r="4383" spans="2:15" x14ac:dyDescent="0.2">
      <c r="B4383">
        <f t="shared" si="249"/>
        <v>4368</v>
      </c>
      <c r="C4383" s="48">
        <f ca="1"/>
        <v>0.25718148151127385</v>
      </c>
      <c r="D4383" s="48">
        <f t="shared" ca="1" si="250"/>
        <v>0.6815695625172834</v>
      </c>
      <c r="E4383" s="48">
        <f t="shared" ca="1" si="251"/>
        <v>0</v>
      </c>
      <c r="F4383" s="17">
        <f t="shared" ca="1" si="252"/>
        <v>0</v>
      </c>
      <c r="H4383" s="17">
        <v>4368</v>
      </c>
      <c r="I4383" s="43">
        <v>0.66827881711684256</v>
      </c>
      <c r="J4383" s="43">
        <v>1.9102278921013703E-2</v>
      </c>
      <c r="K4383" s="43"/>
      <c r="L4383" s="43">
        <v>0.25419999999999998</v>
      </c>
      <c r="O4383" s="50"/>
    </row>
    <row r="4384" spans="2:15" x14ac:dyDescent="0.2">
      <c r="B4384">
        <f t="shared" si="249"/>
        <v>4369</v>
      </c>
      <c r="C4384" s="48">
        <f ca="1"/>
        <v>0.16376737398103852</v>
      </c>
      <c r="D4384" s="48">
        <f t="shared" ca="1" si="250"/>
        <v>0.67532148940510739</v>
      </c>
      <c r="E4384" s="48">
        <f t="shared" ca="1" si="251"/>
        <v>0</v>
      </c>
      <c r="F4384" s="17">
        <f t="shared" ca="1" si="252"/>
        <v>0</v>
      </c>
      <c r="H4384" s="17">
        <v>4369</v>
      </c>
      <c r="I4384" s="43">
        <v>0.66880428810378734</v>
      </c>
      <c r="J4384" s="43">
        <v>1.9399159030071254E-2</v>
      </c>
      <c r="K4384" s="43"/>
      <c r="L4384" s="43">
        <v>0.25180000000000002</v>
      </c>
      <c r="O4384" s="50"/>
    </row>
    <row r="4385" spans="2:15" x14ac:dyDescent="0.2">
      <c r="B4385">
        <f t="shared" si="249"/>
        <v>4370</v>
      </c>
      <c r="C4385" s="48">
        <f ca="1"/>
        <v>-0.19862996204154224</v>
      </c>
      <c r="D4385" s="48">
        <f t="shared" ca="1" si="250"/>
        <v>0.6516196427514459</v>
      </c>
      <c r="E4385" s="48">
        <f t="shared" ca="1" si="251"/>
        <v>0</v>
      </c>
      <c r="F4385" s="17">
        <f t="shared" ca="1" si="252"/>
        <v>0</v>
      </c>
      <c r="H4385" s="17">
        <v>4370</v>
      </c>
      <c r="I4385" s="43">
        <v>0.67013237372678491</v>
      </c>
      <c r="J4385" s="43">
        <v>2.0109890247214105E-2</v>
      </c>
      <c r="K4385" s="43"/>
      <c r="L4385" s="43">
        <v>0.25580000000000003</v>
      </c>
      <c r="O4385" s="50"/>
    </row>
    <row r="4386" spans="2:15" x14ac:dyDescent="0.2">
      <c r="B4386">
        <f t="shared" si="249"/>
        <v>4371</v>
      </c>
      <c r="C4386" s="48">
        <f ca="1"/>
        <v>9.8322075746170162E-2</v>
      </c>
      <c r="D4386" s="48">
        <f t="shared" ca="1" si="250"/>
        <v>0.67097828327261477</v>
      </c>
      <c r="E4386" s="48">
        <f t="shared" ca="1" si="251"/>
        <v>0</v>
      </c>
      <c r="F4386" s="17">
        <f t="shared" ca="1" si="252"/>
        <v>0</v>
      </c>
      <c r="H4386" s="17">
        <v>4371</v>
      </c>
      <c r="I4386" s="43">
        <v>0.6680337985296122</v>
      </c>
      <c r="J4386" s="43">
        <v>1.8570047487070331E-2</v>
      </c>
      <c r="K4386" s="43"/>
      <c r="L4386" s="43">
        <v>0.2394</v>
      </c>
      <c r="O4386" s="50"/>
    </row>
    <row r="4387" spans="2:15" x14ac:dyDescent="0.2">
      <c r="B4387">
        <f t="shared" si="249"/>
        <v>4372</v>
      </c>
      <c r="C4387" s="48">
        <f ca="1"/>
        <v>1.1440850331362471</v>
      </c>
      <c r="D4387" s="48">
        <f t="shared" ca="1" si="250"/>
        <v>0.74384739209939066</v>
      </c>
      <c r="E4387" s="48">
        <f t="shared" ca="1" si="251"/>
        <v>0</v>
      </c>
      <c r="F4387" s="17">
        <f t="shared" ca="1" si="252"/>
        <v>0</v>
      </c>
      <c r="H4387" s="17">
        <v>4372</v>
      </c>
      <c r="I4387" s="43">
        <v>0.66763080349584913</v>
      </c>
      <c r="J4387" s="43">
        <v>1.8148353681280885E-2</v>
      </c>
      <c r="K4387" s="43"/>
      <c r="L4387" s="43">
        <v>0.24340000000000001</v>
      </c>
      <c r="O4387" s="50"/>
    </row>
    <row r="4388" spans="2:15" x14ac:dyDescent="0.2">
      <c r="B4388">
        <f t="shared" si="249"/>
        <v>4373</v>
      </c>
      <c r="C4388" s="48">
        <f ca="1"/>
        <v>-2.012483072925398E-2</v>
      </c>
      <c r="D4388" s="48">
        <f t="shared" ca="1" si="250"/>
        <v>0.663188584501749</v>
      </c>
      <c r="E4388" s="48">
        <f t="shared" ca="1" si="251"/>
        <v>0</v>
      </c>
      <c r="F4388" s="17">
        <f t="shared" ca="1" si="252"/>
        <v>0</v>
      </c>
      <c r="H4388" s="17">
        <v>4373</v>
      </c>
      <c r="I4388" s="43">
        <v>0.66903864661768364</v>
      </c>
      <c r="J4388" s="43">
        <v>1.9566049499132831E-2</v>
      </c>
      <c r="K4388" s="43"/>
      <c r="L4388" s="43">
        <v>0.24660000000000001</v>
      </c>
      <c r="O4388" s="50"/>
    </row>
    <row r="4389" spans="2:15" x14ac:dyDescent="0.2">
      <c r="B4389">
        <f t="shared" si="249"/>
        <v>4374</v>
      </c>
      <c r="C4389" s="48">
        <f ca="1"/>
        <v>0.64107622188305668</v>
      </c>
      <c r="D4389" s="48">
        <f t="shared" ca="1" si="250"/>
        <v>0.7078594306401772</v>
      </c>
      <c r="E4389" s="48">
        <f t="shared" ca="1" si="251"/>
        <v>0</v>
      </c>
      <c r="F4389" s="17">
        <f t="shared" ca="1" si="252"/>
        <v>0</v>
      </c>
      <c r="H4389" s="17">
        <v>4374</v>
      </c>
      <c r="I4389" s="43">
        <v>0.66969172271019461</v>
      </c>
      <c r="J4389" s="43">
        <v>1.9812684969997107E-2</v>
      </c>
      <c r="K4389" s="43"/>
      <c r="L4389" s="43">
        <v>0.25659999999999999</v>
      </c>
      <c r="O4389" s="50"/>
    </row>
    <row r="4390" spans="2:15" x14ac:dyDescent="0.2">
      <c r="B4390">
        <f t="shared" si="249"/>
        <v>4375</v>
      </c>
      <c r="C4390" s="48">
        <f ca="1"/>
        <v>0.50518896479714137</v>
      </c>
      <c r="D4390" s="48">
        <f t="shared" ca="1" si="250"/>
        <v>0.69843963135461129</v>
      </c>
      <c r="E4390" s="48">
        <f t="shared" ca="1" si="251"/>
        <v>0</v>
      </c>
      <c r="F4390" s="17">
        <f t="shared" ca="1" si="252"/>
        <v>0</v>
      </c>
      <c r="H4390" s="17">
        <v>4375</v>
      </c>
      <c r="I4390" s="43">
        <v>0.66923127467226329</v>
      </c>
      <c r="J4390" s="43">
        <v>1.9436307428120789E-2</v>
      </c>
      <c r="K4390" s="43"/>
      <c r="L4390" s="43">
        <v>0.24959999999999999</v>
      </c>
      <c r="O4390" s="50"/>
    </row>
    <row r="4391" spans="2:15" x14ac:dyDescent="0.2">
      <c r="B4391">
        <f t="shared" si="249"/>
        <v>4376</v>
      </c>
      <c r="C4391" s="48">
        <f ca="1"/>
        <v>-0.11744395435898575</v>
      </c>
      <c r="D4391" s="48">
        <f t="shared" ca="1" si="250"/>
        <v>0.65685608432954423</v>
      </c>
      <c r="E4391" s="48">
        <f t="shared" ca="1" si="251"/>
        <v>0</v>
      </c>
      <c r="F4391" s="17">
        <f t="shared" ca="1" si="252"/>
        <v>0</v>
      </c>
      <c r="H4391" s="17">
        <v>4376</v>
      </c>
      <c r="I4391" s="43">
        <v>0.66835620419411501</v>
      </c>
      <c r="J4391" s="43">
        <v>1.92544853333384E-2</v>
      </c>
      <c r="K4391" s="43"/>
      <c r="L4391" s="43">
        <v>0.24779999999999999</v>
      </c>
      <c r="O4391" s="50"/>
    </row>
    <row r="4392" spans="2:15" x14ac:dyDescent="0.2">
      <c r="B4392">
        <f t="shared" si="249"/>
        <v>4377</v>
      </c>
      <c r="C4392" s="48">
        <f ca="1"/>
        <v>1.2704552975153698</v>
      </c>
      <c r="D4392" s="48">
        <f t="shared" ca="1" si="250"/>
        <v>0.75317260170376232</v>
      </c>
      <c r="E4392" s="48">
        <f t="shared" ca="1" si="251"/>
        <v>0</v>
      </c>
      <c r="F4392" s="17">
        <f t="shared" ca="1" si="252"/>
        <v>0</v>
      </c>
      <c r="H4392" s="17">
        <v>4377</v>
      </c>
      <c r="I4392" s="43">
        <v>0.6682029874832649</v>
      </c>
      <c r="J4392" s="43">
        <v>1.8748869313457279E-2</v>
      </c>
      <c r="K4392" s="43"/>
      <c r="L4392" s="43">
        <v>0.24840000000000001</v>
      </c>
      <c r="O4392" s="50"/>
    </row>
    <row r="4393" spans="2:15" x14ac:dyDescent="0.2">
      <c r="B4393">
        <f t="shared" si="249"/>
        <v>4378</v>
      </c>
      <c r="C4393" s="48">
        <f ca="1"/>
        <v>1.5468092393325037</v>
      </c>
      <c r="D4393" s="48">
        <f t="shared" ca="1" si="250"/>
        <v>0.77397490930108614</v>
      </c>
      <c r="E4393" s="48">
        <f t="shared" ca="1" si="251"/>
        <v>0</v>
      </c>
      <c r="F4393" s="17">
        <f t="shared" ca="1" si="252"/>
        <v>0</v>
      </c>
      <c r="H4393" s="17">
        <v>4378</v>
      </c>
      <c r="I4393" s="43">
        <v>0.66975564624402273</v>
      </c>
      <c r="J4393" s="43">
        <v>1.9841736169576518E-2</v>
      </c>
      <c r="K4393" s="43"/>
      <c r="L4393" s="43">
        <v>0.25519999999999998</v>
      </c>
      <c r="O4393" s="50"/>
    </row>
    <row r="4394" spans="2:15" x14ac:dyDescent="0.2">
      <c r="B4394">
        <f t="shared" si="249"/>
        <v>4379</v>
      </c>
      <c r="C4394" s="48">
        <f ca="1"/>
        <v>-0.33594908307828858</v>
      </c>
      <c r="D4394" s="48">
        <f t="shared" ca="1" si="250"/>
        <v>0.64285749661741609</v>
      </c>
      <c r="E4394" s="48">
        <f t="shared" ca="1" si="251"/>
        <v>0</v>
      </c>
      <c r="F4394" s="17">
        <f t="shared" ca="1" si="252"/>
        <v>0</v>
      </c>
      <c r="H4394" s="17">
        <v>4379</v>
      </c>
      <c r="I4394" s="43">
        <v>0.66902594764077183</v>
      </c>
      <c r="J4394" s="43">
        <v>1.9557235982498592E-2</v>
      </c>
      <c r="K4394" s="43"/>
      <c r="L4394" s="43">
        <v>0.249</v>
      </c>
      <c r="O4394" s="50"/>
    </row>
    <row r="4395" spans="2:15" x14ac:dyDescent="0.2">
      <c r="B4395">
        <f t="shared" si="249"/>
        <v>4380</v>
      </c>
      <c r="C4395" s="48">
        <f ca="1"/>
        <v>-3.8044147567269558E-2</v>
      </c>
      <c r="D4395" s="48">
        <f t="shared" ca="1" si="250"/>
        <v>0.66201801649284298</v>
      </c>
      <c r="E4395" s="48">
        <f t="shared" ca="1" si="251"/>
        <v>0</v>
      </c>
      <c r="F4395" s="17">
        <f t="shared" ca="1" si="252"/>
        <v>0</v>
      </c>
      <c r="H4395" s="17">
        <v>4380</v>
      </c>
      <c r="I4395" s="43">
        <v>0.66886255308335607</v>
      </c>
      <c r="J4395" s="43">
        <v>1.9118805543246051E-2</v>
      </c>
      <c r="K4395" s="43"/>
      <c r="L4395" s="43">
        <v>0.2482</v>
      </c>
      <c r="O4395" s="50"/>
    </row>
    <row r="4396" spans="2:15" x14ac:dyDescent="0.2">
      <c r="B4396">
        <f t="shared" si="249"/>
        <v>4381</v>
      </c>
      <c r="C4396" s="48">
        <f ca="1"/>
        <v>-0.76964692199941376</v>
      </c>
      <c r="D4396" s="48">
        <f t="shared" ca="1" si="250"/>
        <v>0.6159500696125243</v>
      </c>
      <c r="E4396" s="48">
        <f t="shared" ca="1" si="251"/>
        <v>0</v>
      </c>
      <c r="F4396" s="17">
        <f t="shared" ca="1" si="252"/>
        <v>0</v>
      </c>
      <c r="H4396" s="17">
        <v>4381</v>
      </c>
      <c r="I4396" s="43">
        <v>0.6681527420426232</v>
      </c>
      <c r="J4396" s="43">
        <v>1.8456551929850299E-2</v>
      </c>
      <c r="K4396" s="43"/>
      <c r="L4396" s="43">
        <v>0.2422</v>
      </c>
      <c r="O4396" s="50"/>
    </row>
    <row r="4397" spans="2:15" x14ac:dyDescent="0.2">
      <c r="B4397">
        <f t="shared" si="249"/>
        <v>4382</v>
      </c>
      <c r="C4397" s="48">
        <f ca="1"/>
        <v>0.53378320964365256</v>
      </c>
      <c r="D4397" s="48">
        <f t="shared" ca="1" si="250"/>
        <v>0.70041133443950809</v>
      </c>
      <c r="E4397" s="48">
        <f t="shared" ca="1" si="251"/>
        <v>0</v>
      </c>
      <c r="F4397" s="17">
        <f t="shared" ca="1" si="252"/>
        <v>0</v>
      </c>
      <c r="H4397" s="17">
        <v>4382</v>
      </c>
      <c r="I4397" s="43">
        <v>0.66989207422772401</v>
      </c>
      <c r="J4397" s="43">
        <v>1.9832227892614018E-2</v>
      </c>
      <c r="K4397" s="43"/>
      <c r="L4397" s="43">
        <v>0.25540000000000002</v>
      </c>
      <c r="O4397" s="50"/>
    </row>
    <row r="4398" spans="2:15" x14ac:dyDescent="0.2">
      <c r="B4398">
        <f t="shared" si="249"/>
        <v>4383</v>
      </c>
      <c r="C4398" s="48">
        <f ca="1"/>
        <v>0.68599919666034048</v>
      </c>
      <c r="D4398" s="48">
        <f t="shared" ca="1" si="250"/>
        <v>0.71100138097737631</v>
      </c>
      <c r="E4398" s="48">
        <f t="shared" ca="1" si="251"/>
        <v>0</v>
      </c>
      <c r="F4398" s="17">
        <f t="shared" ca="1" si="252"/>
        <v>0</v>
      </c>
      <c r="H4398" s="17">
        <v>4383</v>
      </c>
      <c r="I4398" s="43">
        <v>0.66864469520693159</v>
      </c>
      <c r="J4398" s="43">
        <v>1.9029715623825154E-2</v>
      </c>
      <c r="K4398" s="43"/>
      <c r="L4398" s="43">
        <v>0.25219999999999998</v>
      </c>
      <c r="O4398" s="50"/>
    </row>
    <row r="4399" spans="2:15" x14ac:dyDescent="0.2">
      <c r="B4399">
        <f t="shared" si="249"/>
        <v>4384</v>
      </c>
      <c r="C4399" s="48">
        <f ca="1"/>
        <v>1.1484299971400522</v>
      </c>
      <c r="D4399" s="48">
        <f t="shared" ca="1" si="250"/>
        <v>0.7441660940843825</v>
      </c>
      <c r="E4399" s="48">
        <f t="shared" ca="1" si="251"/>
        <v>0</v>
      </c>
      <c r="F4399" s="17">
        <f t="shared" ca="1" si="252"/>
        <v>0</v>
      </c>
      <c r="H4399" s="17">
        <v>4384</v>
      </c>
      <c r="I4399" s="43">
        <v>0.66906482940922229</v>
      </c>
      <c r="J4399" s="43">
        <v>1.949639390698571E-2</v>
      </c>
      <c r="K4399" s="43"/>
      <c r="L4399" s="43">
        <v>0.25140000000000001</v>
      </c>
      <c r="O4399" s="50"/>
    </row>
    <row r="4400" spans="2:15" x14ac:dyDescent="0.2">
      <c r="B4400">
        <f t="shared" si="249"/>
        <v>4385</v>
      </c>
      <c r="C4400" s="48">
        <f ca="1"/>
        <v>-0.13543620149959648</v>
      </c>
      <c r="D4400" s="48">
        <f t="shared" ca="1" si="250"/>
        <v>0.65569197911542809</v>
      </c>
      <c r="E4400" s="48">
        <f t="shared" ca="1" si="251"/>
        <v>0</v>
      </c>
      <c r="F4400" s="17">
        <f t="shared" ca="1" si="252"/>
        <v>0</v>
      </c>
      <c r="H4400" s="17">
        <v>4385</v>
      </c>
      <c r="I4400" s="43">
        <v>0.66864116350792613</v>
      </c>
      <c r="J4400" s="43">
        <v>1.9548922879754266E-2</v>
      </c>
      <c r="K4400" s="43"/>
      <c r="L4400" s="43">
        <v>0.25600000000000001</v>
      </c>
      <c r="O4400" s="50"/>
    </row>
    <row r="4401" spans="2:15" x14ac:dyDescent="0.2">
      <c r="B4401">
        <f t="shared" ref="B4401:B4464" si="253">B4400+1</f>
        <v>4386</v>
      </c>
      <c r="C4401" s="48">
        <f ca="1"/>
        <v>-0.53707040158236219</v>
      </c>
      <c r="D4401" s="48">
        <f t="shared" ca="1" si="250"/>
        <v>0.63023643024972031</v>
      </c>
      <c r="E4401" s="48">
        <f t="shared" ca="1" si="251"/>
        <v>0</v>
      </c>
      <c r="F4401" s="17">
        <f t="shared" ca="1" si="252"/>
        <v>0</v>
      </c>
      <c r="H4401" s="17">
        <v>4386</v>
      </c>
      <c r="I4401" s="43">
        <v>0.66846751074605637</v>
      </c>
      <c r="J4401" s="43">
        <v>1.8941241128430389E-2</v>
      </c>
      <c r="K4401" s="43"/>
      <c r="L4401" s="43">
        <v>0.254</v>
      </c>
      <c r="O4401" s="50"/>
    </row>
    <row r="4402" spans="2:15" x14ac:dyDescent="0.2">
      <c r="B4402">
        <f t="shared" si="253"/>
        <v>4387</v>
      </c>
      <c r="C4402" s="48">
        <f ca="1"/>
        <v>-2.6775813967939621</v>
      </c>
      <c r="D4402" s="48">
        <f t="shared" ca="1" si="250"/>
        <v>0.51033505067404028</v>
      </c>
      <c r="E4402" s="48">
        <f t="shared" ca="1" si="251"/>
        <v>0</v>
      </c>
      <c r="F4402" s="17">
        <f t="shared" ca="1" si="252"/>
        <v>0</v>
      </c>
      <c r="H4402" s="17">
        <v>4387</v>
      </c>
      <c r="I4402" s="43">
        <v>0.66901021661659876</v>
      </c>
      <c r="J4402" s="43">
        <v>1.9596438228746467E-2</v>
      </c>
      <c r="K4402" s="43"/>
      <c r="L4402" s="43">
        <v>0.25580000000000003</v>
      </c>
      <c r="O4402" s="50"/>
    </row>
    <row r="4403" spans="2:15" x14ac:dyDescent="0.2">
      <c r="B4403">
        <f t="shared" si="253"/>
        <v>4388</v>
      </c>
      <c r="C4403" s="48">
        <f ca="1"/>
        <v>0.36424309727760851</v>
      </c>
      <c r="D4403" s="48">
        <f t="shared" ca="1" si="250"/>
        <v>0.68880158374468348</v>
      </c>
      <c r="E4403" s="48">
        <f t="shared" ca="1" si="251"/>
        <v>0</v>
      </c>
      <c r="F4403" s="17">
        <f t="shared" ca="1" si="252"/>
        <v>0</v>
      </c>
      <c r="H4403" s="17">
        <v>4388</v>
      </c>
      <c r="I4403" s="43">
        <v>0.6692369564114653</v>
      </c>
      <c r="J4403" s="43">
        <v>1.9500035822223965E-2</v>
      </c>
      <c r="K4403" s="43"/>
      <c r="L4403" s="43">
        <v>0.2462</v>
      </c>
      <c r="O4403" s="50"/>
    </row>
    <row r="4404" spans="2:15" x14ac:dyDescent="0.2">
      <c r="B4404">
        <f t="shared" si="253"/>
        <v>4389</v>
      </c>
      <c r="C4404" s="48">
        <f ca="1"/>
        <v>-1.2076095150665171</v>
      </c>
      <c r="D4404" s="48">
        <f t="shared" ca="1" si="250"/>
        <v>0.58992079406006315</v>
      </c>
      <c r="E4404" s="48">
        <f t="shared" ca="1" si="251"/>
        <v>0</v>
      </c>
      <c r="F4404" s="17">
        <f t="shared" ca="1" si="252"/>
        <v>0</v>
      </c>
      <c r="H4404" s="17">
        <v>4389</v>
      </c>
      <c r="I4404" s="43">
        <v>0.66871913253665183</v>
      </c>
      <c r="J4404" s="43">
        <v>1.9052796240524545E-2</v>
      </c>
      <c r="K4404" s="43"/>
      <c r="L4404" s="43">
        <v>0.24879999999999999</v>
      </c>
      <c r="O4404" s="50"/>
    </row>
    <row r="4405" spans="2:15" x14ac:dyDescent="0.2">
      <c r="B4405">
        <f t="shared" si="253"/>
        <v>4390</v>
      </c>
      <c r="C4405" s="48">
        <f ca="1"/>
        <v>0.73139527532687865</v>
      </c>
      <c r="D4405" s="48">
        <f t="shared" ca="1" si="250"/>
        <v>0.71419058796011481</v>
      </c>
      <c r="E4405" s="48">
        <f t="shared" ca="1" si="251"/>
        <v>0</v>
      </c>
      <c r="F4405" s="17">
        <f t="shared" ca="1" si="252"/>
        <v>0</v>
      </c>
      <c r="H4405" s="17">
        <v>4390</v>
      </c>
      <c r="I4405" s="43">
        <v>0.66790937887491397</v>
      </c>
      <c r="J4405" s="43">
        <v>1.8366347416642198E-2</v>
      </c>
      <c r="K4405" s="43"/>
      <c r="L4405" s="43">
        <v>0.24299999999999999</v>
      </c>
      <c r="O4405" s="50"/>
    </row>
    <row r="4406" spans="2:15" x14ac:dyDescent="0.2">
      <c r="B4406">
        <f t="shared" si="253"/>
        <v>4391</v>
      </c>
      <c r="C4406" s="48">
        <f ca="1"/>
        <v>-1.3227241263893237</v>
      </c>
      <c r="D4406" s="48">
        <f t="shared" ca="1" si="250"/>
        <v>0.5832637131675622</v>
      </c>
      <c r="E4406" s="48">
        <f t="shared" ca="1" si="251"/>
        <v>0</v>
      </c>
      <c r="F4406" s="17">
        <f t="shared" ca="1" si="252"/>
        <v>0</v>
      </c>
      <c r="H4406" s="17">
        <v>4391</v>
      </c>
      <c r="I4406" s="43">
        <v>0.66823976028303222</v>
      </c>
      <c r="J4406" s="43">
        <v>1.8786532791598011E-2</v>
      </c>
      <c r="K4406" s="43"/>
      <c r="L4406" s="43">
        <v>0.246</v>
      </c>
      <c r="O4406" s="50"/>
    </row>
    <row r="4407" spans="2:15" x14ac:dyDescent="0.2">
      <c r="B4407">
        <f t="shared" si="253"/>
        <v>4392</v>
      </c>
      <c r="C4407" s="48">
        <f ca="1"/>
        <v>0.57952616916933197</v>
      </c>
      <c r="D4407" s="48">
        <f t="shared" ca="1" si="250"/>
        <v>0.70357710020824094</v>
      </c>
      <c r="E4407" s="48">
        <f t="shared" ca="1" si="251"/>
        <v>0</v>
      </c>
      <c r="F4407" s="17">
        <f t="shared" ca="1" si="252"/>
        <v>0</v>
      </c>
      <c r="H4407" s="17">
        <v>4392</v>
      </c>
      <c r="I4407" s="43">
        <v>0.66916807933645928</v>
      </c>
      <c r="J4407" s="43">
        <v>1.9410953701406487E-2</v>
      </c>
      <c r="K4407" s="43"/>
      <c r="L4407" s="43">
        <v>0.24979999999999999</v>
      </c>
      <c r="O4407" s="50"/>
    </row>
    <row r="4408" spans="2:15" x14ac:dyDescent="0.2">
      <c r="B4408">
        <f t="shared" si="253"/>
        <v>4393</v>
      </c>
      <c r="C4408" s="48">
        <f ca="1"/>
        <v>-0.14019853652222838</v>
      </c>
      <c r="D4408" s="48">
        <f t="shared" ca="1" si="250"/>
        <v>0.65538419968781114</v>
      </c>
      <c r="E4408" s="48">
        <f t="shared" ca="1" si="251"/>
        <v>0</v>
      </c>
      <c r="F4408" s="17">
        <f t="shared" ca="1" si="252"/>
        <v>0</v>
      </c>
      <c r="H4408" s="17">
        <v>4393</v>
      </c>
      <c r="I4408" s="43">
        <v>0.66884723614299169</v>
      </c>
      <c r="J4408" s="43">
        <v>1.9295813825371873E-2</v>
      </c>
      <c r="K4408" s="43"/>
      <c r="L4408" s="43">
        <v>0.25540000000000002</v>
      </c>
      <c r="O4408" s="50"/>
    </row>
    <row r="4409" spans="2:15" x14ac:dyDescent="0.2">
      <c r="B4409">
        <f t="shared" si="253"/>
        <v>4394</v>
      </c>
      <c r="C4409" s="48">
        <f ca="1"/>
        <v>0.69428096779846971</v>
      </c>
      <c r="D4409" s="48">
        <f t="shared" ca="1" si="250"/>
        <v>0.71158213563012651</v>
      </c>
      <c r="E4409" s="48">
        <f t="shared" ca="1" si="251"/>
        <v>0</v>
      </c>
      <c r="F4409" s="17">
        <f t="shared" ca="1" si="252"/>
        <v>0</v>
      </c>
      <c r="H4409" s="17">
        <v>4394</v>
      </c>
      <c r="I4409" s="43">
        <v>0.6702064927168343</v>
      </c>
      <c r="J4409" s="43">
        <v>2.0148028959066151E-2</v>
      </c>
      <c r="K4409" s="43"/>
      <c r="L4409" s="43">
        <v>0.25459999999999999</v>
      </c>
      <c r="O4409" s="50"/>
    </row>
    <row r="4410" spans="2:15" x14ac:dyDescent="0.2">
      <c r="B4410">
        <f t="shared" si="253"/>
        <v>4395</v>
      </c>
      <c r="C4410" s="48">
        <f ca="1"/>
        <v>-0.52959626013867633</v>
      </c>
      <c r="D4410" s="48">
        <f t="shared" ca="1" si="250"/>
        <v>0.63070099531971635</v>
      </c>
      <c r="E4410" s="48">
        <f t="shared" ca="1" si="251"/>
        <v>0</v>
      </c>
      <c r="F4410" s="17">
        <f t="shared" ca="1" si="252"/>
        <v>0</v>
      </c>
      <c r="H4410" s="17">
        <v>4395</v>
      </c>
      <c r="I4410" s="43">
        <v>0.66833722627513947</v>
      </c>
      <c r="J4410" s="43">
        <v>1.8885800332191383E-2</v>
      </c>
      <c r="K4410" s="43"/>
      <c r="L4410" s="43">
        <v>0.25219999999999998</v>
      </c>
      <c r="O4410" s="50"/>
    </row>
    <row r="4411" spans="2:15" x14ac:dyDescent="0.2">
      <c r="B4411">
        <f t="shared" si="253"/>
        <v>4396</v>
      </c>
      <c r="C4411" s="48">
        <f ca="1"/>
        <v>-7.1323073175958304E-2</v>
      </c>
      <c r="D4411" s="48">
        <f t="shared" ca="1" si="250"/>
        <v>0.65984957062142879</v>
      </c>
      <c r="E4411" s="48">
        <f t="shared" ca="1" si="251"/>
        <v>0</v>
      </c>
      <c r="F4411" s="17">
        <f t="shared" ca="1" si="252"/>
        <v>0</v>
      </c>
      <c r="H4411" s="17">
        <v>4396</v>
      </c>
      <c r="I4411" s="43">
        <v>0.66969278644374652</v>
      </c>
      <c r="J4411" s="43">
        <v>2.0050395563672847E-2</v>
      </c>
      <c r="K4411" s="43"/>
      <c r="L4411" s="43">
        <v>0.25600000000000001</v>
      </c>
      <c r="O4411" s="50"/>
    </row>
    <row r="4412" spans="2:15" x14ac:dyDescent="0.2">
      <c r="B4412">
        <f t="shared" si="253"/>
        <v>4397</v>
      </c>
      <c r="C4412" s="48">
        <f ca="1"/>
        <v>-1.759439639878444</v>
      </c>
      <c r="D4412" s="48">
        <f t="shared" ca="1" si="250"/>
        <v>0.55868440596967894</v>
      </c>
      <c r="E4412" s="48">
        <f t="shared" ca="1" si="251"/>
        <v>0</v>
      </c>
      <c r="F4412" s="17">
        <f t="shared" ca="1" si="252"/>
        <v>0</v>
      </c>
      <c r="H4412" s="17">
        <v>4397</v>
      </c>
      <c r="I4412" s="43">
        <v>0.66869264986399035</v>
      </c>
      <c r="J4412" s="43">
        <v>1.90042221121536E-2</v>
      </c>
      <c r="K4412" s="43"/>
      <c r="L4412" s="43">
        <v>0.24540000000000001</v>
      </c>
      <c r="O4412" s="50"/>
    </row>
    <row r="4413" spans="2:15" x14ac:dyDescent="0.2">
      <c r="B4413">
        <f t="shared" si="253"/>
        <v>4398</v>
      </c>
      <c r="C4413" s="48">
        <f ca="1"/>
        <v>0.70834203393609541</v>
      </c>
      <c r="D4413" s="48">
        <f t="shared" ca="1" si="250"/>
        <v>0.71256924679047384</v>
      </c>
      <c r="E4413" s="48">
        <f t="shared" ca="1" si="251"/>
        <v>0</v>
      </c>
      <c r="F4413" s="17">
        <f t="shared" ca="1" si="252"/>
        <v>0</v>
      </c>
      <c r="H4413" s="17">
        <v>4398</v>
      </c>
      <c r="I4413" s="43">
        <v>0.66963805758769446</v>
      </c>
      <c r="J4413" s="43">
        <v>2.0044532145160665E-2</v>
      </c>
      <c r="K4413" s="43"/>
      <c r="L4413" s="43">
        <v>0.25640000000000002</v>
      </c>
      <c r="O4413" s="50"/>
    </row>
    <row r="4414" spans="2:15" x14ac:dyDescent="0.2">
      <c r="B4414">
        <f t="shared" si="253"/>
        <v>4399</v>
      </c>
      <c r="C4414" s="48">
        <f ca="1"/>
        <v>0.44791122315002946</v>
      </c>
      <c r="D4414" s="48">
        <f t="shared" ca="1" si="250"/>
        <v>0.69450674989585359</v>
      </c>
      <c r="E4414" s="48">
        <f t="shared" ca="1" si="251"/>
        <v>0</v>
      </c>
      <c r="F4414" s="17">
        <f t="shared" ca="1" si="252"/>
        <v>0</v>
      </c>
      <c r="H4414" s="17">
        <v>4399</v>
      </c>
      <c r="I4414" s="43">
        <v>0.66862323501733811</v>
      </c>
      <c r="J4414" s="43">
        <v>1.9135798474429637E-2</v>
      </c>
      <c r="K4414" s="43"/>
      <c r="L4414" s="43">
        <v>0.246</v>
      </c>
      <c r="O4414" s="50"/>
    </row>
    <row r="4415" spans="2:15" x14ac:dyDescent="0.2">
      <c r="B4415">
        <f t="shared" si="253"/>
        <v>4400</v>
      </c>
      <c r="C4415" s="48">
        <f ca="1"/>
        <v>-1.0505224855609161</v>
      </c>
      <c r="D4415" s="48">
        <f t="shared" ca="1" si="250"/>
        <v>0.59912789726799343</v>
      </c>
      <c r="E4415" s="48">
        <f t="shared" ca="1" si="251"/>
        <v>0</v>
      </c>
      <c r="F4415" s="17">
        <f t="shared" ca="1" si="252"/>
        <v>0</v>
      </c>
      <c r="H4415" s="17">
        <v>4400</v>
      </c>
      <c r="I4415" s="43">
        <v>0.66880412094466224</v>
      </c>
      <c r="J4415" s="43">
        <v>1.9407000142391193E-2</v>
      </c>
      <c r="K4415" s="43"/>
      <c r="L4415" s="43">
        <v>0.25480000000000003</v>
      </c>
      <c r="O4415" s="50"/>
    </row>
    <row r="4416" spans="2:15" x14ac:dyDescent="0.2">
      <c r="B4416">
        <f t="shared" si="253"/>
        <v>4401</v>
      </c>
      <c r="C4416" s="48">
        <f ca="1"/>
        <v>-0.38028310700885704</v>
      </c>
      <c r="D4416" s="48">
        <f t="shared" ca="1" si="250"/>
        <v>0.64005383996061072</v>
      </c>
      <c r="E4416" s="48">
        <f t="shared" ca="1" si="251"/>
        <v>0</v>
      </c>
      <c r="F4416" s="17">
        <f t="shared" ca="1" si="252"/>
        <v>0</v>
      </c>
      <c r="H4416" s="17">
        <v>4401</v>
      </c>
      <c r="I4416" s="43">
        <v>0.66872240896359947</v>
      </c>
      <c r="J4416" s="43">
        <v>1.9040349656471563E-2</v>
      </c>
      <c r="K4416" s="43"/>
      <c r="L4416" s="43">
        <v>0.24440000000000001</v>
      </c>
      <c r="O4416" s="50"/>
    </row>
    <row r="4417" spans="2:15" x14ac:dyDescent="0.2">
      <c r="B4417">
        <f t="shared" si="253"/>
        <v>4402</v>
      </c>
      <c r="C4417" s="48">
        <f ca="1"/>
        <v>-1.3970205318607147</v>
      </c>
      <c r="D4417" s="48">
        <f t="shared" ca="1" si="250"/>
        <v>0.57900709283500817</v>
      </c>
      <c r="E4417" s="48">
        <f t="shared" ca="1" si="251"/>
        <v>0</v>
      </c>
      <c r="F4417" s="17">
        <f t="shared" ca="1" si="252"/>
        <v>0</v>
      </c>
      <c r="H4417" s="17">
        <v>4402</v>
      </c>
      <c r="I4417" s="43">
        <v>0.66827448458271799</v>
      </c>
      <c r="J4417" s="43">
        <v>1.8636585198540268E-2</v>
      </c>
      <c r="K4417" s="43"/>
      <c r="L4417" s="43">
        <v>0.24160000000000001</v>
      </c>
      <c r="O4417" s="50"/>
    </row>
    <row r="4418" spans="2:15" x14ac:dyDescent="0.2">
      <c r="B4418">
        <f t="shared" si="253"/>
        <v>4403</v>
      </c>
      <c r="C4418" s="48">
        <f ca="1"/>
        <v>0.46613929222273032</v>
      </c>
      <c r="D4418" s="48">
        <f t="shared" ca="1" si="250"/>
        <v>0.69575594174557243</v>
      </c>
      <c r="E4418" s="48">
        <f t="shared" ca="1" si="251"/>
        <v>0</v>
      </c>
      <c r="F4418" s="17">
        <f t="shared" ca="1" si="252"/>
        <v>0</v>
      </c>
      <c r="H4418" s="17">
        <v>4403</v>
      </c>
      <c r="I4418" s="43">
        <v>0.66763579608219281</v>
      </c>
      <c r="J4418" s="43">
        <v>1.8567198049887667E-2</v>
      </c>
      <c r="K4418" s="43"/>
      <c r="L4418" s="43">
        <v>0.2442</v>
      </c>
      <c r="O4418" s="50"/>
    </row>
    <row r="4419" spans="2:15" x14ac:dyDescent="0.2">
      <c r="B4419">
        <f t="shared" si="253"/>
        <v>4404</v>
      </c>
      <c r="C4419" s="48">
        <f ca="1"/>
        <v>-0.58583837532500493</v>
      </c>
      <c r="D4419" s="48">
        <f t="shared" ca="1" si="250"/>
        <v>0.62721358211417011</v>
      </c>
      <c r="E4419" s="48">
        <f t="shared" ca="1" si="251"/>
        <v>0</v>
      </c>
      <c r="F4419" s="17">
        <f t="shared" ca="1" si="252"/>
        <v>0</v>
      </c>
      <c r="H4419" s="17">
        <v>4404</v>
      </c>
      <c r="I4419" s="43">
        <v>0.66898520120696736</v>
      </c>
      <c r="J4419" s="43">
        <v>1.9425957440060437E-2</v>
      </c>
      <c r="K4419" s="43"/>
      <c r="L4419" s="43">
        <v>0.249</v>
      </c>
      <c r="O4419" s="50"/>
    </row>
    <row r="4420" spans="2:15" x14ac:dyDescent="0.2">
      <c r="B4420">
        <f t="shared" si="253"/>
        <v>4405</v>
      </c>
      <c r="C4420" s="48">
        <f ca="1"/>
        <v>-6.7676841829987433E-3</v>
      </c>
      <c r="D4420" s="48">
        <f t="shared" ca="1" si="250"/>
        <v>0.66406247785178463</v>
      </c>
      <c r="E4420" s="48">
        <f t="shared" ca="1" si="251"/>
        <v>0</v>
      </c>
      <c r="F4420" s="17">
        <f t="shared" ca="1" si="252"/>
        <v>0</v>
      </c>
      <c r="H4420" s="17">
        <v>4405</v>
      </c>
      <c r="I4420" s="43">
        <v>0.6689287218345128</v>
      </c>
      <c r="J4420" s="43">
        <v>1.9715619131321718E-2</v>
      </c>
      <c r="K4420" s="43"/>
      <c r="L4420" s="43">
        <v>0.25559999999999999</v>
      </c>
      <c r="O4420" s="50"/>
    </row>
    <row r="4421" spans="2:15" x14ac:dyDescent="0.2">
      <c r="B4421">
        <f t="shared" si="253"/>
        <v>4406</v>
      </c>
      <c r="C4421" s="48">
        <f ca="1"/>
        <v>2.8696174751472228</v>
      </c>
      <c r="D4421" s="48">
        <f t="shared" ca="1" si="250"/>
        <v>0.88178809590457063</v>
      </c>
      <c r="E4421" s="48">
        <f t="shared" ca="1" si="251"/>
        <v>9.3588095904570623E-2</v>
      </c>
      <c r="F4421" s="17">
        <f t="shared" ca="1" si="252"/>
        <v>1</v>
      </c>
      <c r="H4421" s="17">
        <v>4406</v>
      </c>
      <c r="I4421" s="43">
        <v>0.66839133522137295</v>
      </c>
      <c r="J4421" s="43">
        <v>1.8979144286554773E-2</v>
      </c>
      <c r="K4421" s="43"/>
      <c r="L4421" s="43">
        <v>0.24959999999999999</v>
      </c>
      <c r="O4421" s="50"/>
    </row>
    <row r="4422" spans="2:15" x14ac:dyDescent="0.2">
      <c r="B4422">
        <f t="shared" si="253"/>
        <v>4407</v>
      </c>
      <c r="C4422" s="48">
        <f ca="1"/>
        <v>-1.0638170384216614</v>
      </c>
      <c r="D4422" s="48">
        <f t="shared" ca="1" si="250"/>
        <v>0.59834314890355089</v>
      </c>
      <c r="E4422" s="48">
        <f t="shared" ca="1" si="251"/>
        <v>0</v>
      </c>
      <c r="F4422" s="17">
        <f t="shared" ca="1" si="252"/>
        <v>0</v>
      </c>
      <c r="H4422" s="17">
        <v>4407</v>
      </c>
      <c r="I4422" s="43">
        <v>0.66941728837409564</v>
      </c>
      <c r="J4422" s="43">
        <v>1.9843032263886878E-2</v>
      </c>
      <c r="K4422" s="43"/>
      <c r="L4422" s="43">
        <v>0.24940000000000001</v>
      </c>
      <c r="O4422" s="50"/>
    </row>
    <row r="4423" spans="2:15" x14ac:dyDescent="0.2">
      <c r="B4423">
        <f t="shared" si="253"/>
        <v>4408</v>
      </c>
      <c r="C4423" s="48">
        <f ca="1"/>
        <v>0.3968844056858607</v>
      </c>
      <c r="D4423" s="48">
        <f t="shared" ca="1" si="250"/>
        <v>0.69102173410855583</v>
      </c>
      <c r="E4423" s="48">
        <f t="shared" ca="1" si="251"/>
        <v>0</v>
      </c>
      <c r="F4423" s="17">
        <f t="shared" ca="1" si="252"/>
        <v>0</v>
      </c>
      <c r="H4423" s="17">
        <v>4408</v>
      </c>
      <c r="I4423" s="43">
        <v>0.66959589329692659</v>
      </c>
      <c r="J4423" s="43">
        <v>1.971880924082382E-2</v>
      </c>
      <c r="K4423" s="43"/>
      <c r="L4423" s="43">
        <v>0.25059999999999999</v>
      </c>
      <c r="O4423" s="50"/>
    </row>
    <row r="4424" spans="2:15" x14ac:dyDescent="0.2">
      <c r="B4424">
        <f t="shared" si="253"/>
        <v>4409</v>
      </c>
      <c r="C4424" s="48">
        <f ca="1"/>
        <v>1.8516310492045129</v>
      </c>
      <c r="D4424" s="48">
        <f t="shared" ca="1" si="250"/>
        <v>0.79758711762834478</v>
      </c>
      <c r="E4424" s="48">
        <f t="shared" ca="1" si="251"/>
        <v>9.3871176283447655E-3</v>
      </c>
      <c r="F4424" s="17">
        <f t="shared" ca="1" si="252"/>
        <v>1</v>
      </c>
      <c r="H4424" s="17">
        <v>4409</v>
      </c>
      <c r="I4424" s="43">
        <v>0.66879497384231823</v>
      </c>
      <c r="J4424" s="43">
        <v>1.9175960178237098E-2</v>
      </c>
      <c r="K4424" s="43"/>
      <c r="L4424" s="43">
        <v>0.24379999999999999</v>
      </c>
      <c r="O4424" s="50"/>
    </row>
    <row r="4425" spans="2:15" x14ac:dyDescent="0.2">
      <c r="B4425">
        <f t="shared" si="253"/>
        <v>4410</v>
      </c>
      <c r="C4425" s="48">
        <f ca="1"/>
        <v>0.11878600642274895</v>
      </c>
      <c r="D4425" s="48">
        <f t="shared" ca="1" si="250"/>
        <v>0.67233333977955401</v>
      </c>
      <c r="E4425" s="48">
        <f t="shared" ca="1" si="251"/>
        <v>0</v>
      </c>
      <c r="F4425" s="17">
        <f t="shared" ca="1" si="252"/>
        <v>0</v>
      </c>
      <c r="H4425" s="17">
        <v>4410</v>
      </c>
      <c r="I4425" s="43">
        <v>0.66941426819185768</v>
      </c>
      <c r="J4425" s="43">
        <v>1.9776995371955524E-2</v>
      </c>
      <c r="K4425" s="43"/>
      <c r="L4425" s="43">
        <v>0.254</v>
      </c>
      <c r="O4425" s="50"/>
    </row>
    <row r="4426" spans="2:15" x14ac:dyDescent="0.2">
      <c r="B4426">
        <f t="shared" si="253"/>
        <v>4411</v>
      </c>
      <c r="C4426" s="48">
        <f ca="1"/>
        <v>-0.88482817726610119</v>
      </c>
      <c r="D4426" s="48">
        <f t="shared" ca="1" si="250"/>
        <v>0.6089952548098756</v>
      </c>
      <c r="E4426" s="48">
        <f t="shared" ca="1" si="251"/>
        <v>0</v>
      </c>
      <c r="F4426" s="17">
        <f t="shared" ca="1" si="252"/>
        <v>0</v>
      </c>
      <c r="H4426" s="17">
        <v>4411</v>
      </c>
      <c r="I4426" s="43">
        <v>0.66894380789825147</v>
      </c>
      <c r="J4426" s="43">
        <v>1.9395612779633985E-2</v>
      </c>
      <c r="K4426" s="43"/>
      <c r="L4426" s="43">
        <v>0.24940000000000001</v>
      </c>
      <c r="O4426" s="50"/>
    </row>
    <row r="4427" spans="2:15" x14ac:dyDescent="0.2">
      <c r="B4427">
        <f t="shared" si="253"/>
        <v>4412</v>
      </c>
      <c r="C4427" s="48">
        <f ca="1"/>
        <v>0.13827212188341742</v>
      </c>
      <c r="D4427" s="48">
        <f t="shared" ca="1" si="250"/>
        <v>0.67362619193917284</v>
      </c>
      <c r="E4427" s="48">
        <f t="shared" ca="1" si="251"/>
        <v>0</v>
      </c>
      <c r="F4427" s="17">
        <f t="shared" ca="1" si="252"/>
        <v>0</v>
      </c>
      <c r="H4427" s="17">
        <v>4412</v>
      </c>
      <c r="I4427" s="43">
        <v>0.66929951355331563</v>
      </c>
      <c r="J4427" s="43">
        <v>1.9659582788251195E-2</v>
      </c>
      <c r="K4427" s="43"/>
      <c r="L4427" s="43">
        <v>0.25319999999999998</v>
      </c>
      <c r="O4427" s="50"/>
    </row>
    <row r="4428" spans="2:15" x14ac:dyDescent="0.2">
      <c r="B4428">
        <f t="shared" si="253"/>
        <v>4413</v>
      </c>
      <c r="C4428" s="48">
        <f ca="1"/>
        <v>-0.30767277920434699</v>
      </c>
      <c r="D4428" s="48">
        <f t="shared" ca="1" si="250"/>
        <v>0.64465208376517502</v>
      </c>
      <c r="E4428" s="48">
        <f t="shared" ca="1" si="251"/>
        <v>0</v>
      </c>
      <c r="F4428" s="17">
        <f t="shared" ca="1" si="252"/>
        <v>0</v>
      </c>
      <c r="H4428" s="17">
        <v>4413</v>
      </c>
      <c r="I4428" s="43">
        <v>0.66969727547448765</v>
      </c>
      <c r="J4428" s="43">
        <v>1.9947080050194337E-2</v>
      </c>
      <c r="K4428" s="43"/>
      <c r="L4428" s="43">
        <v>0.24959999999999999</v>
      </c>
      <c r="O4428" s="50"/>
    </row>
    <row r="4429" spans="2:15" x14ac:dyDescent="0.2">
      <c r="B4429">
        <f t="shared" si="253"/>
        <v>4414</v>
      </c>
      <c r="C4429" s="48">
        <f ca="1"/>
        <v>-6.8829583152176438E-2</v>
      </c>
      <c r="D4429" s="48">
        <f t="shared" ca="1" si="250"/>
        <v>0.66001179931681542</v>
      </c>
      <c r="E4429" s="48">
        <f t="shared" ca="1" si="251"/>
        <v>0</v>
      </c>
      <c r="F4429" s="17">
        <f t="shared" ca="1" si="252"/>
        <v>0</v>
      </c>
      <c r="H4429" s="17">
        <v>4414</v>
      </c>
      <c r="I4429" s="43">
        <v>0.6687303216732492</v>
      </c>
      <c r="J4429" s="43">
        <v>1.9103896424851941E-2</v>
      </c>
      <c r="K4429" s="43"/>
      <c r="L4429" s="43">
        <v>0.247</v>
      </c>
      <c r="O4429" s="50"/>
    </row>
    <row r="4430" spans="2:15" x14ac:dyDescent="0.2">
      <c r="B4430">
        <f t="shared" si="253"/>
        <v>4415</v>
      </c>
      <c r="C4430" s="48">
        <f ca="1"/>
        <v>0.70922384940384586</v>
      </c>
      <c r="D4430" s="48">
        <f t="shared" ca="1" si="250"/>
        <v>0.71263119737180625</v>
      </c>
      <c r="E4430" s="48">
        <f t="shared" ca="1" si="251"/>
        <v>0</v>
      </c>
      <c r="F4430" s="17">
        <f t="shared" ca="1" si="252"/>
        <v>0</v>
      </c>
      <c r="H4430" s="17">
        <v>4415</v>
      </c>
      <c r="I4430" s="43">
        <v>0.66863273268973966</v>
      </c>
      <c r="J4430" s="43">
        <v>1.9306798431534666E-2</v>
      </c>
      <c r="K4430" s="43"/>
      <c r="L4430" s="43">
        <v>0.24740000000000001</v>
      </c>
      <c r="O4430" s="50"/>
    </row>
    <row r="4431" spans="2:15" x14ac:dyDescent="0.2">
      <c r="B4431">
        <f t="shared" si="253"/>
        <v>4416</v>
      </c>
      <c r="C4431" s="48">
        <f ca="1"/>
        <v>0.20329538027173497</v>
      </c>
      <c r="D4431" s="48">
        <f t="shared" ca="1" si="250"/>
        <v>0.67795832887229557</v>
      </c>
      <c r="E4431" s="48">
        <f t="shared" ca="1" si="251"/>
        <v>0</v>
      </c>
      <c r="F4431" s="17">
        <f t="shared" ca="1" si="252"/>
        <v>0</v>
      </c>
      <c r="H4431" s="17">
        <v>4416</v>
      </c>
      <c r="I4431" s="43">
        <v>0.6685650001051463</v>
      </c>
      <c r="J4431" s="43">
        <v>1.9366804797367836E-2</v>
      </c>
      <c r="K4431" s="43"/>
      <c r="L4431" s="43">
        <v>0.25659999999999999</v>
      </c>
      <c r="O4431" s="50"/>
    </row>
    <row r="4432" spans="2:15" x14ac:dyDescent="0.2">
      <c r="B4432">
        <f t="shared" si="253"/>
        <v>4417</v>
      </c>
      <c r="C4432" s="48">
        <f ca="1"/>
        <v>0.61355257611728065</v>
      </c>
      <c r="D4432" s="48">
        <f t="shared" ref="D4432:D4495" ca="1" si="254">S0*EXP((μ-0.5*σ*σ)*T+σ*SQRT(T)*$C4432)</f>
        <v>0.70594126719694217</v>
      </c>
      <c r="E4432" s="48">
        <f t="shared" ref="E4432:E4495" ca="1" si="255">MAX(0,CP*(D4432-K))</f>
        <v>0</v>
      </c>
      <c r="F4432" s="17">
        <f t="shared" ref="F4432:F4495" ca="1" si="256">(CP*(D4432-K)&gt;0)*1</f>
        <v>0</v>
      </c>
      <c r="H4432" s="17">
        <v>4417</v>
      </c>
      <c r="I4432" s="43">
        <v>0.66811667634927685</v>
      </c>
      <c r="J4432" s="43">
        <v>1.8653970472297807E-2</v>
      </c>
      <c r="K4432" s="43"/>
      <c r="L4432" s="43">
        <v>0.2356</v>
      </c>
      <c r="O4432" s="50"/>
    </row>
    <row r="4433" spans="2:15" x14ac:dyDescent="0.2">
      <c r="B4433">
        <f t="shared" si="253"/>
        <v>4418</v>
      </c>
      <c r="C4433" s="48">
        <f ca="1"/>
        <v>-0.15238224468988018</v>
      </c>
      <c r="D4433" s="48">
        <f t="shared" ca="1" si="254"/>
        <v>0.65459745037399908</v>
      </c>
      <c r="E4433" s="48">
        <f t="shared" ca="1" si="255"/>
        <v>0</v>
      </c>
      <c r="F4433" s="17">
        <f t="shared" ca="1" si="256"/>
        <v>0</v>
      </c>
      <c r="H4433" s="17">
        <v>4418</v>
      </c>
      <c r="I4433" s="43">
        <v>0.66892437238239222</v>
      </c>
      <c r="J4433" s="43">
        <v>1.9173871730797359E-2</v>
      </c>
      <c r="K4433" s="43"/>
      <c r="L4433" s="43">
        <v>0.247</v>
      </c>
      <c r="O4433" s="50"/>
    </row>
    <row r="4434" spans="2:15" x14ac:dyDescent="0.2">
      <c r="B4434">
        <f t="shared" si="253"/>
        <v>4419</v>
      </c>
      <c r="C4434" s="48">
        <f ca="1"/>
        <v>1.1895862490760107</v>
      </c>
      <c r="D4434" s="48">
        <f t="shared" ca="1" si="254"/>
        <v>0.74719167510457685</v>
      </c>
      <c r="E4434" s="48">
        <f t="shared" ca="1" si="255"/>
        <v>0</v>
      </c>
      <c r="F4434" s="17">
        <f t="shared" ca="1" si="256"/>
        <v>0</v>
      </c>
      <c r="H4434" s="17">
        <v>4419</v>
      </c>
      <c r="I4434" s="43">
        <v>0.67038819364828584</v>
      </c>
      <c r="J4434" s="43">
        <v>2.0042953087840952E-2</v>
      </c>
      <c r="K4434" s="43"/>
      <c r="L4434" s="43">
        <v>0.25319999999999998</v>
      </c>
      <c r="O4434" s="50"/>
    </row>
    <row r="4435" spans="2:15" x14ac:dyDescent="0.2">
      <c r="B4435">
        <f t="shared" si="253"/>
        <v>4420</v>
      </c>
      <c r="C4435" s="48">
        <f ca="1"/>
        <v>-0.14413110981248273</v>
      </c>
      <c r="D4435" s="48">
        <f t="shared" ca="1" si="254"/>
        <v>0.65513015487780724</v>
      </c>
      <c r="E4435" s="48">
        <f t="shared" ca="1" si="255"/>
        <v>0</v>
      </c>
      <c r="F4435" s="17">
        <f t="shared" ca="1" si="256"/>
        <v>0</v>
      </c>
      <c r="H4435" s="17">
        <v>4420</v>
      </c>
      <c r="I4435" s="43">
        <v>0.66755163473799395</v>
      </c>
      <c r="J4435" s="43">
        <v>1.8210401125090488E-2</v>
      </c>
      <c r="K4435" s="43"/>
      <c r="L4435" s="43">
        <v>0.2404</v>
      </c>
      <c r="O4435" s="50"/>
    </row>
    <row r="4436" spans="2:15" x14ac:dyDescent="0.2">
      <c r="B4436">
        <f t="shared" si="253"/>
        <v>4421</v>
      </c>
      <c r="C4436" s="48">
        <f ca="1"/>
        <v>-1.0811246911367134</v>
      </c>
      <c r="D4436" s="48">
        <f t="shared" ca="1" si="254"/>
        <v>0.59732305595368773</v>
      </c>
      <c r="E4436" s="48">
        <f t="shared" ca="1" si="255"/>
        <v>0</v>
      </c>
      <c r="F4436" s="17">
        <f t="shared" ca="1" si="256"/>
        <v>0</v>
      </c>
      <c r="H4436" s="17">
        <v>4421</v>
      </c>
      <c r="I4436" s="43">
        <v>0.6704239151726914</v>
      </c>
      <c r="J4436" s="43">
        <v>2.0014396042557805E-2</v>
      </c>
      <c r="K4436" s="43"/>
      <c r="L4436" s="43">
        <v>0.24759999999999999</v>
      </c>
      <c r="O4436" s="50"/>
    </row>
    <row r="4437" spans="2:15" x14ac:dyDescent="0.2">
      <c r="B4437">
        <f t="shared" si="253"/>
        <v>4422</v>
      </c>
      <c r="C4437" s="48">
        <f ca="1"/>
        <v>-0.41984334582681393</v>
      </c>
      <c r="D4437" s="48">
        <f t="shared" ca="1" si="254"/>
        <v>0.63756239956073335</v>
      </c>
      <c r="E4437" s="48">
        <f t="shared" ca="1" si="255"/>
        <v>0</v>
      </c>
      <c r="F4437" s="17">
        <f t="shared" ca="1" si="256"/>
        <v>0</v>
      </c>
      <c r="H4437" s="17">
        <v>4422</v>
      </c>
      <c r="I4437" s="43">
        <v>0.66916693947192663</v>
      </c>
      <c r="J4437" s="43">
        <v>1.9863778981285527E-2</v>
      </c>
      <c r="K4437" s="43"/>
      <c r="L4437" s="43">
        <v>0.25280000000000002</v>
      </c>
      <c r="O4437" s="50"/>
    </row>
    <row r="4438" spans="2:15" x14ac:dyDescent="0.2">
      <c r="B4438">
        <f t="shared" si="253"/>
        <v>4423</v>
      </c>
      <c r="C4438" s="48">
        <f ca="1"/>
        <v>-0.66511461353886925</v>
      </c>
      <c r="D4438" s="48">
        <f t="shared" ca="1" si="254"/>
        <v>0.62233061084777241</v>
      </c>
      <c r="E4438" s="48">
        <f t="shared" ca="1" si="255"/>
        <v>0</v>
      </c>
      <c r="F4438" s="17">
        <f t="shared" ca="1" si="256"/>
        <v>0</v>
      </c>
      <c r="H4438" s="17">
        <v>4423</v>
      </c>
      <c r="I4438" s="43">
        <v>0.6698774126728575</v>
      </c>
      <c r="J4438" s="43">
        <v>1.9709980595484282E-2</v>
      </c>
      <c r="K4438" s="43"/>
      <c r="L4438" s="43">
        <v>0.25600000000000001</v>
      </c>
      <c r="O4438" s="50"/>
    </row>
    <row r="4439" spans="2:15" x14ac:dyDescent="0.2">
      <c r="B4439">
        <f t="shared" si="253"/>
        <v>4424</v>
      </c>
      <c r="C4439" s="48">
        <f ca="1"/>
        <v>-1.1015268854697959</v>
      </c>
      <c r="D4439" s="48">
        <f t="shared" ca="1" si="254"/>
        <v>0.59612280742599055</v>
      </c>
      <c r="E4439" s="48">
        <f t="shared" ca="1" si="255"/>
        <v>0</v>
      </c>
      <c r="F4439" s="17">
        <f t="shared" ca="1" si="256"/>
        <v>0</v>
      </c>
      <c r="H4439" s="17">
        <v>4424</v>
      </c>
      <c r="I4439" s="43">
        <v>0.66877640451205433</v>
      </c>
      <c r="J4439" s="43">
        <v>1.9404878837369955E-2</v>
      </c>
      <c r="K4439" s="43"/>
      <c r="L4439" s="43">
        <v>0.2492</v>
      </c>
      <c r="O4439" s="50"/>
    </row>
    <row r="4440" spans="2:15" x14ac:dyDescent="0.2">
      <c r="B4440">
        <f t="shared" si="253"/>
        <v>4425</v>
      </c>
      <c r="C4440" s="48">
        <f ca="1"/>
        <v>-0.98342382270425643</v>
      </c>
      <c r="D4440" s="48">
        <f t="shared" ca="1" si="254"/>
        <v>0.60310431835474343</v>
      </c>
      <c r="E4440" s="48">
        <f t="shared" ca="1" si="255"/>
        <v>0</v>
      </c>
      <c r="F4440" s="17">
        <f t="shared" ca="1" si="256"/>
        <v>0</v>
      </c>
      <c r="H4440" s="17">
        <v>4425</v>
      </c>
      <c r="I4440" s="43">
        <v>0.6683894001149896</v>
      </c>
      <c r="J4440" s="43">
        <v>1.9006258709636598E-2</v>
      </c>
      <c r="K4440" s="43"/>
      <c r="L4440" s="43">
        <v>0.248</v>
      </c>
      <c r="O4440" s="50"/>
    </row>
    <row r="4441" spans="2:15" x14ac:dyDescent="0.2">
      <c r="B4441">
        <f t="shared" si="253"/>
        <v>4426</v>
      </c>
      <c r="C4441" s="48">
        <f ca="1"/>
        <v>-0.49826861493090197</v>
      </c>
      <c r="D4441" s="48">
        <f t="shared" ca="1" si="254"/>
        <v>0.63265193491631089</v>
      </c>
      <c r="E4441" s="48">
        <f t="shared" ca="1" si="255"/>
        <v>0</v>
      </c>
      <c r="F4441" s="17">
        <f t="shared" ca="1" si="256"/>
        <v>0</v>
      </c>
      <c r="H4441" s="17">
        <v>4426</v>
      </c>
      <c r="I4441" s="43">
        <v>0.6685304886876221</v>
      </c>
      <c r="J4441" s="43">
        <v>1.9092371096109631E-2</v>
      </c>
      <c r="K4441" s="43"/>
      <c r="L4441" s="43">
        <v>0.24959999999999999</v>
      </c>
      <c r="O4441" s="50"/>
    </row>
    <row r="4442" spans="2:15" x14ac:dyDescent="0.2">
      <c r="B4442">
        <f t="shared" si="253"/>
        <v>4427</v>
      </c>
      <c r="C4442" s="48">
        <f ca="1"/>
        <v>1.0038559336724904</v>
      </c>
      <c r="D4442" s="48">
        <f t="shared" ca="1" si="254"/>
        <v>0.73363458463007314</v>
      </c>
      <c r="E4442" s="48">
        <f t="shared" ca="1" si="255"/>
        <v>0</v>
      </c>
      <c r="F4442" s="17">
        <f t="shared" ca="1" si="256"/>
        <v>0</v>
      </c>
      <c r="H4442" s="17">
        <v>4427</v>
      </c>
      <c r="I4442" s="43">
        <v>0.66920286990513378</v>
      </c>
      <c r="J4442" s="43">
        <v>1.965496293700646E-2</v>
      </c>
      <c r="K4442" s="43"/>
      <c r="L4442" s="43">
        <v>0.25679999999999997</v>
      </c>
      <c r="O4442" s="50"/>
    </row>
    <row r="4443" spans="2:15" x14ac:dyDescent="0.2">
      <c r="B4443">
        <f t="shared" si="253"/>
        <v>4428</v>
      </c>
      <c r="C4443" s="48">
        <f ca="1"/>
        <v>0.56782463759756119</v>
      </c>
      <c r="D4443" s="48">
        <f t="shared" ca="1" si="254"/>
        <v>0.70276590450289167</v>
      </c>
      <c r="E4443" s="48">
        <f t="shared" ca="1" si="255"/>
        <v>0</v>
      </c>
      <c r="F4443" s="17">
        <f t="shared" ca="1" si="256"/>
        <v>0</v>
      </c>
      <c r="H4443" s="17">
        <v>4428</v>
      </c>
      <c r="I4443" s="43">
        <v>0.67013729036072278</v>
      </c>
      <c r="J4443" s="43">
        <v>2.0357305456693918E-2</v>
      </c>
      <c r="K4443" s="43"/>
      <c r="L4443" s="43">
        <v>0.25600000000000001</v>
      </c>
      <c r="O4443" s="50"/>
    </row>
    <row r="4444" spans="2:15" x14ac:dyDescent="0.2">
      <c r="B4444">
        <f t="shared" si="253"/>
        <v>4429</v>
      </c>
      <c r="C4444" s="48">
        <f ca="1"/>
        <v>0.26719779480201278</v>
      </c>
      <c r="D4444" s="48">
        <f t="shared" ca="1" si="254"/>
        <v>0.68224293327869756</v>
      </c>
      <c r="E4444" s="48">
        <f t="shared" ca="1" si="255"/>
        <v>0</v>
      </c>
      <c r="F4444" s="17">
        <f t="shared" ca="1" si="256"/>
        <v>0</v>
      </c>
      <c r="H4444" s="17">
        <v>4429</v>
      </c>
      <c r="I4444" s="43">
        <v>0.66753036094086737</v>
      </c>
      <c r="J4444" s="43">
        <v>1.8405466745922229E-2</v>
      </c>
      <c r="K4444" s="43"/>
      <c r="L4444" s="43">
        <v>0.2462</v>
      </c>
      <c r="O4444" s="50"/>
    </row>
    <row r="4445" spans="2:15" x14ac:dyDescent="0.2">
      <c r="B4445">
        <f t="shared" si="253"/>
        <v>4430</v>
      </c>
      <c r="C4445" s="48">
        <f ca="1"/>
        <v>0.24928280961495383</v>
      </c>
      <c r="D4445" s="48">
        <f t="shared" ca="1" si="254"/>
        <v>0.68103902402569982</v>
      </c>
      <c r="E4445" s="48">
        <f t="shared" ca="1" si="255"/>
        <v>0</v>
      </c>
      <c r="F4445" s="17">
        <f t="shared" ca="1" si="256"/>
        <v>0</v>
      </c>
      <c r="H4445" s="17">
        <v>4430</v>
      </c>
      <c r="I4445" s="43">
        <v>0.66895468436891448</v>
      </c>
      <c r="J4445" s="43">
        <v>1.9286877517358036E-2</v>
      </c>
      <c r="K4445" s="43"/>
      <c r="L4445" s="43">
        <v>0.25040000000000001</v>
      </c>
      <c r="O4445" s="50"/>
    </row>
    <row r="4446" spans="2:15" x14ac:dyDescent="0.2">
      <c r="B4446">
        <f t="shared" si="253"/>
        <v>4431</v>
      </c>
      <c r="C4446" s="48">
        <f ca="1"/>
        <v>-1.2300495564784169</v>
      </c>
      <c r="D4446" s="48">
        <f t="shared" ca="1" si="254"/>
        <v>0.58861715077593335</v>
      </c>
      <c r="E4446" s="48">
        <f t="shared" ca="1" si="255"/>
        <v>0</v>
      </c>
      <c r="F4446" s="17">
        <f t="shared" ca="1" si="256"/>
        <v>0</v>
      </c>
      <c r="H4446" s="17">
        <v>4431</v>
      </c>
      <c r="I4446" s="43">
        <v>0.66988138603572966</v>
      </c>
      <c r="J4446" s="43">
        <v>2.0186240749502166E-2</v>
      </c>
      <c r="K4446" s="43"/>
      <c r="L4446" s="43">
        <v>0.25119999999999998</v>
      </c>
      <c r="O4446" s="50"/>
    </row>
    <row r="4447" spans="2:15" x14ac:dyDescent="0.2">
      <c r="B4447">
        <f t="shared" si="253"/>
        <v>4432</v>
      </c>
      <c r="C4447" s="48">
        <f ca="1"/>
        <v>-0.43482336089127765</v>
      </c>
      <c r="D4447" s="48">
        <f t="shared" ca="1" si="254"/>
        <v>0.6366215157097852</v>
      </c>
      <c r="E4447" s="48">
        <f t="shared" ca="1" si="255"/>
        <v>0</v>
      </c>
      <c r="F4447" s="17">
        <f t="shared" ca="1" si="256"/>
        <v>0</v>
      </c>
      <c r="H4447" s="17">
        <v>4432</v>
      </c>
      <c r="I4447" s="43">
        <v>0.66859442123082269</v>
      </c>
      <c r="J4447" s="43">
        <v>1.9127513459322076E-2</v>
      </c>
      <c r="K4447" s="43"/>
      <c r="L4447" s="43">
        <v>0.25259999999999999</v>
      </c>
      <c r="O4447" s="50"/>
    </row>
    <row r="4448" spans="2:15" x14ac:dyDescent="0.2">
      <c r="B4448">
        <f t="shared" si="253"/>
        <v>4433</v>
      </c>
      <c r="C4448" s="48">
        <f ca="1"/>
        <v>-6.2416337045031411E-2</v>
      </c>
      <c r="D4448" s="48">
        <f t="shared" ca="1" si="254"/>
        <v>0.66042923409437759</v>
      </c>
      <c r="E4448" s="48">
        <f t="shared" ca="1" si="255"/>
        <v>0</v>
      </c>
      <c r="F4448" s="17">
        <f t="shared" ca="1" si="256"/>
        <v>0</v>
      </c>
      <c r="H4448" s="17">
        <v>4433</v>
      </c>
      <c r="I4448" s="43">
        <v>0.66915050183793856</v>
      </c>
      <c r="J4448" s="43">
        <v>1.9526103553546517E-2</v>
      </c>
      <c r="K4448" s="43"/>
      <c r="L4448" s="43">
        <v>0.24940000000000001</v>
      </c>
      <c r="O4448" s="50"/>
    </row>
    <row r="4449" spans="2:15" x14ac:dyDescent="0.2">
      <c r="B4449">
        <f t="shared" si="253"/>
        <v>4434</v>
      </c>
      <c r="C4449" s="48">
        <f ca="1"/>
        <v>4.3976353799186033E-2</v>
      </c>
      <c r="D4449" s="48">
        <f t="shared" ca="1" si="254"/>
        <v>0.66739292439095355</v>
      </c>
      <c r="E4449" s="48">
        <f t="shared" ca="1" si="255"/>
        <v>0</v>
      </c>
      <c r="F4449" s="17">
        <f t="shared" ca="1" si="256"/>
        <v>0</v>
      </c>
      <c r="H4449" s="17">
        <v>4434</v>
      </c>
      <c r="I4449" s="43">
        <v>0.66909834652904288</v>
      </c>
      <c r="J4449" s="43">
        <v>1.9422688699957755E-2</v>
      </c>
      <c r="K4449" s="43"/>
      <c r="L4449" s="43">
        <v>0.25459999999999999</v>
      </c>
      <c r="O4449" s="50"/>
    </row>
    <row r="4450" spans="2:15" x14ac:dyDescent="0.2">
      <c r="B4450">
        <f t="shared" si="253"/>
        <v>4435</v>
      </c>
      <c r="C4450" s="48">
        <f ca="1"/>
        <v>0.96601570721237418</v>
      </c>
      <c r="D4450" s="48">
        <f t="shared" ca="1" si="254"/>
        <v>0.73090280657331363</v>
      </c>
      <c r="E4450" s="48">
        <f t="shared" ca="1" si="255"/>
        <v>0</v>
      </c>
      <c r="F4450" s="17">
        <f t="shared" ca="1" si="256"/>
        <v>0</v>
      </c>
      <c r="H4450" s="17">
        <v>4435</v>
      </c>
      <c r="I4450" s="43">
        <v>0.66768649740263908</v>
      </c>
      <c r="J4450" s="43">
        <v>1.8474670983610223E-2</v>
      </c>
      <c r="K4450" s="43"/>
      <c r="L4450" s="43">
        <v>0.248</v>
      </c>
      <c r="O4450" s="50"/>
    </row>
    <row r="4451" spans="2:15" x14ac:dyDescent="0.2">
      <c r="B4451">
        <f t="shared" si="253"/>
        <v>4436</v>
      </c>
      <c r="C4451" s="48">
        <f ca="1"/>
        <v>-1.7356451072597943</v>
      </c>
      <c r="D4451" s="48">
        <f t="shared" ca="1" si="254"/>
        <v>0.55999653015791195</v>
      </c>
      <c r="E4451" s="48">
        <f t="shared" ca="1" si="255"/>
        <v>0</v>
      </c>
      <c r="F4451" s="17">
        <f t="shared" ca="1" si="256"/>
        <v>0</v>
      </c>
      <c r="H4451" s="17">
        <v>4436</v>
      </c>
      <c r="I4451" s="43">
        <v>0.66853516499608412</v>
      </c>
      <c r="J4451" s="43">
        <v>1.9167255827240895E-2</v>
      </c>
      <c r="K4451" s="43"/>
      <c r="L4451" s="43">
        <v>0.25180000000000002</v>
      </c>
      <c r="O4451" s="50"/>
    </row>
    <row r="4452" spans="2:15" x14ac:dyDescent="0.2">
      <c r="B4452">
        <f t="shared" si="253"/>
        <v>4437</v>
      </c>
      <c r="C4452" s="48">
        <f ca="1"/>
        <v>2.0869639269749443</v>
      </c>
      <c r="D4452" s="48">
        <f t="shared" ca="1" si="254"/>
        <v>0.81630816761848035</v>
      </c>
      <c r="E4452" s="48">
        <f t="shared" ca="1" si="255"/>
        <v>2.810816761848034E-2</v>
      </c>
      <c r="F4452" s="17">
        <f t="shared" ca="1" si="256"/>
        <v>1</v>
      </c>
      <c r="H4452" s="17">
        <v>4437</v>
      </c>
      <c r="I4452" s="43">
        <v>0.66881143287460765</v>
      </c>
      <c r="J4452" s="43">
        <v>1.9215306724222406E-2</v>
      </c>
      <c r="K4452" s="43"/>
      <c r="L4452" s="43">
        <v>0.25180000000000002</v>
      </c>
      <c r="O4452" s="50"/>
    </row>
    <row r="4453" spans="2:15" x14ac:dyDescent="0.2">
      <c r="B4453">
        <f t="shared" si="253"/>
        <v>4438</v>
      </c>
      <c r="C4453" s="48">
        <f ca="1"/>
        <v>-0.67159194506087694</v>
      </c>
      <c r="D4453" s="48">
        <f t="shared" ca="1" si="254"/>
        <v>0.62193332751067876</v>
      </c>
      <c r="E4453" s="48">
        <f t="shared" ca="1" si="255"/>
        <v>0</v>
      </c>
      <c r="F4453" s="17">
        <f t="shared" ca="1" si="256"/>
        <v>0</v>
      </c>
      <c r="H4453" s="17">
        <v>4438</v>
      </c>
      <c r="I4453" s="43">
        <v>0.66850303954226031</v>
      </c>
      <c r="J4453" s="43">
        <v>1.9088828499318006E-2</v>
      </c>
      <c r="K4453" s="43"/>
      <c r="L4453" s="43">
        <v>0.2414</v>
      </c>
      <c r="O4453" s="50"/>
    </row>
    <row r="4454" spans="2:15" x14ac:dyDescent="0.2">
      <c r="B4454">
        <f t="shared" si="253"/>
        <v>4439</v>
      </c>
      <c r="C4454" s="48">
        <f ca="1"/>
        <v>0.70261798298634792</v>
      </c>
      <c r="D4454" s="48">
        <f t="shared" ca="1" si="254"/>
        <v>0.71216724336692161</v>
      </c>
      <c r="E4454" s="48">
        <f t="shared" ca="1" si="255"/>
        <v>0</v>
      </c>
      <c r="F4454" s="17">
        <f t="shared" ca="1" si="256"/>
        <v>0</v>
      </c>
      <c r="H4454" s="17">
        <v>4439</v>
      </c>
      <c r="I4454" s="43">
        <v>0.66894473197018101</v>
      </c>
      <c r="J4454" s="43">
        <v>1.9235214307247436E-2</v>
      </c>
      <c r="K4454" s="43"/>
      <c r="L4454" s="43">
        <v>0.25240000000000001</v>
      </c>
      <c r="O4454" s="50"/>
    </row>
    <row r="4455" spans="2:15" x14ac:dyDescent="0.2">
      <c r="B4455">
        <f t="shared" si="253"/>
        <v>4440</v>
      </c>
      <c r="C4455" s="48">
        <f ca="1"/>
        <v>0.53534805105584238</v>
      </c>
      <c r="D4455" s="48">
        <f t="shared" ca="1" si="254"/>
        <v>0.70051939786184114</v>
      </c>
      <c r="E4455" s="48">
        <f t="shared" ca="1" si="255"/>
        <v>0</v>
      </c>
      <c r="F4455" s="17">
        <f t="shared" ca="1" si="256"/>
        <v>0</v>
      </c>
      <c r="H4455" s="17">
        <v>4440</v>
      </c>
      <c r="I4455" s="43">
        <v>0.66898974390367938</v>
      </c>
      <c r="J4455" s="43">
        <v>1.911271820557937E-2</v>
      </c>
      <c r="K4455" s="43"/>
      <c r="L4455" s="43">
        <v>0.24260000000000001</v>
      </c>
      <c r="O4455" s="50"/>
    </row>
    <row r="4456" spans="2:15" x14ac:dyDescent="0.2">
      <c r="B4456">
        <f t="shared" si="253"/>
        <v>4441</v>
      </c>
      <c r="C4456" s="48">
        <f ca="1"/>
        <v>1.7687426702148461</v>
      </c>
      <c r="D4456" s="48">
        <f t="shared" ca="1" si="254"/>
        <v>0.79109598874974918</v>
      </c>
      <c r="E4456" s="48">
        <f t="shared" ca="1" si="255"/>
        <v>2.8959887497491676E-3</v>
      </c>
      <c r="F4456" s="17">
        <f t="shared" ca="1" si="256"/>
        <v>1</v>
      </c>
      <c r="H4456" s="17">
        <v>4441</v>
      </c>
      <c r="I4456" s="43">
        <v>0.66910539836569249</v>
      </c>
      <c r="J4456" s="43">
        <v>1.9289294296461236E-2</v>
      </c>
      <c r="K4456" s="43"/>
      <c r="L4456" s="43">
        <v>0.24160000000000001</v>
      </c>
      <c r="O4456" s="50"/>
    </row>
    <row r="4457" spans="2:15" x14ac:dyDescent="0.2">
      <c r="B4457">
        <f t="shared" si="253"/>
        <v>4442</v>
      </c>
      <c r="C4457" s="48">
        <f ca="1"/>
        <v>0.35666611804047088</v>
      </c>
      <c r="D4457" s="48">
        <f t="shared" ca="1" si="254"/>
        <v>0.68828724438853617</v>
      </c>
      <c r="E4457" s="48">
        <f t="shared" ca="1" si="255"/>
        <v>0</v>
      </c>
      <c r="F4457" s="17">
        <f t="shared" ca="1" si="256"/>
        <v>0</v>
      </c>
      <c r="H4457" s="17">
        <v>4442</v>
      </c>
      <c r="I4457" s="43">
        <v>0.6683098667012759</v>
      </c>
      <c r="J4457" s="43">
        <v>1.8712260092386034E-2</v>
      </c>
      <c r="K4457" s="43"/>
      <c r="L4457" s="43">
        <v>0.2452</v>
      </c>
      <c r="O4457" s="50"/>
    </row>
    <row r="4458" spans="2:15" x14ac:dyDescent="0.2">
      <c r="B4458">
        <f t="shared" si="253"/>
        <v>4443</v>
      </c>
      <c r="C4458" s="48">
        <f ca="1"/>
        <v>0.56318101774077012</v>
      </c>
      <c r="D4458" s="48">
        <f t="shared" ca="1" si="254"/>
        <v>0.70244424998453969</v>
      </c>
      <c r="E4458" s="48">
        <f t="shared" ca="1" si="255"/>
        <v>0</v>
      </c>
      <c r="F4458" s="17">
        <f t="shared" ca="1" si="256"/>
        <v>0</v>
      </c>
      <c r="H4458" s="17">
        <v>4443</v>
      </c>
      <c r="I4458" s="43">
        <v>0.6699287569213338</v>
      </c>
      <c r="J4458" s="43">
        <v>2.0106344929018301E-2</v>
      </c>
      <c r="K4458" s="43"/>
      <c r="L4458" s="43">
        <v>0.25779999999999997</v>
      </c>
      <c r="O4458" s="50"/>
    </row>
    <row r="4459" spans="2:15" x14ac:dyDescent="0.2">
      <c r="B4459">
        <f t="shared" si="253"/>
        <v>4444</v>
      </c>
      <c r="C4459" s="48">
        <f ca="1"/>
        <v>1.7183331791241958</v>
      </c>
      <c r="D4459" s="48">
        <f t="shared" ca="1" si="254"/>
        <v>0.78717419728764937</v>
      </c>
      <c r="E4459" s="48">
        <f t="shared" ca="1" si="255"/>
        <v>0</v>
      </c>
      <c r="F4459" s="17">
        <f t="shared" ca="1" si="256"/>
        <v>0</v>
      </c>
      <c r="H4459" s="17">
        <v>4444</v>
      </c>
      <c r="I4459" s="43">
        <v>0.66865190962461829</v>
      </c>
      <c r="J4459" s="43">
        <v>1.9144234470151948E-2</v>
      </c>
      <c r="K4459" s="43"/>
      <c r="L4459" s="43">
        <v>0.25219999999999998</v>
      </c>
      <c r="O4459" s="50"/>
    </row>
    <row r="4460" spans="2:15" x14ac:dyDescent="0.2">
      <c r="B4460">
        <f t="shared" si="253"/>
        <v>4445</v>
      </c>
      <c r="C4460" s="48">
        <f ca="1"/>
        <v>2.7636332566721857</v>
      </c>
      <c r="D4460" s="48">
        <f t="shared" ca="1" si="254"/>
        <v>0.87262251026655668</v>
      </c>
      <c r="E4460" s="48">
        <f t="shared" ca="1" si="255"/>
        <v>8.4422510266556672E-2</v>
      </c>
      <c r="F4460" s="17">
        <f t="shared" ca="1" si="256"/>
        <v>1</v>
      </c>
      <c r="H4460" s="17">
        <v>4445</v>
      </c>
      <c r="I4460" s="43">
        <v>0.66766518671678288</v>
      </c>
      <c r="J4460" s="43">
        <v>1.8561026588823467E-2</v>
      </c>
      <c r="K4460" s="43"/>
      <c r="L4460" s="43">
        <v>0.2462</v>
      </c>
      <c r="O4460" s="50"/>
    </row>
    <row r="4461" spans="2:15" x14ac:dyDescent="0.2">
      <c r="B4461">
        <f t="shared" si="253"/>
        <v>4446</v>
      </c>
      <c r="C4461" s="48">
        <f ca="1"/>
        <v>-1.3016073863699895</v>
      </c>
      <c r="D4461" s="48">
        <f t="shared" ca="1" si="254"/>
        <v>0.58447924321108324</v>
      </c>
      <c r="E4461" s="48">
        <f t="shared" ca="1" si="255"/>
        <v>0</v>
      </c>
      <c r="F4461" s="17">
        <f t="shared" ca="1" si="256"/>
        <v>0</v>
      </c>
      <c r="H4461" s="17">
        <v>4446</v>
      </c>
      <c r="I4461" s="43">
        <v>0.66862257833933658</v>
      </c>
      <c r="J4461" s="43">
        <v>1.9138206758120505E-2</v>
      </c>
      <c r="K4461" s="43"/>
      <c r="L4461" s="43">
        <v>0.24759999999999999</v>
      </c>
      <c r="O4461" s="50"/>
    </row>
    <row r="4462" spans="2:15" x14ac:dyDescent="0.2">
      <c r="B4462">
        <f t="shared" si="253"/>
        <v>4447</v>
      </c>
      <c r="C4462" s="48">
        <f ca="1"/>
        <v>-0.87469661338110916</v>
      </c>
      <c r="D4462" s="48">
        <f t="shared" ca="1" si="254"/>
        <v>0.60960385072214096</v>
      </c>
      <c r="E4462" s="48">
        <f t="shared" ca="1" si="255"/>
        <v>0</v>
      </c>
      <c r="F4462" s="17">
        <f t="shared" ca="1" si="256"/>
        <v>0</v>
      </c>
      <c r="H4462" s="17">
        <v>4447</v>
      </c>
      <c r="I4462" s="43">
        <v>0.66904185949218431</v>
      </c>
      <c r="J4462" s="43">
        <v>1.9440384809301867E-2</v>
      </c>
      <c r="K4462" s="43"/>
      <c r="L4462" s="43">
        <v>0.25219999999999998</v>
      </c>
      <c r="O4462" s="50"/>
    </row>
    <row r="4463" spans="2:15" x14ac:dyDescent="0.2">
      <c r="B4463">
        <f t="shared" si="253"/>
        <v>4448</v>
      </c>
      <c r="C4463" s="48">
        <f ca="1"/>
        <v>0.85285818971543381</v>
      </c>
      <c r="D4463" s="48">
        <f t="shared" ca="1" si="254"/>
        <v>0.72279423158415734</v>
      </c>
      <c r="E4463" s="48">
        <f t="shared" ca="1" si="255"/>
        <v>0</v>
      </c>
      <c r="F4463" s="17">
        <f t="shared" ca="1" si="256"/>
        <v>0</v>
      </c>
      <c r="H4463" s="17">
        <v>4448</v>
      </c>
      <c r="I4463" s="43">
        <v>0.67016737523029291</v>
      </c>
      <c r="J4463" s="43">
        <v>2.0169086484484941E-2</v>
      </c>
      <c r="K4463" s="43"/>
      <c r="L4463" s="43">
        <v>0.25280000000000002</v>
      </c>
      <c r="O4463" s="50"/>
    </row>
    <row r="4464" spans="2:15" x14ac:dyDescent="0.2">
      <c r="B4464">
        <f t="shared" si="253"/>
        <v>4449</v>
      </c>
      <c r="C4464" s="48">
        <f ca="1"/>
        <v>-0.31294004548742138</v>
      </c>
      <c r="D4464" s="48">
        <f t="shared" ca="1" si="254"/>
        <v>0.64431741157257694</v>
      </c>
      <c r="E4464" s="48">
        <f t="shared" ca="1" si="255"/>
        <v>0</v>
      </c>
      <c r="F4464" s="17">
        <f t="shared" ca="1" si="256"/>
        <v>0</v>
      </c>
      <c r="H4464" s="17">
        <v>4449</v>
      </c>
      <c r="I4464" s="43">
        <v>0.66804730996513784</v>
      </c>
      <c r="J4464" s="43">
        <v>1.8601791465814598E-2</v>
      </c>
      <c r="K4464" s="43"/>
      <c r="L4464" s="43">
        <v>0.24940000000000001</v>
      </c>
      <c r="O4464" s="50"/>
    </row>
    <row r="4465" spans="2:15" x14ac:dyDescent="0.2">
      <c r="B4465">
        <f t="shared" ref="B4465:B4528" si="257">B4464+1</f>
        <v>4450</v>
      </c>
      <c r="C4465" s="48">
        <f ca="1"/>
        <v>0.48982745793921245</v>
      </c>
      <c r="D4465" s="48">
        <f t="shared" ca="1" si="254"/>
        <v>0.69738267854758906</v>
      </c>
      <c r="E4465" s="48">
        <f t="shared" ca="1" si="255"/>
        <v>0</v>
      </c>
      <c r="F4465" s="17">
        <f t="shared" ca="1" si="256"/>
        <v>0</v>
      </c>
      <c r="H4465" s="17">
        <v>4450</v>
      </c>
      <c r="I4465" s="43">
        <v>0.66841458456329117</v>
      </c>
      <c r="J4465" s="43">
        <v>1.901664388393505E-2</v>
      </c>
      <c r="K4465" s="43"/>
      <c r="L4465" s="43">
        <v>0.248</v>
      </c>
      <c r="O4465" s="50"/>
    </row>
    <row r="4466" spans="2:15" x14ac:dyDescent="0.2">
      <c r="B4466">
        <f t="shared" si="257"/>
        <v>4451</v>
      </c>
      <c r="C4466" s="48">
        <f ca="1"/>
        <v>-1.6934438429574581</v>
      </c>
      <c r="D4466" s="48">
        <f t="shared" ca="1" si="254"/>
        <v>0.56233125807584139</v>
      </c>
      <c r="E4466" s="48">
        <f t="shared" ca="1" si="255"/>
        <v>0</v>
      </c>
      <c r="F4466" s="17">
        <f t="shared" ca="1" si="256"/>
        <v>0</v>
      </c>
      <c r="H4466" s="17">
        <v>4451</v>
      </c>
      <c r="I4466" s="43">
        <v>0.66785849368111072</v>
      </c>
      <c r="J4466" s="43">
        <v>1.8550649147494672E-2</v>
      </c>
      <c r="K4466" s="43"/>
      <c r="L4466" s="43">
        <v>0.24560000000000001</v>
      </c>
      <c r="O4466" s="50"/>
    </row>
    <row r="4467" spans="2:15" x14ac:dyDescent="0.2">
      <c r="B4467">
        <f t="shared" si="257"/>
        <v>4452</v>
      </c>
      <c r="C4467" s="48">
        <f ca="1"/>
        <v>0.98472970420671557</v>
      </c>
      <c r="D4467" s="48">
        <f t="shared" ca="1" si="254"/>
        <v>0.7322525418421989</v>
      </c>
      <c r="E4467" s="48">
        <f t="shared" ca="1" si="255"/>
        <v>0</v>
      </c>
      <c r="F4467" s="17">
        <f t="shared" ca="1" si="256"/>
        <v>0</v>
      </c>
      <c r="H4467" s="17">
        <v>4452</v>
      </c>
      <c r="I4467" s="43">
        <v>0.66823545848431332</v>
      </c>
      <c r="J4467" s="43">
        <v>1.8975133824954329E-2</v>
      </c>
      <c r="K4467" s="43"/>
      <c r="L4467" s="43">
        <v>0.247</v>
      </c>
      <c r="O4467" s="50"/>
    </row>
    <row r="4468" spans="2:15" x14ac:dyDescent="0.2">
      <c r="B4468">
        <f t="shared" si="257"/>
        <v>4453</v>
      </c>
      <c r="C4468" s="48">
        <f ca="1"/>
        <v>-1.362308638982517</v>
      </c>
      <c r="D4468" s="48">
        <f t="shared" ca="1" si="254"/>
        <v>0.58099194070377658</v>
      </c>
      <c r="E4468" s="48">
        <f t="shared" ca="1" si="255"/>
        <v>0</v>
      </c>
      <c r="F4468" s="17">
        <f t="shared" ca="1" si="256"/>
        <v>0</v>
      </c>
      <c r="H4468" s="17">
        <v>4453</v>
      </c>
      <c r="I4468" s="43">
        <v>0.66901212937329135</v>
      </c>
      <c r="J4468" s="43">
        <v>1.9342492777687053E-2</v>
      </c>
      <c r="K4468" s="43"/>
      <c r="L4468" s="43">
        <v>0.247</v>
      </c>
      <c r="O4468" s="50"/>
    </row>
    <row r="4469" spans="2:15" x14ac:dyDescent="0.2">
      <c r="B4469">
        <f t="shared" si="257"/>
        <v>4454</v>
      </c>
      <c r="C4469" s="48">
        <f ca="1"/>
        <v>0.26272255532557809</v>
      </c>
      <c r="D4469" s="48">
        <f t="shared" ca="1" si="254"/>
        <v>0.68194199235887287</v>
      </c>
      <c r="E4469" s="48">
        <f t="shared" ca="1" si="255"/>
        <v>0</v>
      </c>
      <c r="F4469" s="17">
        <f t="shared" ca="1" si="256"/>
        <v>0</v>
      </c>
      <c r="H4469" s="17">
        <v>4454</v>
      </c>
      <c r="I4469" s="43">
        <v>0.66856761313438096</v>
      </c>
      <c r="J4469" s="43">
        <v>1.8814099861660914E-2</v>
      </c>
      <c r="K4469" s="43"/>
      <c r="L4469" s="43">
        <v>0.247</v>
      </c>
      <c r="O4469" s="50"/>
    </row>
    <row r="4470" spans="2:15" x14ac:dyDescent="0.2">
      <c r="B4470">
        <f t="shared" si="257"/>
        <v>4455</v>
      </c>
      <c r="C4470" s="48">
        <f ca="1"/>
        <v>-0.22775823467754622</v>
      </c>
      <c r="D4470" s="48">
        <f t="shared" ca="1" si="254"/>
        <v>0.64975108213891286</v>
      </c>
      <c r="E4470" s="48">
        <f t="shared" ca="1" si="255"/>
        <v>0</v>
      </c>
      <c r="F4470" s="17">
        <f t="shared" ca="1" si="256"/>
        <v>0</v>
      </c>
      <c r="H4470" s="17">
        <v>4455</v>
      </c>
      <c r="I4470" s="43">
        <v>0.66914432676935875</v>
      </c>
      <c r="J4470" s="43">
        <v>1.9599855512692478E-2</v>
      </c>
      <c r="K4470" s="43"/>
      <c r="L4470" s="43">
        <v>0.25359999999999999</v>
      </c>
      <c r="O4470" s="50"/>
    </row>
    <row r="4471" spans="2:15" x14ac:dyDescent="0.2">
      <c r="B4471">
        <f t="shared" si="257"/>
        <v>4456</v>
      </c>
      <c r="C4471" s="48">
        <f ca="1"/>
        <v>0.41465610551092125</v>
      </c>
      <c r="D4471" s="48">
        <f t="shared" ca="1" si="254"/>
        <v>0.69223351167675629</v>
      </c>
      <c r="E4471" s="48">
        <f t="shared" ca="1" si="255"/>
        <v>0</v>
      </c>
      <c r="F4471" s="17">
        <f t="shared" ca="1" si="256"/>
        <v>0</v>
      </c>
      <c r="H4471" s="17">
        <v>4456</v>
      </c>
      <c r="I4471" s="43">
        <v>0.66881526743800335</v>
      </c>
      <c r="J4471" s="43">
        <v>1.9335534718590393E-2</v>
      </c>
      <c r="K4471" s="43"/>
      <c r="L4471" s="43">
        <v>0.2492</v>
      </c>
      <c r="O4471" s="50"/>
    </row>
    <row r="4472" spans="2:15" x14ac:dyDescent="0.2">
      <c r="B4472">
        <f t="shared" si="257"/>
        <v>4457</v>
      </c>
      <c r="C4472" s="48">
        <f ca="1"/>
        <v>0.3647198274508795</v>
      </c>
      <c r="D4472" s="48">
        <f t="shared" ca="1" si="254"/>
        <v>0.68883395791921176</v>
      </c>
      <c r="E4472" s="48">
        <f t="shared" ca="1" si="255"/>
        <v>0</v>
      </c>
      <c r="F4472" s="17">
        <f t="shared" ca="1" si="256"/>
        <v>0</v>
      </c>
      <c r="H4472" s="17">
        <v>4457</v>
      </c>
      <c r="I4472" s="43">
        <v>0.6686803581610643</v>
      </c>
      <c r="J4472" s="43">
        <v>1.9310702016162626E-2</v>
      </c>
      <c r="K4472" s="43"/>
      <c r="L4472" s="43">
        <v>0.24679999999999999</v>
      </c>
      <c r="O4472" s="50"/>
    </row>
    <row r="4473" spans="2:15" x14ac:dyDescent="0.2">
      <c r="B4473">
        <f t="shared" si="257"/>
        <v>4458</v>
      </c>
      <c r="C4473" s="48">
        <f ca="1"/>
        <v>1.2160250288897176</v>
      </c>
      <c r="D4473" s="48">
        <f t="shared" ca="1" si="254"/>
        <v>0.74914179483947296</v>
      </c>
      <c r="E4473" s="48">
        <f t="shared" ca="1" si="255"/>
        <v>0</v>
      </c>
      <c r="F4473" s="17">
        <f t="shared" ca="1" si="256"/>
        <v>0</v>
      </c>
      <c r="H4473" s="17">
        <v>4458</v>
      </c>
      <c r="I4473" s="43">
        <v>0.66887011788695749</v>
      </c>
      <c r="J4473" s="43">
        <v>1.9425927169231146E-2</v>
      </c>
      <c r="K4473" s="43"/>
      <c r="L4473" s="43">
        <v>0.25259999999999999</v>
      </c>
      <c r="O4473" s="50"/>
    </row>
    <row r="4474" spans="2:15" x14ac:dyDescent="0.2">
      <c r="B4474">
        <f t="shared" si="257"/>
        <v>4459</v>
      </c>
      <c r="C4474" s="48">
        <f ca="1"/>
        <v>-3.9560009598350362E-2</v>
      </c>
      <c r="D4474" s="48">
        <f t="shared" ca="1" si="254"/>
        <v>0.66191908860128601</v>
      </c>
      <c r="E4474" s="48">
        <f t="shared" ca="1" si="255"/>
        <v>0</v>
      </c>
      <c r="F4474" s="17">
        <f t="shared" ca="1" si="256"/>
        <v>0</v>
      </c>
      <c r="H4474" s="17">
        <v>4459</v>
      </c>
      <c r="I4474" s="43">
        <v>0.66847162826082718</v>
      </c>
      <c r="J4474" s="43">
        <v>1.8763004111444045E-2</v>
      </c>
      <c r="K4474" s="43"/>
      <c r="L4474" s="43">
        <v>0.24840000000000001</v>
      </c>
      <c r="O4474" s="50"/>
    </row>
    <row r="4475" spans="2:15" x14ac:dyDescent="0.2">
      <c r="B4475">
        <f t="shared" si="257"/>
        <v>4460</v>
      </c>
      <c r="C4475" s="48">
        <f ca="1"/>
        <v>-0.15565303488627302</v>
      </c>
      <c r="D4475" s="48">
        <f t="shared" ca="1" si="254"/>
        <v>0.65438640360966893</v>
      </c>
      <c r="E4475" s="48">
        <f t="shared" ca="1" si="255"/>
        <v>0</v>
      </c>
      <c r="F4475" s="17">
        <f t="shared" ca="1" si="256"/>
        <v>0</v>
      </c>
      <c r="H4475" s="17">
        <v>4460</v>
      </c>
      <c r="I4475" s="43">
        <v>0.66827485779889551</v>
      </c>
      <c r="J4475" s="43">
        <v>1.9096868195594807E-2</v>
      </c>
      <c r="K4475" s="43"/>
      <c r="L4475" s="43">
        <v>0.25140000000000001</v>
      </c>
      <c r="O4475" s="50"/>
    </row>
    <row r="4476" spans="2:15" x14ac:dyDescent="0.2">
      <c r="B4476">
        <f t="shared" si="257"/>
        <v>4461</v>
      </c>
      <c r="C4476" s="48">
        <f ca="1"/>
        <v>0.24274898667105307</v>
      </c>
      <c r="D4476" s="48">
        <f t="shared" ca="1" si="254"/>
        <v>0.68060047190887729</v>
      </c>
      <c r="E4476" s="48">
        <f t="shared" ca="1" si="255"/>
        <v>0</v>
      </c>
      <c r="F4476" s="17">
        <f t="shared" ca="1" si="256"/>
        <v>0</v>
      </c>
      <c r="H4476" s="17">
        <v>4461</v>
      </c>
      <c r="I4476" s="43">
        <v>0.6693572651135119</v>
      </c>
      <c r="J4476" s="43">
        <v>1.9280202112814809E-2</v>
      </c>
      <c r="K4476" s="43"/>
      <c r="L4476" s="43">
        <v>0.24479999999999999</v>
      </c>
      <c r="O4476" s="50"/>
    </row>
    <row r="4477" spans="2:15" x14ac:dyDescent="0.2">
      <c r="B4477">
        <f t="shared" si="257"/>
        <v>4462</v>
      </c>
      <c r="C4477" s="48">
        <f ca="1"/>
        <v>0.21580920623180233</v>
      </c>
      <c r="D4477" s="48">
        <f t="shared" ca="1" si="254"/>
        <v>0.67879524657668966</v>
      </c>
      <c r="E4477" s="48">
        <f t="shared" ca="1" si="255"/>
        <v>0</v>
      </c>
      <c r="F4477" s="17">
        <f t="shared" ca="1" si="256"/>
        <v>0</v>
      </c>
      <c r="H4477" s="17">
        <v>4462</v>
      </c>
      <c r="I4477" s="43">
        <v>0.66864350479954315</v>
      </c>
      <c r="J4477" s="43">
        <v>1.9248406918520013E-2</v>
      </c>
      <c r="K4477" s="43"/>
      <c r="L4477" s="43">
        <v>0.25040000000000001</v>
      </c>
      <c r="O4477" s="50"/>
    </row>
    <row r="4478" spans="2:15" x14ac:dyDescent="0.2">
      <c r="B4478">
        <f t="shared" si="257"/>
        <v>4463</v>
      </c>
      <c r="C4478" s="48">
        <f ca="1"/>
        <v>-1.7189316875521501</v>
      </c>
      <c r="D4478" s="48">
        <f t="shared" ca="1" si="254"/>
        <v>0.56092001596641483</v>
      </c>
      <c r="E4478" s="48">
        <f t="shared" ca="1" si="255"/>
        <v>0</v>
      </c>
      <c r="F4478" s="17">
        <f t="shared" ca="1" si="256"/>
        <v>0</v>
      </c>
      <c r="H4478" s="17">
        <v>4463</v>
      </c>
      <c r="I4478" s="43">
        <v>0.66942270977897855</v>
      </c>
      <c r="J4478" s="43">
        <v>1.9775418036393055E-2</v>
      </c>
      <c r="K4478" s="43"/>
      <c r="L4478" s="43">
        <v>0.25019999999999998</v>
      </c>
      <c r="O4478" s="50"/>
    </row>
    <row r="4479" spans="2:15" x14ac:dyDescent="0.2">
      <c r="B4479">
        <f t="shared" si="257"/>
        <v>4464</v>
      </c>
      <c r="C4479" s="48">
        <f ca="1"/>
        <v>0.80488070852731675</v>
      </c>
      <c r="D4479" s="48">
        <f t="shared" ca="1" si="254"/>
        <v>0.71938350312196331</v>
      </c>
      <c r="E4479" s="48">
        <f t="shared" ca="1" si="255"/>
        <v>0</v>
      </c>
      <c r="F4479" s="17">
        <f t="shared" ca="1" si="256"/>
        <v>0</v>
      </c>
      <c r="H4479" s="17">
        <v>4464</v>
      </c>
      <c r="I4479" s="43">
        <v>0.6686644828510766</v>
      </c>
      <c r="J4479" s="43">
        <v>1.889051146098334E-2</v>
      </c>
      <c r="K4479" s="43"/>
      <c r="L4479" s="43">
        <v>0.24340000000000001</v>
      </c>
      <c r="O4479" s="50"/>
    </row>
    <row r="4480" spans="2:15" x14ac:dyDescent="0.2">
      <c r="B4480">
        <f t="shared" si="257"/>
        <v>4465</v>
      </c>
      <c r="C4480" s="48">
        <f ca="1"/>
        <v>0.59093263662059425</v>
      </c>
      <c r="D4480" s="48">
        <f t="shared" ca="1" si="254"/>
        <v>0.70436874214810641</v>
      </c>
      <c r="E4480" s="48">
        <f t="shared" ca="1" si="255"/>
        <v>0</v>
      </c>
      <c r="F4480" s="17">
        <f t="shared" ca="1" si="256"/>
        <v>0</v>
      </c>
      <c r="H4480" s="17">
        <v>4465</v>
      </c>
      <c r="I4480" s="43">
        <v>0.66895682034455972</v>
      </c>
      <c r="J4480" s="43">
        <v>1.9491319697250004E-2</v>
      </c>
      <c r="K4480" s="43"/>
      <c r="L4480" s="43">
        <v>0.25059999999999999</v>
      </c>
      <c r="O4480" s="50"/>
    </row>
    <row r="4481" spans="2:15" x14ac:dyDescent="0.2">
      <c r="B4481">
        <f t="shared" si="257"/>
        <v>4466</v>
      </c>
      <c r="C4481" s="48">
        <f ca="1"/>
        <v>-0.47116356046485874</v>
      </c>
      <c r="D4481" s="48">
        <f t="shared" ca="1" si="254"/>
        <v>0.63434478008977291</v>
      </c>
      <c r="E4481" s="48">
        <f t="shared" ca="1" si="255"/>
        <v>0</v>
      </c>
      <c r="F4481" s="17">
        <f t="shared" ca="1" si="256"/>
        <v>0</v>
      </c>
      <c r="H4481" s="17">
        <v>4466</v>
      </c>
      <c r="I4481" s="43">
        <v>0.66992870610911104</v>
      </c>
      <c r="J4481" s="43">
        <v>2.02595551605417E-2</v>
      </c>
      <c r="K4481" s="43"/>
      <c r="L4481" s="43">
        <v>0.25059999999999999</v>
      </c>
      <c r="O4481" s="50"/>
    </row>
    <row r="4482" spans="2:15" x14ac:dyDescent="0.2">
      <c r="B4482">
        <f t="shared" si="257"/>
        <v>4467</v>
      </c>
      <c r="C4482" s="48">
        <f ca="1"/>
        <v>-0.28189440097078594</v>
      </c>
      <c r="D4482" s="48">
        <f t="shared" ca="1" si="254"/>
        <v>0.64629250235893576</v>
      </c>
      <c r="E4482" s="48">
        <f t="shared" ca="1" si="255"/>
        <v>0</v>
      </c>
      <c r="F4482" s="17">
        <f t="shared" ca="1" si="256"/>
        <v>0</v>
      </c>
      <c r="H4482" s="17">
        <v>4467</v>
      </c>
      <c r="I4482" s="43">
        <v>0.66893124961110684</v>
      </c>
      <c r="J4482" s="43">
        <v>1.954965275351701E-2</v>
      </c>
      <c r="K4482" s="43"/>
      <c r="L4482" s="43">
        <v>0.2576</v>
      </c>
      <c r="O4482" s="50"/>
    </row>
    <row r="4483" spans="2:15" x14ac:dyDescent="0.2">
      <c r="B4483">
        <f t="shared" si="257"/>
        <v>4468</v>
      </c>
      <c r="C4483" s="48">
        <f ca="1"/>
        <v>-1.3041886820711297</v>
      </c>
      <c r="D4483" s="48">
        <f t="shared" ca="1" si="254"/>
        <v>0.58433052186348544</v>
      </c>
      <c r="E4483" s="48">
        <f t="shared" ca="1" si="255"/>
        <v>0</v>
      </c>
      <c r="F4483" s="17">
        <f t="shared" ca="1" si="256"/>
        <v>0</v>
      </c>
      <c r="H4483" s="17">
        <v>4468</v>
      </c>
      <c r="I4483" s="43">
        <v>0.66921645084698256</v>
      </c>
      <c r="J4483" s="43">
        <v>1.9330349511460208E-2</v>
      </c>
      <c r="K4483" s="43"/>
      <c r="L4483" s="43">
        <v>0.24959999999999999</v>
      </c>
      <c r="O4483" s="50"/>
    </row>
    <row r="4484" spans="2:15" x14ac:dyDescent="0.2">
      <c r="B4484">
        <f t="shared" si="257"/>
        <v>4469</v>
      </c>
      <c r="C4484" s="48">
        <f ca="1"/>
        <v>1.0579185587186954</v>
      </c>
      <c r="D4484" s="48">
        <f t="shared" ca="1" si="254"/>
        <v>0.73755522071596513</v>
      </c>
      <c r="E4484" s="48">
        <f t="shared" ca="1" si="255"/>
        <v>0</v>
      </c>
      <c r="F4484" s="17">
        <f t="shared" ca="1" si="256"/>
        <v>0</v>
      </c>
      <c r="H4484" s="17">
        <v>4469</v>
      </c>
      <c r="I4484" s="43">
        <v>0.66957723031619087</v>
      </c>
      <c r="J4484" s="43">
        <v>1.9798134569893995E-2</v>
      </c>
      <c r="K4484" s="43"/>
      <c r="L4484" s="43">
        <v>0.25480000000000003</v>
      </c>
      <c r="O4484" s="50"/>
    </row>
    <row r="4485" spans="2:15" x14ac:dyDescent="0.2">
      <c r="B4485">
        <f t="shared" si="257"/>
        <v>4470</v>
      </c>
      <c r="C4485" s="48">
        <f ca="1"/>
        <v>-2.2164639062929727</v>
      </c>
      <c r="D4485" s="48">
        <f t="shared" ca="1" si="254"/>
        <v>0.53407051390932836</v>
      </c>
      <c r="E4485" s="48">
        <f t="shared" ca="1" si="255"/>
        <v>0</v>
      </c>
      <c r="F4485" s="17">
        <f t="shared" ca="1" si="256"/>
        <v>0</v>
      </c>
      <c r="H4485" s="17">
        <v>4470</v>
      </c>
      <c r="I4485" s="43">
        <v>0.66883302451486015</v>
      </c>
      <c r="J4485" s="43">
        <v>1.9347973466358092E-2</v>
      </c>
      <c r="K4485" s="43"/>
      <c r="L4485" s="43">
        <v>0.25059999999999999</v>
      </c>
      <c r="O4485" s="50"/>
    </row>
    <row r="4486" spans="2:15" x14ac:dyDescent="0.2">
      <c r="B4486">
        <f t="shared" si="257"/>
        <v>4471</v>
      </c>
      <c r="C4486" s="48">
        <f ca="1"/>
        <v>-0.44451482584924779</v>
      </c>
      <c r="D4486" s="48">
        <f t="shared" ca="1" si="254"/>
        <v>0.63601354171371949</v>
      </c>
      <c r="E4486" s="48">
        <f t="shared" ca="1" si="255"/>
        <v>0</v>
      </c>
      <c r="F4486" s="17">
        <f t="shared" ca="1" si="256"/>
        <v>0</v>
      </c>
      <c r="H4486" s="17">
        <v>4471</v>
      </c>
      <c r="I4486" s="43">
        <v>0.66866919772167299</v>
      </c>
      <c r="J4486" s="43">
        <v>1.9151845670310471E-2</v>
      </c>
      <c r="K4486" s="43"/>
      <c r="L4486" s="43">
        <v>0.251</v>
      </c>
      <c r="O4486" s="50"/>
    </row>
    <row r="4487" spans="2:15" x14ac:dyDescent="0.2">
      <c r="B4487">
        <f t="shared" si="257"/>
        <v>4472</v>
      </c>
      <c r="C4487" s="48">
        <f ca="1"/>
        <v>-0.4151056455960549</v>
      </c>
      <c r="D4487" s="48">
        <f t="shared" ca="1" si="254"/>
        <v>0.63786026041020072</v>
      </c>
      <c r="E4487" s="48">
        <f t="shared" ca="1" si="255"/>
        <v>0</v>
      </c>
      <c r="F4487" s="17">
        <f t="shared" ca="1" si="256"/>
        <v>0</v>
      </c>
      <c r="H4487" s="17">
        <v>4472</v>
      </c>
      <c r="I4487" s="43">
        <v>0.66865657551029545</v>
      </c>
      <c r="J4487" s="43">
        <v>1.9351678740220039E-2</v>
      </c>
      <c r="K4487" s="43"/>
      <c r="L4487" s="43">
        <v>0.25419999999999998</v>
      </c>
      <c r="O4487" s="50"/>
    </row>
    <row r="4488" spans="2:15" x14ac:dyDescent="0.2">
      <c r="B4488">
        <f t="shared" si="257"/>
        <v>4473</v>
      </c>
      <c r="C4488" s="48">
        <f ca="1"/>
        <v>0.27956620592954506</v>
      </c>
      <c r="D4488" s="48">
        <f t="shared" ca="1" si="254"/>
        <v>0.68307534749582899</v>
      </c>
      <c r="E4488" s="48">
        <f t="shared" ca="1" si="255"/>
        <v>0</v>
      </c>
      <c r="F4488" s="17">
        <f t="shared" ca="1" si="256"/>
        <v>0</v>
      </c>
      <c r="H4488" s="17">
        <v>4473</v>
      </c>
      <c r="I4488" s="43">
        <v>0.66881763105122705</v>
      </c>
      <c r="J4488" s="43">
        <v>1.9515777353850353E-2</v>
      </c>
      <c r="K4488" s="43"/>
      <c r="L4488" s="43">
        <v>0.255</v>
      </c>
      <c r="O4488" s="50"/>
    </row>
    <row r="4489" spans="2:15" x14ac:dyDescent="0.2">
      <c r="B4489">
        <f t="shared" si="257"/>
        <v>4474</v>
      </c>
      <c r="C4489" s="48">
        <f ca="1"/>
        <v>-0.86030562872354044</v>
      </c>
      <c r="D4489" s="48">
        <f t="shared" ca="1" si="254"/>
        <v>0.61046935267272207</v>
      </c>
      <c r="E4489" s="48">
        <f t="shared" ca="1" si="255"/>
        <v>0</v>
      </c>
      <c r="F4489" s="17">
        <f t="shared" ca="1" si="256"/>
        <v>0</v>
      </c>
      <c r="H4489" s="17">
        <v>4474</v>
      </c>
      <c r="I4489" s="43">
        <v>0.66866076211148995</v>
      </c>
      <c r="J4489" s="43">
        <v>1.9234432830858725E-2</v>
      </c>
      <c r="K4489" s="43"/>
      <c r="L4489" s="43">
        <v>0.251</v>
      </c>
      <c r="O4489" s="50"/>
    </row>
    <row r="4490" spans="2:15" x14ac:dyDescent="0.2">
      <c r="B4490">
        <f t="shared" si="257"/>
        <v>4475</v>
      </c>
      <c r="C4490" s="48">
        <f ca="1"/>
        <v>-0.18504724892225319</v>
      </c>
      <c r="D4490" s="48">
        <f t="shared" ca="1" si="254"/>
        <v>0.65249280153499323</v>
      </c>
      <c r="E4490" s="48">
        <f t="shared" ca="1" si="255"/>
        <v>0</v>
      </c>
      <c r="F4490" s="17">
        <f t="shared" ca="1" si="256"/>
        <v>0</v>
      </c>
      <c r="H4490" s="17">
        <v>4475</v>
      </c>
      <c r="I4490" s="43">
        <v>0.66900520264000762</v>
      </c>
      <c r="J4490" s="43">
        <v>1.8986166015513707E-2</v>
      </c>
      <c r="K4490" s="43"/>
      <c r="L4490" s="43">
        <v>0.249</v>
      </c>
      <c r="O4490" s="50"/>
    </row>
    <row r="4491" spans="2:15" x14ac:dyDescent="0.2">
      <c r="B4491">
        <f t="shared" si="257"/>
        <v>4476</v>
      </c>
      <c r="C4491" s="48">
        <f ca="1"/>
        <v>-1.18379752873699</v>
      </c>
      <c r="D4491" s="48">
        <f t="shared" ca="1" si="254"/>
        <v>0.59130729738887522</v>
      </c>
      <c r="E4491" s="48">
        <f t="shared" ca="1" si="255"/>
        <v>0</v>
      </c>
      <c r="F4491" s="17">
        <f t="shared" ca="1" si="256"/>
        <v>0</v>
      </c>
      <c r="H4491" s="17">
        <v>4476</v>
      </c>
      <c r="I4491" s="43">
        <v>0.6678259267832225</v>
      </c>
      <c r="J4491" s="43">
        <v>1.8609877948155544E-2</v>
      </c>
      <c r="K4491" s="43"/>
      <c r="L4491" s="43">
        <v>0.24560000000000001</v>
      </c>
      <c r="O4491" s="50"/>
    </row>
    <row r="4492" spans="2:15" x14ac:dyDescent="0.2">
      <c r="B4492">
        <f t="shared" si="257"/>
        <v>4477</v>
      </c>
      <c r="C4492" s="48">
        <f ca="1"/>
        <v>-0.34097914916846767</v>
      </c>
      <c r="D4492" s="48">
        <f t="shared" ca="1" si="254"/>
        <v>0.64253878166011147</v>
      </c>
      <c r="E4492" s="48">
        <f t="shared" ca="1" si="255"/>
        <v>0</v>
      </c>
      <c r="F4492" s="17">
        <f t="shared" ca="1" si="256"/>
        <v>0</v>
      </c>
      <c r="H4492" s="17">
        <v>4477</v>
      </c>
      <c r="I4492" s="43">
        <v>0.66921281190326254</v>
      </c>
      <c r="J4492" s="43">
        <v>1.947620090685866E-2</v>
      </c>
      <c r="K4492" s="43"/>
      <c r="L4492" s="43">
        <v>0.25119999999999998</v>
      </c>
      <c r="O4492" s="50"/>
    </row>
    <row r="4493" spans="2:15" x14ac:dyDescent="0.2">
      <c r="B4493">
        <f t="shared" si="257"/>
        <v>4478</v>
      </c>
      <c r="C4493" s="48">
        <f ca="1"/>
        <v>-0.60159771629948755</v>
      </c>
      <c r="D4493" s="48">
        <f t="shared" ca="1" si="254"/>
        <v>0.62623985358450895</v>
      </c>
      <c r="E4493" s="48">
        <f t="shared" ca="1" si="255"/>
        <v>0</v>
      </c>
      <c r="F4493" s="17">
        <f t="shared" ca="1" si="256"/>
        <v>0</v>
      </c>
      <c r="H4493" s="17">
        <v>4478</v>
      </c>
      <c r="I4493" s="43">
        <v>0.67079954159680177</v>
      </c>
      <c r="J4493" s="43">
        <v>2.09966600813353E-2</v>
      </c>
      <c r="K4493" s="43"/>
      <c r="L4493" s="43">
        <v>0.25800000000000001</v>
      </c>
      <c r="O4493" s="50"/>
    </row>
    <row r="4494" spans="2:15" x14ac:dyDescent="0.2">
      <c r="B4494">
        <f t="shared" si="257"/>
        <v>4479</v>
      </c>
      <c r="C4494" s="48">
        <f ca="1"/>
        <v>-1.1461230509477385</v>
      </c>
      <c r="D4494" s="48">
        <f t="shared" ca="1" si="254"/>
        <v>0.5935076332918533</v>
      </c>
      <c r="E4494" s="48">
        <f t="shared" ca="1" si="255"/>
        <v>0</v>
      </c>
      <c r="F4494" s="17">
        <f t="shared" ca="1" si="256"/>
        <v>0</v>
      </c>
      <c r="H4494" s="17">
        <v>4479</v>
      </c>
      <c r="I4494" s="43">
        <v>0.668238707214593</v>
      </c>
      <c r="J4494" s="43">
        <v>1.890071882124612E-2</v>
      </c>
      <c r="K4494" s="43"/>
      <c r="L4494" s="43">
        <v>0.24940000000000001</v>
      </c>
      <c r="O4494" s="50"/>
    </row>
    <row r="4495" spans="2:15" x14ac:dyDescent="0.2">
      <c r="B4495">
        <f t="shared" si="257"/>
        <v>4480</v>
      </c>
      <c r="C4495" s="48">
        <f ca="1"/>
        <v>0.31976029613669466</v>
      </c>
      <c r="D4495" s="48">
        <f t="shared" ca="1" si="254"/>
        <v>0.68578749492915958</v>
      </c>
      <c r="E4495" s="48">
        <f t="shared" ca="1" si="255"/>
        <v>0</v>
      </c>
      <c r="F4495" s="17">
        <f t="shared" ca="1" si="256"/>
        <v>0</v>
      </c>
      <c r="H4495" s="17">
        <v>4480</v>
      </c>
      <c r="I4495" s="43">
        <v>0.66867843476617606</v>
      </c>
      <c r="J4495" s="43">
        <v>1.9388180111151045E-2</v>
      </c>
      <c r="K4495" s="43"/>
      <c r="L4495" s="43">
        <v>0.24840000000000001</v>
      </c>
      <c r="O4495" s="50"/>
    </row>
    <row r="4496" spans="2:15" x14ac:dyDescent="0.2">
      <c r="B4496">
        <f t="shared" si="257"/>
        <v>4481</v>
      </c>
      <c r="C4496" s="48">
        <f ca="1"/>
        <v>-0.1063690039819956</v>
      </c>
      <c r="D4496" s="48">
        <f t="shared" ref="D4496:D4559" ca="1" si="258">S0*EXP((μ-0.5*σ*σ)*T+σ*SQRT(T)*$C4496)</f>
        <v>0.65757366519677696</v>
      </c>
      <c r="E4496" s="48">
        <f t="shared" ref="E4496:E4559" ca="1" si="259">MAX(0,CP*(D4496-K))</f>
        <v>0</v>
      </c>
      <c r="F4496" s="17">
        <f t="shared" ref="F4496:F4559" ca="1" si="260">(CP*(D4496-K)&gt;0)*1</f>
        <v>0</v>
      </c>
      <c r="H4496" s="17">
        <v>4481</v>
      </c>
      <c r="I4496" s="43">
        <v>0.66764437530342646</v>
      </c>
      <c r="J4496" s="43">
        <v>1.8358873059529022E-2</v>
      </c>
      <c r="K4496" s="43"/>
      <c r="L4496" s="43">
        <v>0.24579999999999999</v>
      </c>
      <c r="O4496" s="50"/>
    </row>
    <row r="4497" spans="2:15" x14ac:dyDescent="0.2">
      <c r="B4497">
        <f t="shared" si="257"/>
        <v>4482</v>
      </c>
      <c r="C4497" s="48">
        <f ca="1"/>
        <v>0.61643799719456427</v>
      </c>
      <c r="D4497" s="48">
        <f t="shared" ca="1" si="258"/>
        <v>0.7061421123073055</v>
      </c>
      <c r="E4497" s="48">
        <f t="shared" ca="1" si="259"/>
        <v>0</v>
      </c>
      <c r="F4497" s="17">
        <f t="shared" ca="1" si="260"/>
        <v>0</v>
      </c>
      <c r="H4497" s="17">
        <v>4482</v>
      </c>
      <c r="I4497" s="43">
        <v>0.66836710440354552</v>
      </c>
      <c r="J4497" s="43">
        <v>1.9113757363365052E-2</v>
      </c>
      <c r="K4497" s="43"/>
      <c r="L4497" s="43">
        <v>0.24740000000000001</v>
      </c>
      <c r="O4497" s="50"/>
    </row>
    <row r="4498" spans="2:15" x14ac:dyDescent="0.2">
      <c r="B4498">
        <f t="shared" si="257"/>
        <v>4483</v>
      </c>
      <c r="C4498" s="48">
        <f ca="1"/>
        <v>-2.413384478742223E-2</v>
      </c>
      <c r="D4498" s="48">
        <f t="shared" ca="1" si="258"/>
        <v>0.66292651859848795</v>
      </c>
      <c r="E4498" s="48">
        <f t="shared" ca="1" si="259"/>
        <v>0</v>
      </c>
      <c r="F4498" s="17">
        <f t="shared" ca="1" si="260"/>
        <v>0</v>
      </c>
      <c r="H4498" s="17">
        <v>4483</v>
      </c>
      <c r="I4498" s="43">
        <v>0.66954899120095701</v>
      </c>
      <c r="J4498" s="43">
        <v>2.0125502687515107E-2</v>
      </c>
      <c r="K4498" s="43"/>
      <c r="L4498" s="43">
        <v>0.25879999999999997</v>
      </c>
      <c r="O4498" s="50"/>
    </row>
    <row r="4499" spans="2:15" x14ac:dyDescent="0.2">
      <c r="B4499">
        <f t="shared" si="257"/>
        <v>4484</v>
      </c>
      <c r="C4499" s="48">
        <f ca="1"/>
        <v>0.76877129098902808</v>
      </c>
      <c r="D4499" s="48">
        <f t="shared" ca="1" si="258"/>
        <v>0.71682709683432189</v>
      </c>
      <c r="E4499" s="48">
        <f t="shared" ca="1" si="259"/>
        <v>0</v>
      </c>
      <c r="F4499" s="17">
        <f t="shared" ca="1" si="260"/>
        <v>0</v>
      </c>
      <c r="H4499" s="17">
        <v>4484</v>
      </c>
      <c r="I4499" s="43">
        <v>0.66968936407273993</v>
      </c>
      <c r="J4499" s="43">
        <v>1.9755708730820738E-2</v>
      </c>
      <c r="K4499" s="43"/>
      <c r="L4499" s="43">
        <v>0.25719999999999998</v>
      </c>
      <c r="O4499" s="50"/>
    </row>
    <row r="4500" spans="2:15" x14ac:dyDescent="0.2">
      <c r="B4500">
        <f t="shared" si="257"/>
        <v>4485</v>
      </c>
      <c r="C4500" s="48">
        <f ca="1"/>
        <v>-0.48040130310705492</v>
      </c>
      <c r="D4500" s="48">
        <f t="shared" ca="1" si="258"/>
        <v>0.63376732900254307</v>
      </c>
      <c r="E4500" s="48">
        <f t="shared" ca="1" si="259"/>
        <v>0</v>
      </c>
      <c r="F4500" s="17">
        <f t="shared" ca="1" si="260"/>
        <v>0</v>
      </c>
      <c r="H4500" s="17">
        <v>4485</v>
      </c>
      <c r="I4500" s="43">
        <v>0.66975823538883827</v>
      </c>
      <c r="J4500" s="43">
        <v>1.9903021925355258E-2</v>
      </c>
      <c r="K4500" s="43"/>
      <c r="L4500" s="43">
        <v>0.25319999999999998</v>
      </c>
      <c r="O4500" s="50"/>
    </row>
    <row r="4501" spans="2:15" x14ac:dyDescent="0.2">
      <c r="B4501">
        <f t="shared" si="257"/>
        <v>4486</v>
      </c>
      <c r="C4501" s="48">
        <f ca="1"/>
        <v>0.65895557798630333</v>
      </c>
      <c r="D4501" s="48">
        <f t="shared" ca="1" si="258"/>
        <v>0.70910826096140467</v>
      </c>
      <c r="E4501" s="48">
        <f t="shared" ca="1" si="259"/>
        <v>0</v>
      </c>
      <c r="F4501" s="17">
        <f t="shared" ca="1" si="260"/>
        <v>0</v>
      </c>
      <c r="H4501" s="17">
        <v>4486</v>
      </c>
      <c r="I4501" s="43">
        <v>0.66801611609499401</v>
      </c>
      <c r="J4501" s="43">
        <v>1.8559964123765035E-2</v>
      </c>
      <c r="K4501" s="43"/>
      <c r="L4501" s="43">
        <v>0.2462</v>
      </c>
      <c r="O4501" s="50"/>
    </row>
    <row r="4502" spans="2:15" x14ac:dyDescent="0.2">
      <c r="B4502">
        <f t="shared" si="257"/>
        <v>4487</v>
      </c>
      <c r="C4502" s="48">
        <f ca="1"/>
        <v>-0.15209816161396217</v>
      </c>
      <c r="D4502" s="48">
        <f t="shared" ca="1" si="258"/>
        <v>0.65461578396224418</v>
      </c>
      <c r="E4502" s="48">
        <f t="shared" ca="1" si="259"/>
        <v>0</v>
      </c>
      <c r="F4502" s="17">
        <f t="shared" ca="1" si="260"/>
        <v>0</v>
      </c>
      <c r="H4502" s="17">
        <v>4487</v>
      </c>
      <c r="I4502" s="43">
        <v>0.66852585326947234</v>
      </c>
      <c r="J4502" s="43">
        <v>1.9015303427047884E-2</v>
      </c>
      <c r="K4502" s="43"/>
      <c r="L4502" s="43">
        <v>0.24959999999999999</v>
      </c>
      <c r="O4502" s="50"/>
    </row>
    <row r="4503" spans="2:15" x14ac:dyDescent="0.2">
      <c r="B4503">
        <f t="shared" si="257"/>
        <v>4488</v>
      </c>
      <c r="C4503" s="48">
        <f ca="1"/>
        <v>-0.94778609539077441</v>
      </c>
      <c r="D4503" s="48">
        <f t="shared" ca="1" si="258"/>
        <v>0.60522701197606887</v>
      </c>
      <c r="E4503" s="48">
        <f t="shared" ca="1" si="259"/>
        <v>0</v>
      </c>
      <c r="F4503" s="17">
        <f t="shared" ca="1" si="260"/>
        <v>0</v>
      </c>
      <c r="H4503" s="17">
        <v>4488</v>
      </c>
      <c r="I4503" s="43">
        <v>0.66919794069243599</v>
      </c>
      <c r="J4503" s="43">
        <v>1.9551088126548547E-2</v>
      </c>
      <c r="K4503" s="43"/>
      <c r="L4503" s="43">
        <v>0.25459999999999999</v>
      </c>
      <c r="O4503" s="50"/>
    </row>
    <row r="4504" spans="2:15" x14ac:dyDescent="0.2">
      <c r="B4504">
        <f t="shared" si="257"/>
        <v>4489</v>
      </c>
      <c r="C4504" s="48">
        <f ca="1"/>
        <v>-0.24030785404861241</v>
      </c>
      <c r="D4504" s="48">
        <f t="shared" ca="1" si="258"/>
        <v>0.64894768431436345</v>
      </c>
      <c r="E4504" s="48">
        <f t="shared" ca="1" si="259"/>
        <v>0</v>
      </c>
      <c r="F4504" s="17">
        <f t="shared" ca="1" si="260"/>
        <v>0</v>
      </c>
      <c r="H4504" s="17">
        <v>4489</v>
      </c>
      <c r="I4504" s="43">
        <v>0.66879956403703222</v>
      </c>
      <c r="J4504" s="43">
        <v>1.9379017448926752E-2</v>
      </c>
      <c r="K4504" s="43"/>
      <c r="L4504" s="43">
        <v>0.25319999999999998</v>
      </c>
      <c r="O4504" s="50"/>
    </row>
    <row r="4505" spans="2:15" x14ac:dyDescent="0.2">
      <c r="B4505">
        <f t="shared" si="257"/>
        <v>4490</v>
      </c>
      <c r="C4505" s="48">
        <f ca="1"/>
        <v>-1.2704388027776639</v>
      </c>
      <c r="D4505" s="48">
        <f t="shared" ca="1" si="258"/>
        <v>0.58627801185265072</v>
      </c>
      <c r="E4505" s="48">
        <f t="shared" ca="1" si="259"/>
        <v>0</v>
      </c>
      <c r="F4505" s="17">
        <f t="shared" ca="1" si="260"/>
        <v>0</v>
      </c>
      <c r="H4505" s="17">
        <v>4490</v>
      </c>
      <c r="I4505" s="43">
        <v>0.6692446668870552</v>
      </c>
      <c r="J4505" s="43">
        <v>1.9266777862138259E-2</v>
      </c>
      <c r="K4505" s="43"/>
      <c r="L4505" s="43">
        <v>0.2472</v>
      </c>
      <c r="O4505" s="50"/>
    </row>
    <row r="4506" spans="2:15" x14ac:dyDescent="0.2">
      <c r="B4506">
        <f t="shared" si="257"/>
        <v>4491</v>
      </c>
      <c r="C4506" s="48">
        <f ca="1"/>
        <v>-1.6879957909282548</v>
      </c>
      <c r="D4506" s="48">
        <f t="shared" ca="1" si="258"/>
        <v>0.56263337275634762</v>
      </c>
      <c r="E4506" s="48">
        <f t="shared" ca="1" si="259"/>
        <v>0</v>
      </c>
      <c r="F4506" s="17">
        <f t="shared" ca="1" si="260"/>
        <v>0</v>
      </c>
      <c r="H4506" s="17">
        <v>4491</v>
      </c>
      <c r="I4506" s="43">
        <v>0.66878301168067977</v>
      </c>
      <c r="J4506" s="43">
        <v>1.9206319547486302E-2</v>
      </c>
      <c r="K4506" s="43"/>
      <c r="L4506" s="43">
        <v>0.2472</v>
      </c>
      <c r="O4506" s="50"/>
    </row>
    <row r="4507" spans="2:15" x14ac:dyDescent="0.2">
      <c r="B4507">
        <f t="shared" si="257"/>
        <v>4492</v>
      </c>
      <c r="C4507" s="48">
        <f ca="1"/>
        <v>-1.6055072961384733</v>
      </c>
      <c r="D4507" s="48">
        <f t="shared" ca="1" si="258"/>
        <v>0.56722754949466181</v>
      </c>
      <c r="E4507" s="48">
        <f t="shared" ca="1" si="259"/>
        <v>0</v>
      </c>
      <c r="F4507" s="17">
        <f t="shared" ca="1" si="260"/>
        <v>0</v>
      </c>
      <c r="H4507" s="17">
        <v>4492</v>
      </c>
      <c r="I4507" s="43">
        <v>0.66896483186728972</v>
      </c>
      <c r="J4507" s="43">
        <v>1.9576430968716696E-2</v>
      </c>
      <c r="K4507" s="43"/>
      <c r="L4507" s="43">
        <v>0.25519999999999998</v>
      </c>
      <c r="O4507" s="50"/>
    </row>
    <row r="4508" spans="2:15" x14ac:dyDescent="0.2">
      <c r="B4508">
        <f t="shared" si="257"/>
        <v>4493</v>
      </c>
      <c r="C4508" s="48">
        <f ca="1"/>
        <v>0.31739980976133897</v>
      </c>
      <c r="D4508" s="48">
        <f t="shared" ca="1" si="258"/>
        <v>0.68562792088638369</v>
      </c>
      <c r="E4508" s="48">
        <f t="shared" ca="1" si="259"/>
        <v>0</v>
      </c>
      <c r="F4508" s="17">
        <f t="shared" ca="1" si="260"/>
        <v>0</v>
      </c>
      <c r="H4508" s="17">
        <v>4493</v>
      </c>
      <c r="I4508" s="43">
        <v>0.6692802071110987</v>
      </c>
      <c r="J4508" s="43">
        <v>1.9847300541679214E-2</v>
      </c>
      <c r="K4508" s="43"/>
      <c r="L4508" s="43">
        <v>0.25119999999999998</v>
      </c>
      <c r="O4508" s="50"/>
    </row>
    <row r="4509" spans="2:15" x14ac:dyDescent="0.2">
      <c r="B4509">
        <f t="shared" si="257"/>
        <v>4494</v>
      </c>
      <c r="C4509" s="48">
        <f ca="1"/>
        <v>1.4249058779231958</v>
      </c>
      <c r="D4509" s="48">
        <f t="shared" ca="1" si="258"/>
        <v>0.76472883901414423</v>
      </c>
      <c r="E4509" s="48">
        <f t="shared" ca="1" si="259"/>
        <v>0</v>
      </c>
      <c r="F4509" s="17">
        <f t="shared" ca="1" si="260"/>
        <v>0</v>
      </c>
      <c r="H4509" s="17">
        <v>4494</v>
      </c>
      <c r="I4509" s="43">
        <v>0.66838201688829912</v>
      </c>
      <c r="J4509" s="43">
        <v>1.9185500155938558E-2</v>
      </c>
      <c r="K4509" s="43"/>
      <c r="L4509" s="43">
        <v>0.255</v>
      </c>
      <c r="O4509" s="50"/>
    </row>
    <row r="4510" spans="2:15" x14ac:dyDescent="0.2">
      <c r="B4510">
        <f t="shared" si="257"/>
        <v>4495</v>
      </c>
      <c r="C4510" s="48">
        <f ca="1"/>
        <v>3.0236966292744811</v>
      </c>
      <c r="D4510" s="48">
        <f t="shared" ca="1" si="258"/>
        <v>0.89528494956958438</v>
      </c>
      <c r="E4510" s="48">
        <f t="shared" ca="1" si="259"/>
        <v>0.10708494956958436</v>
      </c>
      <c r="F4510" s="17">
        <f t="shared" ca="1" si="260"/>
        <v>1</v>
      </c>
      <c r="H4510" s="17">
        <v>4495</v>
      </c>
      <c r="I4510" s="43">
        <v>0.66830843505550852</v>
      </c>
      <c r="J4510" s="43">
        <v>1.8903212108427176E-2</v>
      </c>
      <c r="K4510" s="43"/>
      <c r="L4510" s="43">
        <v>0.25059999999999999</v>
      </c>
      <c r="O4510" s="50"/>
    </row>
    <row r="4511" spans="2:15" x14ac:dyDescent="0.2">
      <c r="B4511">
        <f t="shared" si="257"/>
        <v>4496</v>
      </c>
      <c r="C4511" s="48">
        <f ca="1"/>
        <v>1.4108999489719203</v>
      </c>
      <c r="D4511" s="48">
        <f t="shared" ca="1" si="258"/>
        <v>0.76367362317019771</v>
      </c>
      <c r="E4511" s="48">
        <f t="shared" ca="1" si="259"/>
        <v>0</v>
      </c>
      <c r="F4511" s="17">
        <f t="shared" ca="1" si="260"/>
        <v>0</v>
      </c>
      <c r="H4511" s="17">
        <v>4496</v>
      </c>
      <c r="I4511" s="43">
        <v>0.66801744806570473</v>
      </c>
      <c r="J4511" s="43">
        <v>1.8702801001195802E-2</v>
      </c>
      <c r="K4511" s="43"/>
      <c r="L4511" s="43">
        <v>0.24199999999999999</v>
      </c>
      <c r="O4511" s="50"/>
    </row>
    <row r="4512" spans="2:15" x14ac:dyDescent="0.2">
      <c r="B4512">
        <f t="shared" si="257"/>
        <v>4497</v>
      </c>
      <c r="C4512" s="48">
        <f ca="1"/>
        <v>-0.25920984911588879</v>
      </c>
      <c r="D4512" s="48">
        <f t="shared" ca="1" si="258"/>
        <v>0.64773949646967544</v>
      </c>
      <c r="E4512" s="48">
        <f t="shared" ca="1" si="259"/>
        <v>0</v>
      </c>
      <c r="F4512" s="17">
        <f t="shared" ca="1" si="260"/>
        <v>0</v>
      </c>
      <c r="H4512" s="17">
        <v>4497</v>
      </c>
      <c r="I4512" s="43">
        <v>0.66750755030207598</v>
      </c>
      <c r="J4512" s="43">
        <v>1.8072425001277852E-2</v>
      </c>
      <c r="K4512" s="43"/>
      <c r="L4512" s="43">
        <v>0.23799999999999999</v>
      </c>
      <c r="O4512" s="50"/>
    </row>
    <row r="4513" spans="2:15" x14ac:dyDescent="0.2">
      <c r="B4513">
        <f t="shared" si="257"/>
        <v>4498</v>
      </c>
      <c r="C4513" s="48">
        <f ca="1"/>
        <v>-0.19391385488416304</v>
      </c>
      <c r="D4513" s="48">
        <f t="shared" ca="1" si="258"/>
        <v>0.6519226831431485</v>
      </c>
      <c r="E4513" s="48">
        <f t="shared" ca="1" si="259"/>
        <v>0</v>
      </c>
      <c r="F4513" s="17">
        <f t="shared" ca="1" si="260"/>
        <v>0</v>
      </c>
      <c r="H4513" s="17">
        <v>4498</v>
      </c>
      <c r="I4513" s="43">
        <v>0.66906969699757091</v>
      </c>
      <c r="J4513" s="43">
        <v>1.9592807330559708E-2</v>
      </c>
      <c r="K4513" s="43"/>
      <c r="L4513" s="43">
        <v>0.2576</v>
      </c>
      <c r="O4513" s="50"/>
    </row>
    <row r="4514" spans="2:15" x14ac:dyDescent="0.2">
      <c r="B4514">
        <f t="shared" si="257"/>
        <v>4499</v>
      </c>
      <c r="C4514" s="48">
        <f ca="1"/>
        <v>-2.8116248959324665E-2</v>
      </c>
      <c r="D4514" s="48">
        <f t="shared" ca="1" si="258"/>
        <v>0.66266629469068516</v>
      </c>
      <c r="E4514" s="48">
        <f t="shared" ca="1" si="259"/>
        <v>0</v>
      </c>
      <c r="F4514" s="17">
        <f t="shared" ca="1" si="260"/>
        <v>0</v>
      </c>
      <c r="H4514" s="17">
        <v>4499</v>
      </c>
      <c r="I4514" s="43">
        <v>0.66975548393992301</v>
      </c>
      <c r="J4514" s="43">
        <v>2.0111748012917912E-2</v>
      </c>
      <c r="K4514" s="43"/>
      <c r="L4514" s="43">
        <v>0.26019999999999999</v>
      </c>
      <c r="O4514" s="50"/>
    </row>
    <row r="4515" spans="2:15" x14ac:dyDescent="0.2">
      <c r="B4515">
        <f t="shared" si="257"/>
        <v>4500</v>
      </c>
      <c r="C4515" s="48">
        <f ca="1"/>
        <v>0.52186010491235579</v>
      </c>
      <c r="D4515" s="48">
        <f t="shared" ca="1" si="258"/>
        <v>0.69958850651886895</v>
      </c>
      <c r="E4515" s="48">
        <f t="shared" ca="1" si="259"/>
        <v>0</v>
      </c>
      <c r="F4515" s="17">
        <f t="shared" ca="1" si="260"/>
        <v>0</v>
      </c>
      <c r="H4515" s="17">
        <v>4500</v>
      </c>
      <c r="I4515" s="43">
        <v>0.66899277435916771</v>
      </c>
      <c r="J4515" s="43">
        <v>1.9486689216354582E-2</v>
      </c>
      <c r="K4515" s="43"/>
      <c r="L4515" s="43">
        <v>0.24859999999999999</v>
      </c>
      <c r="O4515" s="50"/>
    </row>
    <row r="4516" spans="2:15" x14ac:dyDescent="0.2">
      <c r="B4516">
        <f t="shared" si="257"/>
        <v>4501</v>
      </c>
      <c r="C4516" s="48">
        <f ca="1"/>
        <v>0.55503745773212854</v>
      </c>
      <c r="D4516" s="48">
        <f t="shared" ca="1" si="258"/>
        <v>0.70188051685568997</v>
      </c>
      <c r="E4516" s="48">
        <f t="shared" ca="1" si="259"/>
        <v>0</v>
      </c>
      <c r="F4516" s="17">
        <f t="shared" ca="1" si="260"/>
        <v>0</v>
      </c>
      <c r="H4516" s="17">
        <v>4501</v>
      </c>
      <c r="I4516" s="43">
        <v>0.6693423175558445</v>
      </c>
      <c r="J4516" s="43">
        <v>1.9743225376456643E-2</v>
      </c>
      <c r="K4516" s="43"/>
      <c r="L4516" s="43">
        <v>0.24959999999999999</v>
      </c>
      <c r="O4516" s="50"/>
    </row>
    <row r="4517" spans="2:15" x14ac:dyDescent="0.2">
      <c r="B4517">
        <f t="shared" si="257"/>
        <v>4502</v>
      </c>
      <c r="C4517" s="48">
        <f ca="1"/>
        <v>-6.4902684525205145E-2</v>
      </c>
      <c r="D4517" s="48">
        <f t="shared" ca="1" si="258"/>
        <v>0.66026736773212391</v>
      </c>
      <c r="E4517" s="48">
        <f t="shared" ca="1" si="259"/>
        <v>0</v>
      </c>
      <c r="F4517" s="17">
        <f t="shared" ca="1" si="260"/>
        <v>0</v>
      </c>
      <c r="H4517" s="17">
        <v>4502</v>
      </c>
      <c r="I4517" s="43">
        <v>0.66958939016760433</v>
      </c>
      <c r="J4517" s="43">
        <v>1.9701618412856683E-2</v>
      </c>
      <c r="K4517" s="43"/>
      <c r="L4517" s="43">
        <v>0.24759999999999999</v>
      </c>
      <c r="O4517" s="50"/>
    </row>
    <row r="4518" spans="2:15" x14ac:dyDescent="0.2">
      <c r="B4518">
        <f t="shared" si="257"/>
        <v>4503</v>
      </c>
      <c r="C4518" s="48">
        <f ca="1"/>
        <v>-0.72321516533316088</v>
      </c>
      <c r="D4518" s="48">
        <f t="shared" ca="1" si="258"/>
        <v>0.61877609939266265</v>
      </c>
      <c r="E4518" s="48">
        <f t="shared" ca="1" si="259"/>
        <v>0</v>
      </c>
      <c r="F4518" s="17">
        <f t="shared" ca="1" si="260"/>
        <v>0</v>
      </c>
      <c r="H4518" s="17">
        <v>4503</v>
      </c>
      <c r="I4518" s="43">
        <v>0.6680946467178086</v>
      </c>
      <c r="J4518" s="43">
        <v>1.8840334011073139E-2</v>
      </c>
      <c r="K4518" s="43"/>
      <c r="L4518" s="43">
        <v>0.24440000000000001</v>
      </c>
      <c r="O4518" s="50"/>
    </row>
    <row r="4519" spans="2:15" x14ac:dyDescent="0.2">
      <c r="B4519">
        <f t="shared" si="257"/>
        <v>4504</v>
      </c>
      <c r="C4519" s="48">
        <f ca="1"/>
        <v>0.77201250975944546</v>
      </c>
      <c r="D4519" s="48">
        <f t="shared" ca="1" si="258"/>
        <v>0.71705619091574668</v>
      </c>
      <c r="E4519" s="48">
        <f t="shared" ca="1" si="259"/>
        <v>0</v>
      </c>
      <c r="F4519" s="17">
        <f t="shared" ca="1" si="260"/>
        <v>0</v>
      </c>
      <c r="H4519" s="17">
        <v>4504</v>
      </c>
      <c r="I4519" s="43">
        <v>0.6681329279917515</v>
      </c>
      <c r="J4519" s="43">
        <v>1.8674621442286553E-2</v>
      </c>
      <c r="K4519" s="43"/>
      <c r="L4519" s="43">
        <v>0.24160000000000001</v>
      </c>
      <c r="O4519" s="50"/>
    </row>
    <row r="4520" spans="2:15" x14ac:dyDescent="0.2">
      <c r="B4520">
        <f t="shared" si="257"/>
        <v>4505</v>
      </c>
      <c r="C4520" s="48">
        <f ca="1"/>
        <v>1.1566186471560598</v>
      </c>
      <c r="D4520" s="48">
        <f t="shared" ca="1" si="258"/>
        <v>0.74476710065955209</v>
      </c>
      <c r="E4520" s="48">
        <f t="shared" ca="1" si="259"/>
        <v>0</v>
      </c>
      <c r="F4520" s="17">
        <f t="shared" ca="1" si="260"/>
        <v>0</v>
      </c>
      <c r="H4520" s="17">
        <v>4505</v>
      </c>
      <c r="I4520" s="43">
        <v>0.66829622498253027</v>
      </c>
      <c r="J4520" s="43">
        <v>1.8810696126566839E-2</v>
      </c>
      <c r="K4520" s="43"/>
      <c r="L4520" s="43">
        <v>0.24740000000000001</v>
      </c>
      <c r="O4520" s="50"/>
    </row>
    <row r="4521" spans="2:15" x14ac:dyDescent="0.2">
      <c r="B4521">
        <f t="shared" si="257"/>
        <v>4506</v>
      </c>
      <c r="C4521" s="48">
        <f ca="1"/>
        <v>-0.13371330587259944</v>
      </c>
      <c r="D4521" s="48">
        <f t="shared" ca="1" si="258"/>
        <v>0.6558033617393344</v>
      </c>
      <c r="E4521" s="48">
        <f t="shared" ca="1" si="259"/>
        <v>0</v>
      </c>
      <c r="F4521" s="17">
        <f t="shared" ca="1" si="260"/>
        <v>0</v>
      </c>
      <c r="H4521" s="17">
        <v>4506</v>
      </c>
      <c r="I4521" s="43">
        <v>0.66997620612685993</v>
      </c>
      <c r="J4521" s="43">
        <v>2.006955080548627E-2</v>
      </c>
      <c r="K4521" s="43"/>
      <c r="L4521" s="43">
        <v>0.25340000000000001</v>
      </c>
      <c r="O4521" s="50"/>
    </row>
    <row r="4522" spans="2:15" x14ac:dyDescent="0.2">
      <c r="B4522">
        <f t="shared" si="257"/>
        <v>4507</v>
      </c>
      <c r="C4522" s="48">
        <f ca="1"/>
        <v>0.4193464753080845</v>
      </c>
      <c r="D4522" s="48">
        <f t="shared" ca="1" si="258"/>
        <v>0.69255368256476013</v>
      </c>
      <c r="E4522" s="48">
        <f t="shared" ca="1" si="259"/>
        <v>0</v>
      </c>
      <c r="F4522" s="17">
        <f t="shared" ca="1" si="260"/>
        <v>0</v>
      </c>
      <c r="H4522" s="17">
        <v>4507</v>
      </c>
      <c r="I4522" s="43">
        <v>0.66796887470245969</v>
      </c>
      <c r="J4522" s="43">
        <v>1.868713985831762E-2</v>
      </c>
      <c r="K4522" s="43"/>
      <c r="L4522" s="43">
        <v>0.24379999999999999</v>
      </c>
      <c r="O4522" s="50"/>
    </row>
    <row r="4523" spans="2:15" x14ac:dyDescent="0.2">
      <c r="B4523">
        <f t="shared" si="257"/>
        <v>4508</v>
      </c>
      <c r="C4523" s="48">
        <f ca="1"/>
        <v>1.5663369199381638</v>
      </c>
      <c r="D4523" s="48">
        <f t="shared" ca="1" si="258"/>
        <v>0.77546638911974852</v>
      </c>
      <c r="E4523" s="48">
        <f t="shared" ca="1" si="259"/>
        <v>0</v>
      </c>
      <c r="F4523" s="17">
        <f t="shared" ca="1" si="260"/>
        <v>0</v>
      </c>
      <c r="H4523" s="17">
        <v>4508</v>
      </c>
      <c r="I4523" s="43">
        <v>0.66791006062586022</v>
      </c>
      <c r="J4523" s="43">
        <v>1.8673209072670074E-2</v>
      </c>
      <c r="K4523" s="43"/>
      <c r="L4523" s="43">
        <v>0.24379999999999999</v>
      </c>
      <c r="O4523" s="50"/>
    </row>
    <row r="4524" spans="2:15" x14ac:dyDescent="0.2">
      <c r="B4524">
        <f t="shared" si="257"/>
        <v>4509</v>
      </c>
      <c r="C4524" s="48">
        <f ca="1"/>
        <v>-0.19005324674513605</v>
      </c>
      <c r="D4524" s="48">
        <f t="shared" ca="1" si="258"/>
        <v>0.65217085708865197</v>
      </c>
      <c r="E4524" s="48">
        <f t="shared" ca="1" si="259"/>
        <v>0</v>
      </c>
      <c r="F4524" s="17">
        <f t="shared" ca="1" si="260"/>
        <v>0</v>
      </c>
      <c r="H4524" s="17">
        <v>4509</v>
      </c>
      <c r="I4524" s="43">
        <v>0.66900904613917977</v>
      </c>
      <c r="J4524" s="43">
        <v>1.9396747690222701E-2</v>
      </c>
      <c r="K4524" s="43"/>
      <c r="L4524" s="43">
        <v>0.25</v>
      </c>
      <c r="O4524" s="50"/>
    </row>
    <row r="4525" spans="2:15" x14ac:dyDescent="0.2">
      <c r="B4525">
        <f t="shared" si="257"/>
        <v>4510</v>
      </c>
      <c r="C4525" s="48">
        <f ca="1"/>
        <v>-0.43051627386969221</v>
      </c>
      <c r="D4525" s="48">
        <f t="shared" ca="1" si="258"/>
        <v>0.63689189840237714</v>
      </c>
      <c r="E4525" s="48">
        <f t="shared" ca="1" si="259"/>
        <v>0</v>
      </c>
      <c r="F4525" s="17">
        <f t="shared" ca="1" si="260"/>
        <v>0</v>
      </c>
      <c r="H4525" s="17">
        <v>4510</v>
      </c>
      <c r="I4525" s="43">
        <v>0.66920576266873366</v>
      </c>
      <c r="J4525" s="43">
        <v>1.9550192325126524E-2</v>
      </c>
      <c r="K4525" s="43"/>
      <c r="L4525" s="43">
        <v>0.25440000000000002</v>
      </c>
      <c r="O4525" s="50"/>
    </row>
    <row r="4526" spans="2:15" x14ac:dyDescent="0.2">
      <c r="B4526">
        <f t="shared" si="257"/>
        <v>4511</v>
      </c>
      <c r="C4526" s="48">
        <f ca="1"/>
        <v>-0.75195174562849487</v>
      </c>
      <c r="D4526" s="48">
        <f t="shared" ca="1" si="258"/>
        <v>0.61702554629347861</v>
      </c>
      <c r="E4526" s="48">
        <f t="shared" ca="1" si="259"/>
        <v>0</v>
      </c>
      <c r="F4526" s="17">
        <f t="shared" ca="1" si="260"/>
        <v>0</v>
      </c>
      <c r="H4526" s="17">
        <v>4511</v>
      </c>
      <c r="I4526" s="43">
        <v>0.66965856416526759</v>
      </c>
      <c r="J4526" s="43">
        <v>1.9756328492377882E-2</v>
      </c>
      <c r="K4526" s="43"/>
      <c r="L4526" s="43">
        <v>0.25540000000000002</v>
      </c>
      <c r="O4526" s="50"/>
    </row>
    <row r="4527" spans="2:15" x14ac:dyDescent="0.2">
      <c r="B4527">
        <f t="shared" si="257"/>
        <v>4512</v>
      </c>
      <c r="C4527" s="48">
        <f ca="1"/>
        <v>0.47845808495761794</v>
      </c>
      <c r="D4527" s="48">
        <f t="shared" ca="1" si="258"/>
        <v>0.69660143576511058</v>
      </c>
      <c r="E4527" s="48">
        <f t="shared" ca="1" si="259"/>
        <v>0</v>
      </c>
      <c r="F4527" s="17">
        <f t="shared" ca="1" si="260"/>
        <v>0</v>
      </c>
      <c r="H4527" s="17">
        <v>4512</v>
      </c>
      <c r="I4527" s="43">
        <v>0.66812669126625002</v>
      </c>
      <c r="J4527" s="43">
        <v>1.8715086285417178E-2</v>
      </c>
      <c r="K4527" s="43"/>
      <c r="L4527" s="43">
        <v>0.245</v>
      </c>
      <c r="O4527" s="50"/>
    </row>
    <row r="4528" spans="2:15" x14ac:dyDescent="0.2">
      <c r="B4528">
        <f t="shared" si="257"/>
        <v>4513</v>
      </c>
      <c r="C4528" s="48">
        <f ca="1"/>
        <v>0.72908154401004444</v>
      </c>
      <c r="D4528" s="48">
        <f t="shared" ca="1" si="258"/>
        <v>0.71402769615482042</v>
      </c>
      <c r="E4528" s="48">
        <f t="shared" ca="1" si="259"/>
        <v>0</v>
      </c>
      <c r="F4528" s="17">
        <f t="shared" ca="1" si="260"/>
        <v>0</v>
      </c>
      <c r="H4528" s="17">
        <v>4513</v>
      </c>
      <c r="I4528" s="43">
        <v>0.67003023521868199</v>
      </c>
      <c r="J4528" s="43">
        <v>1.9840313875527083E-2</v>
      </c>
      <c r="K4528" s="43"/>
      <c r="L4528" s="43">
        <v>0.25080000000000002</v>
      </c>
      <c r="O4528" s="50"/>
    </row>
    <row r="4529" spans="2:15" x14ac:dyDescent="0.2">
      <c r="B4529">
        <f t="shared" ref="B4529:B4592" si="261">B4528+1</f>
        <v>4514</v>
      </c>
      <c r="C4529" s="48">
        <f ca="1"/>
        <v>2.089675177602532</v>
      </c>
      <c r="D4529" s="48">
        <f t="shared" ca="1" si="258"/>
        <v>0.81652639215094702</v>
      </c>
      <c r="E4529" s="48">
        <f t="shared" ca="1" si="259"/>
        <v>2.8326392150947011E-2</v>
      </c>
      <c r="F4529" s="17">
        <f t="shared" ca="1" si="260"/>
        <v>1</v>
      </c>
      <c r="H4529" s="17">
        <v>4514</v>
      </c>
      <c r="I4529" s="43">
        <v>0.66871742716623406</v>
      </c>
      <c r="J4529" s="43">
        <v>1.9460330134983588E-2</v>
      </c>
      <c r="K4529" s="43"/>
      <c r="L4529" s="43">
        <v>0.24360000000000001</v>
      </c>
      <c r="O4529" s="50"/>
    </row>
    <row r="4530" spans="2:15" x14ac:dyDescent="0.2">
      <c r="B4530">
        <f t="shared" si="261"/>
        <v>4515</v>
      </c>
      <c r="C4530" s="48">
        <f ca="1"/>
        <v>1.1076654900623361E-2</v>
      </c>
      <c r="D4530" s="48">
        <f t="shared" ca="1" si="258"/>
        <v>0.66523174351663339</v>
      </c>
      <c r="E4530" s="48">
        <f t="shared" ca="1" si="259"/>
        <v>0</v>
      </c>
      <c r="F4530" s="17">
        <f t="shared" ca="1" si="260"/>
        <v>0</v>
      </c>
      <c r="H4530" s="17">
        <v>4515</v>
      </c>
      <c r="I4530" s="43">
        <v>0.6695738586167973</v>
      </c>
      <c r="J4530" s="43">
        <v>1.9700988300101144E-2</v>
      </c>
      <c r="K4530" s="43"/>
      <c r="L4530" s="43">
        <v>0.2442</v>
      </c>
      <c r="O4530" s="50"/>
    </row>
    <row r="4531" spans="2:15" x14ac:dyDescent="0.2">
      <c r="B4531">
        <f t="shared" si="261"/>
        <v>4516</v>
      </c>
      <c r="C4531" s="48">
        <f ca="1"/>
        <v>-0.38069048545234907</v>
      </c>
      <c r="D4531" s="48">
        <f t="shared" ca="1" si="258"/>
        <v>0.64002813437208894</v>
      </c>
      <c r="E4531" s="48">
        <f t="shared" ca="1" si="259"/>
        <v>0</v>
      </c>
      <c r="F4531" s="17">
        <f t="shared" ca="1" si="260"/>
        <v>0</v>
      </c>
      <c r="H4531" s="17">
        <v>4516</v>
      </c>
      <c r="I4531" s="43">
        <v>0.66842863189486579</v>
      </c>
      <c r="J4531" s="43">
        <v>1.8722072445253334E-2</v>
      </c>
      <c r="K4531" s="43"/>
      <c r="L4531" s="43">
        <v>0.24199999999999999</v>
      </c>
      <c r="O4531" s="50"/>
    </row>
    <row r="4532" spans="2:15" x14ac:dyDescent="0.2">
      <c r="B4532">
        <f t="shared" si="261"/>
        <v>4517</v>
      </c>
      <c r="C4532" s="48">
        <f ca="1"/>
        <v>-0.56392420634582852</v>
      </c>
      <c r="D4532" s="48">
        <f t="shared" ca="1" si="258"/>
        <v>0.62857011836492283</v>
      </c>
      <c r="E4532" s="48">
        <f t="shared" ca="1" si="259"/>
        <v>0</v>
      </c>
      <c r="F4532" s="17">
        <f t="shared" ca="1" si="260"/>
        <v>0</v>
      </c>
      <c r="H4532" s="17">
        <v>4517</v>
      </c>
      <c r="I4532" s="43">
        <v>0.66880852456216278</v>
      </c>
      <c r="J4532" s="43">
        <v>1.9152290377079301E-2</v>
      </c>
      <c r="K4532" s="43"/>
      <c r="L4532" s="43">
        <v>0.2492</v>
      </c>
      <c r="O4532" s="50"/>
    </row>
    <row r="4533" spans="2:15" x14ac:dyDescent="0.2">
      <c r="B4533">
        <f t="shared" si="261"/>
        <v>4518</v>
      </c>
      <c r="C4533" s="48">
        <f ca="1"/>
        <v>1.4789727405742765</v>
      </c>
      <c r="D4533" s="48">
        <f t="shared" ca="1" si="258"/>
        <v>0.76881596792329299</v>
      </c>
      <c r="E4533" s="48">
        <f t="shared" ca="1" si="259"/>
        <v>0</v>
      </c>
      <c r="F4533" s="17">
        <f t="shared" ca="1" si="260"/>
        <v>0</v>
      </c>
      <c r="H4533" s="17">
        <v>4518</v>
      </c>
      <c r="I4533" s="43">
        <v>0.66810563842604975</v>
      </c>
      <c r="J4533" s="43">
        <v>1.8810970774213686E-2</v>
      </c>
      <c r="K4533" s="43"/>
      <c r="L4533" s="43">
        <v>0.245</v>
      </c>
      <c r="O4533" s="50"/>
    </row>
    <row r="4534" spans="2:15" x14ac:dyDescent="0.2">
      <c r="B4534">
        <f t="shared" si="261"/>
        <v>4519</v>
      </c>
      <c r="C4534" s="48">
        <f ca="1"/>
        <v>1.4208887073119145</v>
      </c>
      <c r="D4534" s="48">
        <f t="shared" ca="1" si="258"/>
        <v>0.76442603371647877</v>
      </c>
      <c r="E4534" s="48">
        <f t="shared" ca="1" si="259"/>
        <v>0</v>
      </c>
      <c r="F4534" s="17">
        <f t="shared" ca="1" si="260"/>
        <v>0</v>
      </c>
      <c r="H4534" s="17">
        <v>4519</v>
      </c>
      <c r="I4534" s="43">
        <v>0.67018284687144092</v>
      </c>
      <c r="J4534" s="43">
        <v>2.0225323262931055E-2</v>
      </c>
      <c r="K4534" s="43"/>
      <c r="L4534" s="43">
        <v>0.25979999999999998</v>
      </c>
      <c r="O4534" s="50"/>
    </row>
    <row r="4535" spans="2:15" x14ac:dyDescent="0.2">
      <c r="B4535">
        <f t="shared" si="261"/>
        <v>4520</v>
      </c>
      <c r="C4535" s="48">
        <f ca="1"/>
        <v>0.77663718661633463</v>
      </c>
      <c r="D4535" s="48">
        <f t="shared" ca="1" si="258"/>
        <v>0.71738319660721317</v>
      </c>
      <c r="E4535" s="48">
        <f t="shared" ca="1" si="259"/>
        <v>0</v>
      </c>
      <c r="F4535" s="17">
        <f t="shared" ca="1" si="260"/>
        <v>0</v>
      </c>
      <c r="H4535" s="17">
        <v>4520</v>
      </c>
      <c r="I4535" s="43">
        <v>0.66953476993271865</v>
      </c>
      <c r="J4535" s="43">
        <v>2.0222432561837429E-2</v>
      </c>
      <c r="K4535" s="43"/>
      <c r="L4535" s="43">
        <v>0.25840000000000002</v>
      </c>
      <c r="O4535" s="50"/>
    </row>
    <row r="4536" spans="2:15" x14ac:dyDescent="0.2">
      <c r="B4536">
        <f t="shared" si="261"/>
        <v>4521</v>
      </c>
      <c r="C4536" s="48">
        <f ca="1"/>
        <v>0.69712603332693002</v>
      </c>
      <c r="D4536" s="48">
        <f t="shared" ca="1" si="258"/>
        <v>0.71178175374011154</v>
      </c>
      <c r="E4536" s="48">
        <f t="shared" ca="1" si="259"/>
        <v>0</v>
      </c>
      <c r="F4536" s="17">
        <f t="shared" ca="1" si="260"/>
        <v>0</v>
      </c>
      <c r="H4536" s="17">
        <v>4521</v>
      </c>
      <c r="I4536" s="43">
        <v>0.6691807108147112</v>
      </c>
      <c r="J4536" s="43">
        <v>1.9718628051149611E-2</v>
      </c>
      <c r="K4536" s="43"/>
      <c r="L4536" s="43">
        <v>0.25900000000000001</v>
      </c>
      <c r="O4536" s="50"/>
    </row>
    <row r="4537" spans="2:15" x14ac:dyDescent="0.2">
      <c r="B4537">
        <f t="shared" si="261"/>
        <v>4522</v>
      </c>
      <c r="C4537" s="48">
        <f ca="1"/>
        <v>0.77534130676746194</v>
      </c>
      <c r="D4537" s="48">
        <f t="shared" ca="1" si="258"/>
        <v>0.71729155136674005</v>
      </c>
      <c r="E4537" s="48">
        <f t="shared" ca="1" si="259"/>
        <v>0</v>
      </c>
      <c r="F4537" s="17">
        <f t="shared" ca="1" si="260"/>
        <v>0</v>
      </c>
      <c r="H4537" s="17">
        <v>4522</v>
      </c>
      <c r="I4537" s="43">
        <v>0.66920176530270581</v>
      </c>
      <c r="J4537" s="43">
        <v>1.9604907116060676E-2</v>
      </c>
      <c r="K4537" s="43"/>
      <c r="L4537" s="43">
        <v>0.25440000000000002</v>
      </c>
      <c r="O4537" s="50"/>
    </row>
    <row r="4538" spans="2:15" x14ac:dyDescent="0.2">
      <c r="B4538">
        <f t="shared" si="261"/>
        <v>4523</v>
      </c>
      <c r="C4538" s="48">
        <f ca="1"/>
        <v>0.69298152163406557</v>
      </c>
      <c r="D4538" s="48">
        <f t="shared" ca="1" si="258"/>
        <v>0.71149098131542854</v>
      </c>
      <c r="E4538" s="48">
        <f t="shared" ca="1" si="259"/>
        <v>0</v>
      </c>
      <c r="F4538" s="17">
        <f t="shared" ca="1" si="260"/>
        <v>0</v>
      </c>
      <c r="H4538" s="17">
        <v>4523</v>
      </c>
      <c r="I4538" s="43">
        <v>0.66821186700922186</v>
      </c>
      <c r="J4538" s="43">
        <v>1.8851628274487369E-2</v>
      </c>
      <c r="K4538" s="43"/>
      <c r="L4538" s="43">
        <v>0.24640000000000001</v>
      </c>
      <c r="O4538" s="50"/>
    </row>
    <row r="4539" spans="2:15" x14ac:dyDescent="0.2">
      <c r="B4539">
        <f t="shared" si="261"/>
        <v>4524</v>
      </c>
      <c r="C4539" s="48">
        <f ca="1"/>
        <v>-0.32916891454815939</v>
      </c>
      <c r="D4539" s="48">
        <f t="shared" ca="1" si="258"/>
        <v>0.6432873517138572</v>
      </c>
      <c r="E4539" s="48">
        <f t="shared" ca="1" si="259"/>
        <v>0</v>
      </c>
      <c r="F4539" s="17">
        <f t="shared" ca="1" si="260"/>
        <v>0</v>
      </c>
      <c r="H4539" s="17">
        <v>4524</v>
      </c>
      <c r="I4539" s="43">
        <v>0.67042411589934425</v>
      </c>
      <c r="J4539" s="43">
        <v>2.0308594120271369E-2</v>
      </c>
      <c r="K4539" s="43"/>
      <c r="L4539" s="43">
        <v>0.25659999999999999</v>
      </c>
      <c r="O4539" s="50"/>
    </row>
    <row r="4540" spans="2:15" x14ac:dyDescent="0.2">
      <c r="B4540">
        <f t="shared" si="261"/>
        <v>4525</v>
      </c>
      <c r="C4540" s="48">
        <f ca="1"/>
        <v>-1.1251822743375297</v>
      </c>
      <c r="D4540" s="48">
        <f t="shared" ca="1" si="258"/>
        <v>0.59473419440180963</v>
      </c>
      <c r="E4540" s="48">
        <f t="shared" ca="1" si="259"/>
        <v>0</v>
      </c>
      <c r="F4540" s="17">
        <f t="shared" ca="1" si="260"/>
        <v>0</v>
      </c>
      <c r="H4540" s="17">
        <v>4525</v>
      </c>
      <c r="I4540" s="43">
        <v>0.66881066618132723</v>
      </c>
      <c r="J4540" s="43">
        <v>1.9391552220589359E-2</v>
      </c>
      <c r="K4540" s="43"/>
      <c r="L4540" s="43">
        <v>0.25619999999999998</v>
      </c>
      <c r="O4540" s="50"/>
    </row>
    <row r="4541" spans="2:15" x14ac:dyDescent="0.2">
      <c r="B4541">
        <f t="shared" si="261"/>
        <v>4526</v>
      </c>
      <c r="C4541" s="48">
        <f ca="1"/>
        <v>0.29545304885053203</v>
      </c>
      <c r="D4541" s="48">
        <f t="shared" ca="1" si="258"/>
        <v>0.68414604818863411</v>
      </c>
      <c r="E4541" s="48">
        <f t="shared" ca="1" si="259"/>
        <v>0</v>
      </c>
      <c r="F4541" s="17">
        <f t="shared" ca="1" si="260"/>
        <v>0</v>
      </c>
      <c r="H4541" s="17">
        <v>4526</v>
      </c>
      <c r="I4541" s="43">
        <v>0.66847156001761365</v>
      </c>
      <c r="J4541" s="43">
        <v>1.9223857620713287E-2</v>
      </c>
      <c r="K4541" s="43"/>
      <c r="L4541" s="43">
        <v>0.25480000000000003</v>
      </c>
      <c r="O4541" s="50"/>
    </row>
    <row r="4542" spans="2:15" x14ac:dyDescent="0.2">
      <c r="B4542">
        <f t="shared" si="261"/>
        <v>4527</v>
      </c>
      <c r="C4542" s="48">
        <f ca="1"/>
        <v>1.3620439776955375</v>
      </c>
      <c r="D4542" s="48">
        <f t="shared" ca="1" si="258"/>
        <v>0.76000416725791864</v>
      </c>
      <c r="E4542" s="48">
        <f t="shared" ca="1" si="259"/>
        <v>0</v>
      </c>
      <c r="F4542" s="17">
        <f t="shared" ca="1" si="260"/>
        <v>0</v>
      </c>
      <c r="H4542" s="17">
        <v>4527</v>
      </c>
      <c r="I4542" s="43">
        <v>0.66901357510803217</v>
      </c>
      <c r="J4542" s="43">
        <v>1.9420303717554908E-2</v>
      </c>
      <c r="K4542" s="43"/>
      <c r="L4542" s="43">
        <v>0.25240000000000001</v>
      </c>
      <c r="O4542" s="50"/>
    </row>
    <row r="4543" spans="2:15" x14ac:dyDescent="0.2">
      <c r="B4543">
        <f t="shared" si="261"/>
        <v>4528</v>
      </c>
      <c r="C4543" s="48">
        <f ca="1"/>
        <v>-0.98587771490047982</v>
      </c>
      <c r="D4543" s="48">
        <f t="shared" ca="1" si="258"/>
        <v>0.60295843118251968</v>
      </c>
      <c r="E4543" s="48">
        <f t="shared" ca="1" si="259"/>
        <v>0</v>
      </c>
      <c r="F4543" s="17">
        <f t="shared" ca="1" si="260"/>
        <v>0</v>
      </c>
      <c r="H4543" s="17">
        <v>4528</v>
      </c>
      <c r="I4543" s="43">
        <v>0.66825791503161691</v>
      </c>
      <c r="J4543" s="43">
        <v>1.9058649712256626E-2</v>
      </c>
      <c r="K4543" s="43"/>
      <c r="L4543" s="43">
        <v>0.25119999999999998</v>
      </c>
      <c r="O4543" s="50"/>
    </row>
    <row r="4544" spans="2:15" x14ac:dyDescent="0.2">
      <c r="B4544">
        <f t="shared" si="261"/>
        <v>4529</v>
      </c>
      <c r="C4544" s="48">
        <f ca="1"/>
        <v>0.90459229614050674</v>
      </c>
      <c r="D4544" s="48">
        <f t="shared" ca="1" si="258"/>
        <v>0.72649014122574562</v>
      </c>
      <c r="E4544" s="48">
        <f t="shared" ca="1" si="259"/>
        <v>0</v>
      </c>
      <c r="F4544" s="17">
        <f t="shared" ca="1" si="260"/>
        <v>0</v>
      </c>
      <c r="H4544" s="17">
        <v>4529</v>
      </c>
      <c r="I4544" s="43">
        <v>0.66757205314921908</v>
      </c>
      <c r="J4544" s="43">
        <v>1.8237096960555688E-2</v>
      </c>
      <c r="K4544" s="43"/>
      <c r="L4544" s="43">
        <v>0.245</v>
      </c>
      <c r="O4544" s="50"/>
    </row>
    <row r="4545" spans="2:15" x14ac:dyDescent="0.2">
      <c r="B4545">
        <f t="shared" si="261"/>
        <v>4530</v>
      </c>
      <c r="C4545" s="48">
        <f ca="1"/>
        <v>5.584076401168106E-2</v>
      </c>
      <c r="D4545" s="48">
        <f t="shared" ca="1" si="258"/>
        <v>0.66817401873057969</v>
      </c>
      <c r="E4545" s="48">
        <f t="shared" ca="1" si="259"/>
        <v>0</v>
      </c>
      <c r="F4545" s="17">
        <f t="shared" ca="1" si="260"/>
        <v>0</v>
      </c>
      <c r="H4545" s="17">
        <v>4530</v>
      </c>
      <c r="I4545" s="43">
        <v>0.66859677045392396</v>
      </c>
      <c r="J4545" s="43">
        <v>1.9250756199152532E-2</v>
      </c>
      <c r="K4545" s="43"/>
      <c r="L4545" s="43">
        <v>0.25259999999999999</v>
      </c>
      <c r="O4545" s="50"/>
    </row>
    <row r="4546" spans="2:15" x14ac:dyDescent="0.2">
      <c r="B4546">
        <f t="shared" si="261"/>
        <v>4531</v>
      </c>
      <c r="C4546" s="48">
        <f ca="1"/>
        <v>1.9219316718379906</v>
      </c>
      <c r="D4546" s="48">
        <f t="shared" ca="1" si="258"/>
        <v>0.80313420348099451</v>
      </c>
      <c r="E4546" s="48">
        <f t="shared" ca="1" si="259"/>
        <v>1.4934203480994501E-2</v>
      </c>
      <c r="F4546" s="17">
        <f t="shared" ca="1" si="260"/>
        <v>1</v>
      </c>
      <c r="H4546" s="17">
        <v>4531</v>
      </c>
      <c r="I4546" s="43">
        <v>0.6688483917323933</v>
      </c>
      <c r="J4546" s="43">
        <v>1.9115854569101396E-2</v>
      </c>
      <c r="K4546" s="43"/>
      <c r="L4546" s="43">
        <v>0.25019999999999998</v>
      </c>
      <c r="O4546" s="50"/>
    </row>
    <row r="4547" spans="2:15" x14ac:dyDescent="0.2">
      <c r="B4547">
        <f t="shared" si="261"/>
        <v>4532</v>
      </c>
      <c r="C4547" s="48">
        <f ca="1"/>
        <v>-0.56201810168435762</v>
      </c>
      <c r="D4547" s="48">
        <f t="shared" ca="1" si="258"/>
        <v>0.62868824912593035</v>
      </c>
      <c r="E4547" s="48">
        <f t="shared" ca="1" si="259"/>
        <v>0</v>
      </c>
      <c r="F4547" s="17">
        <f t="shared" ca="1" si="260"/>
        <v>0</v>
      </c>
      <c r="H4547" s="17">
        <v>4532</v>
      </c>
      <c r="I4547" s="43">
        <v>0.66971451596616138</v>
      </c>
      <c r="J4547" s="43">
        <v>1.9988742812286672E-2</v>
      </c>
      <c r="K4547" s="43"/>
      <c r="L4547" s="43">
        <v>0.26400000000000001</v>
      </c>
      <c r="O4547" s="50"/>
    </row>
    <row r="4548" spans="2:15" x14ac:dyDescent="0.2">
      <c r="B4548">
        <f t="shared" si="261"/>
        <v>4533</v>
      </c>
      <c r="C4548" s="48">
        <f ca="1"/>
        <v>-0.62634104553526426</v>
      </c>
      <c r="D4548" s="48">
        <f t="shared" ca="1" si="258"/>
        <v>0.62471407695153658</v>
      </c>
      <c r="E4548" s="48">
        <f t="shared" ca="1" si="259"/>
        <v>0</v>
      </c>
      <c r="F4548" s="17">
        <f t="shared" ca="1" si="260"/>
        <v>0</v>
      </c>
      <c r="H4548" s="17">
        <v>4533</v>
      </c>
      <c r="I4548" s="43">
        <v>0.66827219380279945</v>
      </c>
      <c r="J4548" s="43">
        <v>1.9005008787024685E-2</v>
      </c>
      <c r="K4548" s="43"/>
      <c r="L4548" s="43">
        <v>0.248</v>
      </c>
      <c r="O4548" s="50"/>
    </row>
    <row r="4549" spans="2:15" x14ac:dyDescent="0.2">
      <c r="B4549">
        <f t="shared" si="261"/>
        <v>4534</v>
      </c>
      <c r="C4549" s="48">
        <f ca="1"/>
        <v>0.70540774670558293</v>
      </c>
      <c r="D4549" s="48">
        <f t="shared" ca="1" si="258"/>
        <v>0.7123631417544577</v>
      </c>
      <c r="E4549" s="48">
        <f t="shared" ca="1" si="259"/>
        <v>0</v>
      </c>
      <c r="F4549" s="17">
        <f t="shared" ca="1" si="260"/>
        <v>0</v>
      </c>
      <c r="H4549" s="17">
        <v>4534</v>
      </c>
      <c r="I4549" s="43">
        <v>0.66775992740319112</v>
      </c>
      <c r="J4549" s="43">
        <v>1.8556177034040663E-2</v>
      </c>
      <c r="K4549" s="43"/>
      <c r="L4549" s="43">
        <v>0.2414</v>
      </c>
      <c r="O4549" s="50"/>
    </row>
    <row r="4550" spans="2:15" x14ac:dyDescent="0.2">
      <c r="B4550">
        <f t="shared" si="261"/>
        <v>4535</v>
      </c>
      <c r="C4550" s="48">
        <f ca="1"/>
        <v>-0.50534708441950693</v>
      </c>
      <c r="D4550" s="48">
        <f t="shared" ca="1" si="258"/>
        <v>0.63221059379047473</v>
      </c>
      <c r="E4550" s="48">
        <f t="shared" ca="1" si="259"/>
        <v>0</v>
      </c>
      <c r="F4550" s="17">
        <f t="shared" ca="1" si="260"/>
        <v>0</v>
      </c>
      <c r="H4550" s="17">
        <v>4535</v>
      </c>
      <c r="I4550" s="43">
        <v>0.66953900175418446</v>
      </c>
      <c r="J4550" s="43">
        <v>1.9784652191928456E-2</v>
      </c>
      <c r="K4550" s="43"/>
      <c r="L4550" s="43">
        <v>0.252</v>
      </c>
      <c r="O4550" s="50"/>
    </row>
    <row r="4551" spans="2:15" x14ac:dyDescent="0.2">
      <c r="B4551">
        <f t="shared" si="261"/>
        <v>4536</v>
      </c>
      <c r="C4551" s="48">
        <f ca="1"/>
        <v>1.4813280658628178</v>
      </c>
      <c r="D4551" s="48">
        <f t="shared" ca="1" si="258"/>
        <v>0.76899451199479807</v>
      </c>
      <c r="E4551" s="48">
        <f t="shared" ca="1" si="259"/>
        <v>0</v>
      </c>
      <c r="F4551" s="17">
        <f t="shared" ca="1" si="260"/>
        <v>0</v>
      </c>
      <c r="H4551" s="17">
        <v>4536</v>
      </c>
      <c r="I4551" s="43">
        <v>0.66959805390947746</v>
      </c>
      <c r="J4551" s="43">
        <v>1.9889251061594365E-2</v>
      </c>
      <c r="K4551" s="43"/>
      <c r="L4551" s="43">
        <v>0.25080000000000002</v>
      </c>
      <c r="O4551" s="50"/>
    </row>
    <row r="4552" spans="2:15" x14ac:dyDescent="0.2">
      <c r="B4552">
        <f t="shared" si="261"/>
        <v>4537</v>
      </c>
      <c r="C4552" s="48">
        <f ca="1"/>
        <v>-9.4184603049970769E-2</v>
      </c>
      <c r="D4552" s="48">
        <f t="shared" ca="1" si="258"/>
        <v>0.65836403653639741</v>
      </c>
      <c r="E4552" s="48">
        <f t="shared" ca="1" si="259"/>
        <v>0</v>
      </c>
      <c r="F4552" s="17">
        <f t="shared" ca="1" si="260"/>
        <v>0</v>
      </c>
      <c r="H4552" s="17">
        <v>4537</v>
      </c>
      <c r="I4552" s="43">
        <v>0.66943611911971757</v>
      </c>
      <c r="J4552" s="43">
        <v>1.9589168864904874E-2</v>
      </c>
      <c r="K4552" s="43"/>
      <c r="L4552" s="43">
        <v>0.25119999999999998</v>
      </c>
      <c r="O4552" s="50"/>
    </row>
    <row r="4553" spans="2:15" x14ac:dyDescent="0.2">
      <c r="B4553">
        <f t="shared" si="261"/>
        <v>4538</v>
      </c>
      <c r="C4553" s="48">
        <f ca="1"/>
        <v>0.37835442115509271</v>
      </c>
      <c r="D4553" s="48">
        <f t="shared" ca="1" si="258"/>
        <v>0.68976051118736548</v>
      </c>
      <c r="E4553" s="48">
        <f t="shared" ca="1" si="259"/>
        <v>0</v>
      </c>
      <c r="F4553" s="17">
        <f t="shared" ca="1" si="260"/>
        <v>0</v>
      </c>
      <c r="H4553" s="17">
        <v>4538</v>
      </c>
      <c r="I4553" s="43">
        <v>0.66798310977976516</v>
      </c>
      <c r="J4553" s="43">
        <v>1.8639466592966201E-2</v>
      </c>
      <c r="K4553" s="43"/>
      <c r="L4553" s="43">
        <v>0.24379999999999999</v>
      </c>
      <c r="O4553" s="50"/>
    </row>
    <row r="4554" spans="2:15" x14ac:dyDescent="0.2">
      <c r="B4554">
        <f t="shared" si="261"/>
        <v>4539</v>
      </c>
      <c r="C4554" s="48">
        <f ca="1"/>
        <v>-0.98742839155469153</v>
      </c>
      <c r="D4554" s="48">
        <f t="shared" ca="1" si="258"/>
        <v>0.60286625957859952</v>
      </c>
      <c r="E4554" s="48">
        <f t="shared" ca="1" si="259"/>
        <v>0</v>
      </c>
      <c r="F4554" s="17">
        <f t="shared" ca="1" si="260"/>
        <v>0</v>
      </c>
      <c r="H4554" s="17">
        <v>4539</v>
      </c>
      <c r="I4554" s="43">
        <v>0.66774304378483174</v>
      </c>
      <c r="J4554" s="43">
        <v>1.8323480833777252E-2</v>
      </c>
      <c r="K4554" s="43"/>
      <c r="L4554" s="43">
        <v>0.24</v>
      </c>
      <c r="O4554" s="50"/>
    </row>
    <row r="4555" spans="2:15" x14ac:dyDescent="0.2">
      <c r="B4555">
        <f t="shared" si="261"/>
        <v>4540</v>
      </c>
      <c r="C4555" s="48">
        <f ca="1"/>
        <v>-0.97560879034192727</v>
      </c>
      <c r="D4555" s="48">
        <f t="shared" ca="1" si="258"/>
        <v>0.60356916773296698</v>
      </c>
      <c r="E4555" s="48">
        <f t="shared" ca="1" si="259"/>
        <v>0</v>
      </c>
      <c r="F4555" s="17">
        <f t="shared" ca="1" si="260"/>
        <v>0</v>
      </c>
      <c r="H4555" s="17">
        <v>4540</v>
      </c>
      <c r="I4555" s="43">
        <v>0.66896750277042305</v>
      </c>
      <c r="J4555" s="43">
        <v>1.9325424294083241E-2</v>
      </c>
      <c r="K4555" s="43"/>
      <c r="L4555" s="43">
        <v>0.254</v>
      </c>
      <c r="O4555" s="50"/>
    </row>
    <row r="4556" spans="2:15" x14ac:dyDescent="0.2">
      <c r="B4556">
        <f t="shared" si="261"/>
        <v>4541</v>
      </c>
      <c r="C4556" s="48">
        <f ca="1"/>
        <v>-0.25376846543727571</v>
      </c>
      <c r="D4556" s="48">
        <f t="shared" ca="1" si="258"/>
        <v>0.64808707099941054</v>
      </c>
      <c r="E4556" s="48">
        <f t="shared" ca="1" si="259"/>
        <v>0</v>
      </c>
      <c r="F4556" s="17">
        <f t="shared" ca="1" si="260"/>
        <v>0</v>
      </c>
      <c r="H4556" s="17">
        <v>4541</v>
      </c>
      <c r="I4556" s="43">
        <v>0.66845613658543257</v>
      </c>
      <c r="J4556" s="43">
        <v>1.9144309177871962E-2</v>
      </c>
      <c r="K4556" s="43"/>
      <c r="L4556" s="43">
        <v>0.249</v>
      </c>
      <c r="O4556" s="50"/>
    </row>
    <row r="4557" spans="2:15" x14ac:dyDescent="0.2">
      <c r="B4557">
        <f t="shared" si="261"/>
        <v>4542</v>
      </c>
      <c r="C4557" s="48">
        <f ca="1"/>
        <v>-0.21079114593395476</v>
      </c>
      <c r="D4557" s="48">
        <f t="shared" ca="1" si="258"/>
        <v>0.65083885782033757</v>
      </c>
      <c r="E4557" s="48">
        <f t="shared" ca="1" si="259"/>
        <v>0</v>
      </c>
      <c r="F4557" s="17">
        <f t="shared" ca="1" si="260"/>
        <v>0</v>
      </c>
      <c r="H4557" s="17">
        <v>4542</v>
      </c>
      <c r="I4557" s="43">
        <v>0.66848381092717835</v>
      </c>
      <c r="J4557" s="43">
        <v>1.8932194352303592E-2</v>
      </c>
      <c r="K4557" s="43"/>
      <c r="L4557" s="43">
        <v>0.2482</v>
      </c>
      <c r="O4557" s="50"/>
    </row>
    <row r="4558" spans="2:15" x14ac:dyDescent="0.2">
      <c r="B4558">
        <f t="shared" si="261"/>
        <v>4543</v>
      </c>
      <c r="C4558" s="48">
        <f ca="1"/>
        <v>2.4558629303630206E-2</v>
      </c>
      <c r="D4558" s="48">
        <f t="shared" ca="1" si="258"/>
        <v>0.66611652665499621</v>
      </c>
      <c r="E4558" s="48">
        <f t="shared" ca="1" si="259"/>
        <v>0</v>
      </c>
      <c r="F4558" s="17">
        <f t="shared" ca="1" si="260"/>
        <v>0</v>
      </c>
      <c r="H4558" s="17">
        <v>4543</v>
      </c>
      <c r="I4558" s="43">
        <v>0.66924176290815918</v>
      </c>
      <c r="J4558" s="43">
        <v>1.9613670173400818E-2</v>
      </c>
      <c r="K4558" s="43"/>
      <c r="L4558" s="43">
        <v>0.25340000000000001</v>
      </c>
      <c r="O4558" s="50"/>
    </row>
    <row r="4559" spans="2:15" x14ac:dyDescent="0.2">
      <c r="B4559">
        <f t="shared" si="261"/>
        <v>4544</v>
      </c>
      <c r="C4559" s="48">
        <f ca="1"/>
        <v>0.52721613432154113</v>
      </c>
      <c r="D4559" s="48">
        <f t="shared" ca="1" si="258"/>
        <v>0.69995801295407123</v>
      </c>
      <c r="E4559" s="48">
        <f t="shared" ca="1" si="259"/>
        <v>0</v>
      </c>
      <c r="F4559" s="17">
        <f t="shared" ca="1" si="260"/>
        <v>0</v>
      </c>
      <c r="H4559" s="17">
        <v>4544</v>
      </c>
      <c r="I4559" s="43">
        <v>0.6680113903761562</v>
      </c>
      <c r="J4559" s="43">
        <v>1.852968507567325E-2</v>
      </c>
      <c r="K4559" s="43"/>
      <c r="L4559" s="43">
        <v>0.25180000000000002</v>
      </c>
      <c r="O4559" s="50"/>
    </row>
    <row r="4560" spans="2:15" x14ac:dyDescent="0.2">
      <c r="B4560">
        <f t="shared" si="261"/>
        <v>4545</v>
      </c>
      <c r="C4560" s="48">
        <f ca="1"/>
        <v>2.3801748055255754</v>
      </c>
      <c r="D4560" s="48">
        <f t="shared" ref="D4560:D4623" ca="1" si="262">S0*EXP((μ-0.5*σ*σ)*T+σ*SQRT(T)*$C4560)</f>
        <v>0.84024948919308062</v>
      </c>
      <c r="E4560" s="48">
        <f t="shared" ref="E4560:E4623" ca="1" si="263">MAX(0,CP*(D4560-K))</f>
        <v>5.2049489193080611E-2</v>
      </c>
      <c r="F4560" s="17">
        <f t="shared" ref="F4560:F4623" ca="1" si="264">(CP*(D4560-K)&gt;0)*1</f>
        <v>1</v>
      </c>
      <c r="H4560" s="17">
        <v>4545</v>
      </c>
      <c r="I4560" s="43">
        <v>0.66904168360894556</v>
      </c>
      <c r="J4560" s="43">
        <v>1.9350905686019021E-2</v>
      </c>
      <c r="K4560" s="43"/>
      <c r="L4560" s="43">
        <v>0.25040000000000001</v>
      </c>
      <c r="O4560" s="50"/>
    </row>
    <row r="4561" spans="2:15" x14ac:dyDescent="0.2">
      <c r="B4561">
        <f t="shared" si="261"/>
        <v>4546</v>
      </c>
      <c r="C4561" s="48">
        <f ca="1"/>
        <v>-0.42384173705335032</v>
      </c>
      <c r="D4561" s="48">
        <f t="shared" ca="1" si="262"/>
        <v>0.63731112755402353</v>
      </c>
      <c r="E4561" s="48">
        <f t="shared" ca="1" si="263"/>
        <v>0</v>
      </c>
      <c r="F4561" s="17">
        <f t="shared" ca="1" si="264"/>
        <v>0</v>
      </c>
      <c r="H4561" s="17">
        <v>4546</v>
      </c>
      <c r="I4561" s="43">
        <v>0.66876535405184423</v>
      </c>
      <c r="J4561" s="43">
        <v>1.9097842824481098E-2</v>
      </c>
      <c r="K4561" s="43"/>
      <c r="L4561" s="43">
        <v>0.247</v>
      </c>
      <c r="O4561" s="50"/>
    </row>
    <row r="4562" spans="2:15" x14ac:dyDescent="0.2">
      <c r="B4562">
        <f t="shared" si="261"/>
        <v>4547</v>
      </c>
      <c r="C4562" s="48">
        <f ca="1"/>
        <v>-0.38668130670459533</v>
      </c>
      <c r="D4562" s="48">
        <f t="shared" ca="1" si="262"/>
        <v>0.63965023262278009</v>
      </c>
      <c r="E4562" s="48">
        <f t="shared" ca="1" si="263"/>
        <v>0</v>
      </c>
      <c r="F4562" s="17">
        <f t="shared" ca="1" si="264"/>
        <v>0</v>
      </c>
      <c r="H4562" s="17">
        <v>4547</v>
      </c>
      <c r="I4562" s="43">
        <v>0.66745848258716145</v>
      </c>
      <c r="J4562" s="43">
        <v>1.8311508790763441E-2</v>
      </c>
      <c r="K4562" s="43"/>
      <c r="L4562" s="43">
        <v>0.24579999999999999</v>
      </c>
      <c r="O4562" s="50"/>
    </row>
    <row r="4563" spans="2:15" x14ac:dyDescent="0.2">
      <c r="B4563">
        <f t="shared" si="261"/>
        <v>4548</v>
      </c>
      <c r="C4563" s="48">
        <f ca="1"/>
        <v>-1.9615318901336052</v>
      </c>
      <c r="D4563" s="48">
        <f t="shared" ca="1" si="262"/>
        <v>0.54766346382407527</v>
      </c>
      <c r="E4563" s="48">
        <f t="shared" ca="1" si="263"/>
        <v>0</v>
      </c>
      <c r="F4563" s="17">
        <f t="shared" ca="1" si="264"/>
        <v>0</v>
      </c>
      <c r="H4563" s="17">
        <v>4548</v>
      </c>
      <c r="I4563" s="43">
        <v>0.66736803731024574</v>
      </c>
      <c r="J4563" s="43">
        <v>1.8203376534678368E-2</v>
      </c>
      <c r="K4563" s="43"/>
      <c r="L4563" s="43">
        <v>0.249</v>
      </c>
      <c r="O4563" s="50"/>
    </row>
    <row r="4564" spans="2:15" x14ac:dyDescent="0.2">
      <c r="B4564">
        <f t="shared" si="261"/>
        <v>4549</v>
      </c>
      <c r="C4564" s="48">
        <f ca="1"/>
        <v>0.72816480267259331</v>
      </c>
      <c r="D4564" s="48">
        <f t="shared" ca="1" si="262"/>
        <v>0.71396316581267649</v>
      </c>
      <c r="E4564" s="48">
        <f t="shared" ca="1" si="263"/>
        <v>0</v>
      </c>
      <c r="F4564" s="17">
        <f t="shared" ca="1" si="264"/>
        <v>0</v>
      </c>
      <c r="H4564" s="17">
        <v>4549</v>
      </c>
      <c r="I4564" s="43">
        <v>0.67007433333917066</v>
      </c>
      <c r="J4564" s="43">
        <v>2.0105274846225821E-2</v>
      </c>
      <c r="K4564" s="43"/>
      <c r="L4564" s="43">
        <v>0.25480000000000003</v>
      </c>
      <c r="O4564" s="50"/>
    </row>
    <row r="4565" spans="2:15" x14ac:dyDescent="0.2">
      <c r="B4565">
        <f t="shared" si="261"/>
        <v>4550</v>
      </c>
      <c r="C4565" s="48">
        <f ca="1"/>
        <v>-0.22069059529483481</v>
      </c>
      <c r="D4565" s="48">
        <f t="shared" ca="1" si="262"/>
        <v>0.65020397390701801</v>
      </c>
      <c r="E4565" s="48">
        <f t="shared" ca="1" si="263"/>
        <v>0</v>
      </c>
      <c r="F4565" s="17">
        <f t="shared" ca="1" si="264"/>
        <v>0</v>
      </c>
      <c r="H4565" s="17">
        <v>4550</v>
      </c>
      <c r="I4565" s="43">
        <v>0.66940638374346251</v>
      </c>
      <c r="J4565" s="43">
        <v>2.0046073592302351E-2</v>
      </c>
      <c r="K4565" s="43"/>
      <c r="L4565" s="43">
        <v>0.25819999999999999</v>
      </c>
      <c r="O4565" s="50"/>
    </row>
    <row r="4566" spans="2:15" x14ac:dyDescent="0.2">
      <c r="B4566">
        <f t="shared" si="261"/>
        <v>4551</v>
      </c>
      <c r="C4566" s="48">
        <f ca="1"/>
        <v>-0.94430096863168211</v>
      </c>
      <c r="D4566" s="48">
        <f t="shared" ca="1" si="262"/>
        <v>0.60543499755038455</v>
      </c>
      <c r="E4566" s="48">
        <f t="shared" ca="1" si="263"/>
        <v>0</v>
      </c>
      <c r="F4566" s="17">
        <f t="shared" ca="1" si="264"/>
        <v>0</v>
      </c>
      <c r="H4566" s="17">
        <v>4551</v>
      </c>
      <c r="I4566" s="43">
        <v>0.66782763474597084</v>
      </c>
      <c r="J4566" s="43">
        <v>1.8553022606335914E-2</v>
      </c>
      <c r="K4566" s="43"/>
      <c r="L4566" s="43">
        <v>0.24340000000000001</v>
      </c>
      <c r="O4566" s="50"/>
    </row>
    <row r="4567" spans="2:15" x14ac:dyDescent="0.2">
      <c r="B4567">
        <f t="shared" si="261"/>
        <v>4552</v>
      </c>
      <c r="C4567" s="48">
        <f ca="1"/>
        <v>7.5661604044694977E-2</v>
      </c>
      <c r="D4567" s="48">
        <f t="shared" ca="1" si="262"/>
        <v>0.66948096506540178</v>
      </c>
      <c r="E4567" s="48">
        <f t="shared" ca="1" si="263"/>
        <v>0</v>
      </c>
      <c r="F4567" s="17">
        <f t="shared" ca="1" si="264"/>
        <v>0</v>
      </c>
      <c r="H4567" s="17">
        <v>4552</v>
      </c>
      <c r="I4567" s="43">
        <v>0.66951687984124808</v>
      </c>
      <c r="J4567" s="43">
        <v>1.9507997440599865E-2</v>
      </c>
      <c r="K4567" s="43"/>
      <c r="L4567" s="43">
        <v>0.24840000000000001</v>
      </c>
      <c r="O4567" s="50"/>
    </row>
    <row r="4568" spans="2:15" x14ac:dyDescent="0.2">
      <c r="B4568">
        <f t="shared" si="261"/>
        <v>4553</v>
      </c>
      <c r="C4568" s="48">
        <f ca="1"/>
        <v>0.39724906861322445</v>
      </c>
      <c r="D4568" s="48">
        <f t="shared" ca="1" si="262"/>
        <v>0.6910465776124618</v>
      </c>
      <c r="E4568" s="48">
        <f t="shared" ca="1" si="263"/>
        <v>0</v>
      </c>
      <c r="F4568" s="17">
        <f t="shared" ca="1" si="264"/>
        <v>0</v>
      </c>
      <c r="H4568" s="17">
        <v>4553</v>
      </c>
      <c r="I4568" s="43">
        <v>0.6682514861030483</v>
      </c>
      <c r="J4568" s="43">
        <v>1.878697477972429E-2</v>
      </c>
      <c r="K4568" s="43"/>
      <c r="L4568" s="43">
        <v>0.24199999999999999</v>
      </c>
      <c r="O4568" s="50"/>
    </row>
    <row r="4569" spans="2:15" x14ac:dyDescent="0.2">
      <c r="B4569">
        <f t="shared" si="261"/>
        <v>4554</v>
      </c>
      <c r="C4569" s="48">
        <f ca="1"/>
        <v>0.26420719365582285</v>
      </c>
      <c r="D4569" s="48">
        <f t="shared" ca="1" si="262"/>
        <v>0.68204181328780444</v>
      </c>
      <c r="E4569" s="48">
        <f t="shared" ca="1" si="263"/>
        <v>0</v>
      </c>
      <c r="F4569" s="17">
        <f t="shared" ca="1" si="264"/>
        <v>0</v>
      </c>
      <c r="H4569" s="17">
        <v>4554</v>
      </c>
      <c r="I4569" s="43">
        <v>0.66913033947968747</v>
      </c>
      <c r="J4569" s="43">
        <v>1.9388073059698981E-2</v>
      </c>
      <c r="K4569" s="43"/>
      <c r="L4569" s="43">
        <v>0.25</v>
      </c>
      <c r="O4569" s="50"/>
    </row>
    <row r="4570" spans="2:15" x14ac:dyDescent="0.2">
      <c r="B4570">
        <f t="shared" si="261"/>
        <v>4555</v>
      </c>
      <c r="C4570" s="48">
        <f ca="1"/>
        <v>-0.66234077771629751</v>
      </c>
      <c r="D4570" s="48">
        <f t="shared" ca="1" si="262"/>
        <v>0.62250082004367802</v>
      </c>
      <c r="E4570" s="48">
        <f t="shared" ca="1" si="263"/>
        <v>0</v>
      </c>
      <c r="F4570" s="17">
        <f t="shared" ca="1" si="264"/>
        <v>0</v>
      </c>
      <c r="H4570" s="17">
        <v>4555</v>
      </c>
      <c r="I4570" s="43">
        <v>0.6692531443877463</v>
      </c>
      <c r="J4570" s="43">
        <v>1.9537800993282093E-2</v>
      </c>
      <c r="K4570" s="43"/>
      <c r="L4570" s="43">
        <v>0.25319999999999998</v>
      </c>
      <c r="O4570" s="50"/>
    </row>
    <row r="4571" spans="2:15" x14ac:dyDescent="0.2">
      <c r="B4571">
        <f t="shared" si="261"/>
        <v>4556</v>
      </c>
      <c r="C4571" s="48">
        <f ca="1"/>
        <v>-0.65926109322645421</v>
      </c>
      <c r="D4571" s="48">
        <f t="shared" ca="1" si="262"/>
        <v>0.62268985138055188</v>
      </c>
      <c r="E4571" s="48">
        <f t="shared" ca="1" si="263"/>
        <v>0</v>
      </c>
      <c r="F4571" s="17">
        <f t="shared" ca="1" si="264"/>
        <v>0</v>
      </c>
      <c r="H4571" s="17">
        <v>4556</v>
      </c>
      <c r="I4571" s="43">
        <v>0.66833217649045229</v>
      </c>
      <c r="J4571" s="43">
        <v>1.900325309062845E-2</v>
      </c>
      <c r="K4571" s="43"/>
      <c r="L4571" s="43">
        <v>0.2492</v>
      </c>
      <c r="O4571" s="50"/>
    </row>
    <row r="4572" spans="2:15" x14ac:dyDescent="0.2">
      <c r="B4572">
        <f t="shared" si="261"/>
        <v>4557</v>
      </c>
      <c r="C4572" s="48">
        <f ca="1"/>
        <v>7.3879667841672644E-2</v>
      </c>
      <c r="D4572" s="48">
        <f t="shared" ca="1" si="262"/>
        <v>0.66936336326832357</v>
      </c>
      <c r="E4572" s="48">
        <f t="shared" ca="1" si="263"/>
        <v>0</v>
      </c>
      <c r="F4572" s="17">
        <f t="shared" ca="1" si="264"/>
        <v>0</v>
      </c>
      <c r="H4572" s="17">
        <v>4557</v>
      </c>
      <c r="I4572" s="43">
        <v>0.66976940946520347</v>
      </c>
      <c r="J4572" s="43">
        <v>1.977636023657919E-2</v>
      </c>
      <c r="K4572" s="43"/>
      <c r="L4572" s="43">
        <v>0.25140000000000001</v>
      </c>
      <c r="O4572" s="50"/>
    </row>
    <row r="4573" spans="2:15" x14ac:dyDescent="0.2">
      <c r="B4573">
        <f t="shared" si="261"/>
        <v>4558</v>
      </c>
      <c r="C4573" s="48">
        <f ca="1"/>
        <v>0.96674278002998049</v>
      </c>
      <c r="D4573" s="48">
        <f t="shared" ca="1" si="262"/>
        <v>0.73095519976115531</v>
      </c>
      <c r="E4573" s="48">
        <f t="shared" ca="1" si="263"/>
        <v>0</v>
      </c>
      <c r="F4573" s="17">
        <f t="shared" ca="1" si="264"/>
        <v>0</v>
      </c>
      <c r="H4573" s="17">
        <v>4558</v>
      </c>
      <c r="I4573" s="43">
        <v>0.66849941603058216</v>
      </c>
      <c r="J4573" s="43">
        <v>1.9039686802221175E-2</v>
      </c>
      <c r="K4573" s="43"/>
      <c r="L4573" s="43">
        <v>0.25219999999999998</v>
      </c>
      <c r="O4573" s="50"/>
    </row>
    <row r="4574" spans="2:15" x14ac:dyDescent="0.2">
      <c r="B4574">
        <f t="shared" si="261"/>
        <v>4559</v>
      </c>
      <c r="C4574" s="48">
        <f ca="1"/>
        <v>1.5756380460176207</v>
      </c>
      <c r="D4574" s="48">
        <f t="shared" ca="1" si="262"/>
        <v>0.77617779813538001</v>
      </c>
      <c r="E4574" s="48">
        <f t="shared" ca="1" si="263"/>
        <v>0</v>
      </c>
      <c r="F4574" s="17">
        <f t="shared" ca="1" si="264"/>
        <v>0</v>
      </c>
      <c r="H4574" s="17">
        <v>4559</v>
      </c>
      <c r="I4574" s="43">
        <v>0.66860368349592714</v>
      </c>
      <c r="J4574" s="43">
        <v>1.9054489381133792E-2</v>
      </c>
      <c r="K4574" s="43"/>
      <c r="L4574" s="43">
        <v>0.25019999999999998</v>
      </c>
      <c r="O4574" s="50"/>
    </row>
    <row r="4575" spans="2:15" x14ac:dyDescent="0.2">
      <c r="B4575">
        <f t="shared" si="261"/>
        <v>4560</v>
      </c>
      <c r="C4575" s="48">
        <f ca="1"/>
        <v>-1.3776054817275554</v>
      </c>
      <c r="D4575" s="48">
        <f t="shared" ca="1" si="262"/>
        <v>0.58011642045036793</v>
      </c>
      <c r="E4575" s="48">
        <f t="shared" ca="1" si="263"/>
        <v>0</v>
      </c>
      <c r="F4575" s="17">
        <f t="shared" ca="1" si="264"/>
        <v>0</v>
      </c>
      <c r="H4575" s="17">
        <v>4560</v>
      </c>
      <c r="I4575" s="43">
        <v>0.66991210804284174</v>
      </c>
      <c r="J4575" s="43">
        <v>2.0035889244840836E-2</v>
      </c>
      <c r="K4575" s="43"/>
      <c r="L4575" s="43">
        <v>0.25659999999999999</v>
      </c>
      <c r="O4575" s="50"/>
    </row>
    <row r="4576" spans="2:15" x14ac:dyDescent="0.2">
      <c r="B4576">
        <f t="shared" si="261"/>
        <v>4561</v>
      </c>
      <c r="C4576" s="48">
        <f ca="1"/>
        <v>-1.4614967004651367</v>
      </c>
      <c r="D4576" s="48">
        <f t="shared" ca="1" si="262"/>
        <v>0.57533828257222186</v>
      </c>
      <c r="E4576" s="48">
        <f t="shared" ca="1" si="263"/>
        <v>0</v>
      </c>
      <c r="F4576" s="17">
        <f t="shared" ca="1" si="264"/>
        <v>0</v>
      </c>
      <c r="H4576" s="17">
        <v>4561</v>
      </c>
      <c r="I4576" s="43">
        <v>0.66939278860257656</v>
      </c>
      <c r="J4576" s="43">
        <v>1.9701046531748864E-2</v>
      </c>
      <c r="K4576" s="43"/>
      <c r="L4576" s="43">
        <v>0.25280000000000002</v>
      </c>
      <c r="O4576" s="50"/>
    </row>
    <row r="4577" spans="2:15" x14ac:dyDescent="0.2">
      <c r="B4577">
        <f t="shared" si="261"/>
        <v>4562</v>
      </c>
      <c r="C4577" s="48">
        <f ca="1"/>
        <v>0.865189320456349</v>
      </c>
      <c r="D4577" s="48">
        <f t="shared" ca="1" si="262"/>
        <v>0.7236734632326759</v>
      </c>
      <c r="E4577" s="48">
        <f t="shared" ca="1" si="263"/>
        <v>0</v>
      </c>
      <c r="F4577" s="17">
        <f t="shared" ca="1" si="264"/>
        <v>0</v>
      </c>
      <c r="H4577" s="17">
        <v>4562</v>
      </c>
      <c r="I4577" s="43">
        <v>0.66877232310526968</v>
      </c>
      <c r="J4577" s="43">
        <v>1.9385146358697938E-2</v>
      </c>
      <c r="K4577" s="43"/>
      <c r="L4577" s="43">
        <v>0.2482</v>
      </c>
      <c r="O4577" s="50"/>
    </row>
    <row r="4578" spans="2:15" x14ac:dyDescent="0.2">
      <c r="B4578">
        <f t="shared" si="261"/>
        <v>4563</v>
      </c>
      <c r="C4578" s="48">
        <f ca="1"/>
        <v>1.1170179224561199</v>
      </c>
      <c r="D4578" s="48">
        <f t="shared" ca="1" si="262"/>
        <v>0.74186509776219522</v>
      </c>
      <c r="E4578" s="48">
        <f t="shared" ca="1" si="263"/>
        <v>0</v>
      </c>
      <c r="F4578" s="17">
        <f t="shared" ca="1" si="264"/>
        <v>0</v>
      </c>
      <c r="H4578" s="17">
        <v>4563</v>
      </c>
      <c r="I4578" s="43">
        <v>0.66894823541064929</v>
      </c>
      <c r="J4578" s="43">
        <v>1.9360725755871427E-2</v>
      </c>
      <c r="K4578" s="43"/>
      <c r="L4578" s="43">
        <v>0.24959999999999999</v>
      </c>
      <c r="O4578" s="50"/>
    </row>
    <row r="4579" spans="2:15" x14ac:dyDescent="0.2">
      <c r="B4579">
        <f t="shared" si="261"/>
        <v>4564</v>
      </c>
      <c r="C4579" s="48">
        <f ca="1"/>
        <v>-1.6997593209534743</v>
      </c>
      <c r="D4579" s="48">
        <f t="shared" ca="1" si="262"/>
        <v>0.56198124442923625</v>
      </c>
      <c r="E4579" s="48">
        <f t="shared" ca="1" si="263"/>
        <v>0</v>
      </c>
      <c r="F4579" s="17">
        <f t="shared" ca="1" si="264"/>
        <v>0</v>
      </c>
      <c r="H4579" s="17">
        <v>4564</v>
      </c>
      <c r="I4579" s="43">
        <v>0.66985145405370172</v>
      </c>
      <c r="J4579" s="43">
        <v>1.9955967707860019E-2</v>
      </c>
      <c r="K4579" s="43"/>
      <c r="L4579" s="43">
        <v>0.25440000000000002</v>
      </c>
      <c r="O4579" s="50"/>
    </row>
    <row r="4580" spans="2:15" x14ac:dyDescent="0.2">
      <c r="B4580">
        <f t="shared" si="261"/>
        <v>4565</v>
      </c>
      <c r="C4580" s="48">
        <f ca="1"/>
        <v>0.75685565457283932</v>
      </c>
      <c r="D4580" s="48">
        <f t="shared" ca="1" si="262"/>
        <v>0.71598551120222276</v>
      </c>
      <c r="E4580" s="48">
        <f t="shared" ca="1" si="263"/>
        <v>0</v>
      </c>
      <c r="F4580" s="17">
        <f t="shared" ca="1" si="264"/>
        <v>0</v>
      </c>
      <c r="H4580" s="17">
        <v>4565</v>
      </c>
      <c r="I4580" s="43">
        <v>0.66791618631894889</v>
      </c>
      <c r="J4580" s="43">
        <v>1.8371753657545235E-2</v>
      </c>
      <c r="K4580" s="43"/>
      <c r="L4580" s="43">
        <v>0.24079999999999999</v>
      </c>
      <c r="O4580" s="50"/>
    </row>
    <row r="4581" spans="2:15" x14ac:dyDescent="0.2">
      <c r="B4581">
        <f t="shared" si="261"/>
        <v>4566</v>
      </c>
      <c r="C4581" s="48">
        <f ca="1"/>
        <v>0.76848727958699037</v>
      </c>
      <c r="D4581" s="48">
        <f t="shared" ca="1" si="262"/>
        <v>0.71680702598133028</v>
      </c>
      <c r="E4581" s="48">
        <f t="shared" ca="1" si="263"/>
        <v>0</v>
      </c>
      <c r="F4581" s="17">
        <f t="shared" ca="1" si="264"/>
        <v>0</v>
      </c>
      <c r="H4581" s="17">
        <v>4566</v>
      </c>
      <c r="I4581" s="43">
        <v>0.66976911045908039</v>
      </c>
      <c r="J4581" s="43">
        <v>2.0020583234471104E-2</v>
      </c>
      <c r="K4581" s="43"/>
      <c r="L4581" s="43">
        <v>0.25419999999999998</v>
      </c>
      <c r="O4581" s="50"/>
    </row>
    <row r="4582" spans="2:15" x14ac:dyDescent="0.2">
      <c r="B4582">
        <f t="shared" si="261"/>
        <v>4567</v>
      </c>
      <c r="C4582" s="48">
        <f ca="1"/>
        <v>-1.644780616235392</v>
      </c>
      <c r="D4582" s="48">
        <f t="shared" ca="1" si="262"/>
        <v>0.56503557164197338</v>
      </c>
      <c r="E4582" s="48">
        <f t="shared" ca="1" si="263"/>
        <v>0</v>
      </c>
      <c r="F4582" s="17">
        <f t="shared" ca="1" si="264"/>
        <v>0</v>
      </c>
      <c r="H4582" s="17">
        <v>4567</v>
      </c>
      <c r="I4582" s="43">
        <v>0.66985261086758419</v>
      </c>
      <c r="J4582" s="43">
        <v>2.014413637207815E-2</v>
      </c>
      <c r="K4582" s="43"/>
      <c r="L4582" s="43">
        <v>0.25440000000000002</v>
      </c>
      <c r="O4582" s="50"/>
    </row>
    <row r="4583" spans="2:15" x14ac:dyDescent="0.2">
      <c r="B4583">
        <f t="shared" si="261"/>
        <v>4568</v>
      </c>
      <c r="C4583" s="48">
        <f ca="1"/>
        <v>-0.34517683646483449</v>
      </c>
      <c r="D4583" s="48">
        <f t="shared" ca="1" si="262"/>
        <v>0.64227292882992304</v>
      </c>
      <c r="E4583" s="48">
        <f t="shared" ca="1" si="263"/>
        <v>0</v>
      </c>
      <c r="F4583" s="17">
        <f t="shared" ca="1" si="264"/>
        <v>0</v>
      </c>
      <c r="H4583" s="17">
        <v>4568</v>
      </c>
      <c r="I4583" s="43">
        <v>0.66781025399364946</v>
      </c>
      <c r="J4583" s="43">
        <v>1.8456444602042304E-2</v>
      </c>
      <c r="K4583" s="43"/>
      <c r="L4583" s="43">
        <v>0.24099999999999999</v>
      </c>
      <c r="O4583" s="50"/>
    </row>
    <row r="4584" spans="2:15" x14ac:dyDescent="0.2">
      <c r="B4584">
        <f t="shared" si="261"/>
        <v>4569</v>
      </c>
      <c r="C4584" s="48">
        <f ca="1"/>
        <v>3.2992695456906584E-2</v>
      </c>
      <c r="D4584" s="48">
        <f t="shared" ca="1" si="262"/>
        <v>0.66667062837908664</v>
      </c>
      <c r="E4584" s="48">
        <f t="shared" ca="1" si="263"/>
        <v>0</v>
      </c>
      <c r="F4584" s="17">
        <f t="shared" ca="1" si="264"/>
        <v>0</v>
      </c>
      <c r="H4584" s="17">
        <v>4569</v>
      </c>
      <c r="I4584" s="43">
        <v>0.66903780434820792</v>
      </c>
      <c r="J4584" s="43">
        <v>1.9590139475065823E-2</v>
      </c>
      <c r="K4584" s="43"/>
      <c r="L4584" s="43">
        <v>0.25800000000000001</v>
      </c>
      <c r="O4584" s="50"/>
    </row>
    <row r="4585" spans="2:15" x14ac:dyDescent="0.2">
      <c r="B4585">
        <f t="shared" si="261"/>
        <v>4570</v>
      </c>
      <c r="C4585" s="48">
        <f ca="1"/>
        <v>0.2133519377328561</v>
      </c>
      <c r="D4585" s="48">
        <f t="shared" ca="1" si="262"/>
        <v>0.67863082435124766</v>
      </c>
      <c r="E4585" s="48">
        <f t="shared" ca="1" si="263"/>
        <v>0</v>
      </c>
      <c r="F4585" s="17">
        <f t="shared" ca="1" si="264"/>
        <v>0</v>
      </c>
      <c r="H4585" s="17">
        <v>4570</v>
      </c>
      <c r="I4585" s="43">
        <v>0.66859305086788801</v>
      </c>
      <c r="J4585" s="43">
        <v>1.8827356623714261E-2</v>
      </c>
      <c r="K4585" s="43"/>
      <c r="L4585" s="43">
        <v>0.24779999999999999</v>
      </c>
      <c r="O4585" s="50"/>
    </row>
    <row r="4586" spans="2:15" x14ac:dyDescent="0.2">
      <c r="B4586">
        <f t="shared" si="261"/>
        <v>4571</v>
      </c>
      <c r="C4586" s="48">
        <f ca="1"/>
        <v>-1.3167344219794306</v>
      </c>
      <c r="D4586" s="48">
        <f t="shared" ca="1" si="262"/>
        <v>0.58360823782008231</v>
      </c>
      <c r="E4586" s="48">
        <f t="shared" ca="1" si="263"/>
        <v>0</v>
      </c>
      <c r="F4586" s="17">
        <f t="shared" ca="1" si="264"/>
        <v>0</v>
      </c>
      <c r="H4586" s="17">
        <v>4571</v>
      </c>
      <c r="I4586" s="43">
        <v>0.6688230776362537</v>
      </c>
      <c r="J4586" s="43">
        <v>1.9456218430543147E-2</v>
      </c>
      <c r="K4586" s="43"/>
      <c r="L4586" s="43">
        <v>0.25480000000000003</v>
      </c>
      <c r="O4586" s="50"/>
    </row>
    <row r="4587" spans="2:15" x14ac:dyDescent="0.2">
      <c r="B4587">
        <f t="shared" si="261"/>
        <v>4572</v>
      </c>
      <c r="C4587" s="48">
        <f ca="1"/>
        <v>-1.4615923668538799</v>
      </c>
      <c r="D4587" s="48">
        <f t="shared" ca="1" si="262"/>
        <v>0.57533285629065312</v>
      </c>
      <c r="E4587" s="48">
        <f t="shared" ca="1" si="263"/>
        <v>0</v>
      </c>
      <c r="F4587" s="17">
        <f t="shared" ca="1" si="264"/>
        <v>0</v>
      </c>
      <c r="H4587" s="17">
        <v>4572</v>
      </c>
      <c r="I4587" s="43">
        <v>0.66873099250395651</v>
      </c>
      <c r="J4587" s="43">
        <v>1.9323188718665004E-2</v>
      </c>
      <c r="K4587" s="43"/>
      <c r="L4587" s="43">
        <v>0.25019999999999998</v>
      </c>
      <c r="O4587" s="50"/>
    </row>
    <row r="4588" spans="2:15" x14ac:dyDescent="0.2">
      <c r="B4588">
        <f t="shared" si="261"/>
        <v>4573</v>
      </c>
      <c r="C4588" s="48">
        <f ca="1"/>
        <v>-0.96386822066017774</v>
      </c>
      <c r="D4588" s="48">
        <f t="shared" ca="1" si="262"/>
        <v>0.60426818725350573</v>
      </c>
      <c r="E4588" s="48">
        <f t="shared" ca="1" si="263"/>
        <v>0</v>
      </c>
      <c r="F4588" s="17">
        <f t="shared" ca="1" si="264"/>
        <v>0</v>
      </c>
      <c r="H4588" s="17">
        <v>4573</v>
      </c>
      <c r="I4588" s="43">
        <v>0.66803224890022717</v>
      </c>
      <c r="J4588" s="43">
        <v>1.8608158585141442E-2</v>
      </c>
      <c r="K4588" s="43"/>
      <c r="L4588" s="43">
        <v>0.24199999999999999</v>
      </c>
      <c r="O4588" s="50"/>
    </row>
    <row r="4589" spans="2:15" x14ac:dyDescent="0.2">
      <c r="B4589">
        <f t="shared" si="261"/>
        <v>4574</v>
      </c>
      <c r="C4589" s="48">
        <f ca="1"/>
        <v>0.12875526017336597</v>
      </c>
      <c r="D4589" s="48">
        <f t="shared" ca="1" si="262"/>
        <v>0.6729944630712158</v>
      </c>
      <c r="E4589" s="48">
        <f t="shared" ca="1" si="263"/>
        <v>0</v>
      </c>
      <c r="F4589" s="17">
        <f t="shared" ca="1" si="264"/>
        <v>0</v>
      </c>
      <c r="H4589" s="17">
        <v>4574</v>
      </c>
      <c r="I4589" s="43">
        <v>0.66904235444915494</v>
      </c>
      <c r="J4589" s="43">
        <v>1.9596306557794926E-2</v>
      </c>
      <c r="K4589" s="43"/>
      <c r="L4589" s="43">
        <v>0.251</v>
      </c>
      <c r="O4589" s="50"/>
    </row>
    <row r="4590" spans="2:15" x14ac:dyDescent="0.2">
      <c r="B4590">
        <f t="shared" si="261"/>
        <v>4575</v>
      </c>
      <c r="C4590" s="48">
        <f ca="1"/>
        <v>0.35093159829253068</v>
      </c>
      <c r="D4590" s="48">
        <f t="shared" ca="1" si="262"/>
        <v>0.68789822993678407</v>
      </c>
      <c r="E4590" s="48">
        <f t="shared" ca="1" si="263"/>
        <v>0</v>
      </c>
      <c r="F4590" s="17">
        <f t="shared" ca="1" si="264"/>
        <v>0</v>
      </c>
      <c r="H4590" s="17">
        <v>4575</v>
      </c>
      <c r="I4590" s="43">
        <v>0.66913119059666015</v>
      </c>
      <c r="J4590" s="43">
        <v>1.9176527757218627E-2</v>
      </c>
      <c r="K4590" s="43"/>
      <c r="L4590" s="43">
        <v>0.24340000000000001</v>
      </c>
      <c r="O4590" s="50"/>
    </row>
    <row r="4591" spans="2:15" x14ac:dyDescent="0.2">
      <c r="B4591">
        <f t="shared" si="261"/>
        <v>4576</v>
      </c>
      <c r="C4591" s="48">
        <f ca="1"/>
        <v>0.63322649892304084</v>
      </c>
      <c r="D4591" s="48">
        <f t="shared" ca="1" si="262"/>
        <v>0.7073118412353927</v>
      </c>
      <c r="E4591" s="48">
        <f t="shared" ca="1" si="263"/>
        <v>0</v>
      </c>
      <c r="F4591" s="17">
        <f t="shared" ca="1" si="264"/>
        <v>0</v>
      </c>
      <c r="H4591" s="17">
        <v>4576</v>
      </c>
      <c r="I4591" s="43">
        <v>0.66882397457881915</v>
      </c>
      <c r="J4591" s="43">
        <v>1.9447769596733805E-2</v>
      </c>
      <c r="K4591" s="43"/>
      <c r="L4591" s="43">
        <v>0.25879999999999997</v>
      </c>
      <c r="O4591" s="50"/>
    </row>
    <row r="4592" spans="2:15" x14ac:dyDescent="0.2">
      <c r="B4592">
        <f t="shared" si="261"/>
        <v>4577</v>
      </c>
      <c r="C4592" s="48">
        <f ca="1"/>
        <v>0.19996998827929768</v>
      </c>
      <c r="D4592" s="48">
        <f t="shared" ca="1" si="262"/>
        <v>0.67773610209937107</v>
      </c>
      <c r="E4592" s="48">
        <f t="shared" ca="1" si="263"/>
        <v>0</v>
      </c>
      <c r="F4592" s="17">
        <f t="shared" ca="1" si="264"/>
        <v>0</v>
      </c>
      <c r="H4592" s="17">
        <v>4577</v>
      </c>
      <c r="I4592" s="43">
        <v>0.66818065844088537</v>
      </c>
      <c r="J4592" s="43">
        <v>1.8798707403440879E-2</v>
      </c>
      <c r="K4592" s="43"/>
      <c r="L4592" s="43">
        <v>0.24940000000000001</v>
      </c>
      <c r="O4592" s="50"/>
    </row>
    <row r="4593" spans="2:15" x14ac:dyDescent="0.2">
      <c r="B4593">
        <f t="shared" ref="B4593:B4656" si="265">B4592+1</f>
        <v>4578</v>
      </c>
      <c r="C4593" s="48">
        <f ca="1"/>
        <v>1.2304871773516923</v>
      </c>
      <c r="D4593" s="48">
        <f t="shared" ca="1" si="262"/>
        <v>0.75021067300499056</v>
      </c>
      <c r="E4593" s="48">
        <f t="shared" ca="1" si="263"/>
        <v>0</v>
      </c>
      <c r="F4593" s="17">
        <f t="shared" ca="1" si="264"/>
        <v>0</v>
      </c>
      <c r="H4593" s="17">
        <v>4578</v>
      </c>
      <c r="I4593" s="43">
        <v>0.6682939272839471</v>
      </c>
      <c r="J4593" s="43">
        <v>1.9070688441138399E-2</v>
      </c>
      <c r="K4593" s="43"/>
      <c r="L4593" s="43">
        <v>0.252</v>
      </c>
      <c r="O4593" s="50"/>
    </row>
    <row r="4594" spans="2:15" x14ac:dyDescent="0.2">
      <c r="B4594">
        <f t="shared" si="265"/>
        <v>4579</v>
      </c>
      <c r="C4594" s="48">
        <f ca="1"/>
        <v>0.598645975090487</v>
      </c>
      <c r="D4594" s="48">
        <f t="shared" ca="1" si="262"/>
        <v>0.7049045749821885</v>
      </c>
      <c r="E4594" s="48">
        <f t="shared" ca="1" si="263"/>
        <v>0</v>
      </c>
      <c r="F4594" s="17">
        <f t="shared" ca="1" si="264"/>
        <v>0</v>
      </c>
      <c r="H4594" s="17">
        <v>4579</v>
      </c>
      <c r="I4594" s="43">
        <v>0.66890148214700773</v>
      </c>
      <c r="J4594" s="43">
        <v>1.9376634881335616E-2</v>
      </c>
      <c r="K4594" s="43"/>
      <c r="L4594" s="43">
        <v>0.24440000000000001</v>
      </c>
      <c r="O4594" s="50"/>
    </row>
    <row r="4595" spans="2:15" x14ac:dyDescent="0.2">
      <c r="B4595">
        <f t="shared" si="265"/>
        <v>4580</v>
      </c>
      <c r="C4595" s="48">
        <f ca="1"/>
        <v>-1.3958531252954616</v>
      </c>
      <c r="D4595" s="48">
        <f t="shared" ca="1" si="262"/>
        <v>0.5790737355570813</v>
      </c>
      <c r="E4595" s="48">
        <f t="shared" ca="1" si="263"/>
        <v>0</v>
      </c>
      <c r="F4595" s="17">
        <f t="shared" ca="1" si="264"/>
        <v>0</v>
      </c>
      <c r="H4595" s="17">
        <v>4580</v>
      </c>
      <c r="I4595" s="43">
        <v>0.66940579309670711</v>
      </c>
      <c r="J4595" s="43">
        <v>1.9734421041539107E-2</v>
      </c>
      <c r="K4595" s="43"/>
      <c r="L4595" s="43">
        <v>0.24640000000000001</v>
      </c>
      <c r="O4595" s="50"/>
    </row>
    <row r="4596" spans="2:15" x14ac:dyDescent="0.2">
      <c r="B4596">
        <f t="shared" si="265"/>
        <v>4581</v>
      </c>
      <c r="C4596" s="48">
        <f ca="1"/>
        <v>-1.9850771287439852</v>
      </c>
      <c r="D4596" s="48">
        <f t="shared" ca="1" si="262"/>
        <v>0.54639366585965887</v>
      </c>
      <c r="E4596" s="48">
        <f t="shared" ca="1" si="263"/>
        <v>0</v>
      </c>
      <c r="F4596" s="17">
        <f t="shared" ca="1" si="264"/>
        <v>0</v>
      </c>
      <c r="H4596" s="17">
        <v>4581</v>
      </c>
      <c r="I4596" s="43">
        <v>0.6686002956538466</v>
      </c>
      <c r="J4596" s="43">
        <v>1.9139775923628297E-2</v>
      </c>
      <c r="K4596" s="43"/>
      <c r="L4596" s="43">
        <v>0.24660000000000001</v>
      </c>
      <c r="O4596" s="50"/>
    </row>
    <row r="4597" spans="2:15" x14ac:dyDescent="0.2">
      <c r="B4597">
        <f t="shared" si="265"/>
        <v>4582</v>
      </c>
      <c r="C4597" s="48">
        <f ca="1"/>
        <v>-0.27611345235449541</v>
      </c>
      <c r="D4597" s="48">
        <f t="shared" ca="1" si="262"/>
        <v>0.64666094824511233</v>
      </c>
      <c r="E4597" s="48">
        <f t="shared" ca="1" si="263"/>
        <v>0</v>
      </c>
      <c r="F4597" s="17">
        <f t="shared" ca="1" si="264"/>
        <v>0</v>
      </c>
      <c r="H4597" s="17">
        <v>4582</v>
      </c>
      <c r="I4597" s="43">
        <v>0.66966012686736198</v>
      </c>
      <c r="J4597" s="43">
        <v>2.0104847774454662E-2</v>
      </c>
      <c r="K4597" s="43"/>
      <c r="L4597" s="43">
        <v>0.2586</v>
      </c>
      <c r="O4597" s="50"/>
    </row>
    <row r="4598" spans="2:15" x14ac:dyDescent="0.2">
      <c r="B4598">
        <f t="shared" si="265"/>
        <v>4583</v>
      </c>
      <c r="C4598" s="48">
        <f ca="1"/>
        <v>-0.24572350457213424</v>
      </c>
      <c r="D4598" s="48">
        <f t="shared" ca="1" si="262"/>
        <v>0.64860129370825559</v>
      </c>
      <c r="E4598" s="48">
        <f t="shared" ca="1" si="263"/>
        <v>0</v>
      </c>
      <c r="F4598" s="17">
        <f t="shared" ca="1" si="264"/>
        <v>0</v>
      </c>
      <c r="H4598" s="17">
        <v>4583</v>
      </c>
      <c r="I4598" s="43">
        <v>0.66805807386299709</v>
      </c>
      <c r="J4598" s="43">
        <v>1.8414504870870839E-2</v>
      </c>
      <c r="K4598" s="43"/>
      <c r="L4598" s="43">
        <v>0.23799999999999999</v>
      </c>
      <c r="O4598" s="50"/>
    </row>
    <row r="4599" spans="2:15" x14ac:dyDescent="0.2">
      <c r="B4599">
        <f t="shared" si="265"/>
        <v>4584</v>
      </c>
      <c r="C4599" s="48">
        <f ca="1"/>
        <v>-1.3487829866578094</v>
      </c>
      <c r="D4599" s="48">
        <f t="shared" ca="1" si="262"/>
        <v>0.5817671868886245</v>
      </c>
      <c r="E4599" s="48">
        <f t="shared" ca="1" si="263"/>
        <v>0</v>
      </c>
      <c r="F4599" s="17">
        <f t="shared" ca="1" si="264"/>
        <v>0</v>
      </c>
      <c r="H4599" s="17">
        <v>4584</v>
      </c>
      <c r="I4599" s="43">
        <v>0.66809999026187383</v>
      </c>
      <c r="J4599" s="43">
        <v>1.8848955751694492E-2</v>
      </c>
      <c r="K4599" s="43"/>
      <c r="L4599" s="43">
        <v>0.246</v>
      </c>
      <c r="O4599" s="50"/>
    </row>
    <row r="4600" spans="2:15" x14ac:dyDescent="0.2">
      <c r="B4600">
        <f t="shared" si="265"/>
        <v>4585</v>
      </c>
      <c r="C4600" s="48">
        <f ca="1"/>
        <v>-0.25467956923053192</v>
      </c>
      <c r="D4600" s="48">
        <f t="shared" ca="1" si="262"/>
        <v>0.6480288602181431</v>
      </c>
      <c r="E4600" s="48">
        <f t="shared" ca="1" si="263"/>
        <v>0</v>
      </c>
      <c r="F4600" s="17">
        <f t="shared" ca="1" si="264"/>
        <v>0</v>
      </c>
      <c r="H4600" s="17">
        <v>4585</v>
      </c>
      <c r="I4600" s="43">
        <v>0.67055156588850684</v>
      </c>
      <c r="J4600" s="43">
        <v>2.0478066942350839E-2</v>
      </c>
      <c r="K4600" s="43"/>
      <c r="L4600" s="43">
        <v>0.25259999999999999</v>
      </c>
      <c r="O4600" s="50"/>
    </row>
    <row r="4601" spans="2:15" x14ac:dyDescent="0.2">
      <c r="B4601">
        <f t="shared" si="265"/>
        <v>4586</v>
      </c>
      <c r="C4601" s="48">
        <f ca="1"/>
        <v>1.3681102446604851</v>
      </c>
      <c r="D4601" s="48">
        <f t="shared" ca="1" si="262"/>
        <v>0.76045882970611844</v>
      </c>
      <c r="E4601" s="48">
        <f t="shared" ca="1" si="263"/>
        <v>0</v>
      </c>
      <c r="F4601" s="17">
        <f t="shared" ca="1" si="264"/>
        <v>0</v>
      </c>
      <c r="H4601" s="17">
        <v>4586</v>
      </c>
      <c r="I4601" s="43">
        <v>0.66907745225507542</v>
      </c>
      <c r="J4601" s="43">
        <v>1.9425931446565469E-2</v>
      </c>
      <c r="K4601" s="43"/>
      <c r="L4601" s="43">
        <v>0.24979999999999999</v>
      </c>
      <c r="O4601" s="50"/>
    </row>
    <row r="4602" spans="2:15" x14ac:dyDescent="0.2">
      <c r="B4602">
        <f t="shared" si="265"/>
        <v>4587</v>
      </c>
      <c r="C4602" s="48">
        <f ca="1"/>
        <v>-0.12656825207146361</v>
      </c>
      <c r="D4602" s="48">
        <f t="shared" ca="1" si="262"/>
        <v>0.65626548074767233</v>
      </c>
      <c r="E4602" s="48">
        <f t="shared" ca="1" si="263"/>
        <v>0</v>
      </c>
      <c r="F4602" s="17">
        <f t="shared" ca="1" si="264"/>
        <v>0</v>
      </c>
      <c r="H4602" s="17">
        <v>4587</v>
      </c>
      <c r="I4602" s="43">
        <v>0.66964236775796104</v>
      </c>
      <c r="J4602" s="43">
        <v>1.976868359932973E-2</v>
      </c>
      <c r="K4602" s="43"/>
      <c r="L4602" s="43">
        <v>0.25080000000000002</v>
      </c>
      <c r="O4602" s="50"/>
    </row>
    <row r="4603" spans="2:15" x14ac:dyDescent="0.2">
      <c r="B4603">
        <f t="shared" si="265"/>
        <v>4588</v>
      </c>
      <c r="C4603" s="48">
        <f ca="1"/>
        <v>-1.2297491947811434</v>
      </c>
      <c r="D4603" s="48">
        <f t="shared" ca="1" si="262"/>
        <v>0.58863458110605982</v>
      </c>
      <c r="E4603" s="48">
        <f t="shared" ca="1" si="263"/>
        <v>0</v>
      </c>
      <c r="F4603" s="17">
        <f t="shared" ca="1" si="264"/>
        <v>0</v>
      </c>
      <c r="H4603" s="17">
        <v>4588</v>
      </c>
      <c r="I4603" s="43">
        <v>0.66900079089149933</v>
      </c>
      <c r="J4603" s="43">
        <v>1.9547674541840098E-2</v>
      </c>
      <c r="K4603" s="43"/>
      <c r="L4603" s="43">
        <v>0.2472</v>
      </c>
      <c r="O4603" s="50"/>
    </row>
    <row r="4604" spans="2:15" x14ac:dyDescent="0.2">
      <c r="B4604">
        <f t="shared" si="265"/>
        <v>4589</v>
      </c>
      <c r="C4604" s="48">
        <f ca="1"/>
        <v>0.81350534139751918</v>
      </c>
      <c r="D4604" s="48">
        <f t="shared" ca="1" si="262"/>
        <v>0.71999544117638403</v>
      </c>
      <c r="E4604" s="48">
        <f t="shared" ca="1" si="263"/>
        <v>0</v>
      </c>
      <c r="F4604" s="17">
        <f t="shared" ca="1" si="264"/>
        <v>0</v>
      </c>
      <c r="H4604" s="17">
        <v>4589</v>
      </c>
      <c r="I4604" s="43">
        <v>0.6680193010443517</v>
      </c>
      <c r="J4604" s="43">
        <v>1.8749812506085404E-2</v>
      </c>
      <c r="K4604" s="43"/>
      <c r="L4604" s="43">
        <v>0.24660000000000001</v>
      </c>
      <c r="O4604" s="50"/>
    </row>
    <row r="4605" spans="2:15" x14ac:dyDescent="0.2">
      <c r="B4605">
        <f t="shared" si="265"/>
        <v>4590</v>
      </c>
      <c r="C4605" s="48">
        <f ca="1"/>
        <v>-1.0767017265812693</v>
      </c>
      <c r="D4605" s="48">
        <f t="shared" ca="1" si="262"/>
        <v>0.59758357480114188</v>
      </c>
      <c r="E4605" s="48">
        <f t="shared" ca="1" si="263"/>
        <v>0</v>
      </c>
      <c r="F4605" s="17">
        <f t="shared" ca="1" si="264"/>
        <v>0</v>
      </c>
      <c r="H4605" s="17">
        <v>4590</v>
      </c>
      <c r="I4605" s="43">
        <v>0.66833567532374027</v>
      </c>
      <c r="J4605" s="43">
        <v>1.8983188995627506E-2</v>
      </c>
      <c r="K4605" s="43"/>
      <c r="L4605" s="43">
        <v>0.24759999999999999</v>
      </c>
      <c r="O4605" s="50"/>
    </row>
    <row r="4606" spans="2:15" x14ac:dyDescent="0.2">
      <c r="B4606">
        <f t="shared" si="265"/>
        <v>4591</v>
      </c>
      <c r="C4606" s="48">
        <f ca="1"/>
        <v>1.4863683778698833</v>
      </c>
      <c r="D4606" s="48">
        <f t="shared" ca="1" si="262"/>
        <v>0.76937672925013612</v>
      </c>
      <c r="E4606" s="48">
        <f t="shared" ca="1" si="263"/>
        <v>0</v>
      </c>
      <c r="F4606" s="17">
        <f t="shared" ca="1" si="264"/>
        <v>0</v>
      </c>
      <c r="H4606" s="17">
        <v>4591</v>
      </c>
      <c r="I4606" s="43">
        <v>0.66871590305218642</v>
      </c>
      <c r="J4606" s="43">
        <v>1.9240148967736029E-2</v>
      </c>
      <c r="K4606" s="43"/>
      <c r="L4606" s="43">
        <v>0.253</v>
      </c>
      <c r="O4606" s="50"/>
    </row>
    <row r="4607" spans="2:15" x14ac:dyDescent="0.2">
      <c r="B4607">
        <f t="shared" si="265"/>
        <v>4592</v>
      </c>
      <c r="C4607" s="48">
        <f ca="1"/>
        <v>-1.1483953212071973</v>
      </c>
      <c r="D4607" s="48">
        <f t="shared" ca="1" si="262"/>
        <v>0.59337469216065009</v>
      </c>
      <c r="E4607" s="48">
        <f t="shared" ca="1" si="263"/>
        <v>0</v>
      </c>
      <c r="F4607" s="17">
        <f t="shared" ca="1" si="264"/>
        <v>0</v>
      </c>
      <c r="H4607" s="17">
        <v>4592</v>
      </c>
      <c r="I4607" s="43">
        <v>0.66848872138849402</v>
      </c>
      <c r="J4607" s="43">
        <v>1.9114165553663048E-2</v>
      </c>
      <c r="K4607" s="43"/>
      <c r="L4607" s="43">
        <v>0.25280000000000002</v>
      </c>
      <c r="O4607" s="50"/>
    </row>
    <row r="4608" spans="2:15" x14ac:dyDescent="0.2">
      <c r="B4608">
        <f t="shared" si="265"/>
        <v>4593</v>
      </c>
      <c r="C4608" s="48">
        <f ca="1"/>
        <v>1.8100890266359815</v>
      </c>
      <c r="D4608" s="48">
        <f t="shared" ca="1" si="262"/>
        <v>0.794327261293578</v>
      </c>
      <c r="E4608" s="48">
        <f t="shared" ca="1" si="263"/>
        <v>6.1272612935779902E-3</v>
      </c>
      <c r="F4608" s="17">
        <f t="shared" ca="1" si="264"/>
        <v>1</v>
      </c>
      <c r="H4608" s="17">
        <v>4593</v>
      </c>
      <c r="I4608" s="43">
        <v>0.66945471627988995</v>
      </c>
      <c r="J4608" s="43">
        <v>1.9720437240739543E-2</v>
      </c>
      <c r="K4608" s="43"/>
      <c r="L4608" s="43">
        <v>0.25019999999999998</v>
      </c>
      <c r="O4608" s="50"/>
    </row>
    <row r="4609" spans="2:15" x14ac:dyDescent="0.2">
      <c r="B4609">
        <f t="shared" si="265"/>
        <v>4594</v>
      </c>
      <c r="C4609" s="48">
        <f ca="1"/>
        <v>-0.5537139123710646</v>
      </c>
      <c r="D4609" s="48">
        <f t="shared" ca="1" si="262"/>
        <v>0.62920316003507248</v>
      </c>
      <c r="E4609" s="48">
        <f t="shared" ca="1" si="263"/>
        <v>0</v>
      </c>
      <c r="F4609" s="17">
        <f t="shared" ca="1" si="264"/>
        <v>0</v>
      </c>
      <c r="H4609" s="17">
        <v>4594</v>
      </c>
      <c r="I4609" s="43">
        <v>0.66933392440478878</v>
      </c>
      <c r="J4609" s="43">
        <v>1.9563269891628019E-2</v>
      </c>
      <c r="K4609" s="43"/>
      <c r="L4609" s="43">
        <v>0.25180000000000002</v>
      </c>
      <c r="O4609" s="50"/>
    </row>
    <row r="4610" spans="2:15" x14ac:dyDescent="0.2">
      <c r="B4610">
        <f t="shared" si="265"/>
        <v>4595</v>
      </c>
      <c r="C4610" s="48">
        <f ca="1"/>
        <v>0.10557641750103205</v>
      </c>
      <c r="D4610" s="48">
        <f t="shared" ca="1" si="262"/>
        <v>0.67145832999229593</v>
      </c>
      <c r="E4610" s="48">
        <f t="shared" ca="1" si="263"/>
        <v>0</v>
      </c>
      <c r="F4610" s="17">
        <f t="shared" ca="1" si="264"/>
        <v>0</v>
      </c>
      <c r="H4610" s="17">
        <v>4595</v>
      </c>
      <c r="I4610" s="43">
        <v>0.66983241376614433</v>
      </c>
      <c r="J4610" s="43">
        <v>2.0023188007839279E-2</v>
      </c>
      <c r="K4610" s="43"/>
      <c r="L4610" s="43">
        <v>0.25419999999999998</v>
      </c>
      <c r="O4610" s="50"/>
    </row>
    <row r="4611" spans="2:15" x14ac:dyDescent="0.2">
      <c r="B4611">
        <f t="shared" si="265"/>
        <v>4596</v>
      </c>
      <c r="C4611" s="48">
        <f ca="1"/>
        <v>-0.68141516960718296</v>
      </c>
      <c r="D4611" s="48">
        <f t="shared" ca="1" si="262"/>
        <v>0.62133130969522021</v>
      </c>
      <c r="E4611" s="48">
        <f t="shared" ca="1" si="263"/>
        <v>0</v>
      </c>
      <c r="F4611" s="17">
        <f t="shared" ca="1" si="264"/>
        <v>0</v>
      </c>
      <c r="H4611" s="17">
        <v>4596</v>
      </c>
      <c r="I4611" s="43">
        <v>0.66835418182302153</v>
      </c>
      <c r="J4611" s="43">
        <v>1.8968533101505189E-2</v>
      </c>
      <c r="K4611" s="43"/>
      <c r="L4611" s="43">
        <v>0.2414</v>
      </c>
      <c r="O4611" s="50"/>
    </row>
    <row r="4612" spans="2:15" x14ac:dyDescent="0.2">
      <c r="B4612">
        <f t="shared" si="265"/>
        <v>4597</v>
      </c>
      <c r="C4612" s="48">
        <f ca="1"/>
        <v>1.136858442753526</v>
      </c>
      <c r="D4612" s="48">
        <f t="shared" ca="1" si="262"/>
        <v>0.74331762582585359</v>
      </c>
      <c r="E4612" s="48">
        <f t="shared" ca="1" si="263"/>
        <v>0</v>
      </c>
      <c r="F4612" s="17">
        <f t="shared" ca="1" si="264"/>
        <v>0</v>
      </c>
      <c r="H4612" s="17">
        <v>4597</v>
      </c>
      <c r="I4612" s="43">
        <v>0.66782659386981047</v>
      </c>
      <c r="J4612" s="43">
        <v>1.8658287436723479E-2</v>
      </c>
      <c r="K4612" s="43"/>
      <c r="L4612" s="43">
        <v>0.25119999999999998</v>
      </c>
      <c r="O4612" s="50"/>
    </row>
    <row r="4613" spans="2:15" x14ac:dyDescent="0.2">
      <c r="B4613">
        <f t="shared" si="265"/>
        <v>4598</v>
      </c>
      <c r="C4613" s="48">
        <f ca="1"/>
        <v>-4.2134072602297068E-2</v>
      </c>
      <c r="D4613" s="48">
        <f t="shared" ca="1" si="262"/>
        <v>0.66175113446865319</v>
      </c>
      <c r="E4613" s="48">
        <f t="shared" ca="1" si="263"/>
        <v>0</v>
      </c>
      <c r="F4613" s="17">
        <f t="shared" ca="1" si="264"/>
        <v>0</v>
      </c>
      <c r="H4613" s="17">
        <v>4598</v>
      </c>
      <c r="I4613" s="43">
        <v>0.66868965367843114</v>
      </c>
      <c r="J4613" s="43">
        <v>1.9143749616238406E-2</v>
      </c>
      <c r="K4613" s="43"/>
      <c r="L4613" s="43">
        <v>0.25219999999999998</v>
      </c>
      <c r="O4613" s="50"/>
    </row>
    <row r="4614" spans="2:15" x14ac:dyDescent="0.2">
      <c r="B4614">
        <f t="shared" si="265"/>
        <v>4599</v>
      </c>
      <c r="C4614" s="48">
        <f ca="1"/>
        <v>-0.2044409946675661</v>
      </c>
      <c r="D4614" s="48">
        <f t="shared" ca="1" si="262"/>
        <v>0.65124644002732635</v>
      </c>
      <c r="E4614" s="48">
        <f t="shared" ca="1" si="263"/>
        <v>0</v>
      </c>
      <c r="F4614" s="17">
        <f t="shared" ca="1" si="264"/>
        <v>0</v>
      </c>
      <c r="H4614" s="17">
        <v>4599</v>
      </c>
      <c r="I4614" s="43">
        <v>0.66930522758903221</v>
      </c>
      <c r="J4614" s="43">
        <v>1.9600630015971839E-2</v>
      </c>
      <c r="K4614" s="43"/>
      <c r="L4614" s="43">
        <v>0.24859999999999999</v>
      </c>
      <c r="O4614" s="50"/>
    </row>
    <row r="4615" spans="2:15" x14ac:dyDescent="0.2">
      <c r="B4615">
        <f t="shared" si="265"/>
        <v>4600</v>
      </c>
      <c r="C4615" s="48">
        <f ca="1"/>
        <v>0.59740782593962383</v>
      </c>
      <c r="D4615" s="48">
        <f t="shared" ca="1" si="262"/>
        <v>0.70481853535737748</v>
      </c>
      <c r="E4615" s="48">
        <f t="shared" ca="1" si="263"/>
        <v>0</v>
      </c>
      <c r="F4615" s="17">
        <f t="shared" ca="1" si="264"/>
        <v>0</v>
      </c>
      <c r="H4615" s="17">
        <v>4600</v>
      </c>
      <c r="I4615" s="43">
        <v>0.6699413456511335</v>
      </c>
      <c r="J4615" s="43">
        <v>2.0063119517569228E-2</v>
      </c>
      <c r="K4615" s="43"/>
      <c r="L4615" s="43">
        <v>0.25359999999999999</v>
      </c>
      <c r="O4615" s="50"/>
    </row>
    <row r="4616" spans="2:15" x14ac:dyDescent="0.2">
      <c r="B4616">
        <f t="shared" si="265"/>
        <v>4601</v>
      </c>
      <c r="C4616" s="48">
        <f ca="1"/>
        <v>-3.305289188829974E-2</v>
      </c>
      <c r="D4616" s="48">
        <f t="shared" ca="1" si="262"/>
        <v>0.66234385934891205</v>
      </c>
      <c r="E4616" s="48">
        <f t="shared" ca="1" si="263"/>
        <v>0</v>
      </c>
      <c r="F4616" s="17">
        <f t="shared" ca="1" si="264"/>
        <v>0</v>
      </c>
      <c r="H4616" s="17">
        <v>4601</v>
      </c>
      <c r="I4616" s="43">
        <v>0.66966110672888279</v>
      </c>
      <c r="J4616" s="43">
        <v>1.9652767443962452E-2</v>
      </c>
      <c r="K4616" s="43"/>
      <c r="L4616" s="43">
        <v>0.249</v>
      </c>
      <c r="O4616" s="50"/>
    </row>
    <row r="4617" spans="2:15" x14ac:dyDescent="0.2">
      <c r="B4617">
        <f t="shared" si="265"/>
        <v>4602</v>
      </c>
      <c r="C4617" s="48">
        <f ca="1"/>
        <v>0.57676904494520165</v>
      </c>
      <c r="D4617" s="48">
        <f t="shared" ca="1" si="262"/>
        <v>0.70338588134718583</v>
      </c>
      <c r="E4617" s="48">
        <f t="shared" ca="1" si="263"/>
        <v>0</v>
      </c>
      <c r="F4617" s="17">
        <f t="shared" ca="1" si="264"/>
        <v>0</v>
      </c>
      <c r="H4617" s="17">
        <v>4602</v>
      </c>
      <c r="I4617" s="43">
        <v>0.66760683773574747</v>
      </c>
      <c r="J4617" s="43">
        <v>1.817994160568466E-2</v>
      </c>
      <c r="K4617" s="43"/>
      <c r="L4617" s="43">
        <v>0.23680000000000001</v>
      </c>
      <c r="O4617" s="50"/>
    </row>
    <row r="4618" spans="2:15" x14ac:dyDescent="0.2">
      <c r="B4618">
        <f t="shared" si="265"/>
        <v>4603</v>
      </c>
      <c r="C4618" s="48">
        <f ca="1"/>
        <v>-2.3326590552863693</v>
      </c>
      <c r="D4618" s="48">
        <f t="shared" ca="1" si="262"/>
        <v>0.52798743867036879</v>
      </c>
      <c r="E4618" s="48">
        <f t="shared" ca="1" si="263"/>
        <v>0</v>
      </c>
      <c r="F4618" s="17">
        <f t="shared" ca="1" si="264"/>
        <v>0</v>
      </c>
      <c r="H4618" s="17">
        <v>4603</v>
      </c>
      <c r="I4618" s="43">
        <v>0.66878803755231275</v>
      </c>
      <c r="J4618" s="43">
        <v>1.9163400888542285E-2</v>
      </c>
      <c r="K4618" s="43"/>
      <c r="L4618" s="43">
        <v>0.2482</v>
      </c>
      <c r="O4618" s="50"/>
    </row>
    <row r="4619" spans="2:15" x14ac:dyDescent="0.2">
      <c r="B4619">
        <f t="shared" si="265"/>
        <v>4604</v>
      </c>
      <c r="C4619" s="48">
        <f ca="1"/>
        <v>1.4112071970229638</v>
      </c>
      <c r="D4619" s="48">
        <f t="shared" ca="1" si="262"/>
        <v>0.76369675581159435</v>
      </c>
      <c r="E4619" s="48">
        <f t="shared" ca="1" si="263"/>
        <v>0</v>
      </c>
      <c r="F4619" s="17">
        <f t="shared" ca="1" si="264"/>
        <v>0</v>
      </c>
      <c r="H4619" s="17">
        <v>4604</v>
      </c>
      <c r="I4619" s="43">
        <v>0.66875360966763142</v>
      </c>
      <c r="J4619" s="43">
        <v>1.9433320423748051E-2</v>
      </c>
      <c r="K4619" s="43"/>
      <c r="L4619" s="43">
        <v>0.252</v>
      </c>
      <c r="O4619" s="50"/>
    </row>
    <row r="4620" spans="2:15" x14ac:dyDescent="0.2">
      <c r="B4620">
        <f t="shared" si="265"/>
        <v>4605</v>
      </c>
      <c r="C4620" s="48">
        <f ca="1"/>
        <v>-0.7097446495963553</v>
      </c>
      <c r="D4620" s="48">
        <f t="shared" ca="1" si="262"/>
        <v>0.61959839483524659</v>
      </c>
      <c r="E4620" s="48">
        <f t="shared" ca="1" si="263"/>
        <v>0</v>
      </c>
      <c r="F4620" s="17">
        <f t="shared" ca="1" si="264"/>
        <v>0</v>
      </c>
      <c r="H4620" s="17">
        <v>4605</v>
      </c>
      <c r="I4620" s="43">
        <v>0.66979221262736111</v>
      </c>
      <c r="J4620" s="43">
        <v>2.0042215537391765E-2</v>
      </c>
      <c r="K4620" s="43"/>
      <c r="L4620" s="43">
        <v>0.25800000000000001</v>
      </c>
      <c r="O4620" s="50"/>
    </row>
    <row r="4621" spans="2:15" x14ac:dyDescent="0.2">
      <c r="B4621">
        <f t="shared" si="265"/>
        <v>4606</v>
      </c>
      <c r="C4621" s="48">
        <f ca="1"/>
        <v>0.68851986963301393</v>
      </c>
      <c r="D4621" s="48">
        <f t="shared" ca="1" si="262"/>
        <v>0.71117809159031331</v>
      </c>
      <c r="E4621" s="48">
        <f t="shared" ca="1" si="263"/>
        <v>0</v>
      </c>
      <c r="F4621" s="17">
        <f t="shared" ca="1" si="264"/>
        <v>0</v>
      </c>
      <c r="H4621" s="17">
        <v>4606</v>
      </c>
      <c r="I4621" s="43">
        <v>0.67065387289538891</v>
      </c>
      <c r="J4621" s="43">
        <v>2.0540174439808202E-2</v>
      </c>
      <c r="K4621" s="43"/>
      <c r="L4621" s="43">
        <v>0.25459999999999999</v>
      </c>
      <c r="O4621" s="50"/>
    </row>
    <row r="4622" spans="2:15" x14ac:dyDescent="0.2">
      <c r="B4622">
        <f t="shared" si="265"/>
        <v>4607</v>
      </c>
      <c r="C4622" s="48">
        <f ca="1"/>
        <v>-0.19511954960987307</v>
      </c>
      <c r="D4622" s="48">
        <f t="shared" ca="1" si="262"/>
        <v>0.65184519605114799</v>
      </c>
      <c r="E4622" s="48">
        <f t="shared" ca="1" si="263"/>
        <v>0</v>
      </c>
      <c r="F4622" s="17">
        <f t="shared" ca="1" si="264"/>
        <v>0</v>
      </c>
      <c r="H4622" s="17">
        <v>4607</v>
      </c>
      <c r="I4622" s="43">
        <v>0.66901351923014285</v>
      </c>
      <c r="J4622" s="43">
        <v>1.9290419988619391E-2</v>
      </c>
      <c r="K4622" s="43"/>
      <c r="L4622" s="43">
        <v>0.25159999999999999</v>
      </c>
      <c r="O4622" s="50"/>
    </row>
    <row r="4623" spans="2:15" x14ac:dyDescent="0.2">
      <c r="B4623">
        <f t="shared" si="265"/>
        <v>4608</v>
      </c>
      <c r="C4623" s="48">
        <f ca="1"/>
        <v>-0.64255429990570023</v>
      </c>
      <c r="D4623" s="48">
        <f t="shared" ca="1" si="262"/>
        <v>0.62371631678399375</v>
      </c>
      <c r="E4623" s="48">
        <f t="shared" ca="1" si="263"/>
        <v>0</v>
      </c>
      <c r="F4623" s="17">
        <f t="shared" ca="1" si="264"/>
        <v>0</v>
      </c>
      <c r="H4623" s="17">
        <v>4608</v>
      </c>
      <c r="I4623" s="43">
        <v>0.66767691286251085</v>
      </c>
      <c r="J4623" s="43">
        <v>1.8447371227129913E-2</v>
      </c>
      <c r="K4623" s="43"/>
      <c r="L4623" s="43">
        <v>0.24740000000000001</v>
      </c>
      <c r="O4623" s="50"/>
    </row>
    <row r="4624" spans="2:15" x14ac:dyDescent="0.2">
      <c r="B4624">
        <f t="shared" si="265"/>
        <v>4609</v>
      </c>
      <c r="C4624" s="48">
        <f ca="1"/>
        <v>-1.9094426117418812</v>
      </c>
      <c r="D4624" s="48">
        <f t="shared" ref="D4624:D4687" ca="1" si="266">S0*EXP((μ-0.5*σ*σ)*T+σ*SQRT(T)*$C4624)</f>
        <v>0.55048314129812648</v>
      </c>
      <c r="E4624" s="48">
        <f t="shared" ref="E4624:E4687" ca="1" si="267">MAX(0,CP*(D4624-K))</f>
        <v>0</v>
      </c>
      <c r="F4624" s="17">
        <f t="shared" ref="F4624:F4687" ca="1" si="268">(CP*(D4624-K)&gt;0)*1</f>
        <v>0</v>
      </c>
      <c r="H4624" s="17">
        <v>4609</v>
      </c>
      <c r="I4624" s="43">
        <v>0.66957438036859762</v>
      </c>
      <c r="J4624" s="43">
        <v>1.9887484689471838E-2</v>
      </c>
      <c r="K4624" s="43"/>
      <c r="L4624" s="43">
        <v>0.25640000000000002</v>
      </c>
      <c r="O4624" s="50"/>
    </row>
    <row r="4625" spans="2:15" x14ac:dyDescent="0.2">
      <c r="B4625">
        <f t="shared" si="265"/>
        <v>4610</v>
      </c>
      <c r="C4625" s="48">
        <f ca="1"/>
        <v>-0.80590634265344185</v>
      </c>
      <c r="D4625" s="48">
        <f t="shared" ca="1" si="266"/>
        <v>0.6137521486069577</v>
      </c>
      <c r="E4625" s="48">
        <f t="shared" ca="1" si="267"/>
        <v>0</v>
      </c>
      <c r="F4625" s="17">
        <f t="shared" ca="1" si="268"/>
        <v>0</v>
      </c>
      <c r="H4625" s="17">
        <v>4610</v>
      </c>
      <c r="I4625" s="43">
        <v>0.66892027386496133</v>
      </c>
      <c r="J4625" s="43">
        <v>1.9435303702105038E-2</v>
      </c>
      <c r="K4625" s="43"/>
      <c r="L4625" s="43">
        <v>0.25019999999999998</v>
      </c>
      <c r="O4625" s="50"/>
    </row>
    <row r="4626" spans="2:15" x14ac:dyDescent="0.2">
      <c r="B4626">
        <f t="shared" si="265"/>
        <v>4611</v>
      </c>
      <c r="C4626" s="48">
        <f ca="1"/>
        <v>0.26097061552832085</v>
      </c>
      <c r="D4626" s="48">
        <f t="shared" ca="1" si="266"/>
        <v>0.68182421797854453</v>
      </c>
      <c r="E4626" s="48">
        <f t="shared" ca="1" si="267"/>
        <v>0</v>
      </c>
      <c r="F4626" s="17">
        <f t="shared" ca="1" si="268"/>
        <v>0</v>
      </c>
      <c r="H4626" s="17">
        <v>4611</v>
      </c>
      <c r="I4626" s="43">
        <v>0.6688068477395146</v>
      </c>
      <c r="J4626" s="43">
        <v>1.9154164261478628E-2</v>
      </c>
      <c r="K4626" s="43"/>
      <c r="L4626" s="43">
        <v>0.24679999999999999</v>
      </c>
      <c r="O4626" s="50"/>
    </row>
    <row r="4627" spans="2:15" x14ac:dyDescent="0.2">
      <c r="B4627">
        <f t="shared" si="265"/>
        <v>4612</v>
      </c>
      <c r="C4627" s="48">
        <f ca="1"/>
        <v>1.6419445117594704</v>
      </c>
      <c r="D4627" s="48">
        <f t="shared" ca="1" si="266"/>
        <v>0.78126828215288779</v>
      </c>
      <c r="E4627" s="48">
        <f t="shared" ca="1" si="267"/>
        <v>0</v>
      </c>
      <c r="F4627" s="17">
        <f t="shared" ca="1" si="268"/>
        <v>0</v>
      </c>
      <c r="H4627" s="17">
        <v>4612</v>
      </c>
      <c r="I4627" s="43">
        <v>0.6674826311630937</v>
      </c>
      <c r="J4627" s="43">
        <v>1.8235325334068159E-2</v>
      </c>
      <c r="K4627" s="43"/>
      <c r="L4627" s="43">
        <v>0.2442</v>
      </c>
      <c r="O4627" s="50"/>
    </row>
    <row r="4628" spans="2:15" x14ac:dyDescent="0.2">
      <c r="B4628">
        <f t="shared" si="265"/>
        <v>4613</v>
      </c>
      <c r="C4628" s="48">
        <f ca="1"/>
        <v>-0.75733283832947829</v>
      </c>
      <c r="D4628" s="48">
        <f t="shared" ca="1" si="266"/>
        <v>0.616698295923513</v>
      </c>
      <c r="E4628" s="48">
        <f t="shared" ca="1" si="267"/>
        <v>0</v>
      </c>
      <c r="F4628" s="17">
        <f t="shared" ca="1" si="268"/>
        <v>0</v>
      </c>
      <c r="H4628" s="17">
        <v>4613</v>
      </c>
      <c r="I4628" s="43">
        <v>0.66939665240830648</v>
      </c>
      <c r="J4628" s="43">
        <v>1.9450299215653121E-2</v>
      </c>
      <c r="K4628" s="43"/>
      <c r="L4628" s="43">
        <v>0.25419999999999998</v>
      </c>
      <c r="O4628" s="50"/>
    </row>
    <row r="4629" spans="2:15" x14ac:dyDescent="0.2">
      <c r="B4629">
        <f t="shared" si="265"/>
        <v>4614</v>
      </c>
      <c r="C4629" s="48">
        <f ca="1"/>
        <v>-0.86226998737225202</v>
      </c>
      <c r="D4629" s="48">
        <f t="shared" ca="1" si="266"/>
        <v>0.61035113992352719</v>
      </c>
      <c r="E4629" s="48">
        <f t="shared" ca="1" si="267"/>
        <v>0</v>
      </c>
      <c r="F4629" s="17">
        <f t="shared" ca="1" si="268"/>
        <v>0</v>
      </c>
      <c r="H4629" s="17">
        <v>4614</v>
      </c>
      <c r="I4629" s="43">
        <v>0.6699276486285779</v>
      </c>
      <c r="J4629" s="43">
        <v>2.0110994026221789E-2</v>
      </c>
      <c r="K4629" s="43"/>
      <c r="L4629" s="43">
        <v>0.25719999999999998</v>
      </c>
      <c r="O4629" s="50"/>
    </row>
    <row r="4630" spans="2:15" x14ac:dyDescent="0.2">
      <c r="B4630">
        <f t="shared" si="265"/>
        <v>4615</v>
      </c>
      <c r="C4630" s="48">
        <f ca="1"/>
        <v>0.24299391690567698</v>
      </c>
      <c r="D4630" s="48">
        <f t="shared" ca="1" si="266"/>
        <v>0.6806169066023523</v>
      </c>
      <c r="E4630" s="48">
        <f t="shared" ca="1" si="267"/>
        <v>0</v>
      </c>
      <c r="F4630" s="17">
        <f t="shared" ca="1" si="268"/>
        <v>0</v>
      </c>
      <c r="H4630" s="17">
        <v>4615</v>
      </c>
      <c r="I4630" s="43">
        <v>0.66955998863604727</v>
      </c>
      <c r="J4630" s="43">
        <v>1.9654465040022332E-2</v>
      </c>
      <c r="K4630" s="43"/>
      <c r="L4630" s="43">
        <v>0.25600000000000001</v>
      </c>
      <c r="O4630" s="50"/>
    </row>
    <row r="4631" spans="2:15" x14ac:dyDescent="0.2">
      <c r="B4631">
        <f t="shared" si="265"/>
        <v>4616</v>
      </c>
      <c r="C4631" s="48">
        <f ca="1"/>
        <v>1.0301467430354485</v>
      </c>
      <c r="D4631" s="48">
        <f t="shared" ca="1" si="266"/>
        <v>0.73553859113676201</v>
      </c>
      <c r="E4631" s="48">
        <f t="shared" ca="1" si="267"/>
        <v>0</v>
      </c>
      <c r="F4631" s="17">
        <f t="shared" ca="1" si="268"/>
        <v>0</v>
      </c>
      <c r="H4631" s="17">
        <v>4616</v>
      </c>
      <c r="I4631" s="43">
        <v>0.66686395215019811</v>
      </c>
      <c r="J4631" s="43">
        <v>1.7978808925928992E-2</v>
      </c>
      <c r="K4631" s="43"/>
      <c r="L4631" s="43">
        <v>0.24379999999999999</v>
      </c>
      <c r="O4631" s="50"/>
    </row>
    <row r="4632" spans="2:15" x14ac:dyDescent="0.2">
      <c r="B4632">
        <f t="shared" si="265"/>
        <v>4617</v>
      </c>
      <c r="C4632" s="48">
        <f ca="1"/>
        <v>-1.2233400934363392</v>
      </c>
      <c r="D4632" s="48">
        <f t="shared" ca="1" si="266"/>
        <v>0.58900663156553601</v>
      </c>
      <c r="E4632" s="48">
        <f t="shared" ca="1" si="267"/>
        <v>0</v>
      </c>
      <c r="F4632" s="17">
        <f t="shared" ca="1" si="268"/>
        <v>0</v>
      </c>
      <c r="H4632" s="17">
        <v>4617</v>
      </c>
      <c r="I4632" s="43">
        <v>0.66779482778231181</v>
      </c>
      <c r="J4632" s="43">
        <v>1.8409298622120252E-2</v>
      </c>
      <c r="K4632" s="43"/>
      <c r="L4632" s="43">
        <v>0.24879999999999999</v>
      </c>
      <c r="O4632" s="50"/>
    </row>
    <row r="4633" spans="2:15" x14ac:dyDescent="0.2">
      <c r="B4633">
        <f t="shared" si="265"/>
        <v>4618</v>
      </c>
      <c r="C4633" s="48">
        <f ca="1"/>
        <v>-0.94742450766052078</v>
      </c>
      <c r="D4633" s="48">
        <f t="shared" ca="1" si="266"/>
        <v>0.60524858750490285</v>
      </c>
      <c r="E4633" s="48">
        <f t="shared" ca="1" si="267"/>
        <v>0</v>
      </c>
      <c r="F4633" s="17">
        <f t="shared" ca="1" si="268"/>
        <v>0</v>
      </c>
      <c r="H4633" s="17">
        <v>4618</v>
      </c>
      <c r="I4633" s="43">
        <v>0.66820999479196619</v>
      </c>
      <c r="J4633" s="43">
        <v>1.8860541832153445E-2</v>
      </c>
      <c r="K4633" s="43"/>
      <c r="L4633" s="43">
        <v>0.2482</v>
      </c>
      <c r="O4633" s="50"/>
    </row>
    <row r="4634" spans="2:15" x14ac:dyDescent="0.2">
      <c r="B4634">
        <f t="shared" si="265"/>
        <v>4619</v>
      </c>
      <c r="C4634" s="48">
        <f ca="1"/>
        <v>-1.5957201944900568</v>
      </c>
      <c r="D4634" s="48">
        <f t="shared" ca="1" si="266"/>
        <v>0.56777512331263802</v>
      </c>
      <c r="E4634" s="48">
        <f t="shared" ca="1" si="267"/>
        <v>0</v>
      </c>
      <c r="F4634" s="17">
        <f t="shared" ca="1" si="268"/>
        <v>0</v>
      </c>
      <c r="H4634" s="17">
        <v>4619</v>
      </c>
      <c r="I4634" s="43">
        <v>0.66828981422077771</v>
      </c>
      <c r="J4634" s="43">
        <v>1.8797183503596455E-2</v>
      </c>
      <c r="K4634" s="43"/>
      <c r="L4634" s="43">
        <v>0.25219999999999998</v>
      </c>
      <c r="O4634" s="50"/>
    </row>
    <row r="4635" spans="2:15" x14ac:dyDescent="0.2">
      <c r="B4635">
        <f t="shared" si="265"/>
        <v>4620</v>
      </c>
      <c r="C4635" s="48">
        <f ca="1"/>
        <v>-0.51317546516948387</v>
      </c>
      <c r="D4635" s="48">
        <f t="shared" ca="1" si="266"/>
        <v>0.6317228543781741</v>
      </c>
      <c r="E4635" s="48">
        <f t="shared" ca="1" si="267"/>
        <v>0</v>
      </c>
      <c r="F4635" s="17">
        <f t="shared" ca="1" si="268"/>
        <v>0</v>
      </c>
      <c r="H4635" s="17">
        <v>4620</v>
      </c>
      <c r="I4635" s="43">
        <v>0.67035966019012894</v>
      </c>
      <c r="J4635" s="43">
        <v>2.0402827089471401E-2</v>
      </c>
      <c r="K4635" s="43"/>
      <c r="L4635" s="43">
        <v>0.2462</v>
      </c>
      <c r="O4635" s="50"/>
    </row>
    <row r="4636" spans="2:15" x14ac:dyDescent="0.2">
      <c r="B4636">
        <f t="shared" si="265"/>
        <v>4621</v>
      </c>
      <c r="C4636" s="48">
        <f ca="1"/>
        <v>-8.9918760847084819E-2</v>
      </c>
      <c r="D4636" s="48">
        <f t="shared" ca="1" si="266"/>
        <v>0.65864097541715139</v>
      </c>
      <c r="E4636" s="48">
        <f t="shared" ca="1" si="267"/>
        <v>0</v>
      </c>
      <c r="F4636" s="17">
        <f t="shared" ca="1" si="268"/>
        <v>0</v>
      </c>
      <c r="H4636" s="17">
        <v>4621</v>
      </c>
      <c r="I4636" s="43">
        <v>0.66809985032199071</v>
      </c>
      <c r="J4636" s="43">
        <v>1.9053093812381711E-2</v>
      </c>
      <c r="K4636" s="43"/>
      <c r="L4636" s="43">
        <v>0.25140000000000001</v>
      </c>
      <c r="O4636" s="50"/>
    </row>
    <row r="4637" spans="2:15" x14ac:dyDescent="0.2">
      <c r="B4637">
        <f t="shared" si="265"/>
        <v>4622</v>
      </c>
      <c r="C4637" s="48">
        <f ca="1"/>
        <v>-0.67716086023608391</v>
      </c>
      <c r="D4637" s="48">
        <f t="shared" ca="1" si="266"/>
        <v>0.62159196412325313</v>
      </c>
      <c r="E4637" s="48">
        <f t="shared" ca="1" si="267"/>
        <v>0</v>
      </c>
      <c r="F4637" s="17">
        <f t="shared" ca="1" si="268"/>
        <v>0</v>
      </c>
      <c r="H4637" s="17">
        <v>4622</v>
      </c>
      <c r="I4637" s="43">
        <v>0.66897219809586128</v>
      </c>
      <c r="J4637" s="43">
        <v>1.9371184402186242E-2</v>
      </c>
      <c r="K4637" s="43"/>
      <c r="L4637" s="43">
        <v>0.245</v>
      </c>
      <c r="O4637" s="50"/>
    </row>
    <row r="4638" spans="2:15" x14ac:dyDescent="0.2">
      <c r="B4638">
        <f t="shared" si="265"/>
        <v>4623</v>
      </c>
      <c r="C4638" s="48">
        <f ca="1"/>
        <v>0.16261477299904786</v>
      </c>
      <c r="D4638" s="48">
        <f t="shared" ca="1" si="266"/>
        <v>0.67524475562366293</v>
      </c>
      <c r="E4638" s="48">
        <f t="shared" ca="1" si="267"/>
        <v>0</v>
      </c>
      <c r="F4638" s="17">
        <f t="shared" ca="1" si="268"/>
        <v>0</v>
      </c>
      <c r="H4638" s="17">
        <v>4623</v>
      </c>
      <c r="I4638" s="43">
        <v>0.66884583145773358</v>
      </c>
      <c r="J4638" s="43">
        <v>1.9440582996620766E-2</v>
      </c>
      <c r="K4638" s="43"/>
      <c r="L4638" s="43">
        <v>0.24479999999999999</v>
      </c>
      <c r="O4638" s="50"/>
    </row>
    <row r="4639" spans="2:15" x14ac:dyDescent="0.2">
      <c r="B4639">
        <f t="shared" si="265"/>
        <v>4624</v>
      </c>
      <c r="C4639" s="48">
        <f ca="1"/>
        <v>-0.19785589965639022</v>
      </c>
      <c r="D4639" s="48">
        <f t="shared" ca="1" si="266"/>
        <v>0.65166937160223848</v>
      </c>
      <c r="E4639" s="48">
        <f t="shared" ca="1" si="267"/>
        <v>0</v>
      </c>
      <c r="F4639" s="17">
        <f t="shared" ca="1" si="268"/>
        <v>0</v>
      </c>
      <c r="H4639" s="17">
        <v>4624</v>
      </c>
      <c r="I4639" s="43">
        <v>0.66787658094087399</v>
      </c>
      <c r="J4639" s="43">
        <v>1.8450993788225355E-2</v>
      </c>
      <c r="K4639" s="43"/>
      <c r="L4639" s="43">
        <v>0.24779999999999999</v>
      </c>
      <c r="O4639" s="50"/>
    </row>
    <row r="4640" spans="2:15" x14ac:dyDescent="0.2">
      <c r="B4640">
        <f t="shared" si="265"/>
        <v>4625</v>
      </c>
      <c r="C4640" s="48">
        <f ca="1"/>
        <v>0.91902357670725399</v>
      </c>
      <c r="D4640" s="48">
        <f t="shared" ca="1" si="266"/>
        <v>0.72752448593475361</v>
      </c>
      <c r="E4640" s="48">
        <f t="shared" ca="1" si="267"/>
        <v>0</v>
      </c>
      <c r="F4640" s="17">
        <f t="shared" ca="1" si="268"/>
        <v>0</v>
      </c>
      <c r="H4640" s="17">
        <v>4625</v>
      </c>
      <c r="I4640" s="43">
        <v>0.66863380034666853</v>
      </c>
      <c r="J4640" s="43">
        <v>1.9117568569384038E-2</v>
      </c>
      <c r="K4640" s="43"/>
      <c r="L4640" s="43">
        <v>0.251</v>
      </c>
      <c r="O4640" s="50"/>
    </row>
    <row r="4641" spans="2:15" x14ac:dyDescent="0.2">
      <c r="B4641">
        <f t="shared" si="265"/>
        <v>4626</v>
      </c>
      <c r="C4641" s="48">
        <f ca="1"/>
        <v>1.8291296456907382</v>
      </c>
      <c r="D4641" s="48">
        <f t="shared" ca="1" si="266"/>
        <v>0.79581974616573448</v>
      </c>
      <c r="E4641" s="48">
        <f t="shared" ca="1" si="267"/>
        <v>7.6197461657344645E-3</v>
      </c>
      <c r="F4641" s="17">
        <f t="shared" ca="1" si="268"/>
        <v>1</v>
      </c>
      <c r="H4641" s="17">
        <v>4626</v>
      </c>
      <c r="I4641" s="43">
        <v>0.66629505860791882</v>
      </c>
      <c r="J4641" s="43">
        <v>1.7349099366196608E-2</v>
      </c>
      <c r="K4641" s="43"/>
      <c r="L4641" s="43">
        <v>0.23680000000000001</v>
      </c>
      <c r="O4641" s="50"/>
    </row>
    <row r="4642" spans="2:15" x14ac:dyDescent="0.2">
      <c r="B4642">
        <f t="shared" si="265"/>
        <v>4627</v>
      </c>
      <c r="C4642" s="48">
        <f ca="1"/>
        <v>0.38454824242523156</v>
      </c>
      <c r="D4642" s="48">
        <f t="shared" ca="1" si="266"/>
        <v>0.69018183045549475</v>
      </c>
      <c r="E4642" s="48">
        <f t="shared" ca="1" si="267"/>
        <v>0</v>
      </c>
      <c r="F4642" s="17">
        <f t="shared" ca="1" si="268"/>
        <v>0</v>
      </c>
      <c r="H4642" s="17">
        <v>4627</v>
      </c>
      <c r="I4642" s="43">
        <v>0.6692416112658921</v>
      </c>
      <c r="J4642" s="43">
        <v>1.947403936049498E-2</v>
      </c>
      <c r="K4642" s="43"/>
      <c r="L4642" s="43">
        <v>0.25159999999999999</v>
      </c>
      <c r="O4642" s="50"/>
    </row>
    <row r="4643" spans="2:15" x14ac:dyDescent="0.2">
      <c r="B4643">
        <f t="shared" si="265"/>
        <v>4628</v>
      </c>
      <c r="C4643" s="48">
        <f ca="1"/>
        <v>0.624982659862097</v>
      </c>
      <c r="D4643" s="48">
        <f t="shared" ca="1" si="266"/>
        <v>0.70673721469375572</v>
      </c>
      <c r="E4643" s="48">
        <f t="shared" ca="1" si="267"/>
        <v>0</v>
      </c>
      <c r="F4643" s="17">
        <f t="shared" ca="1" si="268"/>
        <v>0</v>
      </c>
      <c r="H4643" s="17">
        <v>4628</v>
      </c>
      <c r="I4643" s="43">
        <v>0.66880440612665948</v>
      </c>
      <c r="J4643" s="43">
        <v>1.9273925005790803E-2</v>
      </c>
      <c r="K4643" s="43"/>
      <c r="L4643" s="43">
        <v>0.246</v>
      </c>
      <c r="O4643" s="50"/>
    </row>
    <row r="4644" spans="2:15" x14ac:dyDescent="0.2">
      <c r="B4644">
        <f t="shared" si="265"/>
        <v>4629</v>
      </c>
      <c r="C4644" s="48">
        <f ca="1"/>
        <v>-1.4119074634350131</v>
      </c>
      <c r="D4644" s="48">
        <f t="shared" ca="1" si="266"/>
        <v>0.57815792773599439</v>
      </c>
      <c r="E4644" s="48">
        <f t="shared" ca="1" si="267"/>
        <v>0</v>
      </c>
      <c r="F4644" s="17">
        <f t="shared" ca="1" si="268"/>
        <v>0</v>
      </c>
      <c r="H4644" s="17">
        <v>4629</v>
      </c>
      <c r="I4644" s="43">
        <v>0.66920507701349319</v>
      </c>
      <c r="J4644" s="43">
        <v>1.9724755894290784E-2</v>
      </c>
      <c r="K4644" s="43"/>
      <c r="L4644" s="43">
        <v>0.25519999999999998</v>
      </c>
      <c r="O4644" s="50"/>
    </row>
    <row r="4645" spans="2:15" x14ac:dyDescent="0.2">
      <c r="B4645">
        <f t="shared" si="265"/>
        <v>4630</v>
      </c>
      <c r="C4645" s="48">
        <f ca="1"/>
        <v>1.2413796630853891</v>
      </c>
      <c r="D4645" s="48">
        <f t="shared" ca="1" si="266"/>
        <v>0.75101672891381455</v>
      </c>
      <c r="E4645" s="48">
        <f t="shared" ca="1" si="267"/>
        <v>0</v>
      </c>
      <c r="F4645" s="17">
        <f t="shared" ca="1" si="268"/>
        <v>0</v>
      </c>
      <c r="H4645" s="17">
        <v>4630</v>
      </c>
      <c r="I4645" s="43">
        <v>0.66862466458993119</v>
      </c>
      <c r="J4645" s="43">
        <v>1.8920358314648243E-2</v>
      </c>
      <c r="K4645" s="43"/>
      <c r="L4645" s="43">
        <v>0.248</v>
      </c>
      <c r="O4645" s="50"/>
    </row>
    <row r="4646" spans="2:15" x14ac:dyDescent="0.2">
      <c r="B4646">
        <f t="shared" si="265"/>
        <v>4631</v>
      </c>
      <c r="C4646" s="48">
        <f ca="1"/>
        <v>-1.4464147511636143</v>
      </c>
      <c r="D4646" s="48">
        <f t="shared" ca="1" si="266"/>
        <v>0.57619438432071579</v>
      </c>
      <c r="E4646" s="48">
        <f t="shared" ca="1" si="267"/>
        <v>0</v>
      </c>
      <c r="F4646" s="17">
        <f t="shared" ca="1" si="268"/>
        <v>0</v>
      </c>
      <c r="H4646" s="17">
        <v>4631</v>
      </c>
      <c r="I4646" s="43">
        <v>0.66806904579510651</v>
      </c>
      <c r="J4646" s="43">
        <v>1.8595030020849255E-2</v>
      </c>
      <c r="K4646" s="43"/>
      <c r="L4646" s="43">
        <v>0.23799999999999999</v>
      </c>
      <c r="O4646" s="50"/>
    </row>
    <row r="4647" spans="2:15" x14ac:dyDescent="0.2">
      <c r="B4647">
        <f t="shared" si="265"/>
        <v>4632</v>
      </c>
      <c r="C4647" s="48">
        <f ca="1"/>
        <v>0.11833855941043481</v>
      </c>
      <c r="D4647" s="48">
        <f t="shared" ca="1" si="266"/>
        <v>0.6723036820157674</v>
      </c>
      <c r="E4647" s="48">
        <f t="shared" ca="1" si="267"/>
        <v>0</v>
      </c>
      <c r="F4647" s="17">
        <f t="shared" ca="1" si="268"/>
        <v>0</v>
      </c>
      <c r="H4647" s="17">
        <v>4632</v>
      </c>
      <c r="I4647" s="43">
        <v>0.66808350821255014</v>
      </c>
      <c r="J4647" s="43">
        <v>1.8608162030673288E-2</v>
      </c>
      <c r="K4647" s="43"/>
      <c r="L4647" s="43">
        <v>0.24399999999999999</v>
      </c>
      <c r="O4647" s="50"/>
    </row>
    <row r="4648" spans="2:15" x14ac:dyDescent="0.2">
      <c r="B4648">
        <f t="shared" si="265"/>
        <v>4633</v>
      </c>
      <c r="C4648" s="48">
        <f ca="1"/>
        <v>1.5191917912772597</v>
      </c>
      <c r="D4648" s="48">
        <f t="shared" ca="1" si="266"/>
        <v>0.77187044749449074</v>
      </c>
      <c r="E4648" s="48">
        <f t="shared" ca="1" si="267"/>
        <v>0</v>
      </c>
      <c r="F4648" s="17">
        <f t="shared" ca="1" si="268"/>
        <v>0</v>
      </c>
      <c r="H4648" s="17">
        <v>4633</v>
      </c>
      <c r="I4648" s="43">
        <v>0.66831225576748232</v>
      </c>
      <c r="J4648" s="43">
        <v>1.8736250926217096E-2</v>
      </c>
      <c r="K4648" s="43"/>
      <c r="L4648" s="43">
        <v>0.24379999999999999</v>
      </c>
      <c r="O4648" s="50"/>
    </row>
    <row r="4649" spans="2:15" x14ac:dyDescent="0.2">
      <c r="B4649">
        <f t="shared" si="265"/>
        <v>4634</v>
      </c>
      <c r="C4649" s="48">
        <f ca="1"/>
        <v>-1.021408292246258</v>
      </c>
      <c r="D4649" s="48">
        <f t="shared" ca="1" si="266"/>
        <v>0.60085004121562979</v>
      </c>
      <c r="E4649" s="48">
        <f t="shared" ca="1" si="267"/>
        <v>0</v>
      </c>
      <c r="F4649" s="17">
        <f t="shared" ca="1" si="268"/>
        <v>0</v>
      </c>
      <c r="H4649" s="17">
        <v>4634</v>
      </c>
      <c r="I4649" s="43">
        <v>0.66838438865982353</v>
      </c>
      <c r="J4649" s="43">
        <v>1.9114221843138799E-2</v>
      </c>
      <c r="K4649" s="43"/>
      <c r="L4649" s="43">
        <v>0.24879999999999999</v>
      </c>
      <c r="O4649" s="50"/>
    </row>
    <row r="4650" spans="2:15" x14ac:dyDescent="0.2">
      <c r="B4650">
        <f t="shared" si="265"/>
        <v>4635</v>
      </c>
      <c r="C4650" s="48">
        <f ca="1"/>
        <v>1.4886233194386878</v>
      </c>
      <c r="D4650" s="48">
        <f t="shared" ca="1" si="266"/>
        <v>0.76954778762208975</v>
      </c>
      <c r="E4650" s="48">
        <f t="shared" ca="1" si="267"/>
        <v>0</v>
      </c>
      <c r="F4650" s="17">
        <f t="shared" ca="1" si="268"/>
        <v>0</v>
      </c>
      <c r="H4650" s="17">
        <v>4635</v>
      </c>
      <c r="I4650" s="43">
        <v>0.6693299039924131</v>
      </c>
      <c r="J4650" s="43">
        <v>1.9509242674623391E-2</v>
      </c>
      <c r="K4650" s="43"/>
      <c r="L4650" s="43">
        <v>0.25</v>
      </c>
      <c r="O4650" s="50"/>
    </row>
    <row r="4651" spans="2:15" x14ac:dyDescent="0.2">
      <c r="B4651">
        <f t="shared" si="265"/>
        <v>4636</v>
      </c>
      <c r="C4651" s="48">
        <f ca="1"/>
        <v>0.12272324073956456</v>
      </c>
      <c r="D4651" s="48">
        <f t="shared" ca="1" si="266"/>
        <v>0.67259436466929101</v>
      </c>
      <c r="E4651" s="48">
        <f t="shared" ca="1" si="267"/>
        <v>0</v>
      </c>
      <c r="F4651" s="17">
        <f t="shared" ca="1" si="268"/>
        <v>0</v>
      </c>
      <c r="H4651" s="17">
        <v>4636</v>
      </c>
      <c r="I4651" s="43">
        <v>0.66924529641846175</v>
      </c>
      <c r="J4651" s="43">
        <v>1.9524623129822494E-2</v>
      </c>
      <c r="K4651" s="43"/>
      <c r="L4651" s="43">
        <v>0.248</v>
      </c>
      <c r="O4651" s="50"/>
    </row>
    <row r="4652" spans="2:15" x14ac:dyDescent="0.2">
      <c r="B4652">
        <f t="shared" si="265"/>
        <v>4637</v>
      </c>
      <c r="C4652" s="48">
        <f ca="1"/>
        <v>0.70714548043860803</v>
      </c>
      <c r="D4652" s="48">
        <f t="shared" ca="1" si="266"/>
        <v>0.71248519338756655</v>
      </c>
      <c r="E4652" s="48">
        <f t="shared" ca="1" si="267"/>
        <v>0</v>
      </c>
      <c r="F4652" s="17">
        <f t="shared" ca="1" si="268"/>
        <v>0</v>
      </c>
      <c r="H4652" s="17">
        <v>4637</v>
      </c>
      <c r="I4652" s="43">
        <v>0.66828595363131049</v>
      </c>
      <c r="J4652" s="43">
        <v>1.9021839311196814E-2</v>
      </c>
      <c r="K4652" s="43"/>
      <c r="L4652" s="43">
        <v>0.24840000000000001</v>
      </c>
      <c r="O4652" s="50"/>
    </row>
    <row r="4653" spans="2:15" x14ac:dyDescent="0.2">
      <c r="B4653">
        <f t="shared" si="265"/>
        <v>4638</v>
      </c>
      <c r="C4653" s="48">
        <f ca="1"/>
        <v>-1.2367944239184607E-2</v>
      </c>
      <c r="D4653" s="48">
        <f t="shared" ca="1" si="266"/>
        <v>0.66369593988043829</v>
      </c>
      <c r="E4653" s="48">
        <f t="shared" ca="1" si="267"/>
        <v>0</v>
      </c>
      <c r="F4653" s="17">
        <f t="shared" ca="1" si="268"/>
        <v>0</v>
      </c>
      <c r="H4653" s="17">
        <v>4638</v>
      </c>
      <c r="I4653" s="43">
        <v>0.66852724784762496</v>
      </c>
      <c r="J4653" s="43">
        <v>1.8976218685746109E-2</v>
      </c>
      <c r="K4653" s="43"/>
      <c r="L4653" s="43">
        <v>0.25080000000000002</v>
      </c>
      <c r="O4653" s="50"/>
    </row>
    <row r="4654" spans="2:15" x14ac:dyDescent="0.2">
      <c r="B4654">
        <f t="shared" si="265"/>
        <v>4639</v>
      </c>
      <c r="C4654" s="48">
        <f ca="1"/>
        <v>-0.32478372097026692</v>
      </c>
      <c r="D4654" s="48">
        <f t="shared" ca="1" si="266"/>
        <v>0.64356552113320176</v>
      </c>
      <c r="E4654" s="48">
        <f t="shared" ca="1" si="267"/>
        <v>0</v>
      </c>
      <c r="F4654" s="17">
        <f t="shared" ca="1" si="268"/>
        <v>0</v>
      </c>
      <c r="H4654" s="17">
        <v>4639</v>
      </c>
      <c r="I4654" s="43">
        <v>0.66833411196118298</v>
      </c>
      <c r="J4654" s="43">
        <v>1.8811559434691722E-2</v>
      </c>
      <c r="K4654" s="43"/>
      <c r="L4654" s="43">
        <v>0.24179999999999999</v>
      </c>
      <c r="O4654" s="50"/>
    </row>
    <row r="4655" spans="2:15" x14ac:dyDescent="0.2">
      <c r="B4655">
        <f t="shared" si="265"/>
        <v>4640</v>
      </c>
      <c r="C4655" s="48">
        <f ca="1"/>
        <v>-0.3671688902912606</v>
      </c>
      <c r="D4655" s="48">
        <f t="shared" ca="1" si="266"/>
        <v>0.64088189911665661</v>
      </c>
      <c r="E4655" s="48">
        <f t="shared" ca="1" si="267"/>
        <v>0</v>
      </c>
      <c r="F4655" s="17">
        <f t="shared" ca="1" si="268"/>
        <v>0</v>
      </c>
      <c r="H4655" s="17">
        <v>4640</v>
      </c>
      <c r="I4655" s="43">
        <v>0.66948055137812157</v>
      </c>
      <c r="J4655" s="43">
        <v>1.9881931882274044E-2</v>
      </c>
      <c r="K4655" s="43"/>
      <c r="L4655" s="43">
        <v>0.255</v>
      </c>
      <c r="O4655" s="50"/>
    </row>
    <row r="4656" spans="2:15" x14ac:dyDescent="0.2">
      <c r="B4656">
        <f t="shared" si="265"/>
        <v>4641</v>
      </c>
      <c r="C4656" s="48">
        <f ca="1"/>
        <v>0.19010575999696203</v>
      </c>
      <c r="D4656" s="48">
        <f t="shared" ca="1" si="266"/>
        <v>0.67707733136256065</v>
      </c>
      <c r="E4656" s="48">
        <f t="shared" ca="1" si="267"/>
        <v>0</v>
      </c>
      <c r="F4656" s="17">
        <f t="shared" ca="1" si="268"/>
        <v>0</v>
      </c>
      <c r="H4656" s="17">
        <v>4641</v>
      </c>
      <c r="I4656" s="43">
        <v>0.66833937269226085</v>
      </c>
      <c r="J4656" s="43">
        <v>1.8966891524219851E-2</v>
      </c>
      <c r="K4656" s="43"/>
      <c r="L4656" s="43">
        <v>0.25</v>
      </c>
      <c r="O4656" s="50"/>
    </row>
    <row r="4657" spans="2:15" x14ac:dyDescent="0.2">
      <c r="B4657">
        <f t="shared" ref="B4657:B4720" si="269">B4656+1</f>
        <v>4642</v>
      </c>
      <c r="C4657" s="48">
        <f ca="1"/>
        <v>-0.88527162127029713</v>
      </c>
      <c r="D4657" s="48">
        <f t="shared" ca="1" si="266"/>
        <v>0.60896863132368428</v>
      </c>
      <c r="E4657" s="48">
        <f t="shared" ca="1" si="267"/>
        <v>0</v>
      </c>
      <c r="F4657" s="17">
        <f t="shared" ca="1" si="268"/>
        <v>0</v>
      </c>
      <c r="H4657" s="17">
        <v>4642</v>
      </c>
      <c r="I4657" s="43">
        <v>0.66933743242477739</v>
      </c>
      <c r="J4657" s="43">
        <v>1.9554970461067987E-2</v>
      </c>
      <c r="K4657" s="43"/>
      <c r="L4657" s="43">
        <v>0.2492</v>
      </c>
      <c r="O4657" s="50"/>
    </row>
    <row r="4658" spans="2:15" x14ac:dyDescent="0.2">
      <c r="B4658">
        <f t="shared" si="269"/>
        <v>4643</v>
      </c>
      <c r="C4658" s="48">
        <f ca="1"/>
        <v>0.70112439997066178</v>
      </c>
      <c r="D4658" s="48">
        <f t="shared" ca="1" si="266"/>
        <v>0.71206238547874989</v>
      </c>
      <c r="E4658" s="48">
        <f t="shared" ca="1" si="267"/>
        <v>0</v>
      </c>
      <c r="F4658" s="17">
        <f t="shared" ca="1" si="268"/>
        <v>0</v>
      </c>
      <c r="H4658" s="17">
        <v>4643</v>
      </c>
      <c r="I4658" s="43">
        <v>0.66912810651884858</v>
      </c>
      <c r="J4658" s="43">
        <v>1.9371335689088141E-2</v>
      </c>
      <c r="K4658" s="43"/>
      <c r="L4658" s="43">
        <v>0.24859999999999999</v>
      </c>
      <c r="O4658" s="50"/>
    </row>
    <row r="4659" spans="2:15" x14ac:dyDescent="0.2">
      <c r="B4659">
        <f t="shared" si="269"/>
        <v>4644</v>
      </c>
      <c r="C4659" s="48">
        <f ca="1"/>
        <v>-0.49891459499652557</v>
      </c>
      <c r="D4659" s="48">
        <f t="shared" ca="1" si="266"/>
        <v>0.63261164541903636</v>
      </c>
      <c r="E4659" s="48">
        <f t="shared" ca="1" si="267"/>
        <v>0</v>
      </c>
      <c r="F4659" s="17">
        <f t="shared" ca="1" si="268"/>
        <v>0</v>
      </c>
      <c r="H4659" s="17">
        <v>4644</v>
      </c>
      <c r="I4659" s="43">
        <v>0.66966233221602278</v>
      </c>
      <c r="J4659" s="43">
        <v>1.9416758003940247E-2</v>
      </c>
      <c r="K4659" s="43"/>
      <c r="L4659" s="43">
        <v>0.25519999999999998</v>
      </c>
      <c r="O4659" s="50"/>
    </row>
    <row r="4660" spans="2:15" x14ac:dyDescent="0.2">
      <c r="B4660">
        <f t="shared" si="269"/>
        <v>4645</v>
      </c>
      <c r="C4660" s="48">
        <f ca="1"/>
        <v>-0.38483296568434788</v>
      </c>
      <c r="D4660" s="48">
        <f t="shared" ca="1" si="266"/>
        <v>0.63976680239678785</v>
      </c>
      <c r="E4660" s="48">
        <f t="shared" ca="1" si="267"/>
        <v>0</v>
      </c>
      <c r="F4660" s="17">
        <f t="shared" ca="1" si="268"/>
        <v>0</v>
      </c>
      <c r="H4660" s="17">
        <v>4645</v>
      </c>
      <c r="I4660" s="43">
        <v>0.66837592722760741</v>
      </c>
      <c r="J4660" s="43">
        <v>1.9138256765264171E-2</v>
      </c>
      <c r="K4660" s="43"/>
      <c r="L4660" s="43">
        <v>0.24340000000000001</v>
      </c>
      <c r="O4660" s="50"/>
    </row>
    <row r="4661" spans="2:15" x14ac:dyDescent="0.2">
      <c r="B4661">
        <f t="shared" si="269"/>
        <v>4646</v>
      </c>
      <c r="C4661" s="48">
        <f ca="1"/>
        <v>1.0915381421610439</v>
      </c>
      <c r="D4661" s="48">
        <f t="shared" ca="1" si="266"/>
        <v>0.74000388088481661</v>
      </c>
      <c r="E4661" s="48">
        <f t="shared" ca="1" si="267"/>
        <v>0</v>
      </c>
      <c r="F4661" s="17">
        <f t="shared" ca="1" si="268"/>
        <v>0</v>
      </c>
      <c r="H4661" s="17">
        <v>4646</v>
      </c>
      <c r="I4661" s="43">
        <v>0.66988251576265179</v>
      </c>
      <c r="J4661" s="43">
        <v>2.0022661958148693E-2</v>
      </c>
      <c r="K4661" s="43"/>
      <c r="L4661" s="43">
        <v>0.25900000000000001</v>
      </c>
      <c r="O4661" s="50"/>
    </row>
    <row r="4662" spans="2:15" x14ac:dyDescent="0.2">
      <c r="B4662">
        <f t="shared" si="269"/>
        <v>4647</v>
      </c>
      <c r="C4662" s="48">
        <f ca="1"/>
        <v>-2.1521847547351958</v>
      </c>
      <c r="D4662" s="48">
        <f t="shared" ca="1" si="266"/>
        <v>0.53746572883990995</v>
      </c>
      <c r="E4662" s="48">
        <f t="shared" ca="1" si="267"/>
        <v>0</v>
      </c>
      <c r="F4662" s="17">
        <f t="shared" ca="1" si="268"/>
        <v>0</v>
      </c>
      <c r="H4662" s="17">
        <v>4647</v>
      </c>
      <c r="I4662" s="43">
        <v>0.66869833801813505</v>
      </c>
      <c r="J4662" s="43">
        <v>1.908773017076822E-2</v>
      </c>
      <c r="K4662" s="43"/>
      <c r="L4662" s="43">
        <v>0.2424</v>
      </c>
      <c r="O4662" s="50"/>
    </row>
    <row r="4663" spans="2:15" x14ac:dyDescent="0.2">
      <c r="B4663">
        <f t="shared" si="269"/>
        <v>4648</v>
      </c>
      <c r="C4663" s="48">
        <f ca="1"/>
        <v>-0.8071254684918584</v>
      </c>
      <c r="D4663" s="48">
        <f t="shared" ca="1" si="266"/>
        <v>0.61367838584276158</v>
      </c>
      <c r="E4663" s="48">
        <f t="shared" ca="1" si="267"/>
        <v>0</v>
      </c>
      <c r="F4663" s="17">
        <f t="shared" ca="1" si="268"/>
        <v>0</v>
      </c>
      <c r="H4663" s="17">
        <v>4648</v>
      </c>
      <c r="I4663" s="43">
        <v>0.66929094453460836</v>
      </c>
      <c r="J4663" s="43">
        <v>1.9453337617160026E-2</v>
      </c>
      <c r="K4663" s="43"/>
      <c r="L4663" s="43">
        <v>0.25419999999999998</v>
      </c>
      <c r="O4663" s="50"/>
    </row>
    <row r="4664" spans="2:15" x14ac:dyDescent="0.2">
      <c r="B4664">
        <f t="shared" si="269"/>
        <v>4649</v>
      </c>
      <c r="C4664" s="48">
        <f ca="1"/>
        <v>0.58835139797136071</v>
      </c>
      <c r="D4664" s="48">
        <f t="shared" ca="1" si="266"/>
        <v>0.70418951875436364</v>
      </c>
      <c r="E4664" s="48">
        <f t="shared" ca="1" si="267"/>
        <v>0</v>
      </c>
      <c r="F4664" s="17">
        <f t="shared" ca="1" si="268"/>
        <v>0</v>
      </c>
      <c r="H4664" s="17">
        <v>4649</v>
      </c>
      <c r="I4664" s="43">
        <v>0.66826109882551721</v>
      </c>
      <c r="J4664" s="43">
        <v>1.8567404361641539E-2</v>
      </c>
      <c r="K4664" s="43"/>
      <c r="L4664" s="43">
        <v>0.24299999999999999</v>
      </c>
      <c r="O4664" s="50"/>
    </row>
    <row r="4665" spans="2:15" x14ac:dyDescent="0.2">
      <c r="B4665">
        <f t="shared" si="269"/>
        <v>4650</v>
      </c>
      <c r="C4665" s="48">
        <f ca="1"/>
        <v>1.151144622148458</v>
      </c>
      <c r="D4665" s="48">
        <f t="shared" ca="1" si="266"/>
        <v>0.74436528042864003</v>
      </c>
      <c r="E4665" s="48">
        <f t="shared" ca="1" si="267"/>
        <v>0</v>
      </c>
      <c r="F4665" s="17">
        <f t="shared" ca="1" si="268"/>
        <v>0</v>
      </c>
      <c r="H4665" s="17">
        <v>4650</v>
      </c>
      <c r="I4665" s="43">
        <v>0.66823526887303331</v>
      </c>
      <c r="J4665" s="43">
        <v>1.8825636271799187E-2</v>
      </c>
      <c r="K4665" s="43"/>
      <c r="L4665" s="43">
        <v>0.25180000000000002</v>
      </c>
      <c r="O4665" s="50"/>
    </row>
    <row r="4666" spans="2:15" x14ac:dyDescent="0.2">
      <c r="B4666">
        <f t="shared" si="269"/>
        <v>4651</v>
      </c>
      <c r="C4666" s="48">
        <f ca="1"/>
        <v>-0.59800132527097982</v>
      </c>
      <c r="D4666" s="48">
        <f t="shared" ca="1" si="266"/>
        <v>0.62646193198581812</v>
      </c>
      <c r="E4666" s="48">
        <f t="shared" ca="1" si="267"/>
        <v>0</v>
      </c>
      <c r="F4666" s="17">
        <f t="shared" ca="1" si="268"/>
        <v>0</v>
      </c>
      <c r="H4666" s="17">
        <v>4651</v>
      </c>
      <c r="I4666" s="43">
        <v>0.6696432200468142</v>
      </c>
      <c r="J4666" s="43">
        <v>1.9835852528575535E-2</v>
      </c>
      <c r="K4666" s="43"/>
      <c r="L4666" s="43">
        <v>0.25319999999999998</v>
      </c>
      <c r="O4666" s="50"/>
    </row>
    <row r="4667" spans="2:15" x14ac:dyDescent="0.2">
      <c r="B4667">
        <f t="shared" si="269"/>
        <v>4652</v>
      </c>
      <c r="C4667" s="48">
        <f ca="1"/>
        <v>0.22377944850229409</v>
      </c>
      <c r="D4667" s="48">
        <f t="shared" ca="1" si="266"/>
        <v>0.67932883042366865</v>
      </c>
      <c r="E4667" s="48">
        <f t="shared" ca="1" si="267"/>
        <v>0</v>
      </c>
      <c r="F4667" s="17">
        <f t="shared" ca="1" si="268"/>
        <v>0</v>
      </c>
      <c r="H4667" s="17">
        <v>4652</v>
      </c>
      <c r="I4667" s="43">
        <v>0.66892829009546462</v>
      </c>
      <c r="J4667" s="43">
        <v>1.921141187496422E-2</v>
      </c>
      <c r="K4667" s="43"/>
      <c r="L4667" s="43">
        <v>0.25340000000000001</v>
      </c>
      <c r="O4667" s="50"/>
    </row>
    <row r="4668" spans="2:15" x14ac:dyDescent="0.2">
      <c r="B4668">
        <f t="shared" si="269"/>
        <v>4653</v>
      </c>
      <c r="C4668" s="48">
        <f ca="1"/>
        <v>3.2239439790377307E-2</v>
      </c>
      <c r="D4668" s="48">
        <f t="shared" ca="1" si="266"/>
        <v>0.66662112220962089</v>
      </c>
      <c r="E4668" s="48">
        <f t="shared" ca="1" si="267"/>
        <v>0</v>
      </c>
      <c r="F4668" s="17">
        <f t="shared" ca="1" si="268"/>
        <v>0</v>
      </c>
      <c r="H4668" s="17">
        <v>4653</v>
      </c>
      <c r="I4668" s="43">
        <v>0.66775803324854432</v>
      </c>
      <c r="J4668" s="43">
        <v>1.844928692155821E-2</v>
      </c>
      <c r="K4668" s="43"/>
      <c r="L4668" s="43">
        <v>0.24440000000000001</v>
      </c>
      <c r="O4668" s="50"/>
    </row>
    <row r="4669" spans="2:15" x14ac:dyDescent="0.2">
      <c r="B4669">
        <f t="shared" si="269"/>
        <v>4654</v>
      </c>
      <c r="C4669" s="48">
        <f ca="1"/>
        <v>-8.3218352597100601E-2</v>
      </c>
      <c r="D4669" s="48">
        <f t="shared" ca="1" si="266"/>
        <v>0.65907620176710846</v>
      </c>
      <c r="E4669" s="48">
        <f t="shared" ca="1" si="267"/>
        <v>0</v>
      </c>
      <c r="F4669" s="17">
        <f t="shared" ca="1" si="268"/>
        <v>0</v>
      </c>
      <c r="H4669" s="17">
        <v>4654</v>
      </c>
      <c r="I4669" s="43">
        <v>0.66927041928610931</v>
      </c>
      <c r="J4669" s="43">
        <v>1.9591948083597408E-2</v>
      </c>
      <c r="K4669" s="43"/>
      <c r="L4669" s="43">
        <v>0.24740000000000001</v>
      </c>
      <c r="O4669" s="50"/>
    </row>
    <row r="4670" spans="2:15" x14ac:dyDescent="0.2">
      <c r="B4670">
        <f t="shared" si="269"/>
        <v>4655</v>
      </c>
      <c r="C4670" s="48">
        <f ca="1"/>
        <v>0.50776986004030689</v>
      </c>
      <c r="D4670" s="48">
        <f t="shared" ca="1" si="266"/>
        <v>0.69861736769147209</v>
      </c>
      <c r="E4670" s="48">
        <f t="shared" ca="1" si="267"/>
        <v>0</v>
      </c>
      <c r="F4670" s="17">
        <f t="shared" ca="1" si="268"/>
        <v>0</v>
      </c>
      <c r="H4670" s="17">
        <v>4655</v>
      </c>
      <c r="I4670" s="43">
        <v>0.66964460129480974</v>
      </c>
      <c r="J4670" s="43">
        <v>1.9823794160345243E-2</v>
      </c>
      <c r="K4670" s="43"/>
      <c r="L4670" s="43">
        <v>0.25140000000000001</v>
      </c>
      <c r="O4670" s="50"/>
    </row>
    <row r="4671" spans="2:15" x14ac:dyDescent="0.2">
      <c r="B4671">
        <f t="shared" si="269"/>
        <v>4656</v>
      </c>
      <c r="C4671" s="48">
        <f ca="1"/>
        <v>-0.13061208368059074</v>
      </c>
      <c r="D4671" s="48">
        <f t="shared" ca="1" si="266"/>
        <v>0.65600389879528886</v>
      </c>
      <c r="E4671" s="48">
        <f t="shared" ca="1" si="267"/>
        <v>0</v>
      </c>
      <c r="F4671" s="17">
        <f t="shared" ca="1" si="268"/>
        <v>0</v>
      </c>
      <c r="H4671" s="17">
        <v>4656</v>
      </c>
      <c r="I4671" s="43">
        <v>0.66886196278136412</v>
      </c>
      <c r="J4671" s="43">
        <v>1.9074700512179969E-2</v>
      </c>
      <c r="K4671" s="43"/>
      <c r="L4671" s="43">
        <v>0.24060000000000001</v>
      </c>
      <c r="O4671" s="50"/>
    </row>
    <row r="4672" spans="2:15" x14ac:dyDescent="0.2">
      <c r="B4672">
        <f t="shared" si="269"/>
        <v>4657</v>
      </c>
      <c r="C4672" s="48">
        <f ca="1"/>
        <v>-0.75116859508410561</v>
      </c>
      <c r="D4672" s="48">
        <f t="shared" ca="1" si="266"/>
        <v>0.61707318795351251</v>
      </c>
      <c r="E4672" s="48">
        <f t="shared" ca="1" si="267"/>
        <v>0</v>
      </c>
      <c r="F4672" s="17">
        <f t="shared" ca="1" si="268"/>
        <v>0</v>
      </c>
      <c r="H4672" s="17">
        <v>4657</v>
      </c>
      <c r="I4672" s="43">
        <v>0.66912128215018984</v>
      </c>
      <c r="J4672" s="43">
        <v>1.9339122577927397E-2</v>
      </c>
      <c r="K4672" s="43"/>
      <c r="L4672" s="43">
        <v>0.24360000000000001</v>
      </c>
      <c r="O4672" s="50"/>
    </row>
    <row r="4673" spans="2:15" x14ac:dyDescent="0.2">
      <c r="B4673">
        <f t="shared" si="269"/>
        <v>4658</v>
      </c>
      <c r="C4673" s="48">
        <f ca="1"/>
        <v>-1.1179957844807624</v>
      </c>
      <c r="D4673" s="48">
        <f t="shared" ca="1" si="266"/>
        <v>0.59515571160502911</v>
      </c>
      <c r="E4673" s="48">
        <f t="shared" ca="1" si="267"/>
        <v>0</v>
      </c>
      <c r="F4673" s="17">
        <f t="shared" ca="1" si="268"/>
        <v>0</v>
      </c>
      <c r="H4673" s="17">
        <v>4658</v>
      </c>
      <c r="I4673" s="43">
        <v>0.66759111700315166</v>
      </c>
      <c r="J4673" s="43">
        <v>1.8512909546258855E-2</v>
      </c>
      <c r="K4673" s="43"/>
      <c r="L4673" s="43">
        <v>0.25019999999999998</v>
      </c>
      <c r="O4673" s="50"/>
    </row>
    <row r="4674" spans="2:15" x14ac:dyDescent="0.2">
      <c r="B4674">
        <f t="shared" si="269"/>
        <v>4659</v>
      </c>
      <c r="C4674" s="48">
        <f ca="1"/>
        <v>-0.76679431584612501</v>
      </c>
      <c r="D4674" s="48">
        <f t="shared" ca="1" si="266"/>
        <v>0.61612331836413836</v>
      </c>
      <c r="E4674" s="48">
        <f t="shared" ca="1" si="267"/>
        <v>0</v>
      </c>
      <c r="F4674" s="17">
        <f t="shared" ca="1" si="268"/>
        <v>0</v>
      </c>
      <c r="H4674" s="17">
        <v>4659</v>
      </c>
      <c r="I4674" s="43">
        <v>0.66909488280798635</v>
      </c>
      <c r="J4674" s="43">
        <v>1.9423448005057738E-2</v>
      </c>
      <c r="K4674" s="43"/>
      <c r="L4674" s="43">
        <v>0.248</v>
      </c>
      <c r="O4674" s="50"/>
    </row>
    <row r="4675" spans="2:15" x14ac:dyDescent="0.2">
      <c r="B4675">
        <f t="shared" si="269"/>
        <v>4660</v>
      </c>
      <c r="C4675" s="48">
        <f ca="1"/>
        <v>0.65562657402240265</v>
      </c>
      <c r="D4675" s="48">
        <f t="shared" ca="1" si="266"/>
        <v>0.70887557117962974</v>
      </c>
      <c r="E4675" s="48">
        <f t="shared" ca="1" si="267"/>
        <v>0</v>
      </c>
      <c r="F4675" s="17">
        <f t="shared" ca="1" si="268"/>
        <v>0</v>
      </c>
      <c r="H4675" s="17">
        <v>4660</v>
      </c>
      <c r="I4675" s="43">
        <v>0.66881817826079293</v>
      </c>
      <c r="J4675" s="43">
        <v>1.9427091067598143E-2</v>
      </c>
      <c r="K4675" s="43"/>
      <c r="L4675" s="43">
        <v>0.2492</v>
      </c>
      <c r="O4675" s="50"/>
    </row>
    <row r="4676" spans="2:15" x14ac:dyDescent="0.2">
      <c r="B4676">
        <f t="shared" si="269"/>
        <v>4661</v>
      </c>
      <c r="C4676" s="48">
        <f ca="1"/>
        <v>-0.77296396857006178</v>
      </c>
      <c r="D4676" s="48">
        <f t="shared" ca="1" si="266"/>
        <v>0.61574867502776021</v>
      </c>
      <c r="E4676" s="48">
        <f t="shared" ca="1" si="267"/>
        <v>0</v>
      </c>
      <c r="F4676" s="17">
        <f t="shared" ca="1" si="268"/>
        <v>0</v>
      </c>
      <c r="H4676" s="17">
        <v>4661</v>
      </c>
      <c r="I4676" s="43">
        <v>0.6689187236301869</v>
      </c>
      <c r="J4676" s="43">
        <v>1.9041732122448623E-2</v>
      </c>
      <c r="K4676" s="43"/>
      <c r="L4676" s="43">
        <v>0.24759999999999999</v>
      </c>
      <c r="O4676" s="50"/>
    </row>
    <row r="4677" spans="2:15" x14ac:dyDescent="0.2">
      <c r="B4677">
        <f t="shared" si="269"/>
        <v>4662</v>
      </c>
      <c r="C4677" s="48">
        <f ca="1"/>
        <v>-0.39076614226075651</v>
      </c>
      <c r="D4677" s="48">
        <f t="shared" ca="1" si="266"/>
        <v>0.63939268863542376</v>
      </c>
      <c r="E4677" s="48">
        <f t="shared" ca="1" si="267"/>
        <v>0</v>
      </c>
      <c r="F4677" s="17">
        <f t="shared" ca="1" si="268"/>
        <v>0</v>
      </c>
      <c r="H4677" s="17">
        <v>4662</v>
      </c>
      <c r="I4677" s="43">
        <v>0.66891470583897361</v>
      </c>
      <c r="J4677" s="43">
        <v>1.9409209716439633E-2</v>
      </c>
      <c r="K4677" s="43"/>
      <c r="L4677" s="43">
        <v>0.248</v>
      </c>
      <c r="O4677" s="50"/>
    </row>
    <row r="4678" spans="2:15" x14ac:dyDescent="0.2">
      <c r="B4678">
        <f t="shared" si="269"/>
        <v>4663</v>
      </c>
      <c r="C4678" s="48">
        <f ca="1"/>
        <v>-1.405531479216144</v>
      </c>
      <c r="D4678" s="48">
        <f t="shared" ca="1" si="266"/>
        <v>0.57852146751871414</v>
      </c>
      <c r="E4678" s="48">
        <f t="shared" ca="1" si="267"/>
        <v>0</v>
      </c>
      <c r="F4678" s="17">
        <f t="shared" ca="1" si="268"/>
        <v>0</v>
      </c>
      <c r="H4678" s="17">
        <v>4663</v>
      </c>
      <c r="I4678" s="43">
        <v>0.66944739215300442</v>
      </c>
      <c r="J4678" s="43">
        <v>1.9742532264810753E-2</v>
      </c>
      <c r="K4678" s="43"/>
      <c r="L4678" s="43">
        <v>0.25319999999999998</v>
      </c>
      <c r="O4678" s="50"/>
    </row>
    <row r="4679" spans="2:15" x14ac:dyDescent="0.2">
      <c r="B4679">
        <f t="shared" si="269"/>
        <v>4664</v>
      </c>
      <c r="C4679" s="48">
        <f ca="1"/>
        <v>0.24273061555906925</v>
      </c>
      <c r="D4679" s="48">
        <f t="shared" ca="1" si="266"/>
        <v>0.68059923923265808</v>
      </c>
      <c r="E4679" s="48">
        <f t="shared" ca="1" si="267"/>
        <v>0</v>
      </c>
      <c r="F4679" s="17">
        <f t="shared" ca="1" si="268"/>
        <v>0</v>
      </c>
      <c r="H4679" s="17">
        <v>4664</v>
      </c>
      <c r="I4679" s="43">
        <v>0.66752823993274091</v>
      </c>
      <c r="J4679" s="43">
        <v>1.8286103378003862E-2</v>
      </c>
      <c r="K4679" s="43"/>
      <c r="L4679" s="43">
        <v>0.2424</v>
      </c>
      <c r="O4679" s="50"/>
    </row>
    <row r="4680" spans="2:15" x14ac:dyDescent="0.2">
      <c r="B4680">
        <f t="shared" si="269"/>
        <v>4665</v>
      </c>
      <c r="C4680" s="48">
        <f ca="1"/>
        <v>0.587340067936578</v>
      </c>
      <c r="D4680" s="48">
        <f t="shared" ca="1" si="266"/>
        <v>0.70411931141222817</v>
      </c>
      <c r="E4680" s="48">
        <f t="shared" ca="1" si="267"/>
        <v>0</v>
      </c>
      <c r="F4680" s="17">
        <f t="shared" ca="1" si="268"/>
        <v>0</v>
      </c>
      <c r="H4680" s="17">
        <v>4665</v>
      </c>
      <c r="I4680" s="43">
        <v>0.67025816887676215</v>
      </c>
      <c r="J4680" s="43">
        <v>2.020120039640206E-2</v>
      </c>
      <c r="K4680" s="43"/>
      <c r="L4680" s="43">
        <v>0.247</v>
      </c>
      <c r="O4680" s="50"/>
    </row>
    <row r="4681" spans="2:15" x14ac:dyDescent="0.2">
      <c r="B4681">
        <f t="shared" si="269"/>
        <v>4666</v>
      </c>
      <c r="C4681" s="48">
        <f ca="1"/>
        <v>-1.6439883458220419</v>
      </c>
      <c r="D4681" s="48">
        <f t="shared" ca="1" si="266"/>
        <v>0.56507970712754774</v>
      </c>
      <c r="E4681" s="48">
        <f t="shared" ca="1" si="267"/>
        <v>0</v>
      </c>
      <c r="F4681" s="17">
        <f t="shared" ca="1" si="268"/>
        <v>0</v>
      </c>
      <c r="H4681" s="17">
        <v>4666</v>
      </c>
      <c r="I4681" s="43">
        <v>0.66957075540925137</v>
      </c>
      <c r="J4681" s="43">
        <v>1.9697935700525426E-2</v>
      </c>
      <c r="K4681" s="43"/>
      <c r="L4681" s="43">
        <v>0.25</v>
      </c>
      <c r="O4681" s="50"/>
    </row>
    <row r="4682" spans="2:15" x14ac:dyDescent="0.2">
      <c r="B4682">
        <f t="shared" si="269"/>
        <v>4667</v>
      </c>
      <c r="C4682" s="48">
        <f ca="1"/>
        <v>-1.6212153643153808</v>
      </c>
      <c r="D4682" s="48">
        <f t="shared" ca="1" si="266"/>
        <v>0.56634981012378305</v>
      </c>
      <c r="E4682" s="48">
        <f t="shared" ca="1" si="267"/>
        <v>0</v>
      </c>
      <c r="F4682" s="17">
        <f t="shared" ca="1" si="268"/>
        <v>0</v>
      </c>
      <c r="H4682" s="17">
        <v>4667</v>
      </c>
      <c r="I4682" s="43">
        <v>0.66851881005573188</v>
      </c>
      <c r="J4682" s="43">
        <v>1.9088430334821709E-2</v>
      </c>
      <c r="K4682" s="43"/>
      <c r="L4682" s="43">
        <v>0.25</v>
      </c>
      <c r="O4682" s="50"/>
    </row>
    <row r="4683" spans="2:15" x14ac:dyDescent="0.2">
      <c r="B4683">
        <f t="shared" si="269"/>
        <v>4668</v>
      </c>
      <c r="C4683" s="48">
        <f ca="1"/>
        <v>1.6538993609053219</v>
      </c>
      <c r="D4683" s="48">
        <f t="shared" ca="1" si="266"/>
        <v>0.78218962648509471</v>
      </c>
      <c r="E4683" s="48">
        <f t="shared" ca="1" si="267"/>
        <v>0</v>
      </c>
      <c r="F4683" s="17">
        <f t="shared" ca="1" si="268"/>
        <v>0</v>
      </c>
      <c r="H4683" s="17">
        <v>4668</v>
      </c>
      <c r="I4683" s="43">
        <v>0.66851397720086359</v>
      </c>
      <c r="J4683" s="43">
        <v>1.9236264714148736E-2</v>
      </c>
      <c r="K4683" s="43"/>
      <c r="L4683" s="43">
        <v>0.24560000000000001</v>
      </c>
      <c r="O4683" s="50"/>
    </row>
    <row r="4684" spans="2:15" x14ac:dyDescent="0.2">
      <c r="B4684">
        <f t="shared" si="269"/>
        <v>4669</v>
      </c>
      <c r="C4684" s="48">
        <f ca="1"/>
        <v>-3.7112075684649123E-2</v>
      </c>
      <c r="D4684" s="48">
        <f t="shared" ca="1" si="266"/>
        <v>0.66207885252632104</v>
      </c>
      <c r="E4684" s="48">
        <f t="shared" ca="1" si="267"/>
        <v>0</v>
      </c>
      <c r="F4684" s="17">
        <f t="shared" ca="1" si="268"/>
        <v>0</v>
      </c>
      <c r="H4684" s="17">
        <v>4669</v>
      </c>
      <c r="I4684" s="43">
        <v>0.66953109636510866</v>
      </c>
      <c r="J4684" s="43">
        <v>1.9695456292312407E-2</v>
      </c>
      <c r="K4684" s="43"/>
      <c r="L4684" s="43">
        <v>0.25819999999999999</v>
      </c>
      <c r="O4684" s="50"/>
    </row>
    <row r="4685" spans="2:15" x14ac:dyDescent="0.2">
      <c r="B4685">
        <f t="shared" si="269"/>
        <v>4670</v>
      </c>
      <c r="C4685" s="48">
        <f ca="1"/>
        <v>-1.1141750707589939</v>
      </c>
      <c r="D4685" s="48">
        <f t="shared" ca="1" si="266"/>
        <v>0.59537993381093468</v>
      </c>
      <c r="E4685" s="48">
        <f t="shared" ca="1" si="267"/>
        <v>0</v>
      </c>
      <c r="F4685" s="17">
        <f t="shared" ca="1" si="268"/>
        <v>0</v>
      </c>
      <c r="H4685" s="17">
        <v>4670</v>
      </c>
      <c r="I4685" s="43">
        <v>0.66924680480700804</v>
      </c>
      <c r="J4685" s="43">
        <v>1.9430262374036975E-2</v>
      </c>
      <c r="K4685" s="43"/>
      <c r="L4685" s="43">
        <v>0.24840000000000001</v>
      </c>
      <c r="O4685" s="50"/>
    </row>
    <row r="4686" spans="2:15" x14ac:dyDescent="0.2">
      <c r="B4686">
        <f t="shared" si="269"/>
        <v>4671</v>
      </c>
      <c r="C4686" s="48">
        <f ca="1"/>
        <v>-0.98651060866373208</v>
      </c>
      <c r="D4686" s="48">
        <f t="shared" ca="1" si="266"/>
        <v>0.60292081052688717</v>
      </c>
      <c r="E4686" s="48">
        <f t="shared" ca="1" si="267"/>
        <v>0</v>
      </c>
      <c r="F4686" s="17">
        <f t="shared" ca="1" si="268"/>
        <v>0</v>
      </c>
      <c r="H4686" s="17">
        <v>4671</v>
      </c>
      <c r="I4686" s="43">
        <v>0.6682503093580473</v>
      </c>
      <c r="J4686" s="43">
        <v>1.8934412712616894E-2</v>
      </c>
      <c r="K4686" s="43"/>
      <c r="L4686" s="43">
        <v>0.25240000000000001</v>
      </c>
      <c r="O4686" s="50"/>
    </row>
    <row r="4687" spans="2:15" x14ac:dyDescent="0.2">
      <c r="B4687">
        <f t="shared" si="269"/>
        <v>4672</v>
      </c>
      <c r="C4687" s="48">
        <f ca="1"/>
        <v>4.1275967832228887E-2</v>
      </c>
      <c r="D4687" s="48">
        <f t="shared" ca="1" si="266"/>
        <v>0.66721527187909968</v>
      </c>
      <c r="E4687" s="48">
        <f t="shared" ca="1" si="267"/>
        <v>0</v>
      </c>
      <c r="F4687" s="17">
        <f t="shared" ca="1" si="268"/>
        <v>0</v>
      </c>
      <c r="H4687" s="17">
        <v>4672</v>
      </c>
      <c r="I4687" s="43">
        <v>0.66941496640043718</v>
      </c>
      <c r="J4687" s="43">
        <v>1.9624952854436557E-2</v>
      </c>
      <c r="K4687" s="43"/>
      <c r="L4687" s="43">
        <v>0.25</v>
      </c>
      <c r="O4687" s="50"/>
    </row>
    <row r="4688" spans="2:15" x14ac:dyDescent="0.2">
      <c r="B4688">
        <f t="shared" si="269"/>
        <v>4673</v>
      </c>
      <c r="C4688" s="48">
        <f ca="1"/>
        <v>-2.6658210908229066E-2</v>
      </c>
      <c r="D4688" s="48">
        <f t="shared" ref="D4688:D4751" ca="1" si="270">S0*EXP((μ-0.5*σ*σ)*T+σ*SQRT(T)*$C4688)</f>
        <v>0.66276155602805664</v>
      </c>
      <c r="E4688" s="48">
        <f t="shared" ref="E4688:E4751" ca="1" si="271">MAX(0,CP*(D4688-K))</f>
        <v>0</v>
      </c>
      <c r="F4688" s="17">
        <f t="shared" ref="F4688:F4751" ca="1" si="272">(CP*(D4688-K)&gt;0)*1</f>
        <v>0</v>
      </c>
      <c r="H4688" s="17">
        <v>4673</v>
      </c>
      <c r="I4688" s="43">
        <v>0.66878088219819476</v>
      </c>
      <c r="J4688" s="43">
        <v>1.9156209697253186E-2</v>
      </c>
      <c r="K4688" s="43"/>
      <c r="L4688" s="43">
        <v>0.24160000000000001</v>
      </c>
      <c r="O4688" s="50"/>
    </row>
    <row r="4689" spans="2:15" x14ac:dyDescent="0.2">
      <c r="B4689">
        <f t="shared" si="269"/>
        <v>4674</v>
      </c>
      <c r="C4689" s="48">
        <f ca="1"/>
        <v>-0.4553659098039663</v>
      </c>
      <c r="D4689" s="48">
        <f t="shared" ca="1" si="270"/>
        <v>0.63533351037474284</v>
      </c>
      <c r="E4689" s="48">
        <f t="shared" ca="1" si="271"/>
        <v>0</v>
      </c>
      <c r="F4689" s="17">
        <f t="shared" ca="1" si="272"/>
        <v>0</v>
      </c>
      <c r="H4689" s="17">
        <v>4674</v>
      </c>
      <c r="I4689" s="43">
        <v>0.66963904439189947</v>
      </c>
      <c r="J4689" s="43">
        <v>1.9703947338780031E-2</v>
      </c>
      <c r="K4689" s="43"/>
      <c r="L4689" s="43">
        <v>0.246</v>
      </c>
      <c r="O4689" s="50"/>
    </row>
    <row r="4690" spans="2:15" x14ac:dyDescent="0.2">
      <c r="B4690">
        <f t="shared" si="269"/>
        <v>4675</v>
      </c>
      <c r="C4690" s="48">
        <f ca="1"/>
        <v>-0.72778617856914884</v>
      </c>
      <c r="D4690" s="48">
        <f t="shared" ca="1" si="270"/>
        <v>0.61849731408812547</v>
      </c>
      <c r="E4690" s="48">
        <f t="shared" ca="1" si="271"/>
        <v>0</v>
      </c>
      <c r="F4690" s="17">
        <f t="shared" ca="1" si="272"/>
        <v>0</v>
      </c>
      <c r="H4690" s="17">
        <v>4675</v>
      </c>
      <c r="I4690" s="43">
        <v>0.6688448847543691</v>
      </c>
      <c r="J4690" s="43">
        <v>1.9350471075672865E-2</v>
      </c>
      <c r="K4690" s="43"/>
      <c r="L4690" s="43">
        <v>0.25</v>
      </c>
      <c r="O4690" s="50"/>
    </row>
    <row r="4691" spans="2:15" x14ac:dyDescent="0.2">
      <c r="B4691">
        <f t="shared" si="269"/>
        <v>4676</v>
      </c>
      <c r="C4691" s="48">
        <f ca="1"/>
        <v>-0.55529500094685802</v>
      </c>
      <c r="D4691" s="48">
        <f t="shared" ca="1" si="270"/>
        <v>0.62910509030751172</v>
      </c>
      <c r="E4691" s="48">
        <f t="shared" ca="1" si="271"/>
        <v>0</v>
      </c>
      <c r="F4691" s="17">
        <f t="shared" ca="1" si="272"/>
        <v>0</v>
      </c>
      <c r="H4691" s="17">
        <v>4676</v>
      </c>
      <c r="I4691" s="43">
        <v>0.66801178225552715</v>
      </c>
      <c r="J4691" s="43">
        <v>1.8782858259390779E-2</v>
      </c>
      <c r="K4691" s="43"/>
      <c r="L4691" s="43">
        <v>0.24779999999999999</v>
      </c>
      <c r="O4691" s="50"/>
    </row>
    <row r="4692" spans="2:15" x14ac:dyDescent="0.2">
      <c r="B4692">
        <f t="shared" si="269"/>
        <v>4677</v>
      </c>
      <c r="C4692" s="48">
        <f ca="1"/>
        <v>1.8578996893353497</v>
      </c>
      <c r="D4692" s="48">
        <f t="shared" ca="1" si="270"/>
        <v>0.79808018628464605</v>
      </c>
      <c r="E4692" s="48">
        <f t="shared" ca="1" si="271"/>
        <v>9.880186284646042E-3</v>
      </c>
      <c r="F4692" s="17">
        <f t="shared" ca="1" si="272"/>
        <v>1</v>
      </c>
      <c r="H4692" s="17">
        <v>4677</v>
      </c>
      <c r="I4692" s="43">
        <v>0.66943593535734647</v>
      </c>
      <c r="J4692" s="43">
        <v>1.9699027326909108E-2</v>
      </c>
      <c r="K4692" s="43"/>
      <c r="L4692" s="43">
        <v>0.25080000000000002</v>
      </c>
      <c r="O4692" s="50"/>
    </row>
    <row r="4693" spans="2:15" x14ac:dyDescent="0.2">
      <c r="B4693">
        <f t="shared" si="269"/>
        <v>4678</v>
      </c>
      <c r="C4693" s="48">
        <f ca="1"/>
        <v>0.17912726462999728</v>
      </c>
      <c r="D4693" s="48">
        <f t="shared" ca="1" si="270"/>
        <v>0.67634489851848456</v>
      </c>
      <c r="E4693" s="48">
        <f t="shared" ca="1" si="271"/>
        <v>0</v>
      </c>
      <c r="F4693" s="17">
        <f t="shared" ca="1" si="272"/>
        <v>0</v>
      </c>
      <c r="H4693" s="17">
        <v>4678</v>
      </c>
      <c r="I4693" s="43">
        <v>0.66846779426635228</v>
      </c>
      <c r="J4693" s="43">
        <v>1.8779686497954595E-2</v>
      </c>
      <c r="K4693" s="43"/>
      <c r="L4693" s="43">
        <v>0.24560000000000001</v>
      </c>
      <c r="O4693" s="50"/>
    </row>
    <row r="4694" spans="2:15" x14ac:dyDescent="0.2">
      <c r="B4694">
        <f t="shared" si="269"/>
        <v>4679</v>
      </c>
      <c r="C4694" s="48">
        <f ca="1"/>
        <v>-0.94890895022097543</v>
      </c>
      <c r="D4694" s="48">
        <f t="shared" ca="1" si="270"/>
        <v>0.60516001740713188</v>
      </c>
      <c r="E4694" s="48">
        <f t="shared" ca="1" si="271"/>
        <v>0</v>
      </c>
      <c r="F4694" s="17">
        <f t="shared" ca="1" si="272"/>
        <v>0</v>
      </c>
      <c r="H4694" s="17">
        <v>4679</v>
      </c>
      <c r="I4694" s="43">
        <v>0.6677315281891596</v>
      </c>
      <c r="J4694" s="43">
        <v>1.8513676460108947E-2</v>
      </c>
      <c r="K4694" s="43"/>
      <c r="L4694" s="43">
        <v>0.24579999999999999</v>
      </c>
      <c r="O4694" s="50"/>
    </row>
    <row r="4695" spans="2:15" x14ac:dyDescent="0.2">
      <c r="B4695">
        <f t="shared" si="269"/>
        <v>4680</v>
      </c>
      <c r="C4695" s="48">
        <f ca="1"/>
        <v>1.435458823623261</v>
      </c>
      <c r="D4695" s="48">
        <f t="shared" ca="1" si="270"/>
        <v>0.76552486790358709</v>
      </c>
      <c r="E4695" s="48">
        <f t="shared" ca="1" si="271"/>
        <v>0</v>
      </c>
      <c r="F4695" s="17">
        <f t="shared" ca="1" si="272"/>
        <v>0</v>
      </c>
      <c r="H4695" s="17">
        <v>4680</v>
      </c>
      <c r="I4695" s="43">
        <v>0.6681464742668598</v>
      </c>
      <c r="J4695" s="43">
        <v>1.8535428784736227E-2</v>
      </c>
      <c r="K4695" s="43"/>
      <c r="L4695" s="43">
        <v>0.24079999999999999</v>
      </c>
      <c r="O4695" s="50"/>
    </row>
    <row r="4696" spans="2:15" x14ac:dyDescent="0.2">
      <c r="B4696">
        <f t="shared" si="269"/>
        <v>4681</v>
      </c>
      <c r="C4696" s="48">
        <f ca="1"/>
        <v>-0.70244759044044314</v>
      </c>
      <c r="D4696" s="48">
        <f t="shared" ca="1" si="270"/>
        <v>0.62004429342245493</v>
      </c>
      <c r="E4696" s="48">
        <f t="shared" ca="1" si="271"/>
        <v>0</v>
      </c>
      <c r="F4696" s="17">
        <f t="shared" ca="1" si="272"/>
        <v>0</v>
      </c>
      <c r="H4696" s="17">
        <v>4681</v>
      </c>
      <c r="I4696" s="43">
        <v>0.66970338707389343</v>
      </c>
      <c r="J4696" s="43">
        <v>1.9692129922887845E-2</v>
      </c>
      <c r="K4696" s="43"/>
      <c r="L4696" s="43">
        <v>0.25280000000000002</v>
      </c>
      <c r="O4696" s="50"/>
    </row>
    <row r="4697" spans="2:15" x14ac:dyDescent="0.2">
      <c r="B4697">
        <f t="shared" si="269"/>
        <v>4682</v>
      </c>
      <c r="C4697" s="48">
        <f ca="1"/>
        <v>0.6105025001847586</v>
      </c>
      <c r="D4697" s="48">
        <f t="shared" ca="1" si="270"/>
        <v>0.70572902308656671</v>
      </c>
      <c r="E4697" s="48">
        <f t="shared" ca="1" si="271"/>
        <v>0</v>
      </c>
      <c r="F4697" s="17">
        <f t="shared" ca="1" si="272"/>
        <v>0</v>
      </c>
      <c r="H4697" s="17">
        <v>4682</v>
      </c>
      <c r="I4697" s="43">
        <v>0.66916672005750644</v>
      </c>
      <c r="J4697" s="43">
        <v>1.9710201173496106E-2</v>
      </c>
      <c r="K4697" s="43"/>
      <c r="L4697" s="43">
        <v>0.25319999999999998</v>
      </c>
      <c r="O4697" s="50"/>
    </row>
    <row r="4698" spans="2:15" x14ac:dyDescent="0.2">
      <c r="B4698">
        <f t="shared" si="269"/>
        <v>4683</v>
      </c>
      <c r="C4698" s="48">
        <f ca="1"/>
        <v>0.71896625433274453</v>
      </c>
      <c r="D4698" s="48">
        <f t="shared" ca="1" si="270"/>
        <v>0.71331599352161179</v>
      </c>
      <c r="E4698" s="48">
        <f t="shared" ca="1" si="271"/>
        <v>0</v>
      </c>
      <c r="F4698" s="17">
        <f t="shared" ca="1" si="272"/>
        <v>0</v>
      </c>
      <c r="H4698" s="17">
        <v>4683</v>
      </c>
      <c r="I4698" s="43">
        <v>0.66981276608290141</v>
      </c>
      <c r="J4698" s="43">
        <v>1.9865569359813026E-2</v>
      </c>
      <c r="K4698" s="43"/>
      <c r="L4698" s="43">
        <v>0.25140000000000001</v>
      </c>
      <c r="O4698" s="50"/>
    </row>
    <row r="4699" spans="2:15" x14ac:dyDescent="0.2">
      <c r="B4699">
        <f t="shared" si="269"/>
        <v>4684</v>
      </c>
      <c r="C4699" s="48">
        <f ca="1"/>
        <v>0.69312355903190637</v>
      </c>
      <c r="D4699" s="48">
        <f t="shared" ca="1" si="270"/>
        <v>0.71150094446999779</v>
      </c>
      <c r="E4699" s="48">
        <f t="shared" ca="1" si="271"/>
        <v>0</v>
      </c>
      <c r="F4699" s="17">
        <f t="shared" ca="1" si="272"/>
        <v>0</v>
      </c>
      <c r="H4699" s="17">
        <v>4684</v>
      </c>
      <c r="I4699" s="43">
        <v>0.67000928985473651</v>
      </c>
      <c r="J4699" s="43">
        <v>2.02881667885801E-2</v>
      </c>
      <c r="K4699" s="43"/>
      <c r="L4699" s="43">
        <v>0.25459999999999999</v>
      </c>
      <c r="O4699" s="50"/>
    </row>
    <row r="4700" spans="2:15" x14ac:dyDescent="0.2">
      <c r="B4700">
        <f t="shared" si="269"/>
        <v>4685</v>
      </c>
      <c r="C4700" s="48">
        <f ca="1"/>
        <v>1.3250109451705481</v>
      </c>
      <c r="D4700" s="48">
        <f t="shared" ca="1" si="270"/>
        <v>0.75723445655717614</v>
      </c>
      <c r="E4700" s="48">
        <f t="shared" ca="1" si="271"/>
        <v>0</v>
      </c>
      <c r="F4700" s="17">
        <f t="shared" ca="1" si="272"/>
        <v>0</v>
      </c>
      <c r="H4700" s="17">
        <v>4685</v>
      </c>
      <c r="I4700" s="43">
        <v>0.66877006429549812</v>
      </c>
      <c r="J4700" s="43">
        <v>1.9392035487479052E-2</v>
      </c>
      <c r="K4700" s="43"/>
      <c r="L4700" s="43">
        <v>0.25440000000000002</v>
      </c>
      <c r="O4700" s="50"/>
    </row>
    <row r="4701" spans="2:15" x14ac:dyDescent="0.2">
      <c r="B4701">
        <f t="shared" si="269"/>
        <v>4686</v>
      </c>
      <c r="C4701" s="48">
        <f ca="1"/>
        <v>1.6174064541546136</v>
      </c>
      <c r="D4701" s="48">
        <f t="shared" ca="1" si="270"/>
        <v>0.77938056513656195</v>
      </c>
      <c r="E4701" s="48">
        <f t="shared" ca="1" si="271"/>
        <v>0</v>
      </c>
      <c r="F4701" s="17">
        <f t="shared" ca="1" si="272"/>
        <v>0</v>
      </c>
      <c r="H4701" s="17">
        <v>4686</v>
      </c>
      <c r="I4701" s="43">
        <v>0.66878781530088593</v>
      </c>
      <c r="J4701" s="43">
        <v>1.9219294030247958E-2</v>
      </c>
      <c r="K4701" s="43"/>
      <c r="L4701" s="43">
        <v>0.25319999999999998</v>
      </c>
      <c r="O4701" s="50"/>
    </row>
    <row r="4702" spans="2:15" x14ac:dyDescent="0.2">
      <c r="B4702">
        <f t="shared" si="269"/>
        <v>4687</v>
      </c>
      <c r="C4702" s="48">
        <f ca="1"/>
        <v>-1.0222593240851947</v>
      </c>
      <c r="D4702" s="48">
        <f t="shared" ca="1" si="270"/>
        <v>0.60079963136560455</v>
      </c>
      <c r="E4702" s="48">
        <f t="shared" ca="1" si="271"/>
        <v>0</v>
      </c>
      <c r="F4702" s="17">
        <f t="shared" ca="1" si="272"/>
        <v>0</v>
      </c>
      <c r="H4702" s="17">
        <v>4687</v>
      </c>
      <c r="I4702" s="43">
        <v>0.66916132176916909</v>
      </c>
      <c r="J4702" s="43">
        <v>1.9616446292432879E-2</v>
      </c>
      <c r="K4702" s="43"/>
      <c r="L4702" s="43">
        <v>0.25459999999999999</v>
      </c>
      <c r="O4702" s="50"/>
    </row>
    <row r="4703" spans="2:15" x14ac:dyDescent="0.2">
      <c r="B4703">
        <f t="shared" si="269"/>
        <v>4688</v>
      </c>
      <c r="C4703" s="48">
        <f ca="1"/>
        <v>-0.49773079836625961</v>
      </c>
      <c r="D4703" s="48">
        <f t="shared" ca="1" si="270"/>
        <v>0.6326854802602534</v>
      </c>
      <c r="E4703" s="48">
        <f t="shared" ca="1" si="271"/>
        <v>0</v>
      </c>
      <c r="F4703" s="17">
        <f t="shared" ca="1" si="272"/>
        <v>0</v>
      </c>
      <c r="H4703" s="17">
        <v>4688</v>
      </c>
      <c r="I4703" s="43">
        <v>0.66886041186361678</v>
      </c>
      <c r="J4703" s="43">
        <v>1.9256018744897834E-2</v>
      </c>
      <c r="K4703" s="43"/>
      <c r="L4703" s="43">
        <v>0.24640000000000001</v>
      </c>
      <c r="O4703" s="50"/>
    </row>
    <row r="4704" spans="2:15" x14ac:dyDescent="0.2">
      <c r="B4704">
        <f t="shared" si="269"/>
        <v>4689</v>
      </c>
      <c r="C4704" s="48">
        <f ca="1"/>
        <v>0.81727675627641805</v>
      </c>
      <c r="D4704" s="48">
        <f t="shared" ca="1" si="270"/>
        <v>0.72026319551589146</v>
      </c>
      <c r="E4704" s="48">
        <f t="shared" ca="1" si="271"/>
        <v>0</v>
      </c>
      <c r="F4704" s="17">
        <f t="shared" ca="1" si="272"/>
        <v>0</v>
      </c>
      <c r="H4704" s="17">
        <v>4689</v>
      </c>
      <c r="I4704" s="43">
        <v>0.6695000165884254</v>
      </c>
      <c r="J4704" s="43">
        <v>1.9721052203638557E-2</v>
      </c>
      <c r="K4704" s="43"/>
      <c r="L4704" s="43">
        <v>0.25659999999999999</v>
      </c>
      <c r="O4704" s="50"/>
    </row>
    <row r="4705" spans="2:15" x14ac:dyDescent="0.2">
      <c r="B4705">
        <f t="shared" si="269"/>
        <v>4690</v>
      </c>
      <c r="C4705" s="48">
        <f ca="1"/>
        <v>-0.12750650140845904</v>
      </c>
      <c r="D4705" s="48">
        <f t="shared" ca="1" si="270"/>
        <v>0.6562047792422302</v>
      </c>
      <c r="E4705" s="48">
        <f t="shared" ca="1" si="271"/>
        <v>0</v>
      </c>
      <c r="F4705" s="17">
        <f t="shared" ca="1" si="272"/>
        <v>0</v>
      </c>
      <c r="H4705" s="17">
        <v>4690</v>
      </c>
      <c r="I4705" s="43">
        <v>0.67136048181934416</v>
      </c>
      <c r="J4705" s="43">
        <v>2.1096150512542773E-2</v>
      </c>
      <c r="K4705" s="43"/>
      <c r="L4705" s="43">
        <v>0.26440000000000002</v>
      </c>
      <c r="O4705" s="50"/>
    </row>
    <row r="4706" spans="2:15" x14ac:dyDescent="0.2">
      <c r="B4706">
        <f t="shared" si="269"/>
        <v>4691</v>
      </c>
      <c r="C4706" s="48">
        <f ca="1"/>
        <v>-0.37606893683942832</v>
      </c>
      <c r="D4706" s="48">
        <f t="shared" ca="1" si="270"/>
        <v>0.6403198147763054</v>
      </c>
      <c r="E4706" s="48">
        <f t="shared" ca="1" si="271"/>
        <v>0</v>
      </c>
      <c r="F4706" s="17">
        <f t="shared" ca="1" si="272"/>
        <v>0</v>
      </c>
      <c r="H4706" s="17">
        <v>4691</v>
      </c>
      <c r="I4706" s="43">
        <v>0.66902371305526398</v>
      </c>
      <c r="J4706" s="43">
        <v>1.9424564433654212E-2</v>
      </c>
      <c r="K4706" s="43"/>
      <c r="L4706" s="43">
        <v>0.25059999999999999</v>
      </c>
      <c r="O4706" s="50"/>
    </row>
    <row r="4707" spans="2:15" x14ac:dyDescent="0.2">
      <c r="B4707">
        <f t="shared" si="269"/>
        <v>4692</v>
      </c>
      <c r="C4707" s="48">
        <f ca="1"/>
        <v>1.290738946541508</v>
      </c>
      <c r="D4707" s="48">
        <f t="shared" ca="1" si="270"/>
        <v>0.75468023814279706</v>
      </c>
      <c r="E4707" s="48">
        <f t="shared" ca="1" si="271"/>
        <v>0</v>
      </c>
      <c r="F4707" s="17">
        <f t="shared" ca="1" si="272"/>
        <v>0</v>
      </c>
      <c r="H4707" s="17">
        <v>4692</v>
      </c>
      <c r="I4707" s="43">
        <v>0.66969296728075622</v>
      </c>
      <c r="J4707" s="43">
        <v>1.9569309985166934E-2</v>
      </c>
      <c r="K4707" s="43"/>
      <c r="L4707" s="43">
        <v>0.247</v>
      </c>
      <c r="O4707" s="50"/>
    </row>
    <row r="4708" spans="2:15" x14ac:dyDescent="0.2">
      <c r="B4708">
        <f t="shared" si="269"/>
        <v>4693</v>
      </c>
      <c r="C4708" s="48">
        <f ca="1"/>
        <v>-0.28213801067365352</v>
      </c>
      <c r="D4708" s="48">
        <f t="shared" ca="1" si="270"/>
        <v>0.64627698062605876</v>
      </c>
      <c r="E4708" s="48">
        <f t="shared" ca="1" si="271"/>
        <v>0</v>
      </c>
      <c r="F4708" s="17">
        <f t="shared" ca="1" si="272"/>
        <v>0</v>
      </c>
      <c r="H4708" s="17">
        <v>4693</v>
      </c>
      <c r="I4708" s="43">
        <v>0.66849435242691757</v>
      </c>
      <c r="J4708" s="43">
        <v>1.902090141678122E-2</v>
      </c>
      <c r="K4708" s="43"/>
      <c r="L4708" s="43">
        <v>0.24740000000000001</v>
      </c>
      <c r="O4708" s="50"/>
    </row>
    <row r="4709" spans="2:15" x14ac:dyDescent="0.2">
      <c r="B4709">
        <f t="shared" si="269"/>
        <v>4694</v>
      </c>
      <c r="C4709" s="48">
        <f ca="1"/>
        <v>-1.3683401453096309</v>
      </c>
      <c r="D4709" s="48">
        <f t="shared" ca="1" si="270"/>
        <v>0.58064656761051092</v>
      </c>
      <c r="E4709" s="48">
        <f t="shared" ca="1" si="271"/>
        <v>0</v>
      </c>
      <c r="F4709" s="17">
        <f t="shared" ca="1" si="272"/>
        <v>0</v>
      </c>
      <c r="H4709" s="17">
        <v>4694</v>
      </c>
      <c r="I4709" s="43">
        <v>0.669482032265869</v>
      </c>
      <c r="J4709" s="43">
        <v>1.9744601528773283E-2</v>
      </c>
      <c r="K4709" s="43"/>
      <c r="L4709" s="43">
        <v>0.24940000000000001</v>
      </c>
      <c r="O4709" s="50"/>
    </row>
    <row r="4710" spans="2:15" x14ac:dyDescent="0.2">
      <c r="B4710">
        <f t="shared" si="269"/>
        <v>4695</v>
      </c>
      <c r="C4710" s="48">
        <f ca="1"/>
        <v>-1.5682698104694595</v>
      </c>
      <c r="D4710" s="48">
        <f t="shared" ca="1" si="270"/>
        <v>0.56931375366531634</v>
      </c>
      <c r="E4710" s="48">
        <f t="shared" ca="1" si="271"/>
        <v>0</v>
      </c>
      <c r="F4710" s="17">
        <f t="shared" ca="1" si="272"/>
        <v>0</v>
      </c>
      <c r="H4710" s="17">
        <v>4695</v>
      </c>
      <c r="I4710" s="43">
        <v>0.6684536882973986</v>
      </c>
      <c r="J4710" s="43">
        <v>1.9106869627006431E-2</v>
      </c>
      <c r="K4710" s="43"/>
      <c r="L4710" s="43">
        <v>0.24679999999999999</v>
      </c>
      <c r="O4710" s="50"/>
    </row>
    <row r="4711" spans="2:15" x14ac:dyDescent="0.2">
      <c r="B4711">
        <f t="shared" si="269"/>
        <v>4696</v>
      </c>
      <c r="C4711" s="48">
        <f ca="1"/>
        <v>-0.50608210756744909</v>
      </c>
      <c r="D4711" s="48">
        <f t="shared" ca="1" si="270"/>
        <v>0.63216478289610267</v>
      </c>
      <c r="E4711" s="48">
        <f t="shared" ca="1" si="271"/>
        <v>0</v>
      </c>
      <c r="F4711" s="17">
        <f t="shared" ca="1" si="272"/>
        <v>0</v>
      </c>
      <c r="H4711" s="17">
        <v>4696</v>
      </c>
      <c r="I4711" s="43">
        <v>0.66870951294683545</v>
      </c>
      <c r="J4711" s="43">
        <v>1.9179279816383458E-2</v>
      </c>
      <c r="K4711" s="43"/>
      <c r="L4711" s="43">
        <v>0.24940000000000001</v>
      </c>
      <c r="O4711" s="50"/>
    </row>
    <row r="4712" spans="2:15" x14ac:dyDescent="0.2">
      <c r="B4712">
        <f t="shared" si="269"/>
        <v>4697</v>
      </c>
      <c r="C4712" s="48">
        <f ca="1"/>
        <v>1.0795309476020916</v>
      </c>
      <c r="D4712" s="48">
        <f t="shared" ca="1" si="270"/>
        <v>0.73912841295609988</v>
      </c>
      <c r="E4712" s="48">
        <f t="shared" ca="1" si="271"/>
        <v>0</v>
      </c>
      <c r="F4712" s="17">
        <f t="shared" ca="1" si="272"/>
        <v>0</v>
      </c>
      <c r="H4712" s="17">
        <v>4697</v>
      </c>
      <c r="I4712" s="43">
        <v>0.66757394396863301</v>
      </c>
      <c r="J4712" s="43">
        <v>1.8400185460291523E-2</v>
      </c>
      <c r="K4712" s="43"/>
      <c r="L4712" s="43">
        <v>0.25180000000000002</v>
      </c>
      <c r="O4712" s="50"/>
    </row>
    <row r="4713" spans="2:15" x14ac:dyDescent="0.2">
      <c r="B4713">
        <f t="shared" si="269"/>
        <v>4698</v>
      </c>
      <c r="C4713" s="48">
        <f ca="1"/>
        <v>-9.0056230177375171E-2</v>
      </c>
      <c r="D4713" s="48">
        <f t="shared" ca="1" si="270"/>
        <v>0.65863204907889406</v>
      </c>
      <c r="E4713" s="48">
        <f t="shared" ca="1" si="271"/>
        <v>0</v>
      </c>
      <c r="F4713" s="17">
        <f t="shared" ca="1" si="272"/>
        <v>0</v>
      </c>
      <c r="H4713" s="17">
        <v>4698</v>
      </c>
      <c r="I4713" s="43">
        <v>0.67059363154010343</v>
      </c>
      <c r="J4713" s="43">
        <v>2.0288307785130667E-2</v>
      </c>
      <c r="K4713" s="43"/>
      <c r="L4713" s="43">
        <v>0.25140000000000001</v>
      </c>
      <c r="O4713" s="50"/>
    </row>
    <row r="4714" spans="2:15" x14ac:dyDescent="0.2">
      <c r="B4714">
        <f t="shared" si="269"/>
        <v>4699</v>
      </c>
      <c r="C4714" s="48">
        <f ca="1"/>
        <v>0.80361022319212017</v>
      </c>
      <c r="D4714" s="48">
        <f t="shared" ca="1" si="270"/>
        <v>0.71929340315055801</v>
      </c>
      <c r="E4714" s="48">
        <f t="shared" ca="1" si="271"/>
        <v>0</v>
      </c>
      <c r="F4714" s="17">
        <f t="shared" ca="1" si="272"/>
        <v>0</v>
      </c>
      <c r="H4714" s="17">
        <v>4699</v>
      </c>
      <c r="I4714" s="43">
        <v>0.66830612169376769</v>
      </c>
      <c r="J4714" s="43">
        <v>1.8908661954932692E-2</v>
      </c>
      <c r="K4714" s="43"/>
      <c r="L4714" s="43">
        <v>0.25</v>
      </c>
      <c r="O4714" s="50"/>
    </row>
    <row r="4715" spans="2:15" x14ac:dyDescent="0.2">
      <c r="B4715">
        <f t="shared" si="269"/>
        <v>4700</v>
      </c>
      <c r="C4715" s="48">
        <f ca="1"/>
        <v>1.2766431267128748</v>
      </c>
      <c r="D4715" s="48">
        <f t="shared" ca="1" si="270"/>
        <v>0.75363220911899009</v>
      </c>
      <c r="E4715" s="48">
        <f t="shared" ca="1" si="271"/>
        <v>0</v>
      </c>
      <c r="F4715" s="17">
        <f t="shared" ca="1" si="272"/>
        <v>0</v>
      </c>
      <c r="H4715" s="17">
        <v>4700</v>
      </c>
      <c r="I4715" s="43">
        <v>0.667860193502407</v>
      </c>
      <c r="J4715" s="43">
        <v>1.8471588478880658E-2</v>
      </c>
      <c r="K4715" s="43"/>
      <c r="L4715" s="43">
        <v>0.23860000000000001</v>
      </c>
      <c r="O4715" s="50"/>
    </row>
    <row r="4716" spans="2:15" x14ac:dyDescent="0.2">
      <c r="B4716">
        <f t="shared" si="269"/>
        <v>4701</v>
      </c>
      <c r="C4716" s="48">
        <f ca="1"/>
        <v>-2.3805293673419805</v>
      </c>
      <c r="D4716" s="48">
        <f t="shared" ca="1" si="270"/>
        <v>0.52550151857520655</v>
      </c>
      <c r="E4716" s="48">
        <f t="shared" ca="1" si="271"/>
        <v>0</v>
      </c>
      <c r="F4716" s="17">
        <f t="shared" ca="1" si="272"/>
        <v>0</v>
      </c>
      <c r="H4716" s="17">
        <v>4701</v>
      </c>
      <c r="I4716" s="43">
        <v>0.66757619580800087</v>
      </c>
      <c r="J4716" s="43">
        <v>1.8139470831419875E-2</v>
      </c>
      <c r="K4716" s="43"/>
      <c r="L4716" s="43">
        <v>0.24379999999999999</v>
      </c>
      <c r="O4716" s="50"/>
    </row>
    <row r="4717" spans="2:15" x14ac:dyDescent="0.2">
      <c r="B4717">
        <f t="shared" si="269"/>
        <v>4702</v>
      </c>
      <c r="C4717" s="48">
        <f ca="1"/>
        <v>0.79546748754402652</v>
      </c>
      <c r="D4717" s="48">
        <f t="shared" ca="1" si="270"/>
        <v>0.71871620646897616</v>
      </c>
      <c r="E4717" s="48">
        <f t="shared" ca="1" si="271"/>
        <v>0</v>
      </c>
      <c r="F4717" s="17">
        <f t="shared" ca="1" si="272"/>
        <v>0</v>
      </c>
      <c r="H4717" s="17">
        <v>4702</v>
      </c>
      <c r="I4717" s="43">
        <v>0.66899293086654066</v>
      </c>
      <c r="J4717" s="43">
        <v>1.9575679701444172E-2</v>
      </c>
      <c r="K4717" s="43"/>
      <c r="L4717" s="43">
        <v>0.25159999999999999</v>
      </c>
      <c r="O4717" s="50"/>
    </row>
    <row r="4718" spans="2:15" x14ac:dyDescent="0.2">
      <c r="B4718">
        <f t="shared" si="269"/>
        <v>4703</v>
      </c>
      <c r="C4718" s="48">
        <f ca="1"/>
        <v>-0.71463284867475774</v>
      </c>
      <c r="D4718" s="48">
        <f t="shared" ca="1" si="270"/>
        <v>0.61929987290095601</v>
      </c>
      <c r="E4718" s="48">
        <f t="shared" ca="1" si="271"/>
        <v>0</v>
      </c>
      <c r="F4718" s="17">
        <f t="shared" ca="1" si="272"/>
        <v>0</v>
      </c>
      <c r="H4718" s="17">
        <v>4703</v>
      </c>
      <c r="I4718" s="43">
        <v>0.66853004197414867</v>
      </c>
      <c r="J4718" s="43">
        <v>1.920621658227311E-2</v>
      </c>
      <c r="K4718" s="43"/>
      <c r="L4718" s="43">
        <v>0.2492</v>
      </c>
      <c r="O4718" s="50"/>
    </row>
    <row r="4719" spans="2:15" x14ac:dyDescent="0.2">
      <c r="B4719">
        <f t="shared" si="269"/>
        <v>4704</v>
      </c>
      <c r="C4719" s="48">
        <f ca="1"/>
        <v>1.5363856852582531</v>
      </c>
      <c r="D4719" s="48">
        <f t="shared" ca="1" si="270"/>
        <v>0.77317995658424121</v>
      </c>
      <c r="E4719" s="48">
        <f t="shared" ca="1" si="271"/>
        <v>0</v>
      </c>
      <c r="F4719" s="17">
        <f t="shared" ca="1" si="272"/>
        <v>0</v>
      </c>
      <c r="H4719" s="17">
        <v>4704</v>
      </c>
      <c r="I4719" s="43">
        <v>0.66784653656860338</v>
      </c>
      <c r="J4719" s="43">
        <v>1.8719344418177453E-2</v>
      </c>
      <c r="K4719" s="43"/>
      <c r="L4719" s="43">
        <v>0.24440000000000001</v>
      </c>
      <c r="O4719" s="50"/>
    </row>
    <row r="4720" spans="2:15" x14ac:dyDescent="0.2">
      <c r="B4720">
        <f t="shared" si="269"/>
        <v>4705</v>
      </c>
      <c r="C4720" s="48">
        <f ca="1"/>
        <v>-3.8017323641643473E-2</v>
      </c>
      <c r="D4720" s="48">
        <f t="shared" ca="1" si="270"/>
        <v>0.66201976720375943</v>
      </c>
      <c r="E4720" s="48">
        <f t="shared" ca="1" si="271"/>
        <v>0</v>
      </c>
      <c r="F4720" s="17">
        <f t="shared" ca="1" si="272"/>
        <v>0</v>
      </c>
      <c r="H4720" s="17">
        <v>4705</v>
      </c>
      <c r="I4720" s="43">
        <v>0.66820760599727735</v>
      </c>
      <c r="J4720" s="43">
        <v>1.8760492503361981E-2</v>
      </c>
      <c r="K4720" s="43"/>
      <c r="L4720" s="43">
        <v>0.2452</v>
      </c>
      <c r="O4720" s="50"/>
    </row>
    <row r="4721" spans="2:15" x14ac:dyDescent="0.2">
      <c r="B4721">
        <f t="shared" ref="B4721:B4784" si="273">B4720+1</f>
        <v>4706</v>
      </c>
      <c r="C4721" s="48">
        <f ca="1"/>
        <v>-7.8523968995677734E-2</v>
      </c>
      <c r="D4721" s="48">
        <f t="shared" ca="1" si="270"/>
        <v>0.65938129770616882</v>
      </c>
      <c r="E4721" s="48">
        <f t="shared" ca="1" si="271"/>
        <v>0</v>
      </c>
      <c r="F4721" s="17">
        <f t="shared" ca="1" si="272"/>
        <v>0</v>
      </c>
      <c r="H4721" s="17">
        <v>4706</v>
      </c>
      <c r="I4721" s="43">
        <v>0.6696457081622772</v>
      </c>
      <c r="J4721" s="43">
        <v>2.0132060490766584E-2</v>
      </c>
      <c r="K4721" s="43"/>
      <c r="L4721" s="43">
        <v>0.24979999999999999</v>
      </c>
      <c r="O4721" s="50"/>
    </row>
    <row r="4722" spans="2:15" x14ac:dyDescent="0.2">
      <c r="B4722">
        <f t="shared" si="273"/>
        <v>4707</v>
      </c>
      <c r="C4722" s="48">
        <f ca="1"/>
        <v>-1.3810284051116215</v>
      </c>
      <c r="D4722" s="48">
        <f t="shared" ca="1" si="270"/>
        <v>0.57992068892458537</v>
      </c>
      <c r="E4722" s="48">
        <f t="shared" ca="1" si="271"/>
        <v>0</v>
      </c>
      <c r="F4722" s="17">
        <f t="shared" ca="1" si="272"/>
        <v>0</v>
      </c>
      <c r="H4722" s="17">
        <v>4707</v>
      </c>
      <c r="I4722" s="43">
        <v>0.66919899170856756</v>
      </c>
      <c r="J4722" s="43">
        <v>1.9697898871864534E-2</v>
      </c>
      <c r="K4722" s="43"/>
      <c r="L4722" s="43">
        <v>0.25659999999999999</v>
      </c>
      <c r="O4722" s="50"/>
    </row>
    <row r="4723" spans="2:15" x14ac:dyDescent="0.2">
      <c r="B4723">
        <f t="shared" si="273"/>
        <v>4708</v>
      </c>
      <c r="C4723" s="48">
        <f ca="1"/>
        <v>0.97442549879103846</v>
      </c>
      <c r="D4723" s="48">
        <f t="shared" ca="1" si="270"/>
        <v>0.73150904942672657</v>
      </c>
      <c r="E4723" s="48">
        <f t="shared" ca="1" si="271"/>
        <v>0</v>
      </c>
      <c r="F4723" s="17">
        <f t="shared" ca="1" si="272"/>
        <v>0</v>
      </c>
      <c r="H4723" s="17">
        <v>4708</v>
      </c>
      <c r="I4723" s="43">
        <v>0.66942834199589307</v>
      </c>
      <c r="J4723" s="43">
        <v>1.9590986077442831E-2</v>
      </c>
      <c r="K4723" s="43"/>
      <c r="L4723" s="43">
        <v>0.25280000000000002</v>
      </c>
      <c r="O4723" s="50"/>
    </row>
    <row r="4724" spans="2:15" x14ac:dyDescent="0.2">
      <c r="B4724">
        <f t="shared" si="273"/>
        <v>4709</v>
      </c>
      <c r="C4724" s="48">
        <f ca="1"/>
        <v>0.87715094633103463</v>
      </c>
      <c r="D4724" s="48">
        <f t="shared" ca="1" si="270"/>
        <v>0.72452737044651894</v>
      </c>
      <c r="E4724" s="48">
        <f t="shared" ca="1" si="271"/>
        <v>0</v>
      </c>
      <c r="F4724" s="17">
        <f t="shared" ca="1" si="272"/>
        <v>0</v>
      </c>
      <c r="H4724" s="17">
        <v>4709</v>
      </c>
      <c r="I4724" s="43">
        <v>0.6694742146608994</v>
      </c>
      <c r="J4724" s="43">
        <v>1.9829836488753579E-2</v>
      </c>
      <c r="K4724" s="43"/>
      <c r="L4724" s="43">
        <v>0.25779999999999997</v>
      </c>
      <c r="O4724" s="50"/>
    </row>
    <row r="4725" spans="2:15" x14ac:dyDescent="0.2">
      <c r="B4725">
        <f t="shared" si="273"/>
        <v>4710</v>
      </c>
      <c r="C4725" s="48">
        <f ca="1"/>
        <v>-1.5894856200467133</v>
      </c>
      <c r="D4725" s="48">
        <f t="shared" ca="1" si="270"/>
        <v>0.56812421408762648</v>
      </c>
      <c r="E4725" s="48">
        <f t="shared" ca="1" si="271"/>
        <v>0</v>
      </c>
      <c r="F4725" s="17">
        <f t="shared" ca="1" si="272"/>
        <v>0</v>
      </c>
      <c r="H4725" s="17">
        <v>4710</v>
      </c>
      <c r="I4725" s="43">
        <v>0.66921754653343668</v>
      </c>
      <c r="J4725" s="43">
        <v>1.9755321866888116E-2</v>
      </c>
      <c r="K4725" s="43"/>
      <c r="L4725" s="43">
        <v>0.24540000000000001</v>
      </c>
      <c r="O4725" s="50"/>
    </row>
    <row r="4726" spans="2:15" x14ac:dyDescent="0.2">
      <c r="B4726">
        <f t="shared" si="273"/>
        <v>4711</v>
      </c>
      <c r="C4726" s="48">
        <f ca="1"/>
        <v>-0.10256610630348778</v>
      </c>
      <c r="D4726" s="48">
        <f t="shared" ca="1" si="270"/>
        <v>0.65782024766073932</v>
      </c>
      <c r="E4726" s="48">
        <f t="shared" ca="1" si="271"/>
        <v>0</v>
      </c>
      <c r="F4726" s="17">
        <f t="shared" ca="1" si="272"/>
        <v>0</v>
      </c>
      <c r="H4726" s="17">
        <v>4711</v>
      </c>
      <c r="I4726" s="43">
        <v>0.66851782461106746</v>
      </c>
      <c r="J4726" s="43">
        <v>1.9305910730094068E-2</v>
      </c>
      <c r="K4726" s="43"/>
      <c r="L4726" s="43">
        <v>0.25159999999999999</v>
      </c>
      <c r="O4726" s="50"/>
    </row>
    <row r="4727" spans="2:15" x14ac:dyDescent="0.2">
      <c r="B4727">
        <f t="shared" si="273"/>
        <v>4712</v>
      </c>
      <c r="C4727" s="48">
        <f ca="1"/>
        <v>-1.4884275662787612</v>
      </c>
      <c r="D4727" s="48">
        <f t="shared" ca="1" si="270"/>
        <v>0.57381275907690898</v>
      </c>
      <c r="E4727" s="48">
        <f t="shared" ca="1" si="271"/>
        <v>0</v>
      </c>
      <c r="F4727" s="17">
        <f t="shared" ca="1" si="272"/>
        <v>0</v>
      </c>
      <c r="H4727" s="17">
        <v>4712</v>
      </c>
      <c r="I4727" s="43">
        <v>0.67009410255049739</v>
      </c>
      <c r="J4727" s="43">
        <v>2.0114462970270482E-2</v>
      </c>
      <c r="K4727" s="43"/>
      <c r="L4727" s="43">
        <v>0.24640000000000001</v>
      </c>
      <c r="O4727" s="50"/>
    </row>
    <row r="4728" spans="2:15" x14ac:dyDescent="0.2">
      <c r="B4728">
        <f t="shared" si="273"/>
        <v>4713</v>
      </c>
      <c r="C4728" s="48">
        <f ca="1"/>
        <v>-0.49279538188711219</v>
      </c>
      <c r="D4728" s="48">
        <f t="shared" ca="1" si="270"/>
        <v>0.63299340108182656</v>
      </c>
      <c r="E4728" s="48">
        <f t="shared" ca="1" si="271"/>
        <v>0</v>
      </c>
      <c r="F4728" s="17">
        <f t="shared" ca="1" si="272"/>
        <v>0</v>
      </c>
      <c r="H4728" s="17">
        <v>4713</v>
      </c>
      <c r="I4728" s="43">
        <v>0.66829714568466447</v>
      </c>
      <c r="J4728" s="43">
        <v>1.8884777218677495E-2</v>
      </c>
      <c r="K4728" s="43"/>
      <c r="L4728" s="43">
        <v>0.248</v>
      </c>
      <c r="O4728" s="50"/>
    </row>
    <row r="4729" spans="2:15" x14ac:dyDescent="0.2">
      <c r="B4729">
        <f t="shared" si="273"/>
        <v>4714</v>
      </c>
      <c r="C4729" s="48">
        <f ca="1"/>
        <v>1.6012180786093542</v>
      </c>
      <c r="D4729" s="48">
        <f t="shared" ca="1" si="270"/>
        <v>0.77813768843030495</v>
      </c>
      <c r="E4729" s="48">
        <f t="shared" ca="1" si="271"/>
        <v>0</v>
      </c>
      <c r="F4729" s="17">
        <f t="shared" ca="1" si="272"/>
        <v>0</v>
      </c>
      <c r="H4729" s="17">
        <v>4714</v>
      </c>
      <c r="I4729" s="43">
        <v>0.66867328400499426</v>
      </c>
      <c r="J4729" s="43">
        <v>1.9089764086685935E-2</v>
      </c>
      <c r="K4729" s="43"/>
      <c r="L4729" s="43">
        <v>0.246</v>
      </c>
      <c r="O4729" s="50"/>
    </row>
    <row r="4730" spans="2:15" x14ac:dyDescent="0.2">
      <c r="B4730">
        <f t="shared" si="273"/>
        <v>4715</v>
      </c>
      <c r="C4730" s="48">
        <f ca="1"/>
        <v>-0.3220372152919358</v>
      </c>
      <c r="D4730" s="48">
        <f t="shared" ca="1" si="270"/>
        <v>0.64373980363644479</v>
      </c>
      <c r="E4730" s="48">
        <f t="shared" ca="1" si="271"/>
        <v>0</v>
      </c>
      <c r="F4730" s="17">
        <f t="shared" ca="1" si="272"/>
        <v>0</v>
      </c>
      <c r="H4730" s="17">
        <v>4715</v>
      </c>
      <c r="I4730" s="43">
        <v>0.66898306811354991</v>
      </c>
      <c r="J4730" s="43">
        <v>1.919680640638179E-2</v>
      </c>
      <c r="K4730" s="43"/>
      <c r="L4730" s="43">
        <v>0.25280000000000002</v>
      </c>
      <c r="O4730" s="50"/>
    </row>
    <row r="4731" spans="2:15" x14ac:dyDescent="0.2">
      <c r="B4731">
        <f t="shared" si="273"/>
        <v>4716</v>
      </c>
      <c r="C4731" s="48">
        <f ca="1"/>
        <v>-0.11120974698366694</v>
      </c>
      <c r="D4731" s="48">
        <f t="shared" ca="1" si="270"/>
        <v>0.65725992184464088</v>
      </c>
      <c r="E4731" s="48">
        <f t="shared" ca="1" si="271"/>
        <v>0</v>
      </c>
      <c r="F4731" s="17">
        <f t="shared" ca="1" si="272"/>
        <v>0</v>
      </c>
      <c r="H4731" s="17">
        <v>4716</v>
      </c>
      <c r="I4731" s="43">
        <v>0.66859878095825298</v>
      </c>
      <c r="J4731" s="43">
        <v>1.8991014046992067E-2</v>
      </c>
      <c r="K4731" s="43"/>
      <c r="L4731" s="43">
        <v>0.25280000000000002</v>
      </c>
      <c r="O4731" s="50"/>
    </row>
    <row r="4732" spans="2:15" x14ac:dyDescent="0.2">
      <c r="B4732">
        <f t="shared" si="273"/>
        <v>4717</v>
      </c>
      <c r="C4732" s="48">
        <f ca="1"/>
        <v>1.839707763916953</v>
      </c>
      <c r="D4732" s="48">
        <f t="shared" ca="1" si="270"/>
        <v>0.79665011554160425</v>
      </c>
      <c r="E4732" s="48">
        <f t="shared" ca="1" si="271"/>
        <v>8.4501155416042417E-3</v>
      </c>
      <c r="F4732" s="17">
        <f t="shared" ca="1" si="272"/>
        <v>1</v>
      </c>
      <c r="H4732" s="17">
        <v>4717</v>
      </c>
      <c r="I4732" s="43">
        <v>0.66890925635192999</v>
      </c>
      <c r="J4732" s="43">
        <v>1.9488074703078978E-2</v>
      </c>
      <c r="K4732" s="43"/>
      <c r="L4732" s="43">
        <v>0.25540000000000002</v>
      </c>
      <c r="O4732" s="50"/>
    </row>
    <row r="4733" spans="2:15" x14ac:dyDescent="0.2">
      <c r="B4733">
        <f t="shared" si="273"/>
        <v>4718</v>
      </c>
      <c r="C4733" s="48">
        <f ca="1"/>
        <v>-0.36597454250503697</v>
      </c>
      <c r="D4733" s="48">
        <f t="shared" ca="1" si="270"/>
        <v>0.6409573659460005</v>
      </c>
      <c r="E4733" s="48">
        <f t="shared" ca="1" si="271"/>
        <v>0</v>
      </c>
      <c r="F4733" s="17">
        <f t="shared" ca="1" si="272"/>
        <v>0</v>
      </c>
      <c r="H4733" s="17">
        <v>4718</v>
      </c>
      <c r="I4733" s="43">
        <v>0.66909613582813332</v>
      </c>
      <c r="J4733" s="43">
        <v>1.9212742906024746E-2</v>
      </c>
      <c r="K4733" s="43"/>
      <c r="L4733" s="43">
        <v>0.2472</v>
      </c>
      <c r="O4733" s="50"/>
    </row>
    <row r="4734" spans="2:15" x14ac:dyDescent="0.2">
      <c r="B4734">
        <f t="shared" si="273"/>
        <v>4719</v>
      </c>
      <c r="C4734" s="48">
        <f ca="1"/>
        <v>-0.85742575313481162</v>
      </c>
      <c r="D4734" s="48">
        <f t="shared" ca="1" si="270"/>
        <v>0.61064270152353028</v>
      </c>
      <c r="E4734" s="48">
        <f t="shared" ca="1" si="271"/>
        <v>0</v>
      </c>
      <c r="F4734" s="17">
        <f t="shared" ca="1" si="272"/>
        <v>0</v>
      </c>
      <c r="H4734" s="17">
        <v>4719</v>
      </c>
      <c r="I4734" s="43">
        <v>0.67007902596373448</v>
      </c>
      <c r="J4734" s="43">
        <v>2.0199822537861442E-2</v>
      </c>
      <c r="K4734" s="43"/>
      <c r="L4734" s="43">
        <v>0.25879999999999997</v>
      </c>
      <c r="O4734" s="50"/>
    </row>
    <row r="4735" spans="2:15" x14ac:dyDescent="0.2">
      <c r="B4735">
        <f t="shared" si="273"/>
        <v>4720</v>
      </c>
      <c r="C4735" s="48">
        <f ca="1"/>
        <v>-1.1138085988338751</v>
      </c>
      <c r="D4735" s="48">
        <f t="shared" ca="1" si="270"/>
        <v>0.5954014450025592</v>
      </c>
      <c r="E4735" s="48">
        <f t="shared" ca="1" si="271"/>
        <v>0</v>
      </c>
      <c r="F4735" s="17">
        <f t="shared" ca="1" si="272"/>
        <v>0</v>
      </c>
      <c r="H4735" s="17">
        <v>4720</v>
      </c>
      <c r="I4735" s="43">
        <v>0.67015696670871339</v>
      </c>
      <c r="J4735" s="43">
        <v>1.9898971530676053E-2</v>
      </c>
      <c r="K4735" s="43"/>
      <c r="L4735" s="43">
        <v>0.2492</v>
      </c>
      <c r="O4735" s="50"/>
    </row>
    <row r="4736" spans="2:15" x14ac:dyDescent="0.2">
      <c r="B4736">
        <f t="shared" si="273"/>
        <v>4721</v>
      </c>
      <c r="C4736" s="48">
        <f ca="1"/>
        <v>1.1707359344161801</v>
      </c>
      <c r="D4736" s="48">
        <f t="shared" ca="1" si="270"/>
        <v>0.74580437996674898</v>
      </c>
      <c r="E4736" s="48">
        <f t="shared" ca="1" si="271"/>
        <v>0</v>
      </c>
      <c r="F4736" s="17">
        <f t="shared" ca="1" si="272"/>
        <v>0</v>
      </c>
      <c r="H4736" s="17">
        <v>4721</v>
      </c>
      <c r="I4736" s="43">
        <v>0.66846908910271252</v>
      </c>
      <c r="J4736" s="43">
        <v>1.9025388626572267E-2</v>
      </c>
      <c r="K4736" s="43"/>
      <c r="L4736" s="43">
        <v>0.25540000000000002</v>
      </c>
      <c r="O4736" s="50"/>
    </row>
    <row r="4737" spans="2:15" x14ac:dyDescent="0.2">
      <c r="B4737">
        <f t="shared" si="273"/>
        <v>4722</v>
      </c>
      <c r="C4737" s="48">
        <f ca="1"/>
        <v>-1.5263499617757486</v>
      </c>
      <c r="D4737" s="48">
        <f t="shared" ca="1" si="270"/>
        <v>0.57167146608814967</v>
      </c>
      <c r="E4737" s="48">
        <f t="shared" ca="1" si="271"/>
        <v>0</v>
      </c>
      <c r="F4737" s="17">
        <f t="shared" ca="1" si="272"/>
        <v>0</v>
      </c>
      <c r="H4737" s="17">
        <v>4722</v>
      </c>
      <c r="I4737" s="43">
        <v>0.66871812282240817</v>
      </c>
      <c r="J4737" s="43">
        <v>1.9349448206044249E-2</v>
      </c>
      <c r="K4737" s="43"/>
      <c r="L4737" s="43">
        <v>0.25319999999999998</v>
      </c>
      <c r="O4737" s="50"/>
    </row>
    <row r="4738" spans="2:15" x14ac:dyDescent="0.2">
      <c r="B4738">
        <f t="shared" si="273"/>
        <v>4723</v>
      </c>
      <c r="C4738" s="48">
        <f ca="1"/>
        <v>0.76259513656606193</v>
      </c>
      <c r="D4738" s="48">
        <f t="shared" ca="1" si="270"/>
        <v>0.71639075980745415</v>
      </c>
      <c r="E4738" s="48">
        <f t="shared" ca="1" si="271"/>
        <v>0</v>
      </c>
      <c r="F4738" s="17">
        <f t="shared" ca="1" si="272"/>
        <v>0</v>
      </c>
      <c r="H4738" s="17">
        <v>4723</v>
      </c>
      <c r="I4738" s="43">
        <v>0.66871283670927073</v>
      </c>
      <c r="J4738" s="43">
        <v>1.9049914962480062E-2</v>
      </c>
      <c r="K4738" s="43"/>
      <c r="L4738" s="43">
        <v>0.25040000000000001</v>
      </c>
      <c r="O4738" s="50"/>
    </row>
    <row r="4739" spans="2:15" x14ac:dyDescent="0.2">
      <c r="B4739">
        <f t="shared" si="273"/>
        <v>4724</v>
      </c>
      <c r="C4739" s="48">
        <f ca="1"/>
        <v>-0.32152322429597313</v>
      </c>
      <c r="D4739" s="48">
        <f t="shared" ca="1" si="270"/>
        <v>0.64377242473620955</v>
      </c>
      <c r="E4739" s="48">
        <f t="shared" ca="1" si="271"/>
        <v>0</v>
      </c>
      <c r="F4739" s="17">
        <f t="shared" ca="1" si="272"/>
        <v>0</v>
      </c>
      <c r="H4739" s="17">
        <v>4724</v>
      </c>
      <c r="I4739" s="43">
        <v>0.66891205405527476</v>
      </c>
      <c r="J4739" s="43">
        <v>1.9243958427198744E-2</v>
      </c>
      <c r="K4739" s="43"/>
      <c r="L4739" s="43">
        <v>0.2472</v>
      </c>
      <c r="O4739" s="50"/>
    </row>
    <row r="4740" spans="2:15" x14ac:dyDescent="0.2">
      <c r="B4740">
        <f t="shared" si="273"/>
        <v>4725</v>
      </c>
      <c r="C4740" s="48">
        <f ca="1"/>
        <v>-0.57851983204276658</v>
      </c>
      <c r="D4740" s="48">
        <f t="shared" ca="1" si="270"/>
        <v>0.62766629046447342</v>
      </c>
      <c r="E4740" s="48">
        <f t="shared" ca="1" si="271"/>
        <v>0</v>
      </c>
      <c r="F4740" s="17">
        <f t="shared" ca="1" si="272"/>
        <v>0</v>
      </c>
      <c r="H4740" s="17">
        <v>4725</v>
      </c>
      <c r="I4740" s="43">
        <v>0.67011992624959116</v>
      </c>
      <c r="J4740" s="43">
        <v>2.0289696891024681E-2</v>
      </c>
      <c r="K4740" s="43"/>
      <c r="L4740" s="43">
        <v>0.25640000000000002</v>
      </c>
      <c r="O4740" s="50"/>
    </row>
    <row r="4741" spans="2:15" x14ac:dyDescent="0.2">
      <c r="B4741">
        <f t="shared" si="273"/>
        <v>4726</v>
      </c>
      <c r="C4741" s="48">
        <f ca="1"/>
        <v>-4.898676896179302E-2</v>
      </c>
      <c r="D4741" s="48">
        <f t="shared" ca="1" si="270"/>
        <v>0.66130421300785924</v>
      </c>
      <c r="E4741" s="48">
        <f t="shared" ca="1" si="271"/>
        <v>0</v>
      </c>
      <c r="F4741" s="17">
        <f t="shared" ca="1" si="272"/>
        <v>0</v>
      </c>
      <c r="H4741" s="17">
        <v>4726</v>
      </c>
      <c r="I4741" s="43">
        <v>0.66949194278456814</v>
      </c>
      <c r="J4741" s="43">
        <v>1.9982026489166867E-2</v>
      </c>
      <c r="K4741" s="43"/>
      <c r="L4741" s="43">
        <v>0.25140000000000001</v>
      </c>
      <c r="O4741" s="50"/>
    </row>
    <row r="4742" spans="2:15" x14ac:dyDescent="0.2">
      <c r="B4742">
        <f t="shared" si="273"/>
        <v>4727</v>
      </c>
      <c r="C4742" s="48">
        <f ca="1"/>
        <v>0.78484500230482801</v>
      </c>
      <c r="D4742" s="48">
        <f t="shared" ca="1" si="270"/>
        <v>0.71796392925328378</v>
      </c>
      <c r="E4742" s="48">
        <f t="shared" ca="1" si="271"/>
        <v>0</v>
      </c>
      <c r="F4742" s="17">
        <f t="shared" ca="1" si="272"/>
        <v>0</v>
      </c>
      <c r="H4742" s="17">
        <v>4727</v>
      </c>
      <c r="I4742" s="43">
        <v>0.66866861330985605</v>
      </c>
      <c r="J4742" s="43">
        <v>1.9271307956715548E-2</v>
      </c>
      <c r="K4742" s="43"/>
      <c r="L4742" s="43">
        <v>0.24679999999999999</v>
      </c>
      <c r="O4742" s="50"/>
    </row>
    <row r="4743" spans="2:15" x14ac:dyDescent="0.2">
      <c r="B4743">
        <f t="shared" si="273"/>
        <v>4728</v>
      </c>
      <c r="C4743" s="48">
        <f ca="1"/>
        <v>-0.42975868443648019</v>
      </c>
      <c r="D4743" s="48">
        <f t="shared" ca="1" si="270"/>
        <v>0.63693946888659703</v>
      </c>
      <c r="E4743" s="48">
        <f t="shared" ca="1" si="271"/>
        <v>0</v>
      </c>
      <c r="F4743" s="17">
        <f t="shared" ca="1" si="272"/>
        <v>0</v>
      </c>
      <c r="H4743" s="17">
        <v>4728</v>
      </c>
      <c r="I4743" s="43">
        <v>0.66905643755555733</v>
      </c>
      <c r="J4743" s="43">
        <v>1.937763799357203E-2</v>
      </c>
      <c r="K4743" s="43"/>
      <c r="L4743" s="43">
        <v>0.25140000000000001</v>
      </c>
      <c r="O4743" s="50"/>
    </row>
    <row r="4744" spans="2:15" x14ac:dyDescent="0.2">
      <c r="B4744">
        <f t="shared" si="273"/>
        <v>4729</v>
      </c>
      <c r="C4744" s="48">
        <f ca="1"/>
        <v>0.73996036060547765</v>
      </c>
      <c r="D4744" s="48">
        <f t="shared" ca="1" si="270"/>
        <v>0.71479391238650192</v>
      </c>
      <c r="E4744" s="48">
        <f t="shared" ca="1" si="271"/>
        <v>0</v>
      </c>
      <c r="F4744" s="17">
        <f t="shared" ca="1" si="272"/>
        <v>0</v>
      </c>
      <c r="H4744" s="17">
        <v>4729</v>
      </c>
      <c r="I4744" s="43">
        <v>0.66883564821278441</v>
      </c>
      <c r="J4744" s="43">
        <v>1.9382655869990106E-2</v>
      </c>
      <c r="K4744" s="43"/>
      <c r="L4744" s="43">
        <v>0.25459999999999999</v>
      </c>
      <c r="O4744" s="50"/>
    </row>
    <row r="4745" spans="2:15" x14ac:dyDescent="0.2">
      <c r="B4745">
        <f t="shared" si="273"/>
        <v>4730</v>
      </c>
      <c r="C4745" s="48">
        <f ca="1"/>
        <v>-0.5183744768072398</v>
      </c>
      <c r="D4745" s="48">
        <f t="shared" ca="1" si="270"/>
        <v>0.63139914312020273</v>
      </c>
      <c r="E4745" s="48">
        <f t="shared" ca="1" si="271"/>
        <v>0</v>
      </c>
      <c r="F4745" s="17">
        <f t="shared" ca="1" si="272"/>
        <v>0</v>
      </c>
      <c r="H4745" s="17">
        <v>4730</v>
      </c>
      <c r="I4745" s="43">
        <v>0.66744969057153125</v>
      </c>
      <c r="J4745" s="43">
        <v>1.8324654912250288E-2</v>
      </c>
      <c r="K4745" s="43"/>
      <c r="L4745" s="43">
        <v>0.24460000000000001</v>
      </c>
      <c r="O4745" s="50"/>
    </row>
    <row r="4746" spans="2:15" x14ac:dyDescent="0.2">
      <c r="B4746">
        <f t="shared" si="273"/>
        <v>4731</v>
      </c>
      <c r="C4746" s="48">
        <f ca="1"/>
        <v>-4.5806600546647695E-2</v>
      </c>
      <c r="D4746" s="48">
        <f t="shared" ca="1" si="270"/>
        <v>0.66151158075657679</v>
      </c>
      <c r="E4746" s="48">
        <f t="shared" ca="1" si="271"/>
        <v>0</v>
      </c>
      <c r="F4746" s="17">
        <f t="shared" ca="1" si="272"/>
        <v>0</v>
      </c>
      <c r="H4746" s="17">
        <v>4731</v>
      </c>
      <c r="I4746" s="43">
        <v>0.66773066507100787</v>
      </c>
      <c r="J4746" s="43">
        <v>1.8565408429259696E-2</v>
      </c>
      <c r="K4746" s="43"/>
      <c r="L4746" s="43">
        <v>0.24879999999999999</v>
      </c>
      <c r="O4746" s="50"/>
    </row>
    <row r="4747" spans="2:15" x14ac:dyDescent="0.2">
      <c r="B4747">
        <f t="shared" si="273"/>
        <v>4732</v>
      </c>
      <c r="C4747" s="48">
        <f ca="1"/>
        <v>1.5778241038199223</v>
      </c>
      <c r="D4747" s="48">
        <f t="shared" ca="1" si="270"/>
        <v>0.77634509637747207</v>
      </c>
      <c r="E4747" s="48">
        <f t="shared" ca="1" si="271"/>
        <v>0</v>
      </c>
      <c r="F4747" s="17">
        <f t="shared" ca="1" si="272"/>
        <v>0</v>
      </c>
      <c r="H4747" s="17">
        <v>4732</v>
      </c>
      <c r="I4747" s="43">
        <v>0.66734477628392042</v>
      </c>
      <c r="J4747" s="43">
        <v>1.8033089595913928E-2</v>
      </c>
      <c r="K4747" s="43"/>
      <c r="L4747" s="43">
        <v>0.24179999999999999</v>
      </c>
      <c r="O4747" s="50"/>
    </row>
    <row r="4748" spans="2:15" x14ac:dyDescent="0.2">
      <c r="B4748">
        <f t="shared" si="273"/>
        <v>4733</v>
      </c>
      <c r="C4748" s="48">
        <f ca="1"/>
        <v>0.23268163967515434</v>
      </c>
      <c r="D4748" s="48">
        <f t="shared" ca="1" si="270"/>
        <v>0.67992530134377716</v>
      </c>
      <c r="E4748" s="48">
        <f t="shared" ca="1" si="271"/>
        <v>0</v>
      </c>
      <c r="F4748" s="17">
        <f t="shared" ca="1" si="272"/>
        <v>0</v>
      </c>
      <c r="H4748" s="17">
        <v>4733</v>
      </c>
      <c r="I4748" s="43">
        <v>0.66943403539763446</v>
      </c>
      <c r="J4748" s="43">
        <v>1.9869479514324669E-2</v>
      </c>
      <c r="K4748" s="43"/>
      <c r="L4748" s="43">
        <v>0.25700000000000001</v>
      </c>
      <c r="O4748" s="50"/>
    </row>
    <row r="4749" spans="2:15" x14ac:dyDescent="0.2">
      <c r="B4749">
        <f t="shared" si="273"/>
        <v>4734</v>
      </c>
      <c r="C4749" s="48">
        <f ca="1"/>
        <v>0.99067837491668354</v>
      </c>
      <c r="D4749" s="48">
        <f t="shared" ca="1" si="270"/>
        <v>0.73268210783540189</v>
      </c>
      <c r="E4749" s="48">
        <f t="shared" ca="1" si="271"/>
        <v>0</v>
      </c>
      <c r="F4749" s="17">
        <f t="shared" ca="1" si="272"/>
        <v>0</v>
      </c>
      <c r="H4749" s="17">
        <v>4734</v>
      </c>
      <c r="I4749" s="43">
        <v>0.66898196222096251</v>
      </c>
      <c r="J4749" s="43">
        <v>1.9291100920985238E-2</v>
      </c>
      <c r="K4749" s="43"/>
      <c r="L4749" s="43">
        <v>0.24979999999999999</v>
      </c>
      <c r="O4749" s="50"/>
    </row>
    <row r="4750" spans="2:15" x14ac:dyDescent="0.2">
      <c r="B4750">
        <f t="shared" si="273"/>
        <v>4735</v>
      </c>
      <c r="C4750" s="48">
        <f ca="1"/>
        <v>-1.6528671996401834</v>
      </c>
      <c r="D4750" s="48">
        <f t="shared" ca="1" si="270"/>
        <v>0.56458528457416135</v>
      </c>
      <c r="E4750" s="48">
        <f t="shared" ca="1" si="271"/>
        <v>0</v>
      </c>
      <c r="F4750" s="17">
        <f t="shared" ca="1" si="272"/>
        <v>0</v>
      </c>
      <c r="H4750" s="17">
        <v>4735</v>
      </c>
      <c r="I4750" s="43">
        <v>0.66792136926439749</v>
      </c>
      <c r="J4750" s="43">
        <v>1.8548883804009972E-2</v>
      </c>
      <c r="K4750" s="43"/>
      <c r="L4750" s="43">
        <v>0.246</v>
      </c>
      <c r="O4750" s="50"/>
    </row>
    <row r="4751" spans="2:15" x14ac:dyDescent="0.2">
      <c r="B4751">
        <f t="shared" si="273"/>
        <v>4736</v>
      </c>
      <c r="C4751" s="48">
        <f ca="1"/>
        <v>-1.4670001852506283</v>
      </c>
      <c r="D4751" s="48">
        <f t="shared" ca="1" si="270"/>
        <v>0.57502620328161946</v>
      </c>
      <c r="E4751" s="48">
        <f t="shared" ca="1" si="271"/>
        <v>0</v>
      </c>
      <c r="F4751" s="17">
        <f t="shared" ca="1" si="272"/>
        <v>0</v>
      </c>
      <c r="H4751" s="17">
        <v>4736</v>
      </c>
      <c r="I4751" s="43">
        <v>0.66976367738228193</v>
      </c>
      <c r="J4751" s="43">
        <v>1.9998072431045136E-2</v>
      </c>
      <c r="K4751" s="43"/>
      <c r="L4751" s="43">
        <v>0.25219999999999998</v>
      </c>
      <c r="O4751" s="50"/>
    </row>
    <row r="4752" spans="2:15" x14ac:dyDescent="0.2">
      <c r="B4752">
        <f t="shared" si="273"/>
        <v>4737</v>
      </c>
      <c r="C4752" s="48">
        <f ca="1"/>
        <v>2.050923334352535</v>
      </c>
      <c r="D4752" s="48">
        <f t="shared" ref="D4752:D4815" ca="1" si="274">S0*EXP((μ-0.5*σ*σ)*T+σ*SQRT(T)*$C4752)</f>
        <v>0.81341284837044048</v>
      </c>
      <c r="E4752" s="48">
        <f t="shared" ref="E4752:E4815" ca="1" si="275">MAX(0,CP*(D4752-K))</f>
        <v>2.5212848370440466E-2</v>
      </c>
      <c r="F4752" s="17">
        <f t="shared" ref="F4752:F4815" ca="1" si="276">(CP*(D4752-K)&gt;0)*1</f>
        <v>1</v>
      </c>
      <c r="H4752" s="17">
        <v>4737</v>
      </c>
      <c r="I4752" s="43">
        <v>0.66935210589383454</v>
      </c>
      <c r="J4752" s="43">
        <v>1.9624741602263761E-2</v>
      </c>
      <c r="K4752" s="43"/>
      <c r="L4752" s="43">
        <v>0.25140000000000001</v>
      </c>
      <c r="O4752" s="50"/>
    </row>
    <row r="4753" spans="2:15" x14ac:dyDescent="0.2">
      <c r="B4753">
        <f t="shared" si="273"/>
        <v>4738</v>
      </c>
      <c r="C4753" s="48">
        <f ca="1"/>
        <v>-1.7657605913261061</v>
      </c>
      <c r="D4753" s="48">
        <f t="shared" ca="1" si="274"/>
        <v>0.5583363609588563</v>
      </c>
      <c r="E4753" s="48">
        <f t="shared" ca="1" si="275"/>
        <v>0</v>
      </c>
      <c r="F4753" s="17">
        <f t="shared" ca="1" si="276"/>
        <v>0</v>
      </c>
      <c r="H4753" s="17">
        <v>4738</v>
      </c>
      <c r="I4753" s="43">
        <v>0.6686310132884985</v>
      </c>
      <c r="J4753" s="43">
        <v>1.9171930698756202E-2</v>
      </c>
      <c r="K4753" s="43"/>
      <c r="L4753" s="43">
        <v>0.2422</v>
      </c>
      <c r="O4753" s="50"/>
    </row>
    <row r="4754" spans="2:15" x14ac:dyDescent="0.2">
      <c r="B4754">
        <f t="shared" si="273"/>
        <v>4739</v>
      </c>
      <c r="C4754" s="48">
        <f ca="1"/>
        <v>-0.2695229078069189</v>
      </c>
      <c r="D4754" s="48">
        <f t="shared" ca="1" si="274"/>
        <v>0.64708124956439872</v>
      </c>
      <c r="E4754" s="48">
        <f t="shared" ca="1" si="275"/>
        <v>0</v>
      </c>
      <c r="F4754" s="17">
        <f t="shared" ca="1" si="276"/>
        <v>0</v>
      </c>
      <c r="H4754" s="17">
        <v>4739</v>
      </c>
      <c r="I4754" s="43">
        <v>0.67047278825418466</v>
      </c>
      <c r="J4754" s="43">
        <v>2.0297330541568407E-2</v>
      </c>
      <c r="K4754" s="43"/>
      <c r="L4754" s="43">
        <v>0.25580000000000003</v>
      </c>
      <c r="O4754" s="50"/>
    </row>
    <row r="4755" spans="2:15" x14ac:dyDescent="0.2">
      <c r="B4755">
        <f t="shared" si="273"/>
        <v>4740</v>
      </c>
      <c r="C4755" s="48">
        <f ca="1"/>
        <v>7.1302006324897027E-2</v>
      </c>
      <c r="D4755" s="48">
        <f t="shared" ca="1" si="274"/>
        <v>0.66919328283053425</v>
      </c>
      <c r="E4755" s="48">
        <f t="shared" ca="1" si="275"/>
        <v>0</v>
      </c>
      <c r="F4755" s="17">
        <f t="shared" ca="1" si="276"/>
        <v>0</v>
      </c>
      <c r="H4755" s="17">
        <v>4740</v>
      </c>
      <c r="I4755" s="43">
        <v>0.66963998975923666</v>
      </c>
      <c r="J4755" s="43">
        <v>1.99185793244986E-2</v>
      </c>
      <c r="K4755" s="43"/>
      <c r="L4755" s="43">
        <v>0.25679999999999997</v>
      </c>
      <c r="O4755" s="50"/>
    </row>
    <row r="4756" spans="2:15" x14ac:dyDescent="0.2">
      <c r="B4756">
        <f t="shared" si="273"/>
        <v>4741</v>
      </c>
      <c r="C4756" s="48">
        <f ca="1"/>
        <v>3.0542064129128454</v>
      </c>
      <c r="D4756" s="48">
        <f t="shared" ca="1" si="274"/>
        <v>0.89798191543136296</v>
      </c>
      <c r="E4756" s="48">
        <f t="shared" ca="1" si="275"/>
        <v>0.10978191543136295</v>
      </c>
      <c r="F4756" s="17">
        <f t="shared" ca="1" si="276"/>
        <v>1</v>
      </c>
      <c r="H4756" s="17">
        <v>4741</v>
      </c>
      <c r="I4756" s="43">
        <v>0.66980046945570826</v>
      </c>
      <c r="J4756" s="43">
        <v>2.0117059539423277E-2</v>
      </c>
      <c r="K4756" s="43"/>
      <c r="L4756" s="43">
        <v>0.25679999999999997</v>
      </c>
      <c r="O4756" s="50"/>
    </row>
    <row r="4757" spans="2:15" x14ac:dyDescent="0.2">
      <c r="B4757">
        <f t="shared" si="273"/>
        <v>4742</v>
      </c>
      <c r="C4757" s="48">
        <f ca="1"/>
        <v>5.396100109840813E-2</v>
      </c>
      <c r="D4757" s="48">
        <f t="shared" ca="1" si="274"/>
        <v>0.66805020348006761</v>
      </c>
      <c r="E4757" s="48">
        <f t="shared" ca="1" si="275"/>
        <v>0</v>
      </c>
      <c r="F4757" s="17">
        <f t="shared" ca="1" si="276"/>
        <v>0</v>
      </c>
      <c r="H4757" s="17">
        <v>4742</v>
      </c>
      <c r="I4757" s="43">
        <v>0.66952306168687581</v>
      </c>
      <c r="J4757" s="43">
        <v>1.9940435901932754E-2</v>
      </c>
      <c r="K4757" s="43"/>
      <c r="L4757" s="43">
        <v>0.25059999999999999</v>
      </c>
      <c r="O4757" s="50"/>
    </row>
    <row r="4758" spans="2:15" x14ac:dyDescent="0.2">
      <c r="B4758">
        <f t="shared" si="273"/>
        <v>4743</v>
      </c>
      <c r="C4758" s="48">
        <f ca="1"/>
        <v>0.43382623468919845</v>
      </c>
      <c r="D4758" s="48">
        <f t="shared" ca="1" si="274"/>
        <v>0.69354302475073271</v>
      </c>
      <c r="E4758" s="48">
        <f t="shared" ca="1" si="275"/>
        <v>0</v>
      </c>
      <c r="F4758" s="17">
        <f t="shared" ca="1" si="276"/>
        <v>0</v>
      </c>
      <c r="H4758" s="17">
        <v>4743</v>
      </c>
      <c r="I4758" s="43">
        <v>0.67032865796920582</v>
      </c>
      <c r="J4758" s="43">
        <v>2.0688855727624605E-2</v>
      </c>
      <c r="K4758" s="43"/>
      <c r="L4758" s="43">
        <v>0.26219999999999999</v>
      </c>
      <c r="O4758" s="50"/>
    </row>
    <row r="4759" spans="2:15" x14ac:dyDescent="0.2">
      <c r="B4759">
        <f t="shared" si="273"/>
        <v>4744</v>
      </c>
      <c r="C4759" s="48">
        <f ca="1"/>
        <v>-0.17981497917543404</v>
      </c>
      <c r="D4759" s="48">
        <f t="shared" ca="1" si="274"/>
        <v>0.65282946779019246</v>
      </c>
      <c r="E4759" s="48">
        <f t="shared" ca="1" si="275"/>
        <v>0</v>
      </c>
      <c r="F4759" s="17">
        <f t="shared" ca="1" si="276"/>
        <v>0</v>
      </c>
      <c r="H4759" s="17">
        <v>4744</v>
      </c>
      <c r="I4759" s="43">
        <v>0.66848303275248233</v>
      </c>
      <c r="J4759" s="43">
        <v>1.9021919398936139E-2</v>
      </c>
      <c r="K4759" s="43"/>
      <c r="L4759" s="43">
        <v>0.248</v>
      </c>
      <c r="O4759" s="50"/>
    </row>
    <row r="4760" spans="2:15" x14ac:dyDescent="0.2">
      <c r="B4760">
        <f t="shared" si="273"/>
        <v>4745</v>
      </c>
      <c r="C4760" s="48">
        <f ca="1"/>
        <v>0.9091277225953811</v>
      </c>
      <c r="D4760" s="48">
        <f t="shared" ca="1" si="274"/>
        <v>0.72681505391489398</v>
      </c>
      <c r="E4760" s="48">
        <f t="shared" ca="1" si="275"/>
        <v>0</v>
      </c>
      <c r="F4760" s="17">
        <f t="shared" ca="1" si="276"/>
        <v>0</v>
      </c>
      <c r="H4760" s="17">
        <v>4745</v>
      </c>
      <c r="I4760" s="43">
        <v>0.66937575206049837</v>
      </c>
      <c r="J4760" s="43">
        <v>1.9752084691926994E-2</v>
      </c>
      <c r="K4760" s="43"/>
      <c r="L4760" s="43">
        <v>0.25380000000000003</v>
      </c>
      <c r="O4760" s="50"/>
    </row>
    <row r="4761" spans="2:15" x14ac:dyDescent="0.2">
      <c r="B4761">
        <f t="shared" si="273"/>
        <v>4746</v>
      </c>
      <c r="C4761" s="48">
        <f ca="1"/>
        <v>0.35722988901003111</v>
      </c>
      <c r="D4761" s="48">
        <f t="shared" ca="1" si="274"/>
        <v>0.68832550097529244</v>
      </c>
      <c r="E4761" s="48">
        <f t="shared" ca="1" si="275"/>
        <v>0</v>
      </c>
      <c r="F4761" s="17">
        <f t="shared" ca="1" si="276"/>
        <v>0</v>
      </c>
      <c r="H4761" s="17">
        <v>4746</v>
      </c>
      <c r="I4761" s="43">
        <v>0.66884287283181698</v>
      </c>
      <c r="J4761" s="43">
        <v>1.9348249725554611E-2</v>
      </c>
      <c r="K4761" s="43"/>
      <c r="L4761" s="43">
        <v>0.251</v>
      </c>
      <c r="O4761" s="50"/>
    </row>
    <row r="4762" spans="2:15" x14ac:dyDescent="0.2">
      <c r="B4762">
        <f t="shared" si="273"/>
        <v>4747</v>
      </c>
      <c r="C4762" s="48">
        <f ca="1"/>
        <v>1.8317429006329329</v>
      </c>
      <c r="D4762" s="48">
        <f t="shared" ca="1" si="274"/>
        <v>0.79602480295713485</v>
      </c>
      <c r="E4762" s="48">
        <f t="shared" ca="1" si="275"/>
        <v>7.8248029571348354E-3</v>
      </c>
      <c r="F4762" s="17">
        <f t="shared" ca="1" si="276"/>
        <v>1</v>
      </c>
      <c r="H4762" s="17">
        <v>4747</v>
      </c>
      <c r="I4762" s="43">
        <v>0.66908759092011549</v>
      </c>
      <c r="J4762" s="43">
        <v>1.9560864742802858E-2</v>
      </c>
      <c r="K4762" s="43"/>
      <c r="L4762" s="43">
        <v>0.251</v>
      </c>
      <c r="O4762" s="50"/>
    </row>
    <row r="4763" spans="2:15" x14ac:dyDescent="0.2">
      <c r="B4763">
        <f t="shared" si="273"/>
        <v>4748</v>
      </c>
      <c r="C4763" s="48">
        <f ca="1"/>
        <v>0.49861275643641273</v>
      </c>
      <c r="D4763" s="48">
        <f t="shared" ca="1" si="274"/>
        <v>0.69798695752844553</v>
      </c>
      <c r="E4763" s="48">
        <f t="shared" ca="1" si="275"/>
        <v>0</v>
      </c>
      <c r="F4763" s="17">
        <f t="shared" ca="1" si="276"/>
        <v>0</v>
      </c>
      <c r="H4763" s="17">
        <v>4748</v>
      </c>
      <c r="I4763" s="43">
        <v>0.66920919923537903</v>
      </c>
      <c r="J4763" s="43">
        <v>1.9670882199583819E-2</v>
      </c>
      <c r="K4763" s="43"/>
      <c r="L4763" s="43">
        <v>0.25779999999999997</v>
      </c>
      <c r="O4763" s="50"/>
    </row>
    <row r="4764" spans="2:15" x14ac:dyDescent="0.2">
      <c r="B4764">
        <f t="shared" si="273"/>
        <v>4749</v>
      </c>
      <c r="C4764" s="48">
        <f ca="1"/>
        <v>-0.2986401331692381</v>
      </c>
      <c r="D4764" s="48">
        <f t="shared" ca="1" si="274"/>
        <v>0.64522640581226565</v>
      </c>
      <c r="E4764" s="48">
        <f t="shared" ca="1" si="275"/>
        <v>0</v>
      </c>
      <c r="F4764" s="17">
        <f t="shared" ca="1" si="276"/>
        <v>0</v>
      </c>
      <c r="H4764" s="17">
        <v>4749</v>
      </c>
      <c r="I4764" s="43">
        <v>0.66956772686558408</v>
      </c>
      <c r="J4764" s="43">
        <v>1.9682887472853919E-2</v>
      </c>
      <c r="K4764" s="43"/>
      <c r="L4764" s="43">
        <v>0.251</v>
      </c>
      <c r="O4764" s="50"/>
    </row>
    <row r="4765" spans="2:15" x14ac:dyDescent="0.2">
      <c r="B4765">
        <f t="shared" si="273"/>
        <v>4750</v>
      </c>
      <c r="C4765" s="48">
        <f ca="1"/>
        <v>-2.7853176778125772</v>
      </c>
      <c r="D4765" s="48">
        <f t="shared" ca="1" si="274"/>
        <v>0.50494323891700299</v>
      </c>
      <c r="E4765" s="48">
        <f t="shared" ca="1" si="275"/>
        <v>0</v>
      </c>
      <c r="F4765" s="17">
        <f t="shared" ca="1" si="276"/>
        <v>0</v>
      </c>
      <c r="H4765" s="17">
        <v>4750</v>
      </c>
      <c r="I4765" s="43">
        <v>0.66947350048263754</v>
      </c>
      <c r="J4765" s="43">
        <v>1.9910315199566247E-2</v>
      </c>
      <c r="K4765" s="43"/>
      <c r="L4765" s="43">
        <v>0.25159999999999999</v>
      </c>
      <c r="O4765" s="50"/>
    </row>
    <row r="4766" spans="2:15" x14ac:dyDescent="0.2">
      <c r="B4766">
        <f t="shared" si="273"/>
        <v>4751</v>
      </c>
      <c r="C4766" s="48">
        <f ca="1"/>
        <v>-1.6520176910337403</v>
      </c>
      <c r="D4766" s="48">
        <f t="shared" ca="1" si="274"/>
        <v>0.56463257108226494</v>
      </c>
      <c r="E4766" s="48">
        <f t="shared" ca="1" si="275"/>
        <v>0</v>
      </c>
      <c r="F4766" s="17">
        <f t="shared" ca="1" si="276"/>
        <v>0</v>
      </c>
      <c r="H4766" s="17">
        <v>4751</v>
      </c>
      <c r="I4766" s="43">
        <v>0.66790143971393667</v>
      </c>
      <c r="J4766" s="43">
        <v>1.8736822179735987E-2</v>
      </c>
      <c r="K4766" s="43"/>
      <c r="L4766" s="43">
        <v>0.24879999999999999</v>
      </c>
      <c r="O4766" s="50"/>
    </row>
    <row r="4767" spans="2:15" x14ac:dyDescent="0.2">
      <c r="B4767">
        <f t="shared" si="273"/>
        <v>4752</v>
      </c>
      <c r="C4767" s="48">
        <f ca="1"/>
        <v>-1.0696367500877648</v>
      </c>
      <c r="D4767" s="48">
        <f t="shared" ca="1" si="274"/>
        <v>0.59799994759966413</v>
      </c>
      <c r="E4767" s="48">
        <f t="shared" ca="1" si="275"/>
        <v>0</v>
      </c>
      <c r="F4767" s="17">
        <f t="shared" ca="1" si="276"/>
        <v>0</v>
      </c>
      <c r="H4767" s="17">
        <v>4752</v>
      </c>
      <c r="I4767" s="43">
        <v>0.66894881176314103</v>
      </c>
      <c r="J4767" s="43">
        <v>1.9077268566096955E-2</v>
      </c>
      <c r="K4767" s="43"/>
      <c r="L4767" s="43">
        <v>0.24399999999999999</v>
      </c>
      <c r="O4767" s="50"/>
    </row>
    <row r="4768" spans="2:15" x14ac:dyDescent="0.2">
      <c r="B4768">
        <f t="shared" si="273"/>
        <v>4753</v>
      </c>
      <c r="C4768" s="48">
        <f ca="1"/>
        <v>1.1593827432602912</v>
      </c>
      <c r="D4768" s="48">
        <f t="shared" ca="1" si="274"/>
        <v>0.74497008125321951</v>
      </c>
      <c r="E4768" s="48">
        <f t="shared" ca="1" si="275"/>
        <v>0</v>
      </c>
      <c r="F4768" s="17">
        <f t="shared" ca="1" si="276"/>
        <v>0</v>
      </c>
      <c r="H4768" s="17">
        <v>4753</v>
      </c>
      <c r="I4768" s="43">
        <v>0.66854128510667721</v>
      </c>
      <c r="J4768" s="43">
        <v>1.9062898400137196E-2</v>
      </c>
      <c r="K4768" s="43"/>
      <c r="L4768" s="43">
        <v>0.24560000000000001</v>
      </c>
      <c r="O4768" s="50"/>
    </row>
    <row r="4769" spans="2:15" x14ac:dyDescent="0.2">
      <c r="B4769">
        <f t="shared" si="273"/>
        <v>4754</v>
      </c>
      <c r="C4769" s="48">
        <f ca="1"/>
        <v>-0.73800733773969407</v>
      </c>
      <c r="D4769" s="48">
        <f t="shared" ca="1" si="274"/>
        <v>0.61787438172570197</v>
      </c>
      <c r="E4769" s="48">
        <f t="shared" ca="1" si="275"/>
        <v>0</v>
      </c>
      <c r="F4769" s="17">
        <f t="shared" ca="1" si="276"/>
        <v>0</v>
      </c>
      <c r="H4769" s="17">
        <v>4754</v>
      </c>
      <c r="I4769" s="43">
        <v>0.66897408838960515</v>
      </c>
      <c r="J4769" s="43">
        <v>1.9106136838033735E-2</v>
      </c>
      <c r="K4769" s="43"/>
      <c r="L4769" s="43">
        <v>0.25159999999999999</v>
      </c>
      <c r="O4769" s="50"/>
    </row>
    <row r="4770" spans="2:15" x14ac:dyDescent="0.2">
      <c r="B4770">
        <f t="shared" si="273"/>
        <v>4755</v>
      </c>
      <c r="C4770" s="48">
        <f ca="1"/>
        <v>-0.44963845163031813</v>
      </c>
      <c r="D4770" s="48">
        <f t="shared" ca="1" si="274"/>
        <v>0.6356923563078648</v>
      </c>
      <c r="E4770" s="48">
        <f t="shared" ca="1" si="275"/>
        <v>0</v>
      </c>
      <c r="F4770" s="17">
        <f t="shared" ca="1" si="276"/>
        <v>0</v>
      </c>
      <c r="H4770" s="17">
        <v>4755</v>
      </c>
      <c r="I4770" s="43">
        <v>0.66928464374882912</v>
      </c>
      <c r="J4770" s="43">
        <v>1.9637846981434549E-2</v>
      </c>
      <c r="K4770" s="43"/>
      <c r="L4770" s="43">
        <v>0.25219999999999998</v>
      </c>
      <c r="O4770" s="50"/>
    </row>
    <row r="4771" spans="2:15" x14ac:dyDescent="0.2">
      <c r="B4771">
        <f t="shared" si="273"/>
        <v>4756</v>
      </c>
      <c r="C4771" s="48">
        <f ca="1"/>
        <v>0.84736365654571755</v>
      </c>
      <c r="D4771" s="48">
        <f t="shared" ca="1" si="274"/>
        <v>0.72240280566837134</v>
      </c>
      <c r="E4771" s="48">
        <f t="shared" ca="1" si="275"/>
        <v>0</v>
      </c>
      <c r="F4771" s="17">
        <f t="shared" ca="1" si="276"/>
        <v>0</v>
      </c>
      <c r="H4771" s="17">
        <v>4756</v>
      </c>
      <c r="I4771" s="43">
        <v>0.66824169214118767</v>
      </c>
      <c r="J4771" s="43">
        <v>1.8482791163480554E-2</v>
      </c>
      <c r="K4771" s="43"/>
      <c r="L4771" s="43">
        <v>0.24299999999999999</v>
      </c>
      <c r="O4771" s="50"/>
    </row>
    <row r="4772" spans="2:15" x14ac:dyDescent="0.2">
      <c r="B4772">
        <f t="shared" si="273"/>
        <v>4757</v>
      </c>
      <c r="C4772" s="48">
        <f ca="1"/>
        <v>-1.4223383371870635</v>
      </c>
      <c r="D4772" s="48">
        <f t="shared" ca="1" si="274"/>
        <v>0.57756368263548608</v>
      </c>
      <c r="E4772" s="48">
        <f t="shared" ca="1" si="275"/>
        <v>0</v>
      </c>
      <c r="F4772" s="17">
        <f t="shared" ca="1" si="276"/>
        <v>0</v>
      </c>
      <c r="H4772" s="17">
        <v>4757</v>
      </c>
      <c r="I4772" s="43">
        <v>0.66756366096484154</v>
      </c>
      <c r="J4772" s="43">
        <v>1.845222873742175E-2</v>
      </c>
      <c r="K4772" s="43"/>
      <c r="L4772" s="43">
        <v>0.24360000000000001</v>
      </c>
      <c r="O4772" s="50"/>
    </row>
    <row r="4773" spans="2:15" x14ac:dyDescent="0.2">
      <c r="B4773">
        <f t="shared" si="273"/>
        <v>4758</v>
      </c>
      <c r="C4773" s="48">
        <f ca="1"/>
        <v>-1.1774434562602281</v>
      </c>
      <c r="D4773" s="48">
        <f t="shared" ca="1" si="274"/>
        <v>0.5916778272029829</v>
      </c>
      <c r="E4773" s="48">
        <f t="shared" ca="1" si="275"/>
        <v>0</v>
      </c>
      <c r="F4773" s="17">
        <f t="shared" ca="1" si="276"/>
        <v>0</v>
      </c>
      <c r="H4773" s="17">
        <v>4758</v>
      </c>
      <c r="I4773" s="43">
        <v>0.67037446992166583</v>
      </c>
      <c r="J4773" s="43">
        <v>2.0381636799206022E-2</v>
      </c>
      <c r="K4773" s="43"/>
      <c r="L4773" s="43">
        <v>0.254</v>
      </c>
      <c r="O4773" s="50"/>
    </row>
    <row r="4774" spans="2:15" x14ac:dyDescent="0.2">
      <c r="B4774">
        <f t="shared" si="273"/>
        <v>4759</v>
      </c>
      <c r="C4774" s="48">
        <f ca="1"/>
        <v>-0.96308883413961821</v>
      </c>
      <c r="D4774" s="48">
        <f t="shared" ca="1" si="274"/>
        <v>0.60431461964225497</v>
      </c>
      <c r="E4774" s="48">
        <f t="shared" ca="1" si="275"/>
        <v>0</v>
      </c>
      <c r="F4774" s="17">
        <f t="shared" ca="1" si="276"/>
        <v>0</v>
      </c>
      <c r="H4774" s="17">
        <v>4759</v>
      </c>
      <c r="I4774" s="43">
        <v>0.66966889734548274</v>
      </c>
      <c r="J4774" s="43">
        <v>1.9681891190884294E-2</v>
      </c>
      <c r="K4774" s="43"/>
      <c r="L4774" s="43">
        <v>0.25340000000000001</v>
      </c>
      <c r="O4774" s="50"/>
    </row>
    <row r="4775" spans="2:15" x14ac:dyDescent="0.2">
      <c r="B4775">
        <f t="shared" si="273"/>
        <v>4760</v>
      </c>
      <c r="C4775" s="48">
        <f ca="1"/>
        <v>0.87568715453720847</v>
      </c>
      <c r="D4775" s="48">
        <f t="shared" ca="1" si="274"/>
        <v>0.72442282033782868</v>
      </c>
      <c r="E4775" s="48">
        <f t="shared" ca="1" si="275"/>
        <v>0</v>
      </c>
      <c r="F4775" s="17">
        <f t="shared" ca="1" si="276"/>
        <v>0</v>
      </c>
      <c r="H4775" s="17">
        <v>4760</v>
      </c>
      <c r="I4775" s="43">
        <v>0.67134388741074402</v>
      </c>
      <c r="J4775" s="43">
        <v>2.1046958381717822E-2</v>
      </c>
      <c r="K4775" s="43"/>
      <c r="L4775" s="43">
        <v>0.25719999999999998</v>
      </c>
      <c r="O4775" s="50"/>
    </row>
    <row r="4776" spans="2:15" x14ac:dyDescent="0.2">
      <c r="B4776">
        <f t="shared" si="273"/>
        <v>4761</v>
      </c>
      <c r="C4776" s="48">
        <f ca="1"/>
        <v>-1.2626256119451007</v>
      </c>
      <c r="D4776" s="48">
        <f t="shared" ca="1" si="274"/>
        <v>0.58672978564568279</v>
      </c>
      <c r="E4776" s="48">
        <f t="shared" ca="1" si="275"/>
        <v>0</v>
      </c>
      <c r="F4776" s="17">
        <f t="shared" ca="1" si="276"/>
        <v>0</v>
      </c>
      <c r="H4776" s="17">
        <v>4761</v>
      </c>
      <c r="I4776" s="43">
        <v>0.66844513259116711</v>
      </c>
      <c r="J4776" s="43">
        <v>1.887684587372284E-2</v>
      </c>
      <c r="K4776" s="43"/>
      <c r="L4776" s="43">
        <v>0.2404</v>
      </c>
      <c r="O4776" s="50"/>
    </row>
    <row r="4777" spans="2:15" x14ac:dyDescent="0.2">
      <c r="B4777">
        <f t="shared" si="273"/>
        <v>4762</v>
      </c>
      <c r="C4777" s="48">
        <f ca="1"/>
        <v>-2.5153362175895015</v>
      </c>
      <c r="D4777" s="48">
        <f t="shared" ca="1" si="274"/>
        <v>0.51856366852510094</v>
      </c>
      <c r="E4777" s="48">
        <f t="shared" ca="1" si="275"/>
        <v>0</v>
      </c>
      <c r="F4777" s="17">
        <f t="shared" ca="1" si="276"/>
        <v>0</v>
      </c>
      <c r="H4777" s="17">
        <v>4762</v>
      </c>
      <c r="I4777" s="43">
        <v>0.66904607364931024</v>
      </c>
      <c r="J4777" s="43">
        <v>1.9391870200672554E-2</v>
      </c>
      <c r="K4777" s="43"/>
      <c r="L4777" s="43">
        <v>0.2492</v>
      </c>
      <c r="O4777" s="50"/>
    </row>
    <row r="4778" spans="2:15" x14ac:dyDescent="0.2">
      <c r="B4778">
        <f t="shared" si="273"/>
        <v>4763</v>
      </c>
      <c r="C4778" s="48">
        <f ca="1"/>
        <v>1.4708661609862042</v>
      </c>
      <c r="D4778" s="48">
        <f t="shared" ca="1" si="274"/>
        <v>0.76820177015774882</v>
      </c>
      <c r="E4778" s="48">
        <f t="shared" ca="1" si="275"/>
        <v>0</v>
      </c>
      <c r="F4778" s="17">
        <f t="shared" ca="1" si="276"/>
        <v>0</v>
      </c>
      <c r="H4778" s="17">
        <v>4763</v>
      </c>
      <c r="I4778" s="43">
        <v>0.66845535049615967</v>
      </c>
      <c r="J4778" s="43">
        <v>1.9207893909346022E-2</v>
      </c>
      <c r="K4778" s="43"/>
      <c r="L4778" s="43">
        <v>0.2482</v>
      </c>
      <c r="O4778" s="50"/>
    </row>
    <row r="4779" spans="2:15" x14ac:dyDescent="0.2">
      <c r="B4779">
        <f t="shared" si="273"/>
        <v>4764</v>
      </c>
      <c r="C4779" s="48">
        <f ca="1"/>
        <v>0.68454189719490011</v>
      </c>
      <c r="D4779" s="48">
        <f t="shared" ca="1" si="274"/>
        <v>0.71089923770367669</v>
      </c>
      <c r="E4779" s="48">
        <f t="shared" ca="1" si="275"/>
        <v>0</v>
      </c>
      <c r="F4779" s="17">
        <f t="shared" ca="1" si="276"/>
        <v>0</v>
      </c>
      <c r="H4779" s="17">
        <v>4764</v>
      </c>
      <c r="I4779" s="43">
        <v>0.66912767497728554</v>
      </c>
      <c r="J4779" s="43">
        <v>1.9545414266649082E-2</v>
      </c>
      <c r="K4779" s="43"/>
      <c r="L4779" s="43">
        <v>0.24160000000000001</v>
      </c>
      <c r="O4779" s="50"/>
    </row>
    <row r="4780" spans="2:15" x14ac:dyDescent="0.2">
      <c r="B4780">
        <f t="shared" si="273"/>
        <v>4765</v>
      </c>
      <c r="C4780" s="48">
        <f ca="1"/>
        <v>-5.7801391566815519E-2</v>
      </c>
      <c r="D4780" s="48">
        <f t="shared" ca="1" si="274"/>
        <v>0.66072978177775987</v>
      </c>
      <c r="E4780" s="48">
        <f t="shared" ca="1" si="275"/>
        <v>0</v>
      </c>
      <c r="F4780" s="17">
        <f t="shared" ca="1" si="276"/>
        <v>0</v>
      </c>
      <c r="H4780" s="17">
        <v>4765</v>
      </c>
      <c r="I4780" s="43">
        <v>0.66897677824054691</v>
      </c>
      <c r="J4780" s="43">
        <v>1.9526080532458332E-2</v>
      </c>
      <c r="K4780" s="43"/>
      <c r="L4780" s="43">
        <v>0.24859999999999999</v>
      </c>
      <c r="O4780" s="50"/>
    </row>
    <row r="4781" spans="2:15" x14ac:dyDescent="0.2">
      <c r="B4781">
        <f t="shared" si="273"/>
        <v>4766</v>
      </c>
      <c r="C4781" s="48">
        <f ca="1"/>
        <v>0.42289346146608936</v>
      </c>
      <c r="D4781" s="48">
        <f t="shared" ca="1" si="274"/>
        <v>0.69279590289572301</v>
      </c>
      <c r="E4781" s="48">
        <f t="shared" ca="1" si="275"/>
        <v>0</v>
      </c>
      <c r="F4781" s="17">
        <f t="shared" ca="1" si="276"/>
        <v>0</v>
      </c>
      <c r="H4781" s="17">
        <v>4766</v>
      </c>
      <c r="I4781" s="43">
        <v>0.6699145654321923</v>
      </c>
      <c r="J4781" s="43">
        <v>2.0275154856744828E-2</v>
      </c>
      <c r="K4781" s="43"/>
      <c r="L4781" s="43">
        <v>0.26240000000000002</v>
      </c>
      <c r="O4781" s="50"/>
    </row>
    <row r="4782" spans="2:15" x14ac:dyDescent="0.2">
      <c r="B4782">
        <f t="shared" si="273"/>
        <v>4767</v>
      </c>
      <c r="C4782" s="48">
        <f ca="1"/>
        <v>6.1220314219928434E-2</v>
      </c>
      <c r="D4782" s="48">
        <f t="shared" ca="1" si="274"/>
        <v>0.66852848298093737</v>
      </c>
      <c r="E4782" s="48">
        <f t="shared" ca="1" si="275"/>
        <v>0</v>
      </c>
      <c r="F4782" s="17">
        <f t="shared" ca="1" si="276"/>
        <v>0</v>
      </c>
      <c r="H4782" s="17">
        <v>4767</v>
      </c>
      <c r="I4782" s="43">
        <v>0.66883098158646381</v>
      </c>
      <c r="J4782" s="43">
        <v>1.9323079108124457E-2</v>
      </c>
      <c r="K4782" s="43"/>
      <c r="L4782" s="43">
        <v>0.25119999999999998</v>
      </c>
      <c r="O4782" s="50"/>
    </row>
    <row r="4783" spans="2:15" x14ac:dyDescent="0.2">
      <c r="B4783">
        <f t="shared" si="273"/>
        <v>4768</v>
      </c>
      <c r="C4783" s="48">
        <f ca="1"/>
        <v>1.0024848219804945</v>
      </c>
      <c r="D4783" s="48">
        <f t="shared" ca="1" si="274"/>
        <v>0.73353542269370131</v>
      </c>
      <c r="E4783" s="48">
        <f t="shared" ca="1" si="275"/>
        <v>0</v>
      </c>
      <c r="F4783" s="17">
        <f t="shared" ca="1" si="276"/>
        <v>0</v>
      </c>
      <c r="H4783" s="17">
        <v>4768</v>
      </c>
      <c r="I4783" s="43">
        <v>0.66913781333803113</v>
      </c>
      <c r="J4783" s="43">
        <v>1.9540960676121627E-2</v>
      </c>
      <c r="K4783" s="43"/>
      <c r="L4783" s="43">
        <v>0.252</v>
      </c>
      <c r="O4783" s="50"/>
    </row>
    <row r="4784" spans="2:15" x14ac:dyDescent="0.2">
      <c r="B4784">
        <f t="shared" si="273"/>
        <v>4769</v>
      </c>
      <c r="C4784" s="48">
        <f ca="1"/>
        <v>0.61012238643152683</v>
      </c>
      <c r="D4784" s="48">
        <f t="shared" ca="1" si="274"/>
        <v>0.70570257677289117</v>
      </c>
      <c r="E4784" s="48">
        <f t="shared" ca="1" si="275"/>
        <v>0</v>
      </c>
      <c r="F4784" s="17">
        <f t="shared" ca="1" si="276"/>
        <v>0</v>
      </c>
      <c r="H4784" s="17">
        <v>4769</v>
      </c>
      <c r="I4784" s="43">
        <v>0.6695059610656654</v>
      </c>
      <c r="J4784" s="43">
        <v>1.9888561759496663E-2</v>
      </c>
      <c r="K4784" s="43"/>
      <c r="L4784" s="43">
        <v>0.25440000000000002</v>
      </c>
      <c r="O4784" s="50"/>
    </row>
    <row r="4785" spans="2:15" x14ac:dyDescent="0.2">
      <c r="B4785">
        <f t="shared" ref="B4785:B4848" si="277">B4784+1</f>
        <v>4770</v>
      </c>
      <c r="C4785" s="48">
        <f ca="1"/>
        <v>0.80458545581702046</v>
      </c>
      <c r="D4785" s="48">
        <f t="shared" ca="1" si="274"/>
        <v>0.71936256345514538</v>
      </c>
      <c r="E4785" s="48">
        <f t="shared" ca="1" si="275"/>
        <v>0</v>
      </c>
      <c r="F4785" s="17">
        <f t="shared" ca="1" si="276"/>
        <v>0</v>
      </c>
      <c r="H4785" s="17">
        <v>4770</v>
      </c>
      <c r="I4785" s="43">
        <v>0.66906779802285332</v>
      </c>
      <c r="J4785" s="43">
        <v>1.9147011188623442E-2</v>
      </c>
      <c r="K4785" s="43"/>
      <c r="L4785" s="43">
        <v>0.2382</v>
      </c>
      <c r="O4785" s="50"/>
    </row>
    <row r="4786" spans="2:15" x14ac:dyDescent="0.2">
      <c r="B4786">
        <f t="shared" si="277"/>
        <v>4771</v>
      </c>
      <c r="C4786" s="48">
        <f ca="1"/>
        <v>-0.58094164247397417</v>
      </c>
      <c r="D4786" s="48">
        <f t="shared" ca="1" si="274"/>
        <v>0.62751644664797623</v>
      </c>
      <c r="E4786" s="48">
        <f t="shared" ca="1" si="275"/>
        <v>0</v>
      </c>
      <c r="F4786" s="17">
        <f t="shared" ca="1" si="276"/>
        <v>0</v>
      </c>
      <c r="H4786" s="17">
        <v>4771</v>
      </c>
      <c r="I4786" s="43">
        <v>0.66963581879493228</v>
      </c>
      <c r="J4786" s="43">
        <v>2.0031294442980085E-2</v>
      </c>
      <c r="K4786" s="43"/>
      <c r="L4786" s="43">
        <v>0.25</v>
      </c>
      <c r="O4786" s="50"/>
    </row>
    <row r="4787" spans="2:15" x14ac:dyDescent="0.2">
      <c r="B4787">
        <f t="shared" si="277"/>
        <v>4772</v>
      </c>
      <c r="C4787" s="48">
        <f ca="1"/>
        <v>0.89996973031716576</v>
      </c>
      <c r="D4787" s="48">
        <f t="shared" ca="1" si="274"/>
        <v>0.72615913543345567</v>
      </c>
      <c r="E4787" s="48">
        <f t="shared" ca="1" si="275"/>
        <v>0</v>
      </c>
      <c r="F4787" s="17">
        <f t="shared" ca="1" si="276"/>
        <v>0</v>
      </c>
      <c r="H4787" s="17">
        <v>4772</v>
      </c>
      <c r="I4787" s="43">
        <v>0.66903981363943665</v>
      </c>
      <c r="J4787" s="43">
        <v>1.920449294907034E-2</v>
      </c>
      <c r="K4787" s="43"/>
      <c r="L4787" s="43">
        <v>0.24440000000000001</v>
      </c>
      <c r="O4787" s="50"/>
    </row>
    <row r="4788" spans="2:15" x14ac:dyDescent="0.2">
      <c r="B4788">
        <f t="shared" si="277"/>
        <v>4773</v>
      </c>
      <c r="C4788" s="48">
        <f ca="1"/>
        <v>-0.3610201636008159</v>
      </c>
      <c r="D4788" s="48">
        <f t="shared" ca="1" si="274"/>
        <v>0.64127051142703229</v>
      </c>
      <c r="E4788" s="48">
        <f t="shared" ca="1" si="275"/>
        <v>0</v>
      </c>
      <c r="F4788" s="17">
        <f t="shared" ca="1" si="276"/>
        <v>0</v>
      </c>
      <c r="H4788" s="17">
        <v>4773</v>
      </c>
      <c r="I4788" s="43">
        <v>0.66989068772624183</v>
      </c>
      <c r="J4788" s="43">
        <v>1.9933719650961801E-2</v>
      </c>
      <c r="K4788" s="43"/>
      <c r="L4788" s="43">
        <v>0.25219999999999998</v>
      </c>
      <c r="O4788" s="50"/>
    </row>
    <row r="4789" spans="2:15" x14ac:dyDescent="0.2">
      <c r="B4789">
        <f t="shared" si="277"/>
        <v>4774</v>
      </c>
      <c r="C4789" s="48">
        <f ca="1"/>
        <v>-0.60486529374225351</v>
      </c>
      <c r="D4789" s="48">
        <f t="shared" ca="1" si="274"/>
        <v>0.62603814779590439</v>
      </c>
      <c r="E4789" s="48">
        <f t="shared" ca="1" si="275"/>
        <v>0</v>
      </c>
      <c r="F4789" s="17">
        <f t="shared" ca="1" si="276"/>
        <v>0</v>
      </c>
      <c r="H4789" s="17">
        <v>4774</v>
      </c>
      <c r="I4789" s="43">
        <v>0.66893659362399871</v>
      </c>
      <c r="J4789" s="43">
        <v>1.9327291448691098E-2</v>
      </c>
      <c r="K4789" s="43"/>
      <c r="L4789" s="43">
        <v>0.25280000000000002</v>
      </c>
      <c r="O4789" s="50"/>
    </row>
    <row r="4790" spans="2:15" x14ac:dyDescent="0.2">
      <c r="B4790">
        <f t="shared" si="277"/>
        <v>4775</v>
      </c>
      <c r="C4790" s="48">
        <f ca="1"/>
        <v>-1.8169161287309654</v>
      </c>
      <c r="D4790" s="48">
        <f t="shared" ca="1" si="274"/>
        <v>0.5555275946553927</v>
      </c>
      <c r="E4790" s="48">
        <f t="shared" ca="1" si="275"/>
        <v>0</v>
      </c>
      <c r="F4790" s="17">
        <f t="shared" ca="1" si="276"/>
        <v>0</v>
      </c>
      <c r="H4790" s="17">
        <v>4775</v>
      </c>
      <c r="I4790" s="43">
        <v>0.66878705449841447</v>
      </c>
      <c r="J4790" s="43">
        <v>1.9347477122543109E-2</v>
      </c>
      <c r="K4790" s="43"/>
      <c r="L4790" s="43">
        <v>0.24679999999999999</v>
      </c>
      <c r="O4790" s="50"/>
    </row>
    <row r="4791" spans="2:15" x14ac:dyDescent="0.2">
      <c r="B4791">
        <f t="shared" si="277"/>
        <v>4776</v>
      </c>
      <c r="C4791" s="48">
        <f ca="1"/>
        <v>3.1284804605270757E-2</v>
      </c>
      <c r="D4791" s="48">
        <f t="shared" ca="1" si="274"/>
        <v>0.66655838607001006</v>
      </c>
      <c r="E4791" s="48">
        <f t="shared" ca="1" si="275"/>
        <v>0</v>
      </c>
      <c r="F4791" s="17">
        <f t="shared" ca="1" si="276"/>
        <v>0</v>
      </c>
      <c r="H4791" s="17">
        <v>4776</v>
      </c>
      <c r="I4791" s="43">
        <v>0.66842637287747397</v>
      </c>
      <c r="J4791" s="43">
        <v>1.9025730041210328E-2</v>
      </c>
      <c r="K4791" s="43"/>
      <c r="L4791" s="43">
        <v>0.24840000000000001</v>
      </c>
      <c r="O4791" s="50"/>
    </row>
    <row r="4792" spans="2:15" x14ac:dyDescent="0.2">
      <c r="B4792">
        <f t="shared" si="277"/>
        <v>4777</v>
      </c>
      <c r="C4792" s="48">
        <f ca="1"/>
        <v>1.1052401039572637</v>
      </c>
      <c r="D4792" s="48">
        <f t="shared" ca="1" si="274"/>
        <v>0.74100418449166428</v>
      </c>
      <c r="E4792" s="48">
        <f t="shared" ca="1" si="275"/>
        <v>0</v>
      </c>
      <c r="F4792" s="17">
        <f t="shared" ca="1" si="276"/>
        <v>0</v>
      </c>
      <c r="H4792" s="17">
        <v>4777</v>
      </c>
      <c r="I4792" s="43">
        <v>0.66907717997496352</v>
      </c>
      <c r="J4792" s="43">
        <v>1.9301654330630517E-2</v>
      </c>
      <c r="K4792" s="43"/>
      <c r="L4792" s="43">
        <v>0.24460000000000001</v>
      </c>
      <c r="O4792" s="50"/>
    </row>
    <row r="4793" spans="2:15" x14ac:dyDescent="0.2">
      <c r="B4793">
        <f t="shared" si="277"/>
        <v>4778</v>
      </c>
      <c r="C4793" s="48">
        <f ca="1"/>
        <v>-0.448723640482801</v>
      </c>
      <c r="D4793" s="48">
        <f t="shared" ca="1" si="274"/>
        <v>0.63574969129804859</v>
      </c>
      <c r="E4793" s="48">
        <f t="shared" ca="1" si="275"/>
        <v>0</v>
      </c>
      <c r="F4793" s="17">
        <f t="shared" ca="1" si="276"/>
        <v>0</v>
      </c>
      <c r="H4793" s="17">
        <v>4778</v>
      </c>
      <c r="I4793" s="43">
        <v>0.667413936049984</v>
      </c>
      <c r="J4793" s="43">
        <v>1.8060714292747242E-2</v>
      </c>
      <c r="K4793" s="43"/>
      <c r="L4793" s="43">
        <v>0.2462</v>
      </c>
      <c r="O4793" s="50"/>
    </row>
    <row r="4794" spans="2:15" x14ac:dyDescent="0.2">
      <c r="B4794">
        <f t="shared" si="277"/>
        <v>4779</v>
      </c>
      <c r="C4794" s="48">
        <f ca="1"/>
        <v>-0.8512938045307662</v>
      </c>
      <c r="D4794" s="48">
        <f t="shared" ca="1" si="274"/>
        <v>0.61101196697484061</v>
      </c>
      <c r="E4794" s="48">
        <f t="shared" ca="1" si="275"/>
        <v>0</v>
      </c>
      <c r="F4794" s="17">
        <f t="shared" ca="1" si="276"/>
        <v>0</v>
      </c>
      <c r="H4794" s="17">
        <v>4779</v>
      </c>
      <c r="I4794" s="43">
        <v>0.66916270394581712</v>
      </c>
      <c r="J4794" s="43">
        <v>1.9475274278367455E-2</v>
      </c>
      <c r="K4794" s="43"/>
      <c r="L4794" s="43">
        <v>0.24679999999999999</v>
      </c>
      <c r="O4794" s="50"/>
    </row>
    <row r="4795" spans="2:15" x14ac:dyDescent="0.2">
      <c r="B4795">
        <f t="shared" si="277"/>
        <v>4780</v>
      </c>
      <c r="C4795" s="48">
        <f ca="1"/>
        <v>0.91593458241391656</v>
      </c>
      <c r="D4795" s="48">
        <f t="shared" ca="1" si="274"/>
        <v>0.72730296217499257</v>
      </c>
      <c r="E4795" s="48">
        <f t="shared" ca="1" si="275"/>
        <v>0</v>
      </c>
      <c r="F4795" s="17">
        <f t="shared" ca="1" si="276"/>
        <v>0</v>
      </c>
      <c r="H4795" s="17">
        <v>4780</v>
      </c>
      <c r="I4795" s="43">
        <v>0.66938832885730448</v>
      </c>
      <c r="J4795" s="43">
        <v>1.9742507222164207E-2</v>
      </c>
      <c r="K4795" s="43"/>
      <c r="L4795" s="43">
        <v>0.25919999999999999</v>
      </c>
      <c r="O4795" s="50"/>
    </row>
    <row r="4796" spans="2:15" x14ac:dyDescent="0.2">
      <c r="B4796">
        <f t="shared" si="277"/>
        <v>4781</v>
      </c>
      <c r="C4796" s="48">
        <f ca="1"/>
        <v>0.18254826752031672</v>
      </c>
      <c r="D4796" s="48">
        <f t="shared" ca="1" si="274"/>
        <v>0.67657304649387306</v>
      </c>
      <c r="E4796" s="48">
        <f t="shared" ca="1" si="275"/>
        <v>0</v>
      </c>
      <c r="F4796" s="17">
        <f t="shared" ca="1" si="276"/>
        <v>0</v>
      </c>
      <c r="H4796" s="17">
        <v>4781</v>
      </c>
      <c r="I4796" s="43">
        <v>0.66997439528924074</v>
      </c>
      <c r="J4796" s="43">
        <v>1.9965179472471291E-2</v>
      </c>
      <c r="K4796" s="43"/>
      <c r="L4796" s="43">
        <v>0.25359999999999999</v>
      </c>
      <c r="O4796" s="50"/>
    </row>
    <row r="4797" spans="2:15" x14ac:dyDescent="0.2">
      <c r="B4797">
        <f t="shared" si="277"/>
        <v>4782</v>
      </c>
      <c r="C4797" s="48">
        <f ca="1"/>
        <v>-0.48892386534766008</v>
      </c>
      <c r="D4797" s="48">
        <f t="shared" ca="1" si="274"/>
        <v>0.63323505002831304</v>
      </c>
      <c r="E4797" s="48">
        <f t="shared" ca="1" si="275"/>
        <v>0</v>
      </c>
      <c r="F4797" s="17">
        <f t="shared" ca="1" si="276"/>
        <v>0</v>
      </c>
      <c r="H4797" s="17">
        <v>4782</v>
      </c>
      <c r="I4797" s="43">
        <v>0.66801901755547111</v>
      </c>
      <c r="J4797" s="43">
        <v>1.8873405785778539E-2</v>
      </c>
      <c r="K4797" s="43"/>
      <c r="L4797" s="43">
        <v>0.24759999999999999</v>
      </c>
      <c r="O4797" s="50"/>
    </row>
    <row r="4798" spans="2:15" x14ac:dyDescent="0.2">
      <c r="B4798">
        <f t="shared" si="277"/>
        <v>4783</v>
      </c>
      <c r="C4798" s="48">
        <f ca="1"/>
        <v>-0.31674005973550906</v>
      </c>
      <c r="D4798" s="48">
        <f t="shared" ca="1" si="274"/>
        <v>0.64407607370838793</v>
      </c>
      <c r="E4798" s="48">
        <f t="shared" ca="1" si="275"/>
        <v>0</v>
      </c>
      <c r="F4798" s="17">
        <f t="shared" ca="1" si="276"/>
        <v>0</v>
      </c>
      <c r="H4798" s="17">
        <v>4783</v>
      </c>
      <c r="I4798" s="43">
        <v>0.66966688448830136</v>
      </c>
      <c r="J4798" s="43">
        <v>2.0007479584397182E-2</v>
      </c>
      <c r="K4798" s="43"/>
      <c r="L4798" s="43">
        <v>0.25559999999999999</v>
      </c>
      <c r="O4798" s="50"/>
    </row>
    <row r="4799" spans="2:15" x14ac:dyDescent="0.2">
      <c r="B4799">
        <f t="shared" si="277"/>
        <v>4784</v>
      </c>
      <c r="C4799" s="48">
        <f ca="1"/>
        <v>1.1984851111337243E-2</v>
      </c>
      <c r="D4799" s="48">
        <f t="shared" ca="1" si="274"/>
        <v>0.66529130888248944</v>
      </c>
      <c r="E4799" s="48">
        <f t="shared" ca="1" si="275"/>
        <v>0</v>
      </c>
      <c r="F4799" s="17">
        <f t="shared" ca="1" si="276"/>
        <v>0</v>
      </c>
      <c r="H4799" s="17">
        <v>4784</v>
      </c>
      <c r="I4799" s="43">
        <v>0.66808723901753841</v>
      </c>
      <c r="J4799" s="43">
        <v>1.8963680556105773E-2</v>
      </c>
      <c r="K4799" s="43"/>
      <c r="L4799" s="43">
        <v>0.247</v>
      </c>
      <c r="O4799" s="50"/>
    </row>
    <row r="4800" spans="2:15" x14ac:dyDescent="0.2">
      <c r="B4800">
        <f t="shared" si="277"/>
        <v>4785</v>
      </c>
      <c r="C4800" s="48">
        <f ca="1"/>
        <v>0.91715786033743629</v>
      </c>
      <c r="D4800" s="48">
        <f t="shared" ca="1" si="274"/>
        <v>0.72739068011079555</v>
      </c>
      <c r="E4800" s="48">
        <f t="shared" ca="1" si="275"/>
        <v>0</v>
      </c>
      <c r="F4800" s="17">
        <f t="shared" ca="1" si="276"/>
        <v>0</v>
      </c>
      <c r="H4800" s="17">
        <v>4785</v>
      </c>
      <c r="I4800" s="43">
        <v>0.66934214966377403</v>
      </c>
      <c r="J4800" s="43">
        <v>1.9632979967194857E-2</v>
      </c>
      <c r="K4800" s="43"/>
      <c r="L4800" s="43">
        <v>0.24979999999999999</v>
      </c>
      <c r="O4800" s="50"/>
    </row>
    <row r="4801" spans="2:15" x14ac:dyDescent="0.2">
      <c r="B4801">
        <f t="shared" si="277"/>
        <v>4786</v>
      </c>
      <c r="C4801" s="48">
        <f ca="1"/>
        <v>0.79805820203714584</v>
      </c>
      <c r="D4801" s="48">
        <f t="shared" ca="1" si="274"/>
        <v>0.7188997986479696</v>
      </c>
      <c r="E4801" s="48">
        <f t="shared" ca="1" si="275"/>
        <v>0</v>
      </c>
      <c r="F4801" s="17">
        <f t="shared" ca="1" si="276"/>
        <v>0</v>
      </c>
      <c r="H4801" s="17">
        <v>4786</v>
      </c>
      <c r="I4801" s="43">
        <v>0.66890060999283318</v>
      </c>
      <c r="J4801" s="43">
        <v>1.926444009061486E-2</v>
      </c>
      <c r="K4801" s="43"/>
      <c r="L4801" s="43">
        <v>0.2452</v>
      </c>
      <c r="O4801" s="50"/>
    </row>
    <row r="4802" spans="2:15" x14ac:dyDescent="0.2">
      <c r="B4802">
        <f t="shared" si="277"/>
        <v>4787</v>
      </c>
      <c r="C4802" s="48">
        <f ca="1"/>
        <v>0.80681523734365823</v>
      </c>
      <c r="D4802" s="48">
        <f t="shared" ca="1" si="274"/>
        <v>0.71952071724466304</v>
      </c>
      <c r="E4802" s="48">
        <f t="shared" ca="1" si="275"/>
        <v>0</v>
      </c>
      <c r="F4802" s="17">
        <f t="shared" ca="1" si="276"/>
        <v>0</v>
      </c>
      <c r="H4802" s="17">
        <v>4787</v>
      </c>
      <c r="I4802" s="43">
        <v>0.66853997603794046</v>
      </c>
      <c r="J4802" s="43">
        <v>1.8922799552298988E-2</v>
      </c>
      <c r="K4802" s="43"/>
      <c r="L4802" s="43">
        <v>0.25240000000000001</v>
      </c>
      <c r="O4802" s="50"/>
    </row>
    <row r="4803" spans="2:15" x14ac:dyDescent="0.2">
      <c r="B4803">
        <f t="shared" si="277"/>
        <v>4788</v>
      </c>
      <c r="C4803" s="48">
        <f ca="1"/>
        <v>-0.29349689687590919</v>
      </c>
      <c r="D4803" s="48">
        <f t="shared" ca="1" si="274"/>
        <v>0.64555365640473206</v>
      </c>
      <c r="E4803" s="48">
        <f t="shared" ca="1" si="275"/>
        <v>0</v>
      </c>
      <c r="F4803" s="17">
        <f t="shared" ca="1" si="276"/>
        <v>0</v>
      </c>
      <c r="H4803" s="17">
        <v>4788</v>
      </c>
      <c r="I4803" s="43">
        <v>0.66929474754467277</v>
      </c>
      <c r="J4803" s="43">
        <v>1.9608702756560271E-2</v>
      </c>
      <c r="K4803" s="43"/>
      <c r="L4803" s="43">
        <v>0.25319999999999998</v>
      </c>
      <c r="O4803" s="50"/>
    </row>
    <row r="4804" spans="2:15" x14ac:dyDescent="0.2">
      <c r="B4804">
        <f t="shared" si="277"/>
        <v>4789</v>
      </c>
      <c r="C4804" s="48">
        <f ca="1"/>
        <v>0.70602219302502678</v>
      </c>
      <c r="D4804" s="48">
        <f t="shared" ca="1" si="274"/>
        <v>0.71240629567548153</v>
      </c>
      <c r="E4804" s="48">
        <f t="shared" ca="1" si="275"/>
        <v>0</v>
      </c>
      <c r="F4804" s="17">
        <f t="shared" ca="1" si="276"/>
        <v>0</v>
      </c>
      <c r="H4804" s="17">
        <v>4789</v>
      </c>
      <c r="I4804" s="43">
        <v>0.66842830921943941</v>
      </c>
      <c r="J4804" s="43">
        <v>1.9067283533351912E-2</v>
      </c>
      <c r="K4804" s="43"/>
      <c r="L4804" s="43">
        <v>0.2462</v>
      </c>
      <c r="O4804" s="50"/>
    </row>
    <row r="4805" spans="2:15" x14ac:dyDescent="0.2">
      <c r="B4805">
        <f t="shared" si="277"/>
        <v>4790</v>
      </c>
      <c r="C4805" s="48">
        <f ca="1"/>
        <v>-0.34852589697006697</v>
      </c>
      <c r="D4805" s="48">
        <f t="shared" ca="1" si="274"/>
        <v>0.64206090111304392</v>
      </c>
      <c r="E4805" s="48">
        <f t="shared" ca="1" si="275"/>
        <v>0</v>
      </c>
      <c r="F4805" s="17">
        <f t="shared" ca="1" si="276"/>
        <v>0</v>
      </c>
      <c r="H4805" s="17">
        <v>4790</v>
      </c>
      <c r="I4805" s="43">
        <v>0.66919271061374908</v>
      </c>
      <c r="J4805" s="43">
        <v>1.9645075492317567E-2</v>
      </c>
      <c r="K4805" s="43"/>
      <c r="L4805" s="43">
        <v>0.25619999999999998</v>
      </c>
      <c r="O4805" s="50"/>
    </row>
    <row r="4806" spans="2:15" x14ac:dyDescent="0.2">
      <c r="B4806">
        <f t="shared" si="277"/>
        <v>4791</v>
      </c>
      <c r="C4806" s="48">
        <f ca="1"/>
        <v>0.49606406543777165</v>
      </c>
      <c r="D4806" s="48">
        <f t="shared" ca="1" si="274"/>
        <v>0.69781159707815354</v>
      </c>
      <c r="E4806" s="48">
        <f t="shared" ca="1" si="275"/>
        <v>0</v>
      </c>
      <c r="F4806" s="17">
        <f t="shared" ca="1" si="276"/>
        <v>0</v>
      </c>
      <c r="H4806" s="17">
        <v>4791</v>
      </c>
      <c r="I4806" s="43">
        <v>0.66864256550736756</v>
      </c>
      <c r="J4806" s="43">
        <v>1.9052337444446898E-2</v>
      </c>
      <c r="K4806" s="43"/>
      <c r="L4806" s="43">
        <v>0.25080000000000002</v>
      </c>
      <c r="O4806" s="50"/>
    </row>
    <row r="4807" spans="2:15" x14ac:dyDescent="0.2">
      <c r="B4807">
        <f t="shared" si="277"/>
        <v>4792</v>
      </c>
      <c r="C4807" s="48">
        <f ca="1"/>
        <v>0.33476789121457318</v>
      </c>
      <c r="D4807" s="48">
        <f t="shared" ca="1" si="274"/>
        <v>0.68680291024050155</v>
      </c>
      <c r="E4807" s="48">
        <f t="shared" ca="1" si="275"/>
        <v>0</v>
      </c>
      <c r="F4807" s="17">
        <f t="shared" ca="1" si="276"/>
        <v>0</v>
      </c>
      <c r="H4807" s="17">
        <v>4792</v>
      </c>
      <c r="I4807" s="43">
        <v>0.66788372523475414</v>
      </c>
      <c r="J4807" s="43">
        <v>1.8742532703641582E-2</v>
      </c>
      <c r="K4807" s="43"/>
      <c r="L4807" s="43">
        <v>0.25</v>
      </c>
      <c r="O4807" s="50"/>
    </row>
    <row r="4808" spans="2:15" x14ac:dyDescent="0.2">
      <c r="B4808">
        <f t="shared" si="277"/>
        <v>4793</v>
      </c>
      <c r="C4808" s="48">
        <f ca="1"/>
        <v>-1.3482259656899109</v>
      </c>
      <c r="D4808" s="48">
        <f t="shared" ca="1" si="274"/>
        <v>0.58179913567836661</v>
      </c>
      <c r="E4808" s="48">
        <f t="shared" ca="1" si="275"/>
        <v>0</v>
      </c>
      <c r="F4808" s="17">
        <f t="shared" ca="1" si="276"/>
        <v>0</v>
      </c>
      <c r="H4808" s="17">
        <v>4793</v>
      </c>
      <c r="I4808" s="43">
        <v>0.66789199847885672</v>
      </c>
      <c r="J4808" s="43">
        <v>1.8511591461620791E-2</v>
      </c>
      <c r="K4808" s="43"/>
      <c r="L4808" s="43">
        <v>0.24579999999999999</v>
      </c>
      <c r="O4808" s="50"/>
    </row>
    <row r="4809" spans="2:15" x14ac:dyDescent="0.2">
      <c r="B4809">
        <f t="shared" si="277"/>
        <v>4794</v>
      </c>
      <c r="C4809" s="48">
        <f ca="1"/>
        <v>-0.25635777734074722</v>
      </c>
      <c r="D4809" s="48">
        <f t="shared" ca="1" si="274"/>
        <v>0.64792165252347367</v>
      </c>
      <c r="E4809" s="48">
        <f t="shared" ca="1" si="275"/>
        <v>0</v>
      </c>
      <c r="F4809" s="17">
        <f t="shared" ca="1" si="276"/>
        <v>0</v>
      </c>
      <c r="H4809" s="17">
        <v>4794</v>
      </c>
      <c r="I4809" s="43">
        <v>0.66886220318427925</v>
      </c>
      <c r="J4809" s="43">
        <v>1.9229200481928499E-2</v>
      </c>
      <c r="K4809" s="43"/>
      <c r="L4809" s="43">
        <v>0.24679999999999999</v>
      </c>
      <c r="O4809" s="50"/>
    </row>
    <row r="4810" spans="2:15" x14ac:dyDescent="0.2">
      <c r="B4810">
        <f t="shared" si="277"/>
        <v>4795</v>
      </c>
      <c r="C4810" s="48">
        <f ca="1"/>
        <v>0.25764880759684838</v>
      </c>
      <c r="D4810" s="48">
        <f t="shared" ca="1" si="274"/>
        <v>0.68160096485183186</v>
      </c>
      <c r="E4810" s="48">
        <f t="shared" ca="1" si="275"/>
        <v>0</v>
      </c>
      <c r="F4810" s="17">
        <f t="shared" ca="1" si="276"/>
        <v>0</v>
      </c>
      <c r="H4810" s="17">
        <v>4795</v>
      </c>
      <c r="I4810" s="43">
        <v>0.669976304968675</v>
      </c>
      <c r="J4810" s="43">
        <v>2.0007126966397538E-2</v>
      </c>
      <c r="K4810" s="43"/>
      <c r="L4810" s="43">
        <v>0.24440000000000001</v>
      </c>
      <c r="O4810" s="50"/>
    </row>
    <row r="4811" spans="2:15" x14ac:dyDescent="0.2">
      <c r="B4811">
        <f t="shared" si="277"/>
        <v>4796</v>
      </c>
      <c r="C4811" s="48">
        <f ca="1"/>
        <v>-0.20614346402079833</v>
      </c>
      <c r="D4811" s="48">
        <f t="shared" ca="1" si="274"/>
        <v>0.65113714259996891</v>
      </c>
      <c r="E4811" s="48">
        <f t="shared" ca="1" si="275"/>
        <v>0</v>
      </c>
      <c r="F4811" s="17">
        <f t="shared" ca="1" si="276"/>
        <v>0</v>
      </c>
      <c r="H4811" s="17">
        <v>4796</v>
      </c>
      <c r="I4811" s="43">
        <v>0.66772465637944012</v>
      </c>
      <c r="J4811" s="43">
        <v>1.83027853179757E-2</v>
      </c>
      <c r="K4811" s="43"/>
      <c r="L4811" s="43">
        <v>0.24460000000000001</v>
      </c>
      <c r="O4811" s="50"/>
    </row>
    <row r="4812" spans="2:15" x14ac:dyDescent="0.2">
      <c r="B4812">
        <f t="shared" si="277"/>
        <v>4797</v>
      </c>
      <c r="C4812" s="48">
        <f ca="1"/>
        <v>5.6584760495054648E-2</v>
      </c>
      <c r="D4812" s="48">
        <f t="shared" ca="1" si="274"/>
        <v>0.6682230302442469</v>
      </c>
      <c r="E4812" s="48">
        <f t="shared" ca="1" si="275"/>
        <v>0</v>
      </c>
      <c r="F4812" s="17">
        <f t="shared" ca="1" si="276"/>
        <v>0</v>
      </c>
      <c r="H4812" s="17">
        <v>4797</v>
      </c>
      <c r="I4812" s="43">
        <v>0.66857394794238656</v>
      </c>
      <c r="J4812" s="43">
        <v>1.9103343752893798E-2</v>
      </c>
      <c r="K4812" s="43"/>
      <c r="L4812" s="43">
        <v>0.24959999999999999</v>
      </c>
      <c r="O4812" s="50"/>
    </row>
    <row r="4813" spans="2:15" x14ac:dyDescent="0.2">
      <c r="B4813">
        <f t="shared" si="277"/>
        <v>4798</v>
      </c>
      <c r="C4813" s="48">
        <f ca="1"/>
        <v>-0.79023284276426287</v>
      </c>
      <c r="D4813" s="48">
        <f t="shared" ca="1" si="274"/>
        <v>0.6147012580899488</v>
      </c>
      <c r="E4813" s="48">
        <f t="shared" ca="1" si="275"/>
        <v>0</v>
      </c>
      <c r="F4813" s="17">
        <f t="shared" ca="1" si="276"/>
        <v>0</v>
      </c>
      <c r="H4813" s="17">
        <v>4798</v>
      </c>
      <c r="I4813" s="43">
        <v>0.66853572496786695</v>
      </c>
      <c r="J4813" s="43">
        <v>1.8978362471699952E-2</v>
      </c>
      <c r="K4813" s="43"/>
      <c r="L4813" s="43">
        <v>0.24399999999999999</v>
      </c>
      <c r="O4813" s="50"/>
    </row>
    <row r="4814" spans="2:15" x14ac:dyDescent="0.2">
      <c r="B4814">
        <f t="shared" si="277"/>
        <v>4799</v>
      </c>
      <c r="C4814" s="48">
        <f ca="1"/>
        <v>-0.26309409587362853</v>
      </c>
      <c r="D4814" s="48">
        <f t="shared" ca="1" si="274"/>
        <v>0.64749149985040721</v>
      </c>
      <c r="E4814" s="48">
        <f t="shared" ca="1" si="275"/>
        <v>0</v>
      </c>
      <c r="F4814" s="17">
        <f t="shared" ca="1" si="276"/>
        <v>0</v>
      </c>
      <c r="H4814" s="17">
        <v>4799</v>
      </c>
      <c r="I4814" s="43">
        <v>0.66986321396657389</v>
      </c>
      <c r="J4814" s="43">
        <v>1.9711463343398353E-2</v>
      </c>
      <c r="K4814" s="43"/>
      <c r="L4814" s="43">
        <v>0.25240000000000001</v>
      </c>
      <c r="O4814" s="50"/>
    </row>
    <row r="4815" spans="2:15" x14ac:dyDescent="0.2">
      <c r="B4815">
        <f t="shared" si="277"/>
        <v>4800</v>
      </c>
      <c r="C4815" s="48">
        <f ca="1"/>
        <v>-8.796824919416428E-2</v>
      </c>
      <c r="D4815" s="48">
        <f t="shared" ca="1" si="274"/>
        <v>0.65876764162611468</v>
      </c>
      <c r="E4815" s="48">
        <f t="shared" ca="1" si="275"/>
        <v>0</v>
      </c>
      <c r="F4815" s="17">
        <f t="shared" ca="1" si="276"/>
        <v>0</v>
      </c>
      <c r="H4815" s="17">
        <v>4800</v>
      </c>
      <c r="I4815" s="43">
        <v>0.67034590688537443</v>
      </c>
      <c r="J4815" s="43">
        <v>2.0179251789462629E-2</v>
      </c>
      <c r="K4815" s="43"/>
      <c r="L4815" s="43">
        <v>0.25340000000000001</v>
      </c>
      <c r="O4815" s="50"/>
    </row>
    <row r="4816" spans="2:15" x14ac:dyDescent="0.2">
      <c r="B4816">
        <f t="shared" si="277"/>
        <v>4801</v>
      </c>
      <c r="C4816" s="48">
        <f ca="1"/>
        <v>1.8999142405848792</v>
      </c>
      <c r="D4816" s="48">
        <f t="shared" ref="D4816:D4879" ca="1" si="278">S0*EXP((μ-0.5*σ*σ)*T+σ*SQRT(T)*$C4816)</f>
        <v>0.80139277666624731</v>
      </c>
      <c r="E4816" s="48">
        <f t="shared" ref="E4816:E4879" ca="1" si="279">MAX(0,CP*(D4816-K))</f>
        <v>1.3192776666247297E-2</v>
      </c>
      <c r="F4816" s="17">
        <f t="shared" ref="F4816:F4879" ca="1" si="280">(CP*(D4816-K)&gt;0)*1</f>
        <v>1</v>
      </c>
      <c r="H4816" s="17">
        <v>4801</v>
      </c>
      <c r="I4816" s="43">
        <v>0.66942963809986067</v>
      </c>
      <c r="J4816" s="43">
        <v>1.9794191676869643E-2</v>
      </c>
      <c r="K4816" s="43"/>
      <c r="L4816" s="43">
        <v>0.255</v>
      </c>
      <c r="O4816" s="50"/>
    </row>
    <row r="4817" spans="2:15" x14ac:dyDescent="0.2">
      <c r="B4817">
        <f t="shared" si="277"/>
        <v>4802</v>
      </c>
      <c r="C4817" s="48">
        <f ca="1"/>
        <v>0.46068909710809536</v>
      </c>
      <c r="D4817" s="48">
        <f t="shared" ca="1" si="278"/>
        <v>0.69538219792398248</v>
      </c>
      <c r="E4817" s="48">
        <f t="shared" ca="1" si="279"/>
        <v>0</v>
      </c>
      <c r="F4817" s="17">
        <f t="shared" ca="1" si="280"/>
        <v>0</v>
      </c>
      <c r="H4817" s="17">
        <v>4802</v>
      </c>
      <c r="I4817" s="43">
        <v>0.66870076763284414</v>
      </c>
      <c r="J4817" s="43">
        <v>1.9393850828163729E-2</v>
      </c>
      <c r="K4817" s="43"/>
      <c r="L4817" s="43">
        <v>0.2442</v>
      </c>
      <c r="O4817" s="50"/>
    </row>
    <row r="4818" spans="2:15" x14ac:dyDescent="0.2">
      <c r="B4818">
        <f t="shared" si="277"/>
        <v>4803</v>
      </c>
      <c r="C4818" s="48">
        <f ca="1"/>
        <v>-1.7121218627011996</v>
      </c>
      <c r="D4818" s="48">
        <f t="shared" ca="1" si="278"/>
        <v>0.56129672357597582</v>
      </c>
      <c r="E4818" s="48">
        <f t="shared" ca="1" si="279"/>
        <v>0</v>
      </c>
      <c r="F4818" s="17">
        <f t="shared" ca="1" si="280"/>
        <v>0</v>
      </c>
      <c r="H4818" s="17">
        <v>4803</v>
      </c>
      <c r="I4818" s="43">
        <v>0.66794518273915193</v>
      </c>
      <c r="J4818" s="43">
        <v>1.8688777968661467E-2</v>
      </c>
      <c r="K4818" s="43"/>
      <c r="L4818" s="43">
        <v>0.249</v>
      </c>
      <c r="O4818" s="50"/>
    </row>
    <row r="4819" spans="2:15" x14ac:dyDescent="0.2">
      <c r="B4819">
        <f t="shared" si="277"/>
        <v>4804</v>
      </c>
      <c r="C4819" s="48">
        <f ca="1"/>
        <v>0.32446027533201754</v>
      </c>
      <c r="D4819" s="48">
        <f t="shared" ca="1" si="278"/>
        <v>0.68610533440712806</v>
      </c>
      <c r="E4819" s="48">
        <f t="shared" ca="1" si="279"/>
        <v>0</v>
      </c>
      <c r="F4819" s="17">
        <f t="shared" ca="1" si="280"/>
        <v>0</v>
      </c>
      <c r="H4819" s="17">
        <v>4804</v>
      </c>
      <c r="I4819" s="43">
        <v>0.66898262148251686</v>
      </c>
      <c r="J4819" s="43">
        <v>1.9442793855204112E-2</v>
      </c>
      <c r="K4819" s="43"/>
      <c r="L4819" s="43">
        <v>0.24859999999999999</v>
      </c>
      <c r="O4819" s="50"/>
    </row>
    <row r="4820" spans="2:15" x14ac:dyDescent="0.2">
      <c r="B4820">
        <f t="shared" si="277"/>
        <v>4805</v>
      </c>
      <c r="C4820" s="48">
        <f ca="1"/>
        <v>-0.18097766835886456</v>
      </c>
      <c r="D4820" s="48">
        <f t="shared" ca="1" si="278"/>
        <v>0.65275464046659559</v>
      </c>
      <c r="E4820" s="48">
        <f t="shared" ca="1" si="279"/>
        <v>0</v>
      </c>
      <c r="F4820" s="17">
        <f t="shared" ca="1" si="280"/>
        <v>0</v>
      </c>
      <c r="H4820" s="17">
        <v>4805</v>
      </c>
      <c r="I4820" s="43">
        <v>0.66901776371610366</v>
      </c>
      <c r="J4820" s="43">
        <v>1.9652841457792072E-2</v>
      </c>
      <c r="K4820" s="43"/>
      <c r="L4820" s="43">
        <v>0.25059999999999999</v>
      </c>
      <c r="O4820" s="50"/>
    </row>
    <row r="4821" spans="2:15" x14ac:dyDescent="0.2">
      <c r="B4821">
        <f t="shared" si="277"/>
        <v>4806</v>
      </c>
      <c r="C4821" s="48">
        <f ca="1"/>
        <v>-1.2374269679549996</v>
      </c>
      <c r="D4821" s="48">
        <f t="shared" ca="1" si="278"/>
        <v>0.58818919320514496</v>
      </c>
      <c r="E4821" s="48">
        <f t="shared" ca="1" si="279"/>
        <v>0</v>
      </c>
      <c r="F4821" s="17">
        <f t="shared" ca="1" si="280"/>
        <v>0</v>
      </c>
      <c r="H4821" s="17">
        <v>4806</v>
      </c>
      <c r="I4821" s="43">
        <v>0.66835391352733364</v>
      </c>
      <c r="J4821" s="43">
        <v>1.8902836857269411E-2</v>
      </c>
      <c r="K4821" s="43"/>
      <c r="L4821" s="43">
        <v>0.24099999999999999</v>
      </c>
      <c r="O4821" s="50"/>
    </row>
    <row r="4822" spans="2:15" x14ac:dyDescent="0.2">
      <c r="B4822">
        <f t="shared" si="277"/>
        <v>4807</v>
      </c>
      <c r="C4822" s="48">
        <f ca="1"/>
        <v>2.2446280046985954</v>
      </c>
      <c r="D4822" s="48">
        <f t="shared" ca="1" si="278"/>
        <v>0.82909574460130431</v>
      </c>
      <c r="E4822" s="48">
        <f t="shared" ca="1" si="279"/>
        <v>4.0895744601304296E-2</v>
      </c>
      <c r="F4822" s="17">
        <f t="shared" ca="1" si="280"/>
        <v>1</v>
      </c>
      <c r="H4822" s="17">
        <v>4807</v>
      </c>
      <c r="I4822" s="43">
        <v>0.66958465813639201</v>
      </c>
      <c r="J4822" s="43">
        <v>1.9868657672834366E-2</v>
      </c>
      <c r="K4822" s="43"/>
      <c r="L4822" s="43">
        <v>0.25519999999999998</v>
      </c>
      <c r="O4822" s="50"/>
    </row>
    <row r="4823" spans="2:15" x14ac:dyDescent="0.2">
      <c r="B4823">
        <f t="shared" si="277"/>
        <v>4808</v>
      </c>
      <c r="C4823" s="48">
        <f ca="1"/>
        <v>0.70385138266755254</v>
      </c>
      <c r="D4823" s="48">
        <f t="shared" ca="1" si="278"/>
        <v>0.71225384656928126</v>
      </c>
      <c r="E4823" s="48">
        <f t="shared" ca="1" si="279"/>
        <v>0</v>
      </c>
      <c r="F4823" s="17">
        <f t="shared" ca="1" si="280"/>
        <v>0</v>
      </c>
      <c r="H4823" s="17">
        <v>4808</v>
      </c>
      <c r="I4823" s="43">
        <v>0.66917999019320773</v>
      </c>
      <c r="J4823" s="43">
        <v>1.9794018767911079E-2</v>
      </c>
      <c r="K4823" s="43"/>
      <c r="L4823" s="43">
        <v>0.2586</v>
      </c>
      <c r="O4823" s="50"/>
    </row>
    <row r="4824" spans="2:15" x14ac:dyDescent="0.2">
      <c r="B4824">
        <f t="shared" si="277"/>
        <v>4809</v>
      </c>
      <c r="C4824" s="48">
        <f ca="1"/>
        <v>-0.83261857814237739</v>
      </c>
      <c r="D4824" s="48">
        <f t="shared" ca="1" si="278"/>
        <v>0.61213796381684638</v>
      </c>
      <c r="E4824" s="48">
        <f t="shared" ca="1" si="279"/>
        <v>0</v>
      </c>
      <c r="F4824" s="17">
        <f t="shared" ca="1" si="280"/>
        <v>0</v>
      </c>
      <c r="H4824" s="17">
        <v>4809</v>
      </c>
      <c r="I4824" s="43">
        <v>0.66932595229717484</v>
      </c>
      <c r="J4824" s="43">
        <v>1.9839371733384143E-2</v>
      </c>
      <c r="K4824" s="43"/>
      <c r="L4824" s="43">
        <v>0.248</v>
      </c>
      <c r="O4824" s="50"/>
    </row>
    <row r="4825" spans="2:15" x14ac:dyDescent="0.2">
      <c r="B4825">
        <f t="shared" si="277"/>
        <v>4810</v>
      </c>
      <c r="C4825" s="48">
        <f ca="1"/>
        <v>1.384924365016311</v>
      </c>
      <c r="D4825" s="48">
        <f t="shared" ca="1" si="278"/>
        <v>0.76172045848056735</v>
      </c>
      <c r="E4825" s="48">
        <f t="shared" ca="1" si="279"/>
        <v>0</v>
      </c>
      <c r="F4825" s="17">
        <f t="shared" ca="1" si="280"/>
        <v>0</v>
      </c>
      <c r="H4825" s="17">
        <v>4810</v>
      </c>
      <c r="I4825" s="43">
        <v>0.66962054732603582</v>
      </c>
      <c r="J4825" s="43">
        <v>1.9829444487201191E-2</v>
      </c>
      <c r="K4825" s="43"/>
      <c r="L4825" s="43">
        <v>0.25619999999999998</v>
      </c>
      <c r="O4825" s="50"/>
    </row>
    <row r="4826" spans="2:15" x14ac:dyDescent="0.2">
      <c r="B4826">
        <f t="shared" si="277"/>
        <v>4811</v>
      </c>
      <c r="C4826" s="48">
        <f ca="1"/>
        <v>-0.55087361522030986</v>
      </c>
      <c r="D4826" s="48">
        <f t="shared" ca="1" si="278"/>
        <v>0.62937937273288624</v>
      </c>
      <c r="E4826" s="48">
        <f t="shared" ca="1" si="279"/>
        <v>0</v>
      </c>
      <c r="F4826" s="17">
        <f t="shared" ca="1" si="280"/>
        <v>0</v>
      </c>
      <c r="H4826" s="17">
        <v>4811</v>
      </c>
      <c r="I4826" s="43">
        <v>0.66819904496735738</v>
      </c>
      <c r="J4826" s="43">
        <v>1.8717072963736335E-2</v>
      </c>
      <c r="K4826" s="43"/>
      <c r="L4826" s="43">
        <v>0.24879999999999999</v>
      </c>
      <c r="O4826" s="50"/>
    </row>
    <row r="4827" spans="2:15" x14ac:dyDescent="0.2">
      <c r="B4827">
        <f t="shared" si="277"/>
        <v>4812</v>
      </c>
      <c r="C4827" s="48">
        <f ca="1"/>
        <v>-0.78364389032196213</v>
      </c>
      <c r="D4827" s="48">
        <f t="shared" ca="1" si="278"/>
        <v>0.61510069046193527</v>
      </c>
      <c r="E4827" s="48">
        <f t="shared" ca="1" si="279"/>
        <v>0</v>
      </c>
      <c r="F4827" s="17">
        <f t="shared" ca="1" si="280"/>
        <v>0</v>
      </c>
      <c r="H4827" s="17">
        <v>4812</v>
      </c>
      <c r="I4827" s="43">
        <v>0.66932516005689435</v>
      </c>
      <c r="J4827" s="43">
        <v>1.9681367208464518E-2</v>
      </c>
      <c r="K4827" s="43"/>
      <c r="L4827" s="43">
        <v>0.25459999999999999</v>
      </c>
      <c r="O4827" s="50"/>
    </row>
    <row r="4828" spans="2:15" x14ac:dyDescent="0.2">
      <c r="B4828">
        <f t="shared" si="277"/>
        <v>4813</v>
      </c>
      <c r="C4828" s="48">
        <f ca="1"/>
        <v>-1.6857599931576077</v>
      </c>
      <c r="D4828" s="48">
        <f t="shared" ca="1" si="278"/>
        <v>0.56275740299891197</v>
      </c>
      <c r="E4828" s="48">
        <f t="shared" ca="1" si="279"/>
        <v>0</v>
      </c>
      <c r="F4828" s="17">
        <f t="shared" ca="1" si="280"/>
        <v>0</v>
      </c>
      <c r="H4828" s="17">
        <v>4813</v>
      </c>
      <c r="I4828" s="43">
        <v>0.66913409609094177</v>
      </c>
      <c r="J4828" s="43">
        <v>1.938884434689904E-2</v>
      </c>
      <c r="K4828" s="43"/>
      <c r="L4828" s="43">
        <v>0.251</v>
      </c>
      <c r="O4828" s="50"/>
    </row>
    <row r="4829" spans="2:15" x14ac:dyDescent="0.2">
      <c r="B4829">
        <f t="shared" si="277"/>
        <v>4814</v>
      </c>
      <c r="C4829" s="48">
        <f ca="1"/>
        <v>-0.40752823216641354</v>
      </c>
      <c r="D4829" s="48">
        <f t="shared" ca="1" si="278"/>
        <v>0.63833694430273036</v>
      </c>
      <c r="E4829" s="48">
        <f t="shared" ca="1" si="279"/>
        <v>0</v>
      </c>
      <c r="F4829" s="17">
        <f t="shared" ca="1" si="280"/>
        <v>0</v>
      </c>
      <c r="H4829" s="17">
        <v>4814</v>
      </c>
      <c r="I4829" s="43">
        <v>0.66928055826810784</v>
      </c>
      <c r="J4829" s="43">
        <v>1.9654569550077359E-2</v>
      </c>
      <c r="K4829" s="43"/>
      <c r="L4829" s="43">
        <v>0.252</v>
      </c>
      <c r="O4829" s="50"/>
    </row>
    <row r="4830" spans="2:15" x14ac:dyDescent="0.2">
      <c r="B4830">
        <f t="shared" si="277"/>
        <v>4815</v>
      </c>
      <c r="C4830" s="48">
        <f ca="1"/>
        <v>2.3527365104846512</v>
      </c>
      <c r="D4830" s="48">
        <f t="shared" ca="1" si="278"/>
        <v>0.83797962521479497</v>
      </c>
      <c r="E4830" s="48">
        <f t="shared" ca="1" si="279"/>
        <v>4.9779625214794954E-2</v>
      </c>
      <c r="F4830" s="17">
        <f t="shared" ca="1" si="280"/>
        <v>1</v>
      </c>
      <c r="H4830" s="17">
        <v>4815</v>
      </c>
      <c r="I4830" s="43">
        <v>0.66960849083467699</v>
      </c>
      <c r="J4830" s="43">
        <v>1.9505340868038665E-2</v>
      </c>
      <c r="K4830" s="43"/>
      <c r="L4830" s="43">
        <v>0.2462</v>
      </c>
      <c r="O4830" s="50"/>
    </row>
    <row r="4831" spans="2:15" x14ac:dyDescent="0.2">
      <c r="B4831">
        <f t="shared" si="277"/>
        <v>4816</v>
      </c>
      <c r="C4831" s="48">
        <f ca="1"/>
        <v>0.53635357835657171</v>
      </c>
      <c r="D4831" s="48">
        <f t="shared" ca="1" si="278"/>
        <v>0.70058884546782607</v>
      </c>
      <c r="E4831" s="48">
        <f t="shared" ca="1" si="279"/>
        <v>0</v>
      </c>
      <c r="F4831" s="17">
        <f t="shared" ca="1" si="280"/>
        <v>0</v>
      </c>
      <c r="H4831" s="17">
        <v>4816</v>
      </c>
      <c r="I4831" s="43">
        <v>0.66835159412796297</v>
      </c>
      <c r="J4831" s="43">
        <v>1.8780654783186281E-2</v>
      </c>
      <c r="K4831" s="43"/>
      <c r="L4831" s="43">
        <v>0.2392</v>
      </c>
      <c r="O4831" s="50"/>
    </row>
    <row r="4832" spans="2:15" x14ac:dyDescent="0.2">
      <c r="B4832">
        <f t="shared" si="277"/>
        <v>4817</v>
      </c>
      <c r="C4832" s="48">
        <f ca="1"/>
        <v>1.4648082678709229</v>
      </c>
      <c r="D4832" s="48">
        <f t="shared" ca="1" si="278"/>
        <v>0.76774311218237457</v>
      </c>
      <c r="E4832" s="48">
        <f t="shared" ca="1" si="279"/>
        <v>0</v>
      </c>
      <c r="F4832" s="17">
        <f t="shared" ca="1" si="280"/>
        <v>0</v>
      </c>
      <c r="H4832" s="17">
        <v>4817</v>
      </c>
      <c r="I4832" s="43">
        <v>0.6694335501084242</v>
      </c>
      <c r="J4832" s="43">
        <v>1.9853119884583249E-2</v>
      </c>
      <c r="K4832" s="43"/>
      <c r="L4832" s="43">
        <v>0.2492</v>
      </c>
      <c r="O4832" s="50"/>
    </row>
    <row r="4833" spans="2:15" x14ac:dyDescent="0.2">
      <c r="B4833">
        <f t="shared" si="277"/>
        <v>4818</v>
      </c>
      <c r="C4833" s="48">
        <f ca="1"/>
        <v>0.24588800249035256</v>
      </c>
      <c r="D4833" s="48">
        <f t="shared" ca="1" si="278"/>
        <v>0.68081112831591528</v>
      </c>
      <c r="E4833" s="48">
        <f t="shared" ca="1" si="279"/>
        <v>0</v>
      </c>
      <c r="F4833" s="17">
        <f t="shared" ca="1" si="280"/>
        <v>0</v>
      </c>
      <c r="H4833" s="17">
        <v>4818</v>
      </c>
      <c r="I4833" s="43">
        <v>0.66880896996182038</v>
      </c>
      <c r="J4833" s="43">
        <v>1.93821602625255E-2</v>
      </c>
      <c r="K4833" s="43"/>
      <c r="L4833" s="43">
        <v>0.24679999999999999</v>
      </c>
      <c r="O4833" s="50"/>
    </row>
    <row r="4834" spans="2:15" x14ac:dyDescent="0.2">
      <c r="B4834">
        <f t="shared" si="277"/>
        <v>4819</v>
      </c>
      <c r="C4834" s="48">
        <f ca="1"/>
        <v>-1.121554822655596</v>
      </c>
      <c r="D4834" s="48">
        <f t="shared" ca="1" si="278"/>
        <v>0.59494692204311672</v>
      </c>
      <c r="E4834" s="48">
        <f t="shared" ca="1" si="279"/>
        <v>0</v>
      </c>
      <c r="F4834" s="17">
        <f t="shared" ca="1" si="280"/>
        <v>0</v>
      </c>
      <c r="H4834" s="17">
        <v>4819</v>
      </c>
      <c r="I4834" s="43">
        <v>0.66889512739276336</v>
      </c>
      <c r="J4834" s="43">
        <v>1.9303012589254941E-2</v>
      </c>
      <c r="K4834" s="43"/>
      <c r="L4834" s="43">
        <v>0.2492</v>
      </c>
      <c r="O4834" s="50"/>
    </row>
    <row r="4835" spans="2:15" x14ac:dyDescent="0.2">
      <c r="B4835">
        <f t="shared" si="277"/>
        <v>4820</v>
      </c>
      <c r="C4835" s="48">
        <f ca="1"/>
        <v>0.54260455521426565</v>
      </c>
      <c r="D4835" s="48">
        <f t="shared" ca="1" si="278"/>
        <v>0.70102072901304913</v>
      </c>
      <c r="E4835" s="48">
        <f t="shared" ca="1" si="279"/>
        <v>0</v>
      </c>
      <c r="F4835" s="17">
        <f t="shared" ca="1" si="280"/>
        <v>0</v>
      </c>
      <c r="H4835" s="17">
        <v>4820</v>
      </c>
      <c r="I4835" s="43">
        <v>0.66856261307482645</v>
      </c>
      <c r="J4835" s="43">
        <v>1.8917408192798957E-2</v>
      </c>
      <c r="K4835" s="43"/>
      <c r="L4835" s="43">
        <v>0.2472</v>
      </c>
      <c r="O4835" s="50"/>
    </row>
    <row r="4836" spans="2:15" x14ac:dyDescent="0.2">
      <c r="B4836">
        <f t="shared" si="277"/>
        <v>4821</v>
      </c>
      <c r="C4836" s="48">
        <f ca="1"/>
        <v>0.8451863519067877</v>
      </c>
      <c r="D4836" s="48">
        <f t="shared" ca="1" si="278"/>
        <v>0.72224775496827176</v>
      </c>
      <c r="E4836" s="48">
        <f t="shared" ca="1" si="279"/>
        <v>0</v>
      </c>
      <c r="F4836" s="17">
        <f t="shared" ca="1" si="280"/>
        <v>0</v>
      </c>
      <c r="H4836" s="17">
        <v>4821</v>
      </c>
      <c r="I4836" s="43">
        <v>0.66978294952840467</v>
      </c>
      <c r="J4836" s="43">
        <v>1.9892757651000147E-2</v>
      </c>
      <c r="K4836" s="43"/>
      <c r="L4836" s="43">
        <v>0.25140000000000001</v>
      </c>
      <c r="O4836" s="50"/>
    </row>
    <row r="4837" spans="2:15" x14ac:dyDescent="0.2">
      <c r="B4837">
        <f t="shared" si="277"/>
        <v>4822</v>
      </c>
      <c r="C4837" s="48">
        <f ca="1"/>
        <v>-0.41363722177089218</v>
      </c>
      <c r="D4837" s="48">
        <f t="shared" ca="1" si="278"/>
        <v>0.63795260896961714</v>
      </c>
      <c r="E4837" s="48">
        <f t="shared" ca="1" si="279"/>
        <v>0</v>
      </c>
      <c r="F4837" s="17">
        <f t="shared" ca="1" si="280"/>
        <v>0</v>
      </c>
      <c r="H4837" s="17">
        <v>4822</v>
      </c>
      <c r="I4837" s="43">
        <v>0.66805616728321193</v>
      </c>
      <c r="J4837" s="43">
        <v>1.8969424503837876E-2</v>
      </c>
      <c r="K4837" s="43"/>
      <c r="L4837" s="43">
        <v>0.25240000000000001</v>
      </c>
      <c r="O4837" s="50"/>
    </row>
    <row r="4838" spans="2:15" x14ac:dyDescent="0.2">
      <c r="B4838">
        <f t="shared" si="277"/>
        <v>4823</v>
      </c>
      <c r="C4838" s="48">
        <f ca="1"/>
        <v>-0.25296110801812127</v>
      </c>
      <c r="D4838" s="48">
        <f t="shared" ca="1" si="278"/>
        <v>0.64813865775354595</v>
      </c>
      <c r="E4838" s="48">
        <f t="shared" ca="1" si="279"/>
        <v>0</v>
      </c>
      <c r="F4838" s="17">
        <f t="shared" ca="1" si="280"/>
        <v>0</v>
      </c>
      <c r="H4838" s="17">
        <v>4823</v>
      </c>
      <c r="I4838" s="43">
        <v>0.66927814154720144</v>
      </c>
      <c r="J4838" s="43">
        <v>1.9757166087670048E-2</v>
      </c>
      <c r="K4838" s="43"/>
      <c r="L4838" s="43">
        <v>0.24879999999999999</v>
      </c>
      <c r="O4838" s="50"/>
    </row>
    <row r="4839" spans="2:15" x14ac:dyDescent="0.2">
      <c r="B4839">
        <f t="shared" si="277"/>
        <v>4824</v>
      </c>
      <c r="C4839" s="48">
        <f ca="1"/>
        <v>0.70335086482221998</v>
      </c>
      <c r="D4839" s="48">
        <f t="shared" ca="1" si="278"/>
        <v>0.71221870142139032</v>
      </c>
      <c r="E4839" s="48">
        <f t="shared" ca="1" si="279"/>
        <v>0</v>
      </c>
      <c r="F4839" s="17">
        <f t="shared" ca="1" si="280"/>
        <v>0</v>
      </c>
      <c r="H4839" s="17">
        <v>4824</v>
      </c>
      <c r="I4839" s="43">
        <v>0.66921618792252879</v>
      </c>
      <c r="J4839" s="43">
        <v>1.9725677246053029E-2</v>
      </c>
      <c r="K4839" s="43"/>
      <c r="L4839" s="43">
        <v>0.25679999999999997</v>
      </c>
      <c r="O4839" s="50"/>
    </row>
    <row r="4840" spans="2:15" x14ac:dyDescent="0.2">
      <c r="B4840">
        <f t="shared" si="277"/>
        <v>4825</v>
      </c>
      <c r="C4840" s="48">
        <f ca="1"/>
        <v>1.0992254299728372</v>
      </c>
      <c r="D4840" s="48">
        <f t="shared" ca="1" si="278"/>
        <v>0.7405649203851119</v>
      </c>
      <c r="E4840" s="48">
        <f t="shared" ca="1" si="279"/>
        <v>0</v>
      </c>
      <c r="F4840" s="17">
        <f t="shared" ca="1" si="280"/>
        <v>0</v>
      </c>
      <c r="H4840" s="17">
        <v>4825</v>
      </c>
      <c r="I4840" s="43">
        <v>0.66829493299926113</v>
      </c>
      <c r="J4840" s="43">
        <v>1.9246668824564137E-2</v>
      </c>
      <c r="K4840" s="43"/>
      <c r="L4840" s="43">
        <v>0.25059999999999999</v>
      </c>
      <c r="O4840" s="50"/>
    </row>
    <row r="4841" spans="2:15" x14ac:dyDescent="0.2">
      <c r="B4841">
        <f t="shared" si="277"/>
        <v>4826</v>
      </c>
      <c r="C4841" s="48">
        <f ca="1"/>
        <v>0.40166754517095882</v>
      </c>
      <c r="D4841" s="48">
        <f t="shared" ca="1" si="278"/>
        <v>0.69134766751450205</v>
      </c>
      <c r="E4841" s="48">
        <f t="shared" ca="1" si="279"/>
        <v>0</v>
      </c>
      <c r="F4841" s="17">
        <f t="shared" ca="1" si="280"/>
        <v>0</v>
      </c>
      <c r="H4841" s="17">
        <v>4826</v>
      </c>
      <c r="I4841" s="43">
        <v>0.6688489913561606</v>
      </c>
      <c r="J4841" s="43">
        <v>1.9250569211008543E-2</v>
      </c>
      <c r="K4841" s="43"/>
      <c r="L4841" s="43">
        <v>0.2482</v>
      </c>
      <c r="O4841" s="50"/>
    </row>
    <row r="4842" spans="2:15" x14ac:dyDescent="0.2">
      <c r="B4842">
        <f t="shared" si="277"/>
        <v>4827</v>
      </c>
      <c r="C4842" s="48">
        <f ca="1"/>
        <v>1.6288596406503659</v>
      </c>
      <c r="D4842" s="48">
        <f t="shared" ca="1" si="278"/>
        <v>0.78026109246166375</v>
      </c>
      <c r="E4842" s="48">
        <f t="shared" ca="1" si="279"/>
        <v>0</v>
      </c>
      <c r="F4842" s="17">
        <f t="shared" ca="1" si="280"/>
        <v>0</v>
      </c>
      <c r="H4842" s="17">
        <v>4827</v>
      </c>
      <c r="I4842" s="43">
        <v>0.66892318036848697</v>
      </c>
      <c r="J4842" s="43">
        <v>1.9561237752338971E-2</v>
      </c>
      <c r="K4842" s="43"/>
      <c r="L4842" s="43">
        <v>0.2492</v>
      </c>
      <c r="O4842" s="50"/>
    </row>
    <row r="4843" spans="2:15" x14ac:dyDescent="0.2">
      <c r="B4843">
        <f t="shared" si="277"/>
        <v>4828</v>
      </c>
      <c r="C4843" s="48">
        <f ca="1"/>
        <v>0.81262358966726189</v>
      </c>
      <c r="D4843" s="48">
        <f t="shared" ca="1" si="278"/>
        <v>0.71993285492916159</v>
      </c>
      <c r="E4843" s="48">
        <f t="shared" ca="1" si="279"/>
        <v>0</v>
      </c>
      <c r="F4843" s="17">
        <f t="shared" ca="1" si="280"/>
        <v>0</v>
      </c>
      <c r="H4843" s="17">
        <v>4828</v>
      </c>
      <c r="I4843" s="43">
        <v>0.66834650862765999</v>
      </c>
      <c r="J4843" s="43">
        <v>1.9071035591472163E-2</v>
      </c>
      <c r="K4843" s="43"/>
      <c r="L4843" s="43">
        <v>0.25340000000000001</v>
      </c>
      <c r="O4843" s="50"/>
    </row>
    <row r="4844" spans="2:15" x14ac:dyDescent="0.2">
      <c r="B4844">
        <f t="shared" si="277"/>
        <v>4829</v>
      </c>
      <c r="C4844" s="48">
        <f ca="1"/>
        <v>-0.4157277219450301</v>
      </c>
      <c r="D4844" s="48">
        <f t="shared" ca="1" si="278"/>
        <v>0.63782114232042608</v>
      </c>
      <c r="E4844" s="48">
        <f t="shared" ca="1" si="279"/>
        <v>0</v>
      </c>
      <c r="F4844" s="17">
        <f t="shared" ca="1" si="280"/>
        <v>0</v>
      </c>
      <c r="H4844" s="17">
        <v>4829</v>
      </c>
      <c r="I4844" s="43">
        <v>0.66896030227425829</v>
      </c>
      <c r="J4844" s="43">
        <v>1.9279480834630679E-2</v>
      </c>
      <c r="K4844" s="43"/>
      <c r="L4844" s="43">
        <v>0.24660000000000001</v>
      </c>
      <c r="O4844" s="50"/>
    </row>
    <row r="4845" spans="2:15" x14ac:dyDescent="0.2">
      <c r="B4845">
        <f t="shared" si="277"/>
        <v>4830</v>
      </c>
      <c r="C4845" s="48">
        <f ca="1"/>
        <v>-0.55006038519372091</v>
      </c>
      <c r="D4845" s="48">
        <f t="shared" ca="1" si="278"/>
        <v>0.62942983480049197</v>
      </c>
      <c r="E4845" s="48">
        <f t="shared" ca="1" si="279"/>
        <v>0</v>
      </c>
      <c r="F4845" s="17">
        <f t="shared" ca="1" si="280"/>
        <v>0</v>
      </c>
      <c r="H4845" s="17">
        <v>4830</v>
      </c>
      <c r="I4845" s="43">
        <v>0.66837134511038532</v>
      </c>
      <c r="J4845" s="43">
        <v>1.920707220108164E-2</v>
      </c>
      <c r="K4845" s="43"/>
      <c r="L4845" s="43">
        <v>0.24740000000000001</v>
      </c>
      <c r="O4845" s="50"/>
    </row>
    <row r="4846" spans="2:15" x14ac:dyDescent="0.2">
      <c r="B4846">
        <f t="shared" si="277"/>
        <v>4831</v>
      </c>
      <c r="C4846" s="48">
        <f ca="1"/>
        <v>-1.3692185306560714</v>
      </c>
      <c r="D4846" s="48">
        <f t="shared" ca="1" si="278"/>
        <v>0.58059628707882471</v>
      </c>
      <c r="E4846" s="48">
        <f t="shared" ca="1" si="279"/>
        <v>0</v>
      </c>
      <c r="F4846" s="17">
        <f t="shared" ca="1" si="280"/>
        <v>0</v>
      </c>
      <c r="H4846" s="17">
        <v>4831</v>
      </c>
      <c r="I4846" s="43">
        <v>0.6686692793471245</v>
      </c>
      <c r="J4846" s="43">
        <v>1.9121509683060669E-2</v>
      </c>
      <c r="K4846" s="43"/>
      <c r="L4846" s="43">
        <v>0.25119999999999998</v>
      </c>
      <c r="O4846" s="50"/>
    </row>
    <row r="4847" spans="2:15" x14ac:dyDescent="0.2">
      <c r="B4847">
        <f t="shared" si="277"/>
        <v>4832</v>
      </c>
      <c r="C4847" s="48">
        <f ca="1"/>
        <v>8.955147512841885E-2</v>
      </c>
      <c r="D4847" s="48">
        <f t="shared" ca="1" si="278"/>
        <v>0.67039835835104977</v>
      </c>
      <c r="E4847" s="48">
        <f t="shared" ca="1" si="279"/>
        <v>0</v>
      </c>
      <c r="F4847" s="17">
        <f t="shared" ca="1" si="280"/>
        <v>0</v>
      </c>
      <c r="H4847" s="17">
        <v>4832</v>
      </c>
      <c r="I4847" s="43">
        <v>0.66815420403048142</v>
      </c>
      <c r="J4847" s="43">
        <v>1.863735073061212E-2</v>
      </c>
      <c r="K4847" s="43"/>
      <c r="L4847" s="43">
        <v>0.24299999999999999</v>
      </c>
      <c r="O4847" s="50"/>
    </row>
    <row r="4848" spans="2:15" x14ac:dyDescent="0.2">
      <c r="B4848">
        <f t="shared" si="277"/>
        <v>4833</v>
      </c>
      <c r="C4848" s="48">
        <f ca="1"/>
        <v>-9.990129984437307E-2</v>
      </c>
      <c r="D4848" s="48">
        <f t="shared" ca="1" si="278"/>
        <v>0.65799309061439759</v>
      </c>
      <c r="E4848" s="48">
        <f t="shared" ca="1" si="279"/>
        <v>0</v>
      </c>
      <c r="F4848" s="17">
        <f t="shared" ca="1" si="280"/>
        <v>0</v>
      </c>
      <c r="H4848" s="17">
        <v>4833</v>
      </c>
      <c r="I4848" s="43">
        <v>0.670068878520231</v>
      </c>
      <c r="J4848" s="43">
        <v>1.9977019656627383E-2</v>
      </c>
      <c r="K4848" s="43"/>
      <c r="L4848" s="43">
        <v>0.25700000000000001</v>
      </c>
      <c r="O4848" s="50"/>
    </row>
    <row r="4849" spans="2:15" x14ac:dyDescent="0.2">
      <c r="B4849">
        <f t="shared" ref="B4849:B4912" si="281">B4848+1</f>
        <v>4834</v>
      </c>
      <c r="C4849" s="48">
        <f ca="1"/>
        <v>1.4733559707874151</v>
      </c>
      <c r="D4849" s="48">
        <f t="shared" ca="1" si="278"/>
        <v>0.76839035921924281</v>
      </c>
      <c r="E4849" s="48">
        <f t="shared" ca="1" si="279"/>
        <v>0</v>
      </c>
      <c r="F4849" s="17">
        <f t="shared" ca="1" si="280"/>
        <v>0</v>
      </c>
      <c r="H4849" s="17">
        <v>4834</v>
      </c>
      <c r="I4849" s="43">
        <v>0.66907372530021825</v>
      </c>
      <c r="J4849" s="43">
        <v>1.9465961852662812E-2</v>
      </c>
      <c r="K4849" s="43"/>
      <c r="L4849" s="43">
        <v>0.25080000000000002</v>
      </c>
      <c r="O4849" s="50"/>
    </row>
    <row r="4850" spans="2:15" x14ac:dyDescent="0.2">
      <c r="B4850">
        <f t="shared" si="281"/>
        <v>4835</v>
      </c>
      <c r="C4850" s="48">
        <f ca="1"/>
        <v>-1.4889861169720719</v>
      </c>
      <c r="D4850" s="48">
        <f t="shared" ca="1" si="278"/>
        <v>0.57378116231634235</v>
      </c>
      <c r="E4850" s="48">
        <f t="shared" ca="1" si="279"/>
        <v>0</v>
      </c>
      <c r="F4850" s="17">
        <f t="shared" ca="1" si="280"/>
        <v>0</v>
      </c>
      <c r="H4850" s="17">
        <v>4835</v>
      </c>
      <c r="I4850" s="43">
        <v>0.67006852001865946</v>
      </c>
      <c r="J4850" s="43">
        <v>2.02526812182688E-2</v>
      </c>
      <c r="K4850" s="43"/>
      <c r="L4850" s="43">
        <v>0.25080000000000002</v>
      </c>
      <c r="O4850" s="50"/>
    </row>
    <row r="4851" spans="2:15" x14ac:dyDescent="0.2">
      <c r="B4851">
        <f t="shared" si="281"/>
        <v>4836</v>
      </c>
      <c r="C4851" s="48">
        <f ca="1"/>
        <v>0.55870297209577435</v>
      </c>
      <c r="D4851" s="48">
        <f t="shared" ca="1" si="278"/>
        <v>0.70213420391084436</v>
      </c>
      <c r="E4851" s="48">
        <f t="shared" ca="1" si="279"/>
        <v>0</v>
      </c>
      <c r="F4851" s="17">
        <f t="shared" ca="1" si="280"/>
        <v>0</v>
      </c>
      <c r="H4851" s="17">
        <v>4836</v>
      </c>
      <c r="I4851" s="43">
        <v>0.66843092982741947</v>
      </c>
      <c r="J4851" s="43">
        <v>1.9066127340255295E-2</v>
      </c>
      <c r="K4851" s="43"/>
      <c r="L4851" s="43">
        <v>0.24460000000000001</v>
      </c>
      <c r="O4851" s="50"/>
    </row>
    <row r="4852" spans="2:15" x14ac:dyDescent="0.2">
      <c r="B4852">
        <f t="shared" si="281"/>
        <v>4837</v>
      </c>
      <c r="C4852" s="48">
        <f ca="1"/>
        <v>-0.2849240349890918</v>
      </c>
      <c r="D4852" s="48">
        <f t="shared" ca="1" si="278"/>
        <v>0.64609949398579769</v>
      </c>
      <c r="E4852" s="48">
        <f t="shared" ca="1" si="279"/>
        <v>0</v>
      </c>
      <c r="F4852" s="17">
        <f t="shared" ca="1" si="280"/>
        <v>0</v>
      </c>
      <c r="H4852" s="17">
        <v>4837</v>
      </c>
      <c r="I4852" s="43">
        <v>0.67014002605340628</v>
      </c>
      <c r="J4852" s="43">
        <v>1.9987773787762349E-2</v>
      </c>
      <c r="K4852" s="43"/>
      <c r="L4852" s="43">
        <v>0.25779999999999997</v>
      </c>
      <c r="O4852" s="50"/>
    </row>
    <row r="4853" spans="2:15" x14ac:dyDescent="0.2">
      <c r="B4853">
        <f t="shared" si="281"/>
        <v>4838</v>
      </c>
      <c r="C4853" s="48">
        <f ca="1"/>
        <v>-0.18438495779163241</v>
      </c>
      <c r="D4853" s="48">
        <f t="shared" ca="1" si="278"/>
        <v>0.65253540653431907</v>
      </c>
      <c r="E4853" s="48">
        <f t="shared" ca="1" si="279"/>
        <v>0</v>
      </c>
      <c r="F4853" s="17">
        <f t="shared" ca="1" si="280"/>
        <v>0</v>
      </c>
      <c r="H4853" s="17">
        <v>4838</v>
      </c>
      <c r="I4853" s="43">
        <v>0.66836264260864875</v>
      </c>
      <c r="J4853" s="43">
        <v>1.8958254770403662E-2</v>
      </c>
      <c r="K4853" s="43"/>
      <c r="L4853" s="43">
        <v>0.24879999999999999</v>
      </c>
      <c r="O4853" s="50"/>
    </row>
    <row r="4854" spans="2:15" x14ac:dyDescent="0.2">
      <c r="B4854">
        <f t="shared" si="281"/>
        <v>4839</v>
      </c>
      <c r="C4854" s="48">
        <f ca="1"/>
        <v>0.80000830701058723</v>
      </c>
      <c r="D4854" s="48">
        <f t="shared" ca="1" si="278"/>
        <v>0.71903802467355815</v>
      </c>
      <c r="E4854" s="48">
        <f t="shared" ca="1" si="279"/>
        <v>0</v>
      </c>
      <c r="F4854" s="17">
        <f t="shared" ca="1" si="280"/>
        <v>0</v>
      </c>
      <c r="H4854" s="17">
        <v>4839</v>
      </c>
      <c r="I4854" s="43">
        <v>0.6686697297794294</v>
      </c>
      <c r="J4854" s="43">
        <v>1.9150877975954609E-2</v>
      </c>
      <c r="K4854" s="43"/>
      <c r="L4854" s="43">
        <v>0.2472</v>
      </c>
      <c r="O4854" s="50"/>
    </row>
    <row r="4855" spans="2:15" x14ac:dyDescent="0.2">
      <c r="B4855">
        <f t="shared" si="281"/>
        <v>4840</v>
      </c>
      <c r="C4855" s="48">
        <f ca="1"/>
        <v>0.44821576799814744</v>
      </c>
      <c r="D4855" s="48">
        <f t="shared" ca="1" si="278"/>
        <v>0.69452760229206878</v>
      </c>
      <c r="E4855" s="48">
        <f t="shared" ca="1" si="279"/>
        <v>0</v>
      </c>
      <c r="F4855" s="17">
        <f t="shared" ca="1" si="280"/>
        <v>0</v>
      </c>
      <c r="H4855" s="17">
        <v>4840</v>
      </c>
      <c r="I4855" s="43">
        <v>0.67019828344287879</v>
      </c>
      <c r="J4855" s="43">
        <v>2.0348497625075696E-2</v>
      </c>
      <c r="K4855" s="43"/>
      <c r="L4855" s="43">
        <v>0.25340000000000001</v>
      </c>
      <c r="O4855" s="50"/>
    </row>
    <row r="4856" spans="2:15" x14ac:dyDescent="0.2">
      <c r="B4856">
        <f t="shared" si="281"/>
        <v>4841</v>
      </c>
      <c r="C4856" s="48">
        <f ca="1"/>
        <v>-1.6241495855759236</v>
      </c>
      <c r="D4856" s="48">
        <f t="shared" ca="1" si="278"/>
        <v>0.56618600158924792</v>
      </c>
      <c r="E4856" s="48">
        <f t="shared" ca="1" si="279"/>
        <v>0</v>
      </c>
      <c r="F4856" s="17">
        <f t="shared" ca="1" si="280"/>
        <v>0</v>
      </c>
      <c r="H4856" s="17">
        <v>4841</v>
      </c>
      <c r="I4856" s="43">
        <v>0.66838586951571766</v>
      </c>
      <c r="J4856" s="43">
        <v>1.8841480384659944E-2</v>
      </c>
      <c r="K4856" s="43"/>
      <c r="L4856" s="43">
        <v>0.248</v>
      </c>
      <c r="O4856" s="50"/>
    </row>
    <row r="4857" spans="2:15" x14ac:dyDescent="0.2">
      <c r="B4857">
        <f t="shared" si="281"/>
        <v>4842</v>
      </c>
      <c r="C4857" s="48">
        <f ca="1"/>
        <v>-0.4655945869644198</v>
      </c>
      <c r="D4857" s="48">
        <f t="shared" ca="1" si="278"/>
        <v>0.63469315066721044</v>
      </c>
      <c r="E4857" s="48">
        <f t="shared" ca="1" si="279"/>
        <v>0</v>
      </c>
      <c r="F4857" s="17">
        <f t="shared" ca="1" si="280"/>
        <v>0</v>
      </c>
      <c r="H4857" s="17">
        <v>4842</v>
      </c>
      <c r="I4857" s="43">
        <v>0.66846401055153637</v>
      </c>
      <c r="J4857" s="43">
        <v>1.8963926576440169E-2</v>
      </c>
      <c r="K4857" s="43"/>
      <c r="L4857" s="43">
        <v>0.25019999999999998</v>
      </c>
      <c r="O4857" s="50"/>
    </row>
    <row r="4858" spans="2:15" x14ac:dyDescent="0.2">
      <c r="B4858">
        <f t="shared" si="281"/>
        <v>4843</v>
      </c>
      <c r="C4858" s="48">
        <f ca="1"/>
        <v>0.11067944792255351</v>
      </c>
      <c r="D4858" s="48">
        <f t="shared" ca="1" si="278"/>
        <v>0.67179622221378477</v>
      </c>
      <c r="E4858" s="48">
        <f t="shared" ca="1" si="279"/>
        <v>0</v>
      </c>
      <c r="F4858" s="17">
        <f t="shared" ca="1" si="280"/>
        <v>0</v>
      </c>
      <c r="H4858" s="17">
        <v>4843</v>
      </c>
      <c r="I4858" s="43">
        <v>0.66872039902750058</v>
      </c>
      <c r="J4858" s="43">
        <v>1.9353408298586491E-2</v>
      </c>
      <c r="K4858" s="43"/>
      <c r="L4858" s="43">
        <v>0.25040000000000001</v>
      </c>
      <c r="O4858" s="50"/>
    </row>
    <row r="4859" spans="2:15" x14ac:dyDescent="0.2">
      <c r="B4859">
        <f t="shared" si="281"/>
        <v>4844</v>
      </c>
      <c r="C4859" s="48">
        <f ca="1"/>
        <v>-0.13815588094243991</v>
      </c>
      <c r="D4859" s="48">
        <f t="shared" ca="1" si="278"/>
        <v>0.65551619440874187</v>
      </c>
      <c r="E4859" s="48">
        <f t="shared" ca="1" si="279"/>
        <v>0</v>
      </c>
      <c r="F4859" s="17">
        <f t="shared" ca="1" si="280"/>
        <v>0</v>
      </c>
      <c r="H4859" s="17">
        <v>4844</v>
      </c>
      <c r="I4859" s="43">
        <v>0.66933723471568518</v>
      </c>
      <c r="J4859" s="43">
        <v>1.9866949202228094E-2</v>
      </c>
      <c r="K4859" s="43"/>
      <c r="L4859" s="43">
        <v>0.25919999999999999</v>
      </c>
      <c r="O4859" s="50"/>
    </row>
    <row r="4860" spans="2:15" x14ac:dyDescent="0.2">
      <c r="B4860">
        <f t="shared" si="281"/>
        <v>4845</v>
      </c>
      <c r="C4860" s="48">
        <f ca="1"/>
        <v>0.62096120008491418</v>
      </c>
      <c r="D4860" s="48">
        <f t="shared" ca="1" si="278"/>
        <v>0.70645707327627194</v>
      </c>
      <c r="E4860" s="48">
        <f t="shared" ca="1" si="279"/>
        <v>0</v>
      </c>
      <c r="F4860" s="17">
        <f t="shared" ca="1" si="280"/>
        <v>0</v>
      </c>
      <c r="H4860" s="17">
        <v>4845</v>
      </c>
      <c r="I4860" s="43">
        <v>0.66904001995142315</v>
      </c>
      <c r="J4860" s="43">
        <v>1.9537701196320662E-2</v>
      </c>
      <c r="K4860" s="43"/>
      <c r="L4860" s="43">
        <v>0.2424</v>
      </c>
      <c r="O4860" s="50"/>
    </row>
    <row r="4861" spans="2:15" x14ac:dyDescent="0.2">
      <c r="B4861">
        <f t="shared" si="281"/>
        <v>4846</v>
      </c>
      <c r="C4861" s="48">
        <f ca="1"/>
        <v>9.4991692921999465E-2</v>
      </c>
      <c r="D4861" s="48">
        <f t="shared" ca="1" si="278"/>
        <v>0.67075801444113314</v>
      </c>
      <c r="E4861" s="48">
        <f t="shared" ca="1" si="279"/>
        <v>0</v>
      </c>
      <c r="F4861" s="17">
        <f t="shared" ca="1" si="280"/>
        <v>0</v>
      </c>
      <c r="H4861" s="17">
        <v>4846</v>
      </c>
      <c r="I4861" s="43">
        <v>0.66857237973312744</v>
      </c>
      <c r="J4861" s="43">
        <v>1.9117019164505884E-2</v>
      </c>
      <c r="K4861" s="43"/>
      <c r="L4861" s="43">
        <v>0.2422</v>
      </c>
      <c r="O4861" s="50"/>
    </row>
    <row r="4862" spans="2:15" x14ac:dyDescent="0.2">
      <c r="B4862">
        <f t="shared" si="281"/>
        <v>4847</v>
      </c>
      <c r="C4862" s="48">
        <f ca="1"/>
        <v>1.4120810028452113</v>
      </c>
      <c r="D4862" s="48">
        <f t="shared" ca="1" si="278"/>
        <v>0.76376254829914458</v>
      </c>
      <c r="E4862" s="48">
        <f t="shared" ca="1" si="279"/>
        <v>0</v>
      </c>
      <c r="F4862" s="17">
        <f t="shared" ca="1" si="280"/>
        <v>0</v>
      </c>
      <c r="H4862" s="17">
        <v>4847</v>
      </c>
      <c r="I4862" s="43">
        <v>0.67002262567784066</v>
      </c>
      <c r="J4862" s="43">
        <v>2.0394217901401477E-2</v>
      </c>
      <c r="K4862" s="43"/>
      <c r="L4862" s="43">
        <v>0.26179999999999998</v>
      </c>
      <c r="O4862" s="50"/>
    </row>
    <row r="4863" spans="2:15" x14ac:dyDescent="0.2">
      <c r="B4863">
        <f t="shared" si="281"/>
        <v>4848</v>
      </c>
      <c r="C4863" s="48">
        <f ca="1"/>
        <v>9.2071496532228375E-2</v>
      </c>
      <c r="D4863" s="48">
        <f t="shared" ca="1" si="278"/>
        <v>0.67056493450936527</v>
      </c>
      <c r="E4863" s="48">
        <f t="shared" ca="1" si="279"/>
        <v>0</v>
      </c>
      <c r="F4863" s="17">
        <f t="shared" ca="1" si="280"/>
        <v>0</v>
      </c>
      <c r="H4863" s="17">
        <v>4848</v>
      </c>
      <c r="I4863" s="43">
        <v>0.66817471395279049</v>
      </c>
      <c r="J4863" s="43">
        <v>1.9141825895299211E-2</v>
      </c>
      <c r="K4863" s="43"/>
      <c r="L4863" s="43">
        <v>0.24940000000000001</v>
      </c>
      <c r="O4863" s="50"/>
    </row>
    <row r="4864" spans="2:15" x14ac:dyDescent="0.2">
      <c r="B4864">
        <f t="shared" si="281"/>
        <v>4849</v>
      </c>
      <c r="C4864" s="48">
        <f ca="1"/>
        <v>-1.0281610397913989</v>
      </c>
      <c r="D4864" s="48">
        <f t="shared" ca="1" si="278"/>
        <v>0.60045016665604056</v>
      </c>
      <c r="E4864" s="48">
        <f t="shared" ca="1" si="279"/>
        <v>0</v>
      </c>
      <c r="F4864" s="17">
        <f t="shared" ca="1" si="280"/>
        <v>0</v>
      </c>
      <c r="H4864" s="17">
        <v>4849</v>
      </c>
      <c r="I4864" s="43">
        <v>0.66897888414272566</v>
      </c>
      <c r="J4864" s="43">
        <v>1.9418391403014847E-2</v>
      </c>
      <c r="K4864" s="43"/>
      <c r="L4864" s="43">
        <v>0.25140000000000001</v>
      </c>
      <c r="O4864" s="50"/>
    </row>
    <row r="4865" spans="2:15" x14ac:dyDescent="0.2">
      <c r="B4865">
        <f t="shared" si="281"/>
        <v>4850</v>
      </c>
      <c r="C4865" s="48">
        <f ca="1"/>
        <v>-1.6425152879034632</v>
      </c>
      <c r="D4865" s="48">
        <f t="shared" ca="1" si="278"/>
        <v>0.56516177681709512</v>
      </c>
      <c r="E4865" s="48">
        <f t="shared" ca="1" si="279"/>
        <v>0</v>
      </c>
      <c r="F4865" s="17">
        <f t="shared" ca="1" si="280"/>
        <v>0</v>
      </c>
      <c r="H4865" s="17">
        <v>4850</v>
      </c>
      <c r="I4865" s="43">
        <v>0.66979986717238482</v>
      </c>
      <c r="J4865" s="43">
        <v>2.0122658076640956E-2</v>
      </c>
      <c r="K4865" s="43"/>
      <c r="L4865" s="43">
        <v>0.26079999999999998</v>
      </c>
      <c r="O4865" s="50"/>
    </row>
    <row r="4866" spans="2:15" x14ac:dyDescent="0.2">
      <c r="B4866">
        <f t="shared" si="281"/>
        <v>4851</v>
      </c>
      <c r="C4866" s="48">
        <f ca="1"/>
        <v>1.1581077674986684</v>
      </c>
      <c r="D4866" s="48">
        <f t="shared" ca="1" si="278"/>
        <v>0.74487644690621979</v>
      </c>
      <c r="E4866" s="48">
        <f t="shared" ca="1" si="279"/>
        <v>0</v>
      </c>
      <c r="F4866" s="17">
        <f t="shared" ca="1" si="280"/>
        <v>0</v>
      </c>
      <c r="H4866" s="17">
        <v>4851</v>
      </c>
      <c r="I4866" s="43">
        <v>0.66915635030167919</v>
      </c>
      <c r="J4866" s="43">
        <v>1.9713831876558275E-2</v>
      </c>
      <c r="K4866" s="43"/>
      <c r="L4866" s="43">
        <v>0.25340000000000001</v>
      </c>
      <c r="O4866" s="50"/>
    </row>
    <row r="4867" spans="2:15" x14ac:dyDescent="0.2">
      <c r="B4867">
        <f t="shared" si="281"/>
        <v>4852</v>
      </c>
      <c r="C4867" s="48">
        <f ca="1"/>
        <v>-1.0592447921371928</v>
      </c>
      <c r="D4867" s="48">
        <f t="shared" ca="1" si="278"/>
        <v>0.59861292256428233</v>
      </c>
      <c r="E4867" s="48">
        <f t="shared" ca="1" si="279"/>
        <v>0</v>
      </c>
      <c r="F4867" s="17">
        <f t="shared" ca="1" si="280"/>
        <v>0</v>
      </c>
      <c r="H4867" s="17">
        <v>4852</v>
      </c>
      <c r="I4867" s="43">
        <v>0.66911522698694392</v>
      </c>
      <c r="J4867" s="43">
        <v>1.9444006099349952E-2</v>
      </c>
      <c r="K4867" s="43"/>
      <c r="L4867" s="43">
        <v>0.247</v>
      </c>
      <c r="O4867" s="50"/>
    </row>
    <row r="4868" spans="2:15" x14ac:dyDescent="0.2">
      <c r="B4868">
        <f t="shared" si="281"/>
        <v>4853</v>
      </c>
      <c r="C4868" s="48">
        <f ca="1"/>
        <v>-0.16835005154512542</v>
      </c>
      <c r="D4868" s="48">
        <f t="shared" ca="1" si="278"/>
        <v>0.65356777694251822</v>
      </c>
      <c r="E4868" s="48">
        <f t="shared" ca="1" si="279"/>
        <v>0</v>
      </c>
      <c r="F4868" s="17">
        <f t="shared" ca="1" si="280"/>
        <v>0</v>
      </c>
      <c r="H4868" s="17">
        <v>4853</v>
      </c>
      <c r="I4868" s="43">
        <v>0.66915949228041594</v>
      </c>
      <c r="J4868" s="43">
        <v>1.9441272655958287E-2</v>
      </c>
      <c r="K4868" s="43"/>
      <c r="L4868" s="43">
        <v>0.24859999999999999</v>
      </c>
      <c r="O4868" s="50"/>
    </row>
    <row r="4869" spans="2:15" x14ac:dyDescent="0.2">
      <c r="B4869">
        <f t="shared" si="281"/>
        <v>4854</v>
      </c>
      <c r="C4869" s="48">
        <f ca="1"/>
        <v>-0.38763534645221187</v>
      </c>
      <c r="D4869" s="48">
        <f t="shared" ca="1" si="278"/>
        <v>0.63959007227646303</v>
      </c>
      <c r="E4869" s="48">
        <f t="shared" ca="1" si="279"/>
        <v>0</v>
      </c>
      <c r="F4869" s="17">
        <f t="shared" ca="1" si="280"/>
        <v>0</v>
      </c>
      <c r="H4869" s="17">
        <v>4854</v>
      </c>
      <c r="I4869" s="43">
        <v>0.66919043863157857</v>
      </c>
      <c r="J4869" s="43">
        <v>1.9542630564943705E-2</v>
      </c>
      <c r="K4869" s="43"/>
      <c r="L4869" s="43">
        <v>0.24840000000000001</v>
      </c>
      <c r="O4869" s="50"/>
    </row>
    <row r="4870" spans="2:15" x14ac:dyDescent="0.2">
      <c r="B4870">
        <f t="shared" si="281"/>
        <v>4855</v>
      </c>
      <c r="C4870" s="48">
        <f ca="1"/>
        <v>0.65048952914360725</v>
      </c>
      <c r="D4870" s="48">
        <f t="shared" ca="1" si="278"/>
        <v>0.70851665327683511</v>
      </c>
      <c r="E4870" s="48">
        <f t="shared" ca="1" si="279"/>
        <v>0</v>
      </c>
      <c r="F4870" s="17">
        <f t="shared" ca="1" si="280"/>
        <v>0</v>
      </c>
      <c r="H4870" s="17">
        <v>4855</v>
      </c>
      <c r="I4870" s="43">
        <v>0.66798996794904963</v>
      </c>
      <c r="J4870" s="43">
        <v>1.8411764232956294E-2</v>
      </c>
      <c r="K4870" s="43"/>
      <c r="L4870" s="43">
        <v>0.2442</v>
      </c>
      <c r="O4870" s="50"/>
    </row>
    <row r="4871" spans="2:15" x14ac:dyDescent="0.2">
      <c r="B4871">
        <f t="shared" si="281"/>
        <v>4856</v>
      </c>
      <c r="C4871" s="48">
        <f ca="1"/>
        <v>-0.11938765224457018</v>
      </c>
      <c r="D4871" s="48">
        <f t="shared" ca="1" si="278"/>
        <v>0.65673022682982729</v>
      </c>
      <c r="E4871" s="48">
        <f t="shared" ca="1" si="279"/>
        <v>0</v>
      </c>
      <c r="F4871" s="17">
        <f t="shared" ca="1" si="280"/>
        <v>0</v>
      </c>
      <c r="H4871" s="17">
        <v>4856</v>
      </c>
      <c r="I4871" s="43">
        <v>0.66812578716297488</v>
      </c>
      <c r="J4871" s="43">
        <v>1.8937842394800848E-2</v>
      </c>
      <c r="K4871" s="43"/>
      <c r="L4871" s="43">
        <v>0.25679999999999997</v>
      </c>
      <c r="O4871" s="50"/>
    </row>
    <row r="4872" spans="2:15" x14ac:dyDescent="0.2">
      <c r="B4872">
        <f t="shared" si="281"/>
        <v>4857</v>
      </c>
      <c r="C4872" s="48">
        <f ca="1"/>
        <v>0.7562976323930759</v>
      </c>
      <c r="D4872" s="48">
        <f t="shared" ca="1" si="278"/>
        <v>0.71594612306251826</v>
      </c>
      <c r="E4872" s="48">
        <f t="shared" ca="1" si="279"/>
        <v>0</v>
      </c>
      <c r="F4872" s="17">
        <f t="shared" ca="1" si="280"/>
        <v>0</v>
      </c>
      <c r="H4872" s="17">
        <v>4857</v>
      </c>
      <c r="I4872" s="43">
        <v>0.66871294332204223</v>
      </c>
      <c r="J4872" s="43">
        <v>1.9045948529875154E-2</v>
      </c>
      <c r="K4872" s="43"/>
      <c r="L4872" s="43">
        <v>0.25280000000000002</v>
      </c>
      <c r="O4872" s="50"/>
    </row>
    <row r="4873" spans="2:15" x14ac:dyDescent="0.2">
      <c r="B4873">
        <f t="shared" si="281"/>
        <v>4858</v>
      </c>
      <c r="C4873" s="48">
        <f ca="1"/>
        <v>-1.3197782390501458</v>
      </c>
      <c r="D4873" s="48">
        <f t="shared" ca="1" si="278"/>
        <v>0.58343313363664517</v>
      </c>
      <c r="E4873" s="48">
        <f t="shared" ca="1" si="279"/>
        <v>0</v>
      </c>
      <c r="F4873" s="17">
        <f t="shared" ca="1" si="280"/>
        <v>0</v>
      </c>
      <c r="H4873" s="17">
        <v>4858</v>
      </c>
      <c r="I4873" s="43">
        <v>0.66908424236932151</v>
      </c>
      <c r="J4873" s="43">
        <v>1.9242800877482855E-2</v>
      </c>
      <c r="K4873" s="43"/>
      <c r="L4873" s="43">
        <v>0.25059999999999999</v>
      </c>
      <c r="O4873" s="50"/>
    </row>
    <row r="4874" spans="2:15" x14ac:dyDescent="0.2">
      <c r="B4874">
        <f t="shared" si="281"/>
        <v>4859</v>
      </c>
      <c r="C4874" s="48">
        <f ca="1"/>
        <v>-1.0796923354526797</v>
      </c>
      <c r="D4874" s="48">
        <f t="shared" ca="1" si="278"/>
        <v>0.59740741128566377</v>
      </c>
      <c r="E4874" s="48">
        <f t="shared" ca="1" si="279"/>
        <v>0</v>
      </c>
      <c r="F4874" s="17">
        <f t="shared" ca="1" si="280"/>
        <v>0</v>
      </c>
      <c r="H4874" s="17">
        <v>4859</v>
      </c>
      <c r="I4874" s="43">
        <v>0.66828720022446053</v>
      </c>
      <c r="J4874" s="43">
        <v>1.8976874775949129E-2</v>
      </c>
      <c r="K4874" s="43"/>
      <c r="L4874" s="43">
        <v>0.25259999999999999</v>
      </c>
      <c r="O4874" s="50"/>
    </row>
    <row r="4875" spans="2:15" x14ac:dyDescent="0.2">
      <c r="B4875">
        <f t="shared" si="281"/>
        <v>4860</v>
      </c>
      <c r="C4875" s="48">
        <f ca="1"/>
        <v>-2.0559955665656267</v>
      </c>
      <c r="D4875" s="48">
        <f t="shared" ca="1" si="278"/>
        <v>0.54258678574813646</v>
      </c>
      <c r="E4875" s="48">
        <f t="shared" ca="1" si="279"/>
        <v>0</v>
      </c>
      <c r="F4875" s="17">
        <f t="shared" ca="1" si="280"/>
        <v>0</v>
      </c>
      <c r="H4875" s="17">
        <v>4860</v>
      </c>
      <c r="I4875" s="43">
        <v>0.66979047925364144</v>
      </c>
      <c r="J4875" s="43">
        <v>2.0342426550931745E-2</v>
      </c>
      <c r="K4875" s="43"/>
      <c r="L4875" s="43">
        <v>0.2626</v>
      </c>
      <c r="O4875" s="50"/>
    </row>
    <row r="4876" spans="2:15" x14ac:dyDescent="0.2">
      <c r="B4876">
        <f t="shared" si="281"/>
        <v>4861</v>
      </c>
      <c r="C4876" s="48">
        <f ca="1"/>
        <v>-1.0313816453134301</v>
      </c>
      <c r="D4876" s="48">
        <f t="shared" ca="1" si="278"/>
        <v>0.60025954717686925</v>
      </c>
      <c r="E4876" s="48">
        <f t="shared" ca="1" si="279"/>
        <v>0</v>
      </c>
      <c r="F4876" s="17">
        <f t="shared" ca="1" si="280"/>
        <v>0</v>
      </c>
      <c r="H4876" s="17">
        <v>4861</v>
      </c>
      <c r="I4876" s="43">
        <v>0.66921919481054737</v>
      </c>
      <c r="J4876" s="43">
        <v>1.9367494964912312E-2</v>
      </c>
      <c r="K4876" s="43"/>
      <c r="L4876" s="43">
        <v>0.24879999999999999</v>
      </c>
      <c r="O4876" s="50"/>
    </row>
    <row r="4877" spans="2:15" x14ac:dyDescent="0.2">
      <c r="B4877">
        <f t="shared" si="281"/>
        <v>4862</v>
      </c>
      <c r="C4877" s="48">
        <f ca="1"/>
        <v>3.7414160419806497E-2</v>
      </c>
      <c r="D4877" s="48">
        <f t="shared" ca="1" si="278"/>
        <v>0.66696129414765415</v>
      </c>
      <c r="E4877" s="48">
        <f t="shared" ca="1" si="279"/>
        <v>0</v>
      </c>
      <c r="F4877" s="17">
        <f t="shared" ca="1" si="280"/>
        <v>0</v>
      </c>
      <c r="H4877" s="17">
        <v>4862</v>
      </c>
      <c r="I4877" s="43">
        <v>0.66884187001810413</v>
      </c>
      <c r="J4877" s="43">
        <v>1.9412652918178758E-2</v>
      </c>
      <c r="K4877" s="43"/>
      <c r="L4877" s="43">
        <v>0.25259999999999999</v>
      </c>
      <c r="O4877" s="50"/>
    </row>
    <row r="4878" spans="2:15" x14ac:dyDescent="0.2">
      <c r="B4878">
        <f t="shared" si="281"/>
        <v>4863</v>
      </c>
      <c r="C4878" s="48">
        <f ca="1"/>
        <v>1.6493343466689883</v>
      </c>
      <c r="D4878" s="48">
        <f t="shared" ca="1" si="278"/>
        <v>0.78183767874196464</v>
      </c>
      <c r="E4878" s="48">
        <f t="shared" ca="1" si="279"/>
        <v>0</v>
      </c>
      <c r="F4878" s="17">
        <f t="shared" ca="1" si="280"/>
        <v>0</v>
      </c>
      <c r="H4878" s="17">
        <v>4863</v>
      </c>
      <c r="I4878" s="43">
        <v>0.66867943523242601</v>
      </c>
      <c r="J4878" s="43">
        <v>1.9212400509233198E-2</v>
      </c>
      <c r="K4878" s="43"/>
      <c r="L4878" s="43">
        <v>0.25019999999999998</v>
      </c>
      <c r="O4878" s="50"/>
    </row>
    <row r="4879" spans="2:15" x14ac:dyDescent="0.2">
      <c r="B4879">
        <f t="shared" si="281"/>
        <v>4864</v>
      </c>
      <c r="C4879" s="48">
        <f ca="1"/>
        <v>-1.603837238661616</v>
      </c>
      <c r="D4879" s="48">
        <f t="shared" ca="1" si="278"/>
        <v>0.56732094935085375</v>
      </c>
      <c r="E4879" s="48">
        <f t="shared" ca="1" si="279"/>
        <v>0</v>
      </c>
      <c r="F4879" s="17">
        <f t="shared" ca="1" si="280"/>
        <v>0</v>
      </c>
      <c r="H4879" s="17">
        <v>4864</v>
      </c>
      <c r="I4879" s="43">
        <v>0.66818325010286961</v>
      </c>
      <c r="J4879" s="43">
        <v>1.8456884421422935E-2</v>
      </c>
      <c r="K4879" s="43"/>
      <c r="L4879" s="43">
        <v>0.2412</v>
      </c>
      <c r="O4879" s="50"/>
    </row>
    <row r="4880" spans="2:15" x14ac:dyDescent="0.2">
      <c r="B4880">
        <f t="shared" si="281"/>
        <v>4865</v>
      </c>
      <c r="C4880" s="48">
        <f ca="1"/>
        <v>7.9733793060330835E-2</v>
      </c>
      <c r="D4880" s="48">
        <f t="shared" ref="D4880:D4943" ca="1" si="282">S0*EXP((μ-0.5*σ*σ)*T+σ*SQRT(T)*$C4880)</f>
        <v>0.66974979341293617</v>
      </c>
      <c r="E4880" s="48">
        <f t="shared" ref="E4880:E4943" ca="1" si="283">MAX(0,CP*(D4880-K))</f>
        <v>0</v>
      </c>
      <c r="F4880" s="17">
        <f t="shared" ref="F4880:F4943" ca="1" si="284">(CP*(D4880-K)&gt;0)*1</f>
        <v>0</v>
      </c>
      <c r="H4880" s="17">
        <v>4865</v>
      </c>
      <c r="I4880" s="43">
        <v>0.66922357392274834</v>
      </c>
      <c r="J4880" s="43">
        <v>1.9626136635711357E-2</v>
      </c>
      <c r="K4880" s="43"/>
      <c r="L4880" s="43">
        <v>0.25540000000000002</v>
      </c>
      <c r="O4880" s="50"/>
    </row>
    <row r="4881" spans="2:15" x14ac:dyDescent="0.2">
      <c r="B4881">
        <f t="shared" si="281"/>
        <v>4866</v>
      </c>
      <c r="C4881" s="48">
        <f ca="1"/>
        <v>-1.0277306581894767</v>
      </c>
      <c r="D4881" s="48">
        <f t="shared" ca="1" si="282"/>
        <v>0.60047564443712154</v>
      </c>
      <c r="E4881" s="48">
        <f t="shared" ca="1" si="283"/>
        <v>0</v>
      </c>
      <c r="F4881" s="17">
        <f t="shared" ca="1" si="284"/>
        <v>0</v>
      </c>
      <c r="H4881" s="17">
        <v>4866</v>
      </c>
      <c r="I4881" s="43">
        <v>0.6695181023518485</v>
      </c>
      <c r="J4881" s="43">
        <v>1.961202549510118E-2</v>
      </c>
      <c r="K4881" s="43"/>
      <c r="L4881" s="43">
        <v>0.25080000000000002</v>
      </c>
      <c r="O4881" s="50"/>
    </row>
    <row r="4882" spans="2:15" x14ac:dyDescent="0.2">
      <c r="B4882">
        <f t="shared" si="281"/>
        <v>4867</v>
      </c>
      <c r="C4882" s="48">
        <f ca="1"/>
        <v>0.69142984603819702</v>
      </c>
      <c r="D4882" s="48">
        <f t="shared" ca="1" si="282"/>
        <v>0.71138214875868722</v>
      </c>
      <c r="E4882" s="48">
        <f t="shared" ca="1" si="283"/>
        <v>0</v>
      </c>
      <c r="F4882" s="17">
        <f t="shared" ca="1" si="284"/>
        <v>0</v>
      </c>
      <c r="H4882" s="17">
        <v>4867</v>
      </c>
      <c r="I4882" s="43">
        <v>0.66814413631261727</v>
      </c>
      <c r="J4882" s="43">
        <v>1.8805222800341036E-2</v>
      </c>
      <c r="K4882" s="43"/>
      <c r="L4882" s="43">
        <v>0.24959999999999999</v>
      </c>
      <c r="O4882" s="50"/>
    </row>
    <row r="4883" spans="2:15" x14ac:dyDescent="0.2">
      <c r="B4883">
        <f t="shared" si="281"/>
        <v>4868</v>
      </c>
      <c r="C4883" s="48">
        <f ca="1"/>
        <v>1.0143792926880582</v>
      </c>
      <c r="D4883" s="48">
        <f t="shared" ca="1" si="282"/>
        <v>0.73439610444377479</v>
      </c>
      <c r="E4883" s="48">
        <f t="shared" ca="1" si="283"/>
        <v>0</v>
      </c>
      <c r="F4883" s="17">
        <f t="shared" ca="1" si="284"/>
        <v>0</v>
      </c>
      <c r="H4883" s="17">
        <v>4868</v>
      </c>
      <c r="I4883" s="43">
        <v>0.66845606958891313</v>
      </c>
      <c r="J4883" s="43">
        <v>1.8602288655723651E-2</v>
      </c>
      <c r="K4883" s="43"/>
      <c r="L4883" s="43">
        <v>0.23899999999999999</v>
      </c>
      <c r="O4883" s="50"/>
    </row>
    <row r="4884" spans="2:15" x14ac:dyDescent="0.2">
      <c r="B4884">
        <f t="shared" si="281"/>
        <v>4869</v>
      </c>
      <c r="C4884" s="48">
        <f ca="1"/>
        <v>1.7339691313648746</v>
      </c>
      <c r="D4884" s="48">
        <f t="shared" ca="1" si="282"/>
        <v>0.78838856911454502</v>
      </c>
      <c r="E4884" s="48">
        <f t="shared" ca="1" si="283"/>
        <v>1.8856911454501191E-4</v>
      </c>
      <c r="F4884" s="17">
        <f t="shared" ca="1" si="284"/>
        <v>1</v>
      </c>
      <c r="H4884" s="17">
        <v>4869</v>
      </c>
      <c r="I4884" s="43">
        <v>0.66877729801959362</v>
      </c>
      <c r="J4884" s="43">
        <v>1.9210519318636956E-2</v>
      </c>
      <c r="K4884" s="43"/>
      <c r="L4884" s="43">
        <v>0.24879999999999999</v>
      </c>
      <c r="O4884" s="50"/>
    </row>
    <row r="4885" spans="2:15" x14ac:dyDescent="0.2">
      <c r="B4885">
        <f t="shared" si="281"/>
        <v>4870</v>
      </c>
      <c r="C4885" s="48">
        <f ca="1"/>
        <v>1.1360384043363332</v>
      </c>
      <c r="D4885" s="48">
        <f t="shared" ca="1" si="282"/>
        <v>0.7432575343604324</v>
      </c>
      <c r="E4885" s="48">
        <f t="shared" ca="1" si="283"/>
        <v>0</v>
      </c>
      <c r="F4885" s="17">
        <f t="shared" ca="1" si="284"/>
        <v>0</v>
      </c>
      <c r="H4885" s="17">
        <v>4870</v>
      </c>
      <c r="I4885" s="43">
        <v>0.66814874183942718</v>
      </c>
      <c r="J4885" s="43">
        <v>1.8840621743940029E-2</v>
      </c>
      <c r="K4885" s="43"/>
      <c r="L4885" s="43">
        <v>0.2422</v>
      </c>
      <c r="O4885" s="50"/>
    </row>
    <row r="4886" spans="2:15" x14ac:dyDescent="0.2">
      <c r="B4886">
        <f t="shared" si="281"/>
        <v>4871</v>
      </c>
      <c r="C4886" s="48">
        <f ca="1"/>
        <v>-0.53607427494547855</v>
      </c>
      <c r="D4886" s="48">
        <f t="shared" ca="1" si="282"/>
        <v>0.63029832603864744</v>
      </c>
      <c r="E4886" s="48">
        <f t="shared" ca="1" si="283"/>
        <v>0</v>
      </c>
      <c r="F4886" s="17">
        <f t="shared" ca="1" si="284"/>
        <v>0</v>
      </c>
      <c r="H4886" s="17">
        <v>4871</v>
      </c>
      <c r="I4886" s="43">
        <v>0.66865628084717466</v>
      </c>
      <c r="J4886" s="43">
        <v>1.9015578178693083E-2</v>
      </c>
      <c r="K4886" s="43"/>
      <c r="L4886" s="43">
        <v>0.25</v>
      </c>
      <c r="O4886" s="50"/>
    </row>
    <row r="4887" spans="2:15" x14ac:dyDescent="0.2">
      <c r="B4887">
        <f t="shared" si="281"/>
        <v>4872</v>
      </c>
      <c r="C4887" s="48">
        <f ca="1"/>
        <v>-0.13439829448297774</v>
      </c>
      <c r="D4887" s="48">
        <f t="shared" ca="1" si="282"/>
        <v>0.65575907598512617</v>
      </c>
      <c r="E4887" s="48">
        <f t="shared" ca="1" si="283"/>
        <v>0</v>
      </c>
      <c r="F4887" s="17">
        <f t="shared" ca="1" si="284"/>
        <v>0</v>
      </c>
      <c r="H4887" s="17">
        <v>4872</v>
      </c>
      <c r="I4887" s="43">
        <v>0.66943719866464202</v>
      </c>
      <c r="J4887" s="43">
        <v>1.9525940336488672E-2</v>
      </c>
      <c r="K4887" s="43"/>
      <c r="L4887" s="43">
        <v>0.24879999999999999</v>
      </c>
      <c r="O4887" s="50"/>
    </row>
    <row r="4888" spans="2:15" x14ac:dyDescent="0.2">
      <c r="B4888">
        <f t="shared" si="281"/>
        <v>4873</v>
      </c>
      <c r="C4888" s="48">
        <f ca="1"/>
        <v>0.21267899986555897</v>
      </c>
      <c r="D4888" s="48">
        <f t="shared" ca="1" si="282"/>
        <v>0.67858580327592799</v>
      </c>
      <c r="E4888" s="48">
        <f t="shared" ca="1" si="283"/>
        <v>0</v>
      </c>
      <c r="F4888" s="17">
        <f t="shared" ca="1" si="284"/>
        <v>0</v>
      </c>
      <c r="H4888" s="17">
        <v>4873</v>
      </c>
      <c r="I4888" s="43">
        <v>0.66793121042862136</v>
      </c>
      <c r="J4888" s="43">
        <v>1.8736497730829246E-2</v>
      </c>
      <c r="K4888" s="43"/>
      <c r="L4888" s="43">
        <v>0.24840000000000001</v>
      </c>
      <c r="O4888" s="50"/>
    </row>
    <row r="4889" spans="2:15" x14ac:dyDescent="0.2">
      <c r="B4889">
        <f t="shared" si="281"/>
        <v>4874</v>
      </c>
      <c r="C4889" s="48">
        <f ca="1"/>
        <v>2.1504467056734748</v>
      </c>
      <c r="D4889" s="48">
        <f t="shared" ca="1" si="282"/>
        <v>0.82143314010634916</v>
      </c>
      <c r="E4889" s="48">
        <f t="shared" ca="1" si="283"/>
        <v>3.3233140106349146E-2</v>
      </c>
      <c r="F4889" s="17">
        <f t="shared" ca="1" si="284"/>
        <v>1</v>
      </c>
      <c r="H4889" s="17">
        <v>4874</v>
      </c>
      <c r="I4889" s="43">
        <v>0.66835363213871202</v>
      </c>
      <c r="J4889" s="43">
        <v>1.8753312649179406E-2</v>
      </c>
      <c r="K4889" s="43"/>
      <c r="L4889" s="43">
        <v>0.25180000000000002</v>
      </c>
      <c r="O4889" s="50"/>
    </row>
    <row r="4890" spans="2:15" x14ac:dyDescent="0.2">
      <c r="B4890">
        <f t="shared" si="281"/>
        <v>4875</v>
      </c>
      <c r="C4890" s="48">
        <f ca="1"/>
        <v>-0.48601765402185781</v>
      </c>
      <c r="D4890" s="48">
        <f t="shared" ca="1" si="282"/>
        <v>0.63341650800936733</v>
      </c>
      <c r="E4890" s="48">
        <f t="shared" ca="1" si="283"/>
        <v>0</v>
      </c>
      <c r="F4890" s="17">
        <f t="shared" ca="1" si="284"/>
        <v>0</v>
      </c>
      <c r="H4890" s="17">
        <v>4875</v>
      </c>
      <c r="I4890" s="43">
        <v>0.66775726592429197</v>
      </c>
      <c r="J4890" s="43">
        <v>1.8486469110504125E-2</v>
      </c>
      <c r="K4890" s="43"/>
      <c r="L4890" s="43">
        <v>0.24859999999999999</v>
      </c>
      <c r="O4890" s="50"/>
    </row>
    <row r="4891" spans="2:15" x14ac:dyDescent="0.2">
      <c r="B4891">
        <f t="shared" si="281"/>
        <v>4876</v>
      </c>
      <c r="C4891" s="48">
        <f ca="1"/>
        <v>-0.36121876972808853</v>
      </c>
      <c r="D4891" s="48">
        <f t="shared" ca="1" si="282"/>
        <v>0.64125795542488628</v>
      </c>
      <c r="E4891" s="48">
        <f t="shared" ca="1" si="283"/>
        <v>0</v>
      </c>
      <c r="F4891" s="17">
        <f t="shared" ca="1" si="284"/>
        <v>0</v>
      </c>
      <c r="H4891" s="17">
        <v>4876</v>
      </c>
      <c r="I4891" s="43">
        <v>0.66795690442725431</v>
      </c>
      <c r="J4891" s="43">
        <v>1.8610658956533493E-2</v>
      </c>
      <c r="K4891" s="43"/>
      <c r="L4891" s="43">
        <v>0.24479999999999999</v>
      </c>
      <c r="O4891" s="50"/>
    </row>
    <row r="4892" spans="2:15" x14ac:dyDescent="0.2">
      <c r="B4892">
        <f t="shared" si="281"/>
        <v>4877</v>
      </c>
      <c r="C4892" s="48">
        <f ca="1"/>
        <v>1.6028283981177438</v>
      </c>
      <c r="D4892" s="48">
        <f t="shared" ca="1" si="282"/>
        <v>0.77826123329539876</v>
      </c>
      <c r="E4892" s="48">
        <f t="shared" ca="1" si="283"/>
        <v>0</v>
      </c>
      <c r="F4892" s="17">
        <f t="shared" ca="1" si="284"/>
        <v>0</v>
      </c>
      <c r="H4892" s="17">
        <v>4877</v>
      </c>
      <c r="I4892" s="43">
        <v>0.66977746531063975</v>
      </c>
      <c r="J4892" s="43">
        <v>2.0070502532618127E-2</v>
      </c>
      <c r="K4892" s="43"/>
      <c r="L4892" s="43">
        <v>0.25559999999999999</v>
      </c>
      <c r="O4892" s="50"/>
    </row>
    <row r="4893" spans="2:15" x14ac:dyDescent="0.2">
      <c r="B4893">
        <f t="shared" si="281"/>
        <v>4878</v>
      </c>
      <c r="C4893" s="48">
        <f ca="1"/>
        <v>-1.3853160757691736</v>
      </c>
      <c r="D4893" s="48">
        <f t="shared" ca="1" si="282"/>
        <v>0.57967560210555835</v>
      </c>
      <c r="E4893" s="48">
        <f t="shared" ca="1" si="283"/>
        <v>0</v>
      </c>
      <c r="F4893" s="17">
        <f t="shared" ca="1" si="284"/>
        <v>0</v>
      </c>
      <c r="H4893" s="17">
        <v>4878</v>
      </c>
      <c r="I4893" s="43">
        <v>0.6684373511667081</v>
      </c>
      <c r="J4893" s="43">
        <v>1.9051296118746636E-2</v>
      </c>
      <c r="K4893" s="43"/>
      <c r="L4893" s="43">
        <v>0.25059999999999999</v>
      </c>
      <c r="O4893" s="50"/>
    </row>
    <row r="4894" spans="2:15" x14ac:dyDescent="0.2">
      <c r="B4894">
        <f t="shared" si="281"/>
        <v>4879</v>
      </c>
      <c r="C4894" s="48">
        <f ca="1"/>
        <v>-0.60319396298093919</v>
      </c>
      <c r="D4894" s="48">
        <f t="shared" ca="1" si="282"/>
        <v>0.62614131002206641</v>
      </c>
      <c r="E4894" s="48">
        <f t="shared" ca="1" si="283"/>
        <v>0</v>
      </c>
      <c r="F4894" s="17">
        <f t="shared" ca="1" si="284"/>
        <v>0</v>
      </c>
      <c r="H4894" s="17">
        <v>4879</v>
      </c>
      <c r="I4894" s="43">
        <v>0.66867094143313888</v>
      </c>
      <c r="J4894" s="43">
        <v>1.9338509454438997E-2</v>
      </c>
      <c r="K4894" s="43"/>
      <c r="L4894" s="43">
        <v>0.25019999999999998</v>
      </c>
      <c r="O4894" s="50"/>
    </row>
    <row r="4895" spans="2:15" x14ac:dyDescent="0.2">
      <c r="B4895">
        <f t="shared" si="281"/>
        <v>4880</v>
      </c>
      <c r="C4895" s="48">
        <f ca="1"/>
        <v>0.99776272275751077</v>
      </c>
      <c r="D4895" s="48">
        <f t="shared" ca="1" si="282"/>
        <v>0.73319401222550984</v>
      </c>
      <c r="E4895" s="48">
        <f t="shared" ca="1" si="283"/>
        <v>0</v>
      </c>
      <c r="F4895" s="17">
        <f t="shared" ca="1" si="284"/>
        <v>0</v>
      </c>
      <c r="H4895" s="17">
        <v>4880</v>
      </c>
      <c r="I4895" s="43">
        <v>0.66722828972243908</v>
      </c>
      <c r="J4895" s="43">
        <v>1.8106219737864509E-2</v>
      </c>
      <c r="K4895" s="43"/>
      <c r="L4895" s="43">
        <v>0.2394</v>
      </c>
      <c r="O4895" s="50"/>
    </row>
    <row r="4896" spans="2:15" x14ac:dyDescent="0.2">
      <c r="B4896">
        <f t="shared" si="281"/>
        <v>4881</v>
      </c>
      <c r="C4896" s="48">
        <f ca="1"/>
        <v>0.68136645578388366</v>
      </c>
      <c r="D4896" s="48">
        <f t="shared" ca="1" si="282"/>
        <v>0.71067671932077792</v>
      </c>
      <c r="E4896" s="48">
        <f t="shared" ca="1" si="283"/>
        <v>0</v>
      </c>
      <c r="F4896" s="17">
        <f t="shared" ca="1" si="284"/>
        <v>0</v>
      </c>
      <c r="H4896" s="17">
        <v>4881</v>
      </c>
      <c r="I4896" s="43">
        <v>0.66872220194047982</v>
      </c>
      <c r="J4896" s="43">
        <v>1.9064979200654166E-2</v>
      </c>
      <c r="K4896" s="43"/>
      <c r="L4896" s="43">
        <v>0.24979999999999999</v>
      </c>
      <c r="O4896" s="50"/>
    </row>
    <row r="4897" spans="2:15" x14ac:dyDescent="0.2">
      <c r="B4897">
        <f t="shared" si="281"/>
        <v>4882</v>
      </c>
      <c r="C4897" s="48">
        <f ca="1"/>
        <v>2.4238447828676546</v>
      </c>
      <c r="D4897" s="48">
        <f t="shared" ca="1" si="282"/>
        <v>0.84387482438147565</v>
      </c>
      <c r="E4897" s="48">
        <f t="shared" ca="1" si="283"/>
        <v>5.5674824381475641E-2</v>
      </c>
      <c r="F4897" s="17">
        <f t="shared" ca="1" si="284"/>
        <v>1</v>
      </c>
      <c r="H4897" s="17">
        <v>4882</v>
      </c>
      <c r="I4897" s="43">
        <v>0.66945909478247601</v>
      </c>
      <c r="J4897" s="43">
        <v>1.9916151325723486E-2</v>
      </c>
      <c r="K4897" s="43"/>
      <c r="L4897" s="43">
        <v>0.25919999999999999</v>
      </c>
      <c r="O4897" s="50"/>
    </row>
    <row r="4898" spans="2:15" x14ac:dyDescent="0.2">
      <c r="B4898">
        <f t="shared" si="281"/>
        <v>4883</v>
      </c>
      <c r="C4898" s="48">
        <f ca="1"/>
        <v>-1.6355286817682442</v>
      </c>
      <c r="D4898" s="48">
        <f t="shared" ca="1" si="282"/>
        <v>0.56555118972330343</v>
      </c>
      <c r="E4898" s="48">
        <f t="shared" ca="1" si="283"/>
        <v>0</v>
      </c>
      <c r="F4898" s="17">
        <f t="shared" ca="1" si="284"/>
        <v>0</v>
      </c>
      <c r="H4898" s="17">
        <v>4883</v>
      </c>
      <c r="I4898" s="43">
        <v>0.66887215765908825</v>
      </c>
      <c r="J4898" s="43">
        <v>1.9398781333696349E-2</v>
      </c>
      <c r="K4898" s="43"/>
      <c r="L4898" s="43">
        <v>0.24959999999999999</v>
      </c>
      <c r="O4898" s="50"/>
    </row>
    <row r="4899" spans="2:15" x14ac:dyDescent="0.2">
      <c r="B4899">
        <f t="shared" si="281"/>
        <v>4884</v>
      </c>
      <c r="C4899" s="48">
        <f ca="1"/>
        <v>1.93866949548626</v>
      </c>
      <c r="D4899" s="48">
        <f t="shared" ca="1" si="282"/>
        <v>0.8044605811537634</v>
      </c>
      <c r="E4899" s="48">
        <f t="shared" ca="1" si="283"/>
        <v>1.6260581153763387E-2</v>
      </c>
      <c r="F4899" s="17">
        <f t="shared" ca="1" si="284"/>
        <v>1</v>
      </c>
      <c r="H4899" s="17">
        <v>4884</v>
      </c>
      <c r="I4899" s="43">
        <v>0.66973836935411013</v>
      </c>
      <c r="J4899" s="43">
        <v>1.9793928524866382E-2</v>
      </c>
      <c r="K4899" s="43"/>
      <c r="L4899" s="43">
        <v>0.25419999999999998</v>
      </c>
      <c r="O4899" s="50"/>
    </row>
    <row r="4900" spans="2:15" x14ac:dyDescent="0.2">
      <c r="B4900">
        <f t="shared" si="281"/>
        <v>4885</v>
      </c>
      <c r="C4900" s="48">
        <f ca="1"/>
        <v>-1.3304654869259709</v>
      </c>
      <c r="D4900" s="48">
        <f t="shared" ca="1" si="282"/>
        <v>0.58281873545762353</v>
      </c>
      <c r="E4900" s="48">
        <f t="shared" ca="1" si="283"/>
        <v>0</v>
      </c>
      <c r="F4900" s="17">
        <f t="shared" ca="1" si="284"/>
        <v>0</v>
      </c>
      <c r="H4900" s="17">
        <v>4885</v>
      </c>
      <c r="I4900" s="43">
        <v>0.66921842277313615</v>
      </c>
      <c r="J4900" s="43">
        <v>1.97886874400564E-2</v>
      </c>
      <c r="K4900" s="43"/>
      <c r="L4900" s="43">
        <v>0.25879999999999997</v>
      </c>
      <c r="O4900" s="50"/>
    </row>
    <row r="4901" spans="2:15" x14ac:dyDescent="0.2">
      <c r="B4901">
        <f t="shared" si="281"/>
        <v>4886</v>
      </c>
      <c r="C4901" s="48">
        <f ca="1"/>
        <v>-2.0673432724148952</v>
      </c>
      <c r="D4901" s="48">
        <f t="shared" ca="1" si="282"/>
        <v>0.54198011075502928</v>
      </c>
      <c r="E4901" s="48">
        <f t="shared" ca="1" si="283"/>
        <v>0</v>
      </c>
      <c r="F4901" s="17">
        <f t="shared" ca="1" si="284"/>
        <v>0</v>
      </c>
      <c r="H4901" s="17">
        <v>4886</v>
      </c>
      <c r="I4901" s="43">
        <v>0.66923817223606352</v>
      </c>
      <c r="J4901" s="43">
        <v>1.9640127438747858E-2</v>
      </c>
      <c r="K4901" s="43"/>
      <c r="L4901" s="43">
        <v>0.25700000000000001</v>
      </c>
      <c r="O4901" s="50"/>
    </row>
    <row r="4902" spans="2:15" x14ac:dyDescent="0.2">
      <c r="B4902">
        <f t="shared" si="281"/>
        <v>4887</v>
      </c>
      <c r="C4902" s="48">
        <f ca="1"/>
        <v>-1.6126738226335176</v>
      </c>
      <c r="D4902" s="48">
        <f t="shared" ca="1" si="282"/>
        <v>0.56682692791853806</v>
      </c>
      <c r="E4902" s="48">
        <f t="shared" ca="1" si="283"/>
        <v>0</v>
      </c>
      <c r="F4902" s="17">
        <f t="shared" ca="1" si="284"/>
        <v>0</v>
      </c>
      <c r="H4902" s="17">
        <v>4887</v>
      </c>
      <c r="I4902" s="43">
        <v>0.66952919878362616</v>
      </c>
      <c r="J4902" s="43">
        <v>1.9755252086295159E-2</v>
      </c>
      <c r="K4902" s="43"/>
      <c r="L4902" s="43">
        <v>0.24979999999999999</v>
      </c>
      <c r="O4902" s="50"/>
    </row>
    <row r="4903" spans="2:15" x14ac:dyDescent="0.2">
      <c r="B4903">
        <f t="shared" si="281"/>
        <v>4888</v>
      </c>
      <c r="C4903" s="48">
        <f ca="1"/>
        <v>-1.5647547826159112</v>
      </c>
      <c r="D4903" s="48">
        <f t="shared" ca="1" si="282"/>
        <v>0.56951107653324995</v>
      </c>
      <c r="E4903" s="48">
        <f t="shared" ca="1" si="283"/>
        <v>0</v>
      </c>
      <c r="F4903" s="17">
        <f t="shared" ca="1" si="284"/>
        <v>0</v>
      </c>
      <c r="H4903" s="17">
        <v>4888</v>
      </c>
      <c r="I4903" s="43">
        <v>0.66968757486724528</v>
      </c>
      <c r="J4903" s="43">
        <v>1.9967521622238478E-2</v>
      </c>
      <c r="K4903" s="43"/>
      <c r="L4903" s="43">
        <v>0.248</v>
      </c>
      <c r="O4903" s="50"/>
    </row>
    <row r="4904" spans="2:15" x14ac:dyDescent="0.2">
      <c r="B4904">
        <f t="shared" si="281"/>
        <v>4889</v>
      </c>
      <c r="C4904" s="48">
        <f ca="1"/>
        <v>9.8878639627092979E-2</v>
      </c>
      <c r="D4904" s="48">
        <f t="shared" ca="1" si="282"/>
        <v>0.67101510101192363</v>
      </c>
      <c r="E4904" s="48">
        <f t="shared" ca="1" si="283"/>
        <v>0</v>
      </c>
      <c r="F4904" s="17">
        <f t="shared" ca="1" si="284"/>
        <v>0</v>
      </c>
      <c r="H4904" s="17">
        <v>4889</v>
      </c>
      <c r="I4904" s="43">
        <v>0.66944431535949322</v>
      </c>
      <c r="J4904" s="43">
        <v>1.9685152822747784E-2</v>
      </c>
      <c r="K4904" s="43"/>
      <c r="L4904" s="43">
        <v>0.25459999999999999</v>
      </c>
      <c r="O4904" s="50"/>
    </row>
    <row r="4905" spans="2:15" x14ac:dyDescent="0.2">
      <c r="B4905">
        <f t="shared" si="281"/>
        <v>4890</v>
      </c>
      <c r="C4905" s="48">
        <f ca="1"/>
        <v>-0.40946133505391691</v>
      </c>
      <c r="D4905" s="48">
        <f t="shared" ca="1" si="282"/>
        <v>0.63821530181673103</v>
      </c>
      <c r="E4905" s="48">
        <f t="shared" ca="1" si="283"/>
        <v>0</v>
      </c>
      <c r="F4905" s="17">
        <f t="shared" ca="1" si="284"/>
        <v>0</v>
      </c>
      <c r="H4905" s="17">
        <v>4890</v>
      </c>
      <c r="I4905" s="43">
        <v>0.66902002184873688</v>
      </c>
      <c r="J4905" s="43">
        <v>1.9353653854895809E-2</v>
      </c>
      <c r="K4905" s="43"/>
      <c r="L4905" s="43">
        <v>0.24959999999999999</v>
      </c>
      <c r="O4905" s="50"/>
    </row>
    <row r="4906" spans="2:15" x14ac:dyDescent="0.2">
      <c r="B4906">
        <f t="shared" si="281"/>
        <v>4891</v>
      </c>
      <c r="C4906" s="48">
        <f ca="1"/>
        <v>2.6218814941311215</v>
      </c>
      <c r="D4906" s="48">
        <f t="shared" ca="1" si="282"/>
        <v>0.86051247207451376</v>
      </c>
      <c r="E4906" s="48">
        <f t="shared" ca="1" si="283"/>
        <v>7.2312472074513745E-2</v>
      </c>
      <c r="F4906" s="17">
        <f t="shared" ca="1" si="284"/>
        <v>1</v>
      </c>
      <c r="H4906" s="17">
        <v>4891</v>
      </c>
      <c r="I4906" s="43">
        <v>0.66926978149477523</v>
      </c>
      <c r="J4906" s="43">
        <v>1.9603276277444959E-2</v>
      </c>
      <c r="K4906" s="43"/>
      <c r="L4906" s="43">
        <v>0.25580000000000003</v>
      </c>
      <c r="O4906" s="50"/>
    </row>
    <row r="4907" spans="2:15" x14ac:dyDescent="0.2">
      <c r="B4907">
        <f t="shared" si="281"/>
        <v>4892</v>
      </c>
      <c r="C4907" s="48">
        <f ca="1"/>
        <v>1.3289467571163047</v>
      </c>
      <c r="D4907" s="48">
        <f t="shared" ca="1" si="282"/>
        <v>0.75752833700175626</v>
      </c>
      <c r="E4907" s="48">
        <f t="shared" ca="1" si="283"/>
        <v>0</v>
      </c>
      <c r="F4907" s="17">
        <f t="shared" ca="1" si="284"/>
        <v>0</v>
      </c>
      <c r="H4907" s="17">
        <v>4892</v>
      </c>
      <c r="I4907" s="43">
        <v>0.66801326823092966</v>
      </c>
      <c r="J4907" s="43">
        <v>1.9031437544801428E-2</v>
      </c>
      <c r="K4907" s="43"/>
      <c r="L4907" s="43">
        <v>0.24560000000000001</v>
      </c>
      <c r="O4907" s="50"/>
    </row>
    <row r="4908" spans="2:15" x14ac:dyDescent="0.2">
      <c r="B4908">
        <f t="shared" si="281"/>
        <v>4893</v>
      </c>
      <c r="C4908" s="48">
        <f ca="1"/>
        <v>5.4899086971165766E-2</v>
      </c>
      <c r="D4908" s="48">
        <f t="shared" ca="1" si="282"/>
        <v>0.66811198996654808</v>
      </c>
      <c r="E4908" s="48">
        <f t="shared" ca="1" si="283"/>
        <v>0</v>
      </c>
      <c r="F4908" s="17">
        <f t="shared" ca="1" si="284"/>
        <v>0</v>
      </c>
      <c r="H4908" s="17">
        <v>4893</v>
      </c>
      <c r="I4908" s="43">
        <v>0.6684717644932473</v>
      </c>
      <c r="J4908" s="43">
        <v>1.8959344449272216E-2</v>
      </c>
      <c r="K4908" s="43"/>
      <c r="L4908" s="43">
        <v>0.2462</v>
      </c>
      <c r="O4908" s="50"/>
    </row>
    <row r="4909" spans="2:15" x14ac:dyDescent="0.2">
      <c r="B4909">
        <f t="shared" si="281"/>
        <v>4894</v>
      </c>
      <c r="C4909" s="48">
        <f ca="1"/>
        <v>0.23786273020761031</v>
      </c>
      <c r="D4909" s="48">
        <f t="shared" ca="1" si="282"/>
        <v>0.68027268951430997</v>
      </c>
      <c r="E4909" s="48">
        <f t="shared" ca="1" si="283"/>
        <v>0</v>
      </c>
      <c r="F4909" s="17">
        <f t="shared" ca="1" si="284"/>
        <v>0</v>
      </c>
      <c r="H4909" s="17">
        <v>4894</v>
      </c>
      <c r="I4909" s="43">
        <v>0.66836209761314636</v>
      </c>
      <c r="J4909" s="43">
        <v>1.9107300745003615E-2</v>
      </c>
      <c r="K4909" s="43"/>
      <c r="L4909" s="43">
        <v>0.2462</v>
      </c>
      <c r="O4909" s="50"/>
    </row>
    <row r="4910" spans="2:15" x14ac:dyDescent="0.2">
      <c r="B4910">
        <f t="shared" si="281"/>
        <v>4895</v>
      </c>
      <c r="C4910" s="48">
        <f ca="1"/>
        <v>-0.41694967900364627</v>
      </c>
      <c r="D4910" s="48">
        <f t="shared" ca="1" si="282"/>
        <v>0.6377443088558935</v>
      </c>
      <c r="E4910" s="48">
        <f t="shared" ca="1" si="283"/>
        <v>0</v>
      </c>
      <c r="F4910" s="17">
        <f t="shared" ca="1" si="284"/>
        <v>0</v>
      </c>
      <c r="H4910" s="17">
        <v>4895</v>
      </c>
      <c r="I4910" s="43">
        <v>0.66940007063288909</v>
      </c>
      <c r="J4910" s="43">
        <v>1.9666560892153913E-2</v>
      </c>
      <c r="K4910" s="43"/>
      <c r="L4910" s="43">
        <v>0.25180000000000002</v>
      </c>
      <c r="O4910" s="50"/>
    </row>
    <row r="4911" spans="2:15" x14ac:dyDescent="0.2">
      <c r="B4911">
        <f t="shared" si="281"/>
        <v>4896</v>
      </c>
      <c r="C4911" s="48">
        <f ca="1"/>
        <v>2.0847853498543416</v>
      </c>
      <c r="D4911" s="48">
        <f t="shared" ca="1" si="282"/>
        <v>0.81613285944590475</v>
      </c>
      <c r="E4911" s="48">
        <f t="shared" ca="1" si="283"/>
        <v>2.7932859445904734E-2</v>
      </c>
      <c r="F4911" s="17">
        <f t="shared" ca="1" si="284"/>
        <v>1</v>
      </c>
      <c r="H4911" s="17">
        <v>4896</v>
      </c>
      <c r="I4911" s="43">
        <v>0.66924855149269646</v>
      </c>
      <c r="J4911" s="43">
        <v>1.9727155696134514E-2</v>
      </c>
      <c r="K4911" s="43"/>
      <c r="L4911" s="43">
        <v>0.25740000000000002</v>
      </c>
      <c r="O4911" s="50"/>
    </row>
    <row r="4912" spans="2:15" x14ac:dyDescent="0.2">
      <c r="B4912">
        <f t="shared" si="281"/>
        <v>4897</v>
      </c>
      <c r="C4912" s="48">
        <f ca="1"/>
        <v>2.6125760820210528</v>
      </c>
      <c r="D4912" s="48">
        <f t="shared" ca="1" si="282"/>
        <v>0.85972340248457613</v>
      </c>
      <c r="E4912" s="48">
        <f t="shared" ca="1" si="283"/>
        <v>7.1523402484576115E-2</v>
      </c>
      <c r="F4912" s="17">
        <f t="shared" ca="1" si="284"/>
        <v>1</v>
      </c>
      <c r="H4912" s="17">
        <v>4897</v>
      </c>
      <c r="I4912" s="43">
        <v>0.66921898183007145</v>
      </c>
      <c r="J4912" s="43">
        <v>1.9404561964786758E-2</v>
      </c>
      <c r="K4912" s="43"/>
      <c r="L4912" s="43">
        <v>0.24859999999999999</v>
      </c>
      <c r="O4912" s="50"/>
    </row>
    <row r="4913" spans="2:15" x14ac:dyDescent="0.2">
      <c r="B4913">
        <f t="shared" ref="B4913:B4976" si="285">B4912+1</f>
        <v>4898</v>
      </c>
      <c r="C4913" s="48">
        <f ca="1"/>
        <v>-0.54523336542657475</v>
      </c>
      <c r="D4913" s="48">
        <f t="shared" ca="1" si="282"/>
        <v>0.62972944146059306</v>
      </c>
      <c r="E4913" s="48">
        <f t="shared" ca="1" si="283"/>
        <v>0</v>
      </c>
      <c r="F4913" s="17">
        <f t="shared" ca="1" si="284"/>
        <v>0</v>
      </c>
      <c r="H4913" s="17">
        <v>4898</v>
      </c>
      <c r="I4913" s="43">
        <v>0.66851146811643025</v>
      </c>
      <c r="J4913" s="43">
        <v>1.9106835914654861E-2</v>
      </c>
      <c r="K4913" s="43"/>
      <c r="L4913" s="43">
        <v>0.24199999999999999</v>
      </c>
      <c r="O4913" s="50"/>
    </row>
    <row r="4914" spans="2:15" x14ac:dyDescent="0.2">
      <c r="B4914">
        <f t="shared" si="285"/>
        <v>4899</v>
      </c>
      <c r="C4914" s="48">
        <f ca="1"/>
        <v>-4.5572924539298905E-2</v>
      </c>
      <c r="D4914" s="48">
        <f t="shared" ca="1" si="282"/>
        <v>0.66152682052256151</v>
      </c>
      <c r="E4914" s="48">
        <f t="shared" ca="1" si="283"/>
        <v>0</v>
      </c>
      <c r="F4914" s="17">
        <f t="shared" ca="1" si="284"/>
        <v>0</v>
      </c>
      <c r="H4914" s="17">
        <v>4899</v>
      </c>
      <c r="I4914" s="43">
        <v>0.66848006041873609</v>
      </c>
      <c r="J4914" s="43">
        <v>1.9138493781344579E-2</v>
      </c>
      <c r="K4914" s="43"/>
      <c r="L4914" s="43">
        <v>0.251</v>
      </c>
      <c r="O4914" s="50"/>
    </row>
    <row r="4915" spans="2:15" x14ac:dyDescent="0.2">
      <c r="B4915">
        <f t="shared" si="285"/>
        <v>4900</v>
      </c>
      <c r="C4915" s="48">
        <f ca="1"/>
        <v>-0.21119184666760249</v>
      </c>
      <c r="D4915" s="48">
        <f t="shared" ca="1" si="282"/>
        <v>0.65081314754342645</v>
      </c>
      <c r="E4915" s="48">
        <f t="shared" ca="1" si="283"/>
        <v>0</v>
      </c>
      <c r="F4915" s="17">
        <f t="shared" ca="1" si="284"/>
        <v>0</v>
      </c>
      <c r="H4915" s="17">
        <v>4900</v>
      </c>
      <c r="I4915" s="43">
        <v>0.66891364783274554</v>
      </c>
      <c r="J4915" s="43">
        <v>1.9280540400809124E-2</v>
      </c>
      <c r="K4915" s="43"/>
      <c r="L4915" s="43">
        <v>0.25059999999999999</v>
      </c>
      <c r="O4915" s="50"/>
    </row>
    <row r="4916" spans="2:15" x14ac:dyDescent="0.2">
      <c r="B4916">
        <f t="shared" si="285"/>
        <v>4901</v>
      </c>
      <c r="C4916" s="48">
        <f ca="1"/>
        <v>0.39814706522847038</v>
      </c>
      <c r="D4916" s="48">
        <f t="shared" ca="1" si="282"/>
        <v>0.69110775951321557</v>
      </c>
      <c r="E4916" s="48">
        <f t="shared" ca="1" si="283"/>
        <v>0</v>
      </c>
      <c r="F4916" s="17">
        <f t="shared" ca="1" si="284"/>
        <v>0</v>
      </c>
      <c r="H4916" s="17">
        <v>4901</v>
      </c>
      <c r="I4916" s="43">
        <v>0.66933050111041015</v>
      </c>
      <c r="J4916" s="43">
        <v>1.9504896358358174E-2</v>
      </c>
      <c r="K4916" s="43"/>
      <c r="L4916" s="43">
        <v>0.2492</v>
      </c>
      <c r="O4916" s="50"/>
    </row>
    <row r="4917" spans="2:15" x14ac:dyDescent="0.2">
      <c r="B4917">
        <f t="shared" si="285"/>
        <v>4902</v>
      </c>
      <c r="C4917" s="48">
        <f ca="1"/>
        <v>0.87134170983880987</v>
      </c>
      <c r="D4917" s="48">
        <f t="shared" ca="1" si="282"/>
        <v>0.72411253943484699</v>
      </c>
      <c r="E4917" s="48">
        <f t="shared" ca="1" si="283"/>
        <v>0</v>
      </c>
      <c r="F4917" s="17">
        <f t="shared" ca="1" si="284"/>
        <v>0</v>
      </c>
      <c r="H4917" s="17">
        <v>4902</v>
      </c>
      <c r="I4917" s="43">
        <v>0.6693680828416213</v>
      </c>
      <c r="J4917" s="43">
        <v>1.9713642491403387E-2</v>
      </c>
      <c r="K4917" s="43"/>
      <c r="L4917" s="43">
        <v>0.25380000000000003</v>
      </c>
      <c r="O4917" s="50"/>
    </row>
    <row r="4918" spans="2:15" x14ac:dyDescent="0.2">
      <c r="B4918">
        <f t="shared" si="285"/>
        <v>4903</v>
      </c>
      <c r="C4918" s="48">
        <f ca="1"/>
        <v>-1.5944922693974659</v>
      </c>
      <c r="D4918" s="48">
        <f t="shared" ca="1" si="282"/>
        <v>0.56784386120991726</v>
      </c>
      <c r="E4918" s="48">
        <f t="shared" ca="1" si="283"/>
        <v>0</v>
      </c>
      <c r="F4918" s="17">
        <f t="shared" ca="1" si="284"/>
        <v>0</v>
      </c>
      <c r="H4918" s="17">
        <v>4903</v>
      </c>
      <c r="I4918" s="43">
        <v>0.66868413551562267</v>
      </c>
      <c r="J4918" s="43">
        <v>1.9064482558976911E-2</v>
      </c>
      <c r="K4918" s="43"/>
      <c r="L4918" s="43">
        <v>0.25319999999999998</v>
      </c>
      <c r="O4918" s="50"/>
    </row>
    <row r="4919" spans="2:15" x14ac:dyDescent="0.2">
      <c r="B4919">
        <f t="shared" si="285"/>
        <v>4904</v>
      </c>
      <c r="C4919" s="48">
        <f ca="1"/>
        <v>-0.7806437150474832</v>
      </c>
      <c r="D4919" s="48">
        <f t="shared" ca="1" si="282"/>
        <v>0.61528265166180995</v>
      </c>
      <c r="E4919" s="48">
        <f t="shared" ca="1" si="283"/>
        <v>0</v>
      </c>
      <c r="F4919" s="17">
        <f t="shared" ca="1" si="284"/>
        <v>0</v>
      </c>
      <c r="H4919" s="17">
        <v>4904</v>
      </c>
      <c r="I4919" s="43">
        <v>0.6693106247295747</v>
      </c>
      <c r="J4919" s="43">
        <v>1.9746983104671857E-2</v>
      </c>
      <c r="K4919" s="43"/>
      <c r="L4919" s="43">
        <v>0.253</v>
      </c>
      <c r="O4919" s="50"/>
    </row>
    <row r="4920" spans="2:15" x14ac:dyDescent="0.2">
      <c r="B4920">
        <f t="shared" si="285"/>
        <v>4905</v>
      </c>
      <c r="C4920" s="48">
        <f ca="1"/>
        <v>-0.67294278514453143</v>
      </c>
      <c r="D4920" s="48">
        <f t="shared" ca="1" si="282"/>
        <v>0.62185050649139817</v>
      </c>
      <c r="E4920" s="48">
        <f t="shared" ca="1" si="283"/>
        <v>0</v>
      </c>
      <c r="F4920" s="17">
        <f t="shared" ca="1" si="284"/>
        <v>0</v>
      </c>
      <c r="H4920" s="17">
        <v>4905</v>
      </c>
      <c r="I4920" s="43">
        <v>0.66923653180996701</v>
      </c>
      <c r="J4920" s="43">
        <v>1.9408976096902113E-2</v>
      </c>
      <c r="K4920" s="43"/>
      <c r="L4920" s="43">
        <v>0.25240000000000001</v>
      </c>
      <c r="O4920" s="50"/>
    </row>
    <row r="4921" spans="2:15" x14ac:dyDescent="0.2">
      <c r="B4921">
        <f t="shared" si="285"/>
        <v>4906</v>
      </c>
      <c r="C4921" s="48">
        <f ca="1"/>
        <v>1.0407412501790791</v>
      </c>
      <c r="D4921" s="48">
        <f t="shared" ca="1" si="282"/>
        <v>0.73630725199977853</v>
      </c>
      <c r="E4921" s="48">
        <f t="shared" ca="1" si="283"/>
        <v>0</v>
      </c>
      <c r="F4921" s="17">
        <f t="shared" ca="1" si="284"/>
        <v>0</v>
      </c>
      <c r="H4921" s="17">
        <v>4906</v>
      </c>
      <c r="I4921" s="43">
        <v>0.66894928514212293</v>
      </c>
      <c r="J4921" s="43">
        <v>1.9471031897953517E-2</v>
      </c>
      <c r="K4921" s="43"/>
      <c r="L4921" s="43">
        <v>0.25</v>
      </c>
      <c r="O4921" s="50"/>
    </row>
    <row r="4922" spans="2:15" x14ac:dyDescent="0.2">
      <c r="B4922">
        <f t="shared" si="285"/>
        <v>4907</v>
      </c>
      <c r="C4922" s="48">
        <f ca="1"/>
        <v>6.0615924294299774E-2</v>
      </c>
      <c r="D4922" s="48">
        <f t="shared" ca="1" si="282"/>
        <v>0.66848864971518229</v>
      </c>
      <c r="E4922" s="48">
        <f t="shared" ca="1" si="283"/>
        <v>0</v>
      </c>
      <c r="F4922" s="17">
        <f t="shared" ca="1" si="284"/>
        <v>0</v>
      </c>
      <c r="H4922" s="17">
        <v>4907</v>
      </c>
      <c r="I4922" s="43">
        <v>0.67083079561409742</v>
      </c>
      <c r="J4922" s="43">
        <v>2.0654098355007627E-2</v>
      </c>
      <c r="K4922" s="43"/>
      <c r="L4922" s="43">
        <v>0.25700000000000001</v>
      </c>
      <c r="O4922" s="50"/>
    </row>
    <row r="4923" spans="2:15" x14ac:dyDescent="0.2">
      <c r="B4923">
        <f t="shared" si="285"/>
        <v>4908</v>
      </c>
      <c r="C4923" s="48">
        <f ca="1"/>
        <v>0.63762447975463521</v>
      </c>
      <c r="D4923" s="48">
        <f t="shared" ca="1" si="282"/>
        <v>0.70761858810319311</v>
      </c>
      <c r="E4923" s="48">
        <f t="shared" ca="1" si="283"/>
        <v>0</v>
      </c>
      <c r="F4923" s="17">
        <f t="shared" ca="1" si="284"/>
        <v>0</v>
      </c>
      <c r="H4923" s="17">
        <v>4908</v>
      </c>
      <c r="I4923" s="43">
        <v>0.66815471466036225</v>
      </c>
      <c r="J4923" s="43">
        <v>1.8624167677496483E-2</v>
      </c>
      <c r="K4923" s="43"/>
      <c r="L4923" s="43">
        <v>0.2424</v>
      </c>
      <c r="O4923" s="50"/>
    </row>
    <row r="4924" spans="2:15" x14ac:dyDescent="0.2">
      <c r="B4924">
        <f t="shared" si="285"/>
        <v>4909</v>
      </c>
      <c r="C4924" s="48">
        <f ca="1"/>
        <v>-1.3947143615371795</v>
      </c>
      <c r="D4924" s="48">
        <f t="shared" ca="1" si="282"/>
        <v>0.57913875056264108</v>
      </c>
      <c r="E4924" s="48">
        <f t="shared" ca="1" si="283"/>
        <v>0</v>
      </c>
      <c r="F4924" s="17">
        <f t="shared" ca="1" si="284"/>
        <v>0</v>
      </c>
      <c r="H4924" s="17">
        <v>4909</v>
      </c>
      <c r="I4924" s="43">
        <v>0.66869241922471456</v>
      </c>
      <c r="J4924" s="43">
        <v>1.9055463716650345E-2</v>
      </c>
      <c r="K4924" s="43"/>
      <c r="L4924" s="43">
        <v>0.2472</v>
      </c>
      <c r="O4924" s="50"/>
    </row>
    <row r="4925" spans="2:15" x14ac:dyDescent="0.2">
      <c r="B4925">
        <f t="shared" si="285"/>
        <v>4910</v>
      </c>
      <c r="C4925" s="48">
        <f ca="1"/>
        <v>1.8161478167944354</v>
      </c>
      <c r="D4925" s="48">
        <f t="shared" ca="1" si="282"/>
        <v>0.79480187121502022</v>
      </c>
      <c r="E4925" s="48">
        <f t="shared" ca="1" si="283"/>
        <v>6.6018712150202052E-3</v>
      </c>
      <c r="F4925" s="17">
        <f t="shared" ca="1" si="284"/>
        <v>1</v>
      </c>
      <c r="H4925" s="17">
        <v>4910</v>
      </c>
      <c r="I4925" s="43">
        <v>0.66803512938340581</v>
      </c>
      <c r="J4925" s="43">
        <v>1.8561960069019175E-2</v>
      </c>
      <c r="K4925" s="43"/>
      <c r="L4925" s="43">
        <v>0.24540000000000001</v>
      </c>
      <c r="O4925" s="50"/>
    </row>
    <row r="4926" spans="2:15" x14ac:dyDescent="0.2">
      <c r="B4926">
        <f t="shared" si="285"/>
        <v>4911</v>
      </c>
      <c r="C4926" s="48">
        <f ca="1"/>
        <v>0.10487744664955546</v>
      </c>
      <c r="D4926" s="48">
        <f t="shared" ca="1" si="282"/>
        <v>0.6714120615489676</v>
      </c>
      <c r="E4926" s="48">
        <f t="shared" ca="1" si="283"/>
        <v>0</v>
      </c>
      <c r="F4926" s="17">
        <f t="shared" ca="1" si="284"/>
        <v>0</v>
      </c>
      <c r="H4926" s="17">
        <v>4911</v>
      </c>
      <c r="I4926" s="43">
        <v>0.6692911624576825</v>
      </c>
      <c r="J4926" s="43">
        <v>1.9539034369232863E-2</v>
      </c>
      <c r="K4926" s="43"/>
      <c r="L4926" s="43">
        <v>0.25180000000000002</v>
      </c>
      <c r="O4926" s="50"/>
    </row>
    <row r="4927" spans="2:15" x14ac:dyDescent="0.2">
      <c r="B4927">
        <f t="shared" si="285"/>
        <v>4912</v>
      </c>
      <c r="C4927" s="48">
        <f ca="1"/>
        <v>0.20927161923736931</v>
      </c>
      <c r="D4927" s="48">
        <f t="shared" ca="1" si="282"/>
        <v>0.6783578875999281</v>
      </c>
      <c r="E4927" s="48">
        <f t="shared" ca="1" si="283"/>
        <v>0</v>
      </c>
      <c r="F4927" s="17">
        <f t="shared" ca="1" si="284"/>
        <v>0</v>
      </c>
      <c r="H4927" s="17">
        <v>4912</v>
      </c>
      <c r="I4927" s="43">
        <v>0.66922547651438014</v>
      </c>
      <c r="J4927" s="43">
        <v>1.9713730671471634E-2</v>
      </c>
      <c r="K4927" s="43"/>
      <c r="L4927" s="43">
        <v>0.25180000000000002</v>
      </c>
      <c r="O4927" s="50"/>
    </row>
    <row r="4928" spans="2:15" x14ac:dyDescent="0.2">
      <c r="B4928">
        <f t="shared" si="285"/>
        <v>4913</v>
      </c>
      <c r="C4928" s="48">
        <f ca="1"/>
        <v>-0.67941378447807566</v>
      </c>
      <c r="D4928" s="48">
        <f t="shared" ca="1" si="282"/>
        <v>0.6214539176009376</v>
      </c>
      <c r="E4928" s="48">
        <f t="shared" ca="1" si="283"/>
        <v>0</v>
      </c>
      <c r="F4928" s="17">
        <f t="shared" ca="1" si="284"/>
        <v>0</v>
      </c>
      <c r="H4928" s="17">
        <v>4913</v>
      </c>
      <c r="I4928" s="43">
        <v>0.66791083800203976</v>
      </c>
      <c r="J4928" s="43">
        <v>1.8771883667875199E-2</v>
      </c>
      <c r="K4928" s="43"/>
      <c r="L4928" s="43">
        <v>0.24779999999999999</v>
      </c>
      <c r="O4928" s="50"/>
    </row>
    <row r="4929" spans="2:15" x14ac:dyDescent="0.2">
      <c r="B4929">
        <f t="shared" si="285"/>
        <v>4914</v>
      </c>
      <c r="C4929" s="48">
        <f ca="1"/>
        <v>-1.5122718645357662</v>
      </c>
      <c r="D4929" s="48">
        <f t="shared" ca="1" si="282"/>
        <v>0.57246545349749278</v>
      </c>
      <c r="E4929" s="48">
        <f t="shared" ca="1" si="283"/>
        <v>0</v>
      </c>
      <c r="F4929" s="17">
        <f t="shared" ca="1" si="284"/>
        <v>0</v>
      </c>
      <c r="H4929" s="17">
        <v>4914</v>
      </c>
      <c r="I4929" s="43">
        <v>0.66865981452209422</v>
      </c>
      <c r="J4929" s="43">
        <v>1.8958299352922994E-2</v>
      </c>
      <c r="K4929" s="43"/>
      <c r="L4929" s="43">
        <v>0.24299999999999999</v>
      </c>
      <c r="O4929" s="50"/>
    </row>
    <row r="4930" spans="2:15" x14ac:dyDescent="0.2">
      <c r="B4930">
        <f t="shared" si="285"/>
        <v>4915</v>
      </c>
      <c r="C4930" s="48">
        <f ca="1"/>
        <v>-2.2156570603631698</v>
      </c>
      <c r="D4930" s="48">
        <f t="shared" ca="1" si="282"/>
        <v>0.53411299818393287</v>
      </c>
      <c r="E4930" s="48">
        <f t="shared" ca="1" si="283"/>
        <v>0</v>
      </c>
      <c r="F4930" s="17">
        <f t="shared" ca="1" si="284"/>
        <v>0</v>
      </c>
      <c r="H4930" s="17">
        <v>4915</v>
      </c>
      <c r="I4930" s="43">
        <v>0.66985131211464044</v>
      </c>
      <c r="J4930" s="43">
        <v>1.9859033160187316E-2</v>
      </c>
      <c r="K4930" s="43"/>
      <c r="L4930" s="43">
        <v>0.251</v>
      </c>
      <c r="O4930" s="50"/>
    </row>
    <row r="4931" spans="2:15" x14ac:dyDescent="0.2">
      <c r="B4931">
        <f t="shared" si="285"/>
        <v>4916</v>
      </c>
      <c r="C4931" s="48">
        <f ca="1"/>
        <v>0.33939755660302773</v>
      </c>
      <c r="D4931" s="48">
        <f t="shared" ca="1" si="282"/>
        <v>0.68711645718014491</v>
      </c>
      <c r="E4931" s="48">
        <f t="shared" ca="1" si="283"/>
        <v>0</v>
      </c>
      <c r="F4931" s="17">
        <f t="shared" ca="1" si="284"/>
        <v>0</v>
      </c>
      <c r="H4931" s="17">
        <v>4916</v>
      </c>
      <c r="I4931" s="43">
        <v>0.66953743711155578</v>
      </c>
      <c r="J4931" s="43">
        <v>1.9925143266389864E-2</v>
      </c>
      <c r="K4931" s="43"/>
      <c r="L4931" s="43">
        <v>0.25319999999999998</v>
      </c>
      <c r="O4931" s="50"/>
    </row>
    <row r="4932" spans="2:15" x14ac:dyDescent="0.2">
      <c r="B4932">
        <f t="shared" si="285"/>
        <v>4917</v>
      </c>
      <c r="C4932" s="48">
        <f ca="1"/>
        <v>-0.56097669538545525</v>
      </c>
      <c r="D4932" s="48">
        <f t="shared" ca="1" si="282"/>
        <v>0.62875279961815678</v>
      </c>
      <c r="E4932" s="48">
        <f t="shared" ca="1" si="283"/>
        <v>0</v>
      </c>
      <c r="F4932" s="17">
        <f t="shared" ca="1" si="284"/>
        <v>0</v>
      </c>
      <c r="H4932" s="17">
        <v>4917</v>
      </c>
      <c r="I4932" s="43">
        <v>0.66916082169213376</v>
      </c>
      <c r="J4932" s="43">
        <v>1.957594279256316E-2</v>
      </c>
      <c r="K4932" s="43"/>
      <c r="L4932" s="43">
        <v>0.2492</v>
      </c>
      <c r="O4932" s="50"/>
    </row>
    <row r="4933" spans="2:15" x14ac:dyDescent="0.2">
      <c r="B4933">
        <f t="shared" si="285"/>
        <v>4918</v>
      </c>
      <c r="C4933" s="48">
        <f ca="1"/>
        <v>-1.6282288079287344</v>
      </c>
      <c r="D4933" s="48">
        <f t="shared" ca="1" si="282"/>
        <v>0.56595834988708627</v>
      </c>
      <c r="E4933" s="48">
        <f t="shared" ca="1" si="283"/>
        <v>0</v>
      </c>
      <c r="F4933" s="17">
        <f t="shared" ca="1" si="284"/>
        <v>0</v>
      </c>
      <c r="H4933" s="17">
        <v>4918</v>
      </c>
      <c r="I4933" s="43">
        <v>0.66988821983709346</v>
      </c>
      <c r="J4933" s="43">
        <v>1.9945591164618914E-2</v>
      </c>
      <c r="K4933" s="43"/>
      <c r="L4933" s="43">
        <v>0.25519999999999998</v>
      </c>
      <c r="O4933" s="50"/>
    </row>
    <row r="4934" spans="2:15" x14ac:dyDescent="0.2">
      <c r="B4934">
        <f t="shared" si="285"/>
        <v>4919</v>
      </c>
      <c r="C4934" s="48">
        <f ca="1"/>
        <v>1.5263877988914478</v>
      </c>
      <c r="D4934" s="48">
        <f t="shared" ca="1" si="282"/>
        <v>0.77241823460550396</v>
      </c>
      <c r="E4934" s="48">
        <f t="shared" ca="1" si="283"/>
        <v>0</v>
      </c>
      <c r="F4934" s="17">
        <f t="shared" ca="1" si="284"/>
        <v>0</v>
      </c>
      <c r="H4934" s="17">
        <v>4919</v>
      </c>
      <c r="I4934" s="43">
        <v>0.66903558362477999</v>
      </c>
      <c r="J4934" s="43">
        <v>1.9606006415582963E-2</v>
      </c>
      <c r="K4934" s="43"/>
      <c r="L4934" s="43">
        <v>0.24840000000000001</v>
      </c>
      <c r="O4934" s="50"/>
    </row>
    <row r="4935" spans="2:15" x14ac:dyDescent="0.2">
      <c r="B4935">
        <f t="shared" si="285"/>
        <v>4920</v>
      </c>
      <c r="C4935" s="48">
        <f ca="1"/>
        <v>0.41484687296956446</v>
      </c>
      <c r="D4935" s="48">
        <f t="shared" ca="1" si="282"/>
        <v>0.69224653082939458</v>
      </c>
      <c r="E4935" s="48">
        <f t="shared" ca="1" si="283"/>
        <v>0</v>
      </c>
      <c r="F4935" s="17">
        <f t="shared" ca="1" si="284"/>
        <v>0</v>
      </c>
      <c r="H4935" s="17">
        <v>4920</v>
      </c>
      <c r="I4935" s="43">
        <v>0.66919316905929249</v>
      </c>
      <c r="J4935" s="43">
        <v>1.9369179203071376E-2</v>
      </c>
      <c r="K4935" s="43"/>
      <c r="L4935" s="43">
        <v>0.24640000000000001</v>
      </c>
      <c r="O4935" s="50"/>
    </row>
    <row r="4936" spans="2:15" x14ac:dyDescent="0.2">
      <c r="B4936">
        <f t="shared" si="285"/>
        <v>4921</v>
      </c>
      <c r="C4936" s="48">
        <f ca="1"/>
        <v>-1.4035361182734027</v>
      </c>
      <c r="D4936" s="48">
        <f t="shared" ca="1" si="282"/>
        <v>0.57863528406007314</v>
      </c>
      <c r="E4936" s="48">
        <f t="shared" ca="1" si="283"/>
        <v>0</v>
      </c>
      <c r="F4936" s="17">
        <f t="shared" ca="1" si="284"/>
        <v>0</v>
      </c>
      <c r="H4936" s="17">
        <v>4921</v>
      </c>
      <c r="I4936" s="43">
        <v>0.66821210943263354</v>
      </c>
      <c r="J4936" s="43">
        <v>1.8691594441173975E-2</v>
      </c>
      <c r="K4936" s="43"/>
      <c r="L4936" s="43">
        <v>0.2472</v>
      </c>
      <c r="O4936" s="50"/>
    </row>
    <row r="4937" spans="2:15" x14ac:dyDescent="0.2">
      <c r="B4937">
        <f t="shared" si="285"/>
        <v>4922</v>
      </c>
      <c r="C4937" s="48">
        <f ca="1"/>
        <v>-0.82093949221483042</v>
      </c>
      <c r="D4937" s="48">
        <f t="shared" ca="1" si="282"/>
        <v>0.61284319245292496</v>
      </c>
      <c r="E4937" s="48">
        <f t="shared" ca="1" si="283"/>
        <v>0</v>
      </c>
      <c r="F4937" s="17">
        <f t="shared" ca="1" si="284"/>
        <v>0</v>
      </c>
      <c r="H4937" s="17">
        <v>4922</v>
      </c>
      <c r="I4937" s="43">
        <v>0.6688519020126612</v>
      </c>
      <c r="J4937" s="43">
        <v>1.9583679872882485E-2</v>
      </c>
      <c r="K4937" s="43"/>
      <c r="L4937" s="43">
        <v>0.252</v>
      </c>
      <c r="O4937" s="50"/>
    </row>
    <row r="4938" spans="2:15" x14ac:dyDescent="0.2">
      <c r="B4938">
        <f t="shared" si="285"/>
        <v>4923</v>
      </c>
      <c r="C4938" s="48">
        <f ca="1"/>
        <v>1.0796872912102597</v>
      </c>
      <c r="D4938" s="48">
        <f t="shared" ca="1" si="282"/>
        <v>0.73913980561502246</v>
      </c>
      <c r="E4938" s="48">
        <f t="shared" ca="1" si="283"/>
        <v>0</v>
      </c>
      <c r="F4938" s="17">
        <f t="shared" ca="1" si="284"/>
        <v>0</v>
      </c>
      <c r="H4938" s="17">
        <v>4923</v>
      </c>
      <c r="I4938" s="43">
        <v>0.6697325775687385</v>
      </c>
      <c r="J4938" s="43">
        <v>2.0003575229378758E-2</v>
      </c>
      <c r="K4938" s="43"/>
      <c r="L4938" s="43">
        <v>0.2482</v>
      </c>
      <c r="O4938" s="50"/>
    </row>
    <row r="4939" spans="2:15" x14ac:dyDescent="0.2">
      <c r="B4939">
        <f t="shared" si="285"/>
        <v>4924</v>
      </c>
      <c r="C4939" s="48">
        <f ca="1"/>
        <v>0.37785905302911438</v>
      </c>
      <c r="D4939" s="48">
        <f t="shared" ca="1" si="282"/>
        <v>0.68972682611365865</v>
      </c>
      <c r="E4939" s="48">
        <f t="shared" ca="1" si="283"/>
        <v>0</v>
      </c>
      <c r="F4939" s="17">
        <f t="shared" ca="1" si="284"/>
        <v>0</v>
      </c>
      <c r="H4939" s="17">
        <v>4924</v>
      </c>
      <c r="I4939" s="43">
        <v>0.66817770796390719</v>
      </c>
      <c r="J4939" s="43">
        <v>1.8808790978366664E-2</v>
      </c>
      <c r="K4939" s="43"/>
      <c r="L4939" s="43">
        <v>0.253</v>
      </c>
      <c r="O4939" s="50"/>
    </row>
    <row r="4940" spans="2:15" x14ac:dyDescent="0.2">
      <c r="B4940">
        <f t="shared" si="285"/>
        <v>4925</v>
      </c>
      <c r="C4940" s="48">
        <f ca="1"/>
        <v>-0.25243404503934924</v>
      </c>
      <c r="D4940" s="48">
        <f t="shared" ca="1" si="282"/>
        <v>0.64817233708341104</v>
      </c>
      <c r="E4940" s="48">
        <f t="shared" ca="1" si="283"/>
        <v>0</v>
      </c>
      <c r="F4940" s="17">
        <f t="shared" ca="1" si="284"/>
        <v>0</v>
      </c>
      <c r="H4940" s="17">
        <v>4925</v>
      </c>
      <c r="I4940" s="43">
        <v>0.66881703939248882</v>
      </c>
      <c r="J4940" s="43">
        <v>1.9327757886312278E-2</v>
      </c>
      <c r="K4940" s="43"/>
      <c r="L4940" s="43">
        <v>0.25280000000000002</v>
      </c>
      <c r="O4940" s="50"/>
    </row>
    <row r="4941" spans="2:15" x14ac:dyDescent="0.2">
      <c r="B4941">
        <f t="shared" si="285"/>
        <v>4926</v>
      </c>
      <c r="C4941" s="48">
        <f ca="1"/>
        <v>-0.35312412293063644</v>
      </c>
      <c r="D4941" s="48">
        <f t="shared" ca="1" si="282"/>
        <v>0.64176990323745353</v>
      </c>
      <c r="E4941" s="48">
        <f t="shared" ca="1" si="283"/>
        <v>0</v>
      </c>
      <c r="F4941" s="17">
        <f t="shared" ca="1" si="284"/>
        <v>0</v>
      </c>
      <c r="H4941" s="17">
        <v>4926</v>
      </c>
      <c r="I4941" s="43">
        <v>0.66951322325438445</v>
      </c>
      <c r="J4941" s="43">
        <v>1.9844902826031515E-2</v>
      </c>
      <c r="K4941" s="43"/>
      <c r="L4941" s="43">
        <v>0.2482</v>
      </c>
      <c r="O4941" s="50"/>
    </row>
    <row r="4942" spans="2:15" x14ac:dyDescent="0.2">
      <c r="B4942">
        <f t="shared" si="285"/>
        <v>4927</v>
      </c>
      <c r="C4942" s="48">
        <f ca="1"/>
        <v>-0.19335287891855441</v>
      </c>
      <c r="D4942" s="48">
        <f t="shared" ca="1" si="282"/>
        <v>0.65195873885522471</v>
      </c>
      <c r="E4942" s="48">
        <f t="shared" ca="1" si="283"/>
        <v>0</v>
      </c>
      <c r="F4942" s="17">
        <f t="shared" ca="1" si="284"/>
        <v>0</v>
      </c>
      <c r="H4942" s="17">
        <v>4927</v>
      </c>
      <c r="I4942" s="43">
        <v>0.66868542221423832</v>
      </c>
      <c r="J4942" s="43">
        <v>1.9393125090581265E-2</v>
      </c>
      <c r="K4942" s="43"/>
      <c r="L4942" s="43">
        <v>0.252</v>
      </c>
      <c r="O4942" s="50"/>
    </row>
    <row r="4943" spans="2:15" x14ac:dyDescent="0.2">
      <c r="B4943">
        <f t="shared" si="285"/>
        <v>4928</v>
      </c>
      <c r="C4943" s="48">
        <f ca="1"/>
        <v>0.93449669388107781</v>
      </c>
      <c r="D4943" s="48">
        <f t="shared" ca="1" si="282"/>
        <v>0.72863513905281929</v>
      </c>
      <c r="E4943" s="48">
        <f t="shared" ca="1" si="283"/>
        <v>0</v>
      </c>
      <c r="F4943" s="17">
        <f t="shared" ca="1" si="284"/>
        <v>0</v>
      </c>
      <c r="H4943" s="17">
        <v>4928</v>
      </c>
      <c r="I4943" s="43">
        <v>0.66849472140948285</v>
      </c>
      <c r="J4943" s="43">
        <v>1.9144263790321924E-2</v>
      </c>
      <c r="K4943" s="43"/>
      <c r="L4943" s="43">
        <v>0.25119999999999998</v>
      </c>
      <c r="O4943" s="50"/>
    </row>
    <row r="4944" spans="2:15" x14ac:dyDescent="0.2">
      <c r="B4944">
        <f t="shared" si="285"/>
        <v>4929</v>
      </c>
      <c r="C4944" s="48">
        <f ca="1"/>
        <v>-0.4845958162514345</v>
      </c>
      <c r="D4944" s="48">
        <f t="shared" ref="D4944:D5007" ca="1" si="286">S0*EXP((μ-0.5*σ*σ)*T+σ*SQRT(T)*$C4944)</f>
        <v>0.63350530363758684</v>
      </c>
      <c r="E4944" s="48">
        <f t="shared" ref="E4944:E5007" ca="1" si="287">MAX(0,CP*(D4944-K))</f>
        <v>0</v>
      </c>
      <c r="F4944" s="17">
        <f t="shared" ref="F4944:F5007" ca="1" si="288">(CP*(D4944-K)&gt;0)*1</f>
        <v>0</v>
      </c>
      <c r="H4944" s="17">
        <v>4929</v>
      </c>
      <c r="I4944" s="43">
        <v>0.6680454906034281</v>
      </c>
      <c r="J4944" s="43">
        <v>1.8885870475688783E-2</v>
      </c>
      <c r="K4944" s="43"/>
      <c r="L4944" s="43">
        <v>0.24840000000000001</v>
      </c>
      <c r="O4944" s="50"/>
    </row>
    <row r="4945" spans="2:15" x14ac:dyDescent="0.2">
      <c r="B4945">
        <f t="shared" si="285"/>
        <v>4930</v>
      </c>
      <c r="C4945" s="48">
        <f ca="1"/>
        <v>-0.83636005737112828</v>
      </c>
      <c r="D4945" s="48">
        <f t="shared" ca="1" si="286"/>
        <v>0.61191221042789756</v>
      </c>
      <c r="E4945" s="48">
        <f t="shared" ca="1" si="287"/>
        <v>0</v>
      </c>
      <c r="F4945" s="17">
        <f t="shared" ca="1" si="288"/>
        <v>0</v>
      </c>
      <c r="H4945" s="17">
        <v>4930</v>
      </c>
      <c r="I4945" s="43">
        <v>0.66955939259636144</v>
      </c>
      <c r="J4945" s="43">
        <v>2.0148181172512453E-2</v>
      </c>
      <c r="K4945" s="43"/>
      <c r="L4945" s="43">
        <v>0.25600000000000001</v>
      </c>
      <c r="O4945" s="50"/>
    </row>
    <row r="4946" spans="2:15" x14ac:dyDescent="0.2">
      <c r="B4946">
        <f t="shared" si="285"/>
        <v>4931</v>
      </c>
      <c r="C4946" s="48">
        <f ca="1"/>
        <v>0.26855652386624829</v>
      </c>
      <c r="D4946" s="48">
        <f t="shared" ca="1" si="286"/>
        <v>0.68233432833818131</v>
      </c>
      <c r="E4946" s="48">
        <f t="shared" ca="1" si="287"/>
        <v>0</v>
      </c>
      <c r="F4946" s="17">
        <f t="shared" ca="1" si="288"/>
        <v>0</v>
      </c>
      <c r="H4946" s="17">
        <v>4931</v>
      </c>
      <c r="I4946" s="43">
        <v>0.66858925619347043</v>
      </c>
      <c r="J4946" s="43">
        <v>1.8884031353603146E-2</v>
      </c>
      <c r="K4946" s="43"/>
      <c r="L4946" s="43">
        <v>0.25080000000000002</v>
      </c>
      <c r="O4946" s="50"/>
    </row>
    <row r="4947" spans="2:15" x14ac:dyDescent="0.2">
      <c r="B4947">
        <f t="shared" si="285"/>
        <v>4932</v>
      </c>
      <c r="C4947" s="48">
        <f ca="1"/>
        <v>-0.74460449277792495</v>
      </c>
      <c r="D4947" s="48">
        <f t="shared" ca="1" si="286"/>
        <v>0.61747264884804209</v>
      </c>
      <c r="E4947" s="48">
        <f t="shared" ca="1" si="287"/>
        <v>0</v>
      </c>
      <c r="F4947" s="17">
        <f t="shared" ca="1" si="288"/>
        <v>0</v>
      </c>
      <c r="H4947" s="17">
        <v>4932</v>
      </c>
      <c r="I4947" s="43">
        <v>0.6690404743370878</v>
      </c>
      <c r="J4947" s="43">
        <v>1.969957230014217E-2</v>
      </c>
      <c r="K4947" s="43"/>
      <c r="L4947" s="43">
        <v>0.25940000000000002</v>
      </c>
      <c r="O4947" s="50"/>
    </row>
    <row r="4948" spans="2:15" x14ac:dyDescent="0.2">
      <c r="B4948">
        <f t="shared" si="285"/>
        <v>4933</v>
      </c>
      <c r="C4948" s="48">
        <f ca="1"/>
        <v>0.43411575971591843</v>
      </c>
      <c r="D4948" s="48">
        <f t="shared" ca="1" si="286"/>
        <v>0.69356282120619983</v>
      </c>
      <c r="E4948" s="48">
        <f t="shared" ca="1" si="287"/>
        <v>0</v>
      </c>
      <c r="F4948" s="17">
        <f t="shared" ca="1" si="288"/>
        <v>0</v>
      </c>
      <c r="H4948" s="17">
        <v>4933</v>
      </c>
      <c r="I4948" s="43">
        <v>0.66898960846437239</v>
      </c>
      <c r="J4948" s="43">
        <v>1.9218363234682671E-2</v>
      </c>
      <c r="K4948" s="43"/>
      <c r="L4948" s="43">
        <v>0.25280000000000002</v>
      </c>
      <c r="O4948" s="50"/>
    </row>
    <row r="4949" spans="2:15" x14ac:dyDescent="0.2">
      <c r="B4949">
        <f t="shared" si="285"/>
        <v>4934</v>
      </c>
      <c r="C4949" s="48">
        <f ca="1"/>
        <v>-1.1239222984000778</v>
      </c>
      <c r="D4949" s="48">
        <f t="shared" ca="1" si="286"/>
        <v>0.59480807558716631</v>
      </c>
      <c r="E4949" s="48">
        <f t="shared" ca="1" si="287"/>
        <v>0</v>
      </c>
      <c r="F4949" s="17">
        <f t="shared" ca="1" si="288"/>
        <v>0</v>
      </c>
      <c r="H4949" s="17">
        <v>4934</v>
      </c>
      <c r="I4949" s="43">
        <v>0.66859422490532672</v>
      </c>
      <c r="J4949" s="43">
        <v>1.9285410439715225E-2</v>
      </c>
      <c r="K4949" s="43"/>
      <c r="L4949" s="43">
        <v>0.25219999999999998</v>
      </c>
      <c r="O4949" s="50"/>
    </row>
    <row r="4950" spans="2:15" x14ac:dyDescent="0.2">
      <c r="B4950">
        <f t="shared" si="285"/>
        <v>4935</v>
      </c>
      <c r="C4950" s="48">
        <f ca="1"/>
        <v>-1.5664055629301339</v>
      </c>
      <c r="D4950" s="48">
        <f t="shared" ca="1" si="286"/>
        <v>0.56941839828049667</v>
      </c>
      <c r="E4950" s="48">
        <f t="shared" ca="1" si="287"/>
        <v>0</v>
      </c>
      <c r="F4950" s="17">
        <f t="shared" ca="1" si="288"/>
        <v>0</v>
      </c>
      <c r="H4950" s="17">
        <v>4935</v>
      </c>
      <c r="I4950" s="43">
        <v>0.66935809379896172</v>
      </c>
      <c r="J4950" s="43">
        <v>1.9526989346816979E-2</v>
      </c>
      <c r="K4950" s="43"/>
      <c r="L4950" s="43">
        <v>0.24679999999999999</v>
      </c>
      <c r="O4950" s="50"/>
    </row>
    <row r="4951" spans="2:15" x14ac:dyDescent="0.2">
      <c r="B4951">
        <f t="shared" si="285"/>
        <v>4936</v>
      </c>
      <c r="C4951" s="48">
        <f ca="1"/>
        <v>-8.5581079777276414E-2</v>
      </c>
      <c r="D4951" s="48">
        <f t="shared" ca="1" si="286"/>
        <v>0.65892269753699739</v>
      </c>
      <c r="E4951" s="48">
        <f t="shared" ca="1" si="287"/>
        <v>0</v>
      </c>
      <c r="F4951" s="17">
        <f t="shared" ca="1" si="288"/>
        <v>0</v>
      </c>
      <c r="H4951" s="17">
        <v>4936</v>
      </c>
      <c r="I4951" s="43">
        <v>0.66957322623494497</v>
      </c>
      <c r="J4951" s="43">
        <v>2.0125638718878607E-2</v>
      </c>
      <c r="K4951" s="43"/>
      <c r="L4951" s="43">
        <v>0.25900000000000001</v>
      </c>
      <c r="O4951" s="50"/>
    </row>
    <row r="4952" spans="2:15" x14ac:dyDescent="0.2">
      <c r="B4952">
        <f t="shared" si="285"/>
        <v>4937</v>
      </c>
      <c r="C4952" s="48">
        <f ca="1"/>
        <v>-0.98459303230603223</v>
      </c>
      <c r="D4952" s="48">
        <f t="shared" ca="1" si="286"/>
        <v>0.6030348028786171</v>
      </c>
      <c r="E4952" s="48">
        <f t="shared" ca="1" si="287"/>
        <v>0</v>
      </c>
      <c r="F4952" s="17">
        <f t="shared" ca="1" si="288"/>
        <v>0</v>
      </c>
      <c r="H4952" s="17">
        <v>4937</v>
      </c>
      <c r="I4952" s="43">
        <v>0.66769641745845631</v>
      </c>
      <c r="J4952" s="43">
        <v>1.8669304625917444E-2</v>
      </c>
      <c r="K4952" s="43"/>
      <c r="L4952" s="43">
        <v>0.24640000000000001</v>
      </c>
      <c r="O4952" s="50"/>
    </row>
    <row r="4953" spans="2:15" x14ac:dyDescent="0.2">
      <c r="B4953">
        <f t="shared" si="285"/>
        <v>4938</v>
      </c>
      <c r="C4953" s="48">
        <f ca="1"/>
        <v>-0.7192984720204747</v>
      </c>
      <c r="D4953" s="48">
        <f t="shared" ca="1" si="286"/>
        <v>0.61901507780345966</v>
      </c>
      <c r="E4953" s="48">
        <f t="shared" ca="1" si="287"/>
        <v>0</v>
      </c>
      <c r="F4953" s="17">
        <f t="shared" ca="1" si="288"/>
        <v>0</v>
      </c>
      <c r="H4953" s="17">
        <v>4938</v>
      </c>
      <c r="I4953" s="43">
        <v>0.66892803405954615</v>
      </c>
      <c r="J4953" s="43">
        <v>1.9354839533738132E-2</v>
      </c>
      <c r="K4953" s="43"/>
      <c r="L4953" s="43">
        <v>0.25259999999999999</v>
      </c>
      <c r="O4953" s="50"/>
    </row>
    <row r="4954" spans="2:15" x14ac:dyDescent="0.2">
      <c r="B4954">
        <f t="shared" si="285"/>
        <v>4939</v>
      </c>
      <c r="C4954" s="48">
        <f ca="1"/>
        <v>-0.52139991607646685</v>
      </c>
      <c r="D4954" s="48">
        <f t="shared" ca="1" si="286"/>
        <v>0.63121084352719414</v>
      </c>
      <c r="E4954" s="48">
        <f t="shared" ca="1" si="287"/>
        <v>0</v>
      </c>
      <c r="F4954" s="17">
        <f t="shared" ca="1" si="288"/>
        <v>0</v>
      </c>
      <c r="H4954" s="17">
        <v>4939</v>
      </c>
      <c r="I4954" s="43">
        <v>0.66931863295572125</v>
      </c>
      <c r="J4954" s="43">
        <v>1.9625177602923462E-2</v>
      </c>
      <c r="K4954" s="43"/>
      <c r="L4954" s="43">
        <v>0.246</v>
      </c>
      <c r="O4954" s="50"/>
    </row>
    <row r="4955" spans="2:15" x14ac:dyDescent="0.2">
      <c r="B4955">
        <f t="shared" si="285"/>
        <v>4940</v>
      </c>
      <c r="C4955" s="48">
        <f ca="1"/>
        <v>-0.80928168470040152</v>
      </c>
      <c r="D4955" s="48">
        <f t="shared" ca="1" si="286"/>
        <v>0.61354794647207067</v>
      </c>
      <c r="E4955" s="48">
        <f t="shared" ca="1" si="287"/>
        <v>0</v>
      </c>
      <c r="F4955" s="17">
        <f t="shared" ca="1" si="288"/>
        <v>0</v>
      </c>
      <c r="H4955" s="17">
        <v>4940</v>
      </c>
      <c r="I4955" s="43">
        <v>0.6694672156535858</v>
      </c>
      <c r="J4955" s="43">
        <v>1.9824876022326968E-2</v>
      </c>
      <c r="K4955" s="43"/>
      <c r="L4955" s="43">
        <v>0.249</v>
      </c>
      <c r="O4955" s="50"/>
    </row>
    <row r="4956" spans="2:15" x14ac:dyDescent="0.2">
      <c r="B4956">
        <f t="shared" si="285"/>
        <v>4941</v>
      </c>
      <c r="C4956" s="48">
        <f ca="1"/>
        <v>-0.23080654331724262</v>
      </c>
      <c r="D4956" s="48">
        <f t="shared" ca="1" si="286"/>
        <v>0.64955584500999486</v>
      </c>
      <c r="E4956" s="48">
        <f t="shared" ca="1" si="287"/>
        <v>0</v>
      </c>
      <c r="F4956" s="17">
        <f t="shared" ca="1" si="288"/>
        <v>0</v>
      </c>
      <c r="H4956" s="17">
        <v>4941</v>
      </c>
      <c r="I4956" s="43">
        <v>0.66902758043535171</v>
      </c>
      <c r="J4956" s="43">
        <v>1.9137983309307275E-2</v>
      </c>
      <c r="K4956" s="43"/>
      <c r="L4956" s="43">
        <v>0.25080000000000002</v>
      </c>
      <c r="O4956" s="50"/>
    </row>
    <row r="4957" spans="2:15" x14ac:dyDescent="0.2">
      <c r="B4957">
        <f t="shared" si="285"/>
        <v>4942</v>
      </c>
      <c r="C4957" s="48">
        <f ca="1"/>
        <v>-0.26411767555523691</v>
      </c>
      <c r="D4957" s="48">
        <f t="shared" ca="1" si="286"/>
        <v>0.64742616340009962</v>
      </c>
      <c r="E4957" s="48">
        <f t="shared" ca="1" si="287"/>
        <v>0</v>
      </c>
      <c r="F4957" s="17">
        <f t="shared" ca="1" si="288"/>
        <v>0</v>
      </c>
      <c r="H4957" s="17">
        <v>4942</v>
      </c>
      <c r="I4957" s="43">
        <v>0.6690874352400954</v>
      </c>
      <c r="J4957" s="43">
        <v>1.9566870430867835E-2</v>
      </c>
      <c r="K4957" s="43"/>
      <c r="L4957" s="43">
        <v>0.25480000000000003</v>
      </c>
      <c r="O4957" s="50"/>
    </row>
    <row r="4958" spans="2:15" x14ac:dyDescent="0.2">
      <c r="B4958">
        <f t="shared" si="285"/>
        <v>4943</v>
      </c>
      <c r="C4958" s="48">
        <f ca="1"/>
        <v>0.48454726932980219</v>
      </c>
      <c r="D4958" s="48">
        <f t="shared" ca="1" si="286"/>
        <v>0.69701974319033477</v>
      </c>
      <c r="E4958" s="48">
        <f t="shared" ca="1" si="287"/>
        <v>0</v>
      </c>
      <c r="F4958" s="17">
        <f t="shared" ca="1" si="288"/>
        <v>0</v>
      </c>
      <c r="H4958" s="17">
        <v>4943</v>
      </c>
      <c r="I4958" s="43">
        <v>0.66886346905654681</v>
      </c>
      <c r="J4958" s="43">
        <v>1.9522773168165544E-2</v>
      </c>
      <c r="K4958" s="43"/>
      <c r="L4958" s="43">
        <v>0.25600000000000001</v>
      </c>
      <c r="O4958" s="50"/>
    </row>
    <row r="4959" spans="2:15" x14ac:dyDescent="0.2">
      <c r="B4959">
        <f t="shared" si="285"/>
        <v>4944</v>
      </c>
      <c r="C4959" s="48">
        <f ca="1"/>
        <v>0.66426214322360499</v>
      </c>
      <c r="D4959" s="48">
        <f t="shared" ca="1" si="286"/>
        <v>0.70947933569211841</v>
      </c>
      <c r="E4959" s="48">
        <f t="shared" ca="1" si="287"/>
        <v>0</v>
      </c>
      <c r="F4959" s="17">
        <f t="shared" ca="1" si="288"/>
        <v>0</v>
      </c>
      <c r="H4959" s="17">
        <v>4944</v>
      </c>
      <c r="I4959" s="43">
        <v>0.6685986596057899</v>
      </c>
      <c r="J4959" s="43">
        <v>1.9244672389726672E-2</v>
      </c>
      <c r="K4959" s="43"/>
      <c r="L4959" s="43">
        <v>0.251</v>
      </c>
      <c r="O4959" s="50"/>
    </row>
    <row r="4960" spans="2:15" x14ac:dyDescent="0.2">
      <c r="B4960">
        <f t="shared" si="285"/>
        <v>4945</v>
      </c>
      <c r="C4960" s="48">
        <f ca="1"/>
        <v>0.27620577960478582</v>
      </c>
      <c r="D4960" s="48">
        <f t="shared" ca="1" si="286"/>
        <v>0.68284908489627438</v>
      </c>
      <c r="E4960" s="48">
        <f t="shared" ca="1" si="287"/>
        <v>0</v>
      </c>
      <c r="F4960" s="17">
        <f t="shared" ca="1" si="288"/>
        <v>0</v>
      </c>
      <c r="H4960" s="17">
        <v>4945</v>
      </c>
      <c r="I4960" s="43">
        <v>0.66898823024821441</v>
      </c>
      <c r="J4960" s="43">
        <v>1.9596443464315032E-2</v>
      </c>
      <c r="K4960" s="43"/>
      <c r="L4960" s="43">
        <v>0.25619999999999998</v>
      </c>
      <c r="O4960" s="50"/>
    </row>
    <row r="4961" spans="2:15" x14ac:dyDescent="0.2">
      <c r="B4961">
        <f t="shared" si="285"/>
        <v>4946</v>
      </c>
      <c r="C4961" s="48">
        <f ca="1"/>
        <v>0.53999713311899966</v>
      </c>
      <c r="D4961" s="48">
        <f t="shared" ca="1" si="286"/>
        <v>0.70084054838200482</v>
      </c>
      <c r="E4961" s="48">
        <f t="shared" ca="1" si="287"/>
        <v>0</v>
      </c>
      <c r="F4961" s="17">
        <f t="shared" ca="1" si="288"/>
        <v>0</v>
      </c>
      <c r="H4961" s="17">
        <v>4946</v>
      </c>
      <c r="I4961" s="43">
        <v>0.66907808525799706</v>
      </c>
      <c r="J4961" s="43">
        <v>1.9495408332501081E-2</v>
      </c>
      <c r="K4961" s="43"/>
      <c r="L4961" s="43">
        <v>0.25559999999999999</v>
      </c>
      <c r="O4961" s="50"/>
    </row>
    <row r="4962" spans="2:15" x14ac:dyDescent="0.2">
      <c r="B4962">
        <f t="shared" si="285"/>
        <v>4947</v>
      </c>
      <c r="C4962" s="48">
        <f ca="1"/>
        <v>-0.2578753426977306</v>
      </c>
      <c r="D4962" s="48">
        <f t="shared" ca="1" si="286"/>
        <v>0.64782472231864874</v>
      </c>
      <c r="E4962" s="48">
        <f t="shared" ca="1" si="287"/>
        <v>0</v>
      </c>
      <c r="F4962" s="17">
        <f t="shared" ca="1" si="288"/>
        <v>0</v>
      </c>
      <c r="H4962" s="17">
        <v>4947</v>
      </c>
      <c r="I4962" s="43">
        <v>0.66935683405107582</v>
      </c>
      <c r="J4962" s="43">
        <v>1.9783165493760364E-2</v>
      </c>
      <c r="K4962" s="43"/>
      <c r="L4962" s="43">
        <v>0.25319999999999998</v>
      </c>
      <c r="O4962" s="50"/>
    </row>
    <row r="4963" spans="2:15" x14ac:dyDescent="0.2">
      <c r="B4963">
        <f t="shared" si="285"/>
        <v>4948</v>
      </c>
      <c r="C4963" s="48">
        <f ca="1"/>
        <v>-0.63717631591569279</v>
      </c>
      <c r="D4963" s="48">
        <f t="shared" ca="1" si="286"/>
        <v>0.62404710000216701</v>
      </c>
      <c r="E4963" s="48">
        <f t="shared" ca="1" si="287"/>
        <v>0</v>
      </c>
      <c r="F4963" s="17">
        <f t="shared" ca="1" si="288"/>
        <v>0</v>
      </c>
      <c r="H4963" s="17">
        <v>4948</v>
      </c>
      <c r="I4963" s="43">
        <v>0.6667974622520324</v>
      </c>
      <c r="J4963" s="43">
        <v>1.7746744994292418E-2</v>
      </c>
      <c r="K4963" s="43"/>
      <c r="L4963" s="43">
        <v>0.24460000000000001</v>
      </c>
      <c r="O4963" s="50"/>
    </row>
    <row r="4964" spans="2:15" x14ac:dyDescent="0.2">
      <c r="B4964">
        <f t="shared" si="285"/>
        <v>4949</v>
      </c>
      <c r="C4964" s="48">
        <f ca="1"/>
        <v>1.7219420817389925</v>
      </c>
      <c r="D4964" s="48">
        <f t="shared" ca="1" si="286"/>
        <v>0.78745431785357312</v>
      </c>
      <c r="E4964" s="48">
        <f t="shared" ca="1" si="287"/>
        <v>0</v>
      </c>
      <c r="F4964" s="17">
        <f t="shared" ca="1" si="288"/>
        <v>0</v>
      </c>
      <c r="H4964" s="17">
        <v>4949</v>
      </c>
      <c r="I4964" s="43">
        <v>0.6697666882799842</v>
      </c>
      <c r="J4964" s="43">
        <v>1.9853421678090021E-2</v>
      </c>
      <c r="K4964" s="43"/>
      <c r="L4964" s="43">
        <v>0.25240000000000001</v>
      </c>
      <c r="O4964" s="50"/>
    </row>
    <row r="4965" spans="2:15" x14ac:dyDescent="0.2">
      <c r="B4965">
        <f t="shared" si="285"/>
        <v>4950</v>
      </c>
      <c r="C4965" s="48">
        <f ca="1"/>
        <v>0.14785922239022795</v>
      </c>
      <c r="D4965" s="48">
        <f t="shared" ca="1" si="286"/>
        <v>0.67426318283132625</v>
      </c>
      <c r="E4965" s="48">
        <f t="shared" ca="1" si="287"/>
        <v>0</v>
      </c>
      <c r="F4965" s="17">
        <f t="shared" ca="1" si="288"/>
        <v>0</v>
      </c>
      <c r="H4965" s="17">
        <v>4950</v>
      </c>
      <c r="I4965" s="43">
        <v>0.66866762340704766</v>
      </c>
      <c r="J4965" s="43">
        <v>1.9306929155582114E-2</v>
      </c>
      <c r="K4965" s="43"/>
      <c r="L4965" s="43">
        <v>0.25119999999999998</v>
      </c>
      <c r="O4965" s="50"/>
    </row>
    <row r="4966" spans="2:15" x14ac:dyDescent="0.2">
      <c r="B4966">
        <f t="shared" si="285"/>
        <v>4951</v>
      </c>
      <c r="C4966" s="48">
        <f ca="1"/>
        <v>0.62937231403698812</v>
      </c>
      <c r="D4966" s="48">
        <f t="shared" ca="1" si="286"/>
        <v>0.70704313194283974</v>
      </c>
      <c r="E4966" s="48">
        <f t="shared" ca="1" si="287"/>
        <v>0</v>
      </c>
      <c r="F4966" s="17">
        <f t="shared" ca="1" si="288"/>
        <v>0</v>
      </c>
      <c r="H4966" s="17">
        <v>4951</v>
      </c>
      <c r="I4966" s="43">
        <v>0.66936854640218135</v>
      </c>
      <c r="J4966" s="43">
        <v>1.9863970110962983E-2</v>
      </c>
      <c r="K4966" s="43"/>
      <c r="L4966" s="43">
        <v>0.25940000000000002</v>
      </c>
      <c r="O4966" s="50"/>
    </row>
    <row r="4967" spans="2:15" x14ac:dyDescent="0.2">
      <c r="B4967">
        <f t="shared" si="285"/>
        <v>4952</v>
      </c>
      <c r="C4967" s="48">
        <f ca="1"/>
        <v>7.2505024587539504E-3</v>
      </c>
      <c r="D4967" s="48">
        <f t="shared" ca="1" si="286"/>
        <v>0.66498085831418374</v>
      </c>
      <c r="E4967" s="48">
        <f t="shared" ca="1" si="287"/>
        <v>0</v>
      </c>
      <c r="F4967" s="17">
        <f t="shared" ca="1" si="288"/>
        <v>0</v>
      </c>
      <c r="H4967" s="17">
        <v>4952</v>
      </c>
      <c r="I4967" s="43">
        <v>0.66879529615743705</v>
      </c>
      <c r="J4967" s="43">
        <v>1.9246994014912124E-2</v>
      </c>
      <c r="K4967" s="43"/>
      <c r="L4967" s="43">
        <v>0.25359999999999999</v>
      </c>
      <c r="O4967" s="50"/>
    </row>
    <row r="4968" spans="2:15" x14ac:dyDescent="0.2">
      <c r="B4968">
        <f t="shared" si="285"/>
        <v>4953</v>
      </c>
      <c r="C4968" s="48">
        <f ca="1"/>
        <v>-0.45798580837930408</v>
      </c>
      <c r="D4968" s="48">
        <f t="shared" ca="1" si="286"/>
        <v>0.63516943179947749</v>
      </c>
      <c r="E4968" s="48">
        <f t="shared" ca="1" si="287"/>
        <v>0</v>
      </c>
      <c r="F4968" s="17">
        <f t="shared" ca="1" si="288"/>
        <v>0</v>
      </c>
      <c r="H4968" s="17">
        <v>4953</v>
      </c>
      <c r="I4968" s="43">
        <v>0.66806382903718708</v>
      </c>
      <c r="J4968" s="43">
        <v>1.8910091749970315E-2</v>
      </c>
      <c r="K4968" s="43"/>
      <c r="L4968" s="43">
        <v>0.252</v>
      </c>
      <c r="O4968" s="50"/>
    </row>
    <row r="4969" spans="2:15" x14ac:dyDescent="0.2">
      <c r="B4969">
        <f t="shared" si="285"/>
        <v>4954</v>
      </c>
      <c r="C4969" s="48">
        <f ca="1"/>
        <v>-0.57735194204108431</v>
      </c>
      <c r="D4969" s="48">
        <f t="shared" ca="1" si="286"/>
        <v>0.62773856369513792</v>
      </c>
      <c r="E4969" s="48">
        <f t="shared" ca="1" si="287"/>
        <v>0</v>
      </c>
      <c r="F4969" s="17">
        <f t="shared" ca="1" si="288"/>
        <v>0</v>
      </c>
      <c r="H4969" s="17">
        <v>4954</v>
      </c>
      <c r="I4969" s="43">
        <v>0.66951336444456333</v>
      </c>
      <c r="J4969" s="43">
        <v>1.9966738005669501E-2</v>
      </c>
      <c r="K4969" s="43"/>
      <c r="L4969" s="43">
        <v>0.25380000000000003</v>
      </c>
      <c r="O4969" s="50"/>
    </row>
    <row r="4970" spans="2:15" x14ac:dyDescent="0.2">
      <c r="B4970">
        <f t="shared" si="285"/>
        <v>4955</v>
      </c>
      <c r="C4970" s="48">
        <f ca="1"/>
        <v>1.350176856868937</v>
      </c>
      <c r="D4970" s="48">
        <f t="shared" ca="1" si="286"/>
        <v>0.75911552076379896</v>
      </c>
      <c r="E4970" s="48">
        <f t="shared" ca="1" si="287"/>
        <v>0</v>
      </c>
      <c r="F4970" s="17">
        <f t="shared" ca="1" si="288"/>
        <v>0</v>
      </c>
      <c r="H4970" s="17">
        <v>4955</v>
      </c>
      <c r="I4970" s="43">
        <v>0.66866762376353595</v>
      </c>
      <c r="J4970" s="43">
        <v>1.9038839020104593E-2</v>
      </c>
      <c r="K4970" s="43"/>
      <c r="L4970" s="43">
        <v>0.24579999999999999</v>
      </c>
      <c r="O4970" s="50"/>
    </row>
    <row r="4971" spans="2:15" x14ac:dyDescent="0.2">
      <c r="B4971">
        <f t="shared" si="285"/>
        <v>4956</v>
      </c>
      <c r="C4971" s="48">
        <f ca="1"/>
        <v>1.8395754028327631</v>
      </c>
      <c r="D4971" s="48">
        <f t="shared" ca="1" si="286"/>
        <v>0.79663972000705063</v>
      </c>
      <c r="E4971" s="48">
        <f t="shared" ca="1" si="287"/>
        <v>8.4397200070506218E-3</v>
      </c>
      <c r="F4971" s="17">
        <f t="shared" ca="1" si="288"/>
        <v>1</v>
      </c>
      <c r="H4971" s="17">
        <v>4956</v>
      </c>
      <c r="I4971" s="43">
        <v>0.66935645467025029</v>
      </c>
      <c r="J4971" s="43">
        <v>1.9575629599214113E-2</v>
      </c>
      <c r="K4971" s="43"/>
      <c r="L4971" s="43">
        <v>0.24879999999999999</v>
      </c>
      <c r="O4971" s="50"/>
    </row>
    <row r="4972" spans="2:15" x14ac:dyDescent="0.2">
      <c r="B4972">
        <f t="shared" si="285"/>
        <v>4957</v>
      </c>
      <c r="C4972" s="48">
        <f ca="1"/>
        <v>-0.79265473420862131</v>
      </c>
      <c r="D4972" s="48">
        <f t="shared" ca="1" si="286"/>
        <v>0.61455450452879989</v>
      </c>
      <c r="E4972" s="48">
        <f t="shared" ca="1" si="287"/>
        <v>0</v>
      </c>
      <c r="F4972" s="17">
        <f t="shared" ca="1" si="288"/>
        <v>0</v>
      </c>
      <c r="H4972" s="17">
        <v>4957</v>
      </c>
      <c r="I4972" s="43">
        <v>0.66868935879307545</v>
      </c>
      <c r="J4972" s="43">
        <v>1.9301357979460521E-2</v>
      </c>
      <c r="K4972" s="43"/>
      <c r="L4972" s="43">
        <v>0.25059999999999999</v>
      </c>
      <c r="O4972" s="50"/>
    </row>
    <row r="4973" spans="2:15" x14ac:dyDescent="0.2">
      <c r="B4973">
        <f t="shared" si="285"/>
        <v>4958</v>
      </c>
      <c r="C4973" s="48">
        <f ca="1"/>
        <v>0.95829910641911775</v>
      </c>
      <c r="D4973" s="48">
        <f t="shared" ca="1" si="286"/>
        <v>0.73034697630014656</v>
      </c>
      <c r="E4973" s="48">
        <f t="shared" ca="1" si="287"/>
        <v>0</v>
      </c>
      <c r="F4973" s="17">
        <f t="shared" ca="1" si="288"/>
        <v>0</v>
      </c>
      <c r="H4973" s="17">
        <v>4958</v>
      </c>
      <c r="I4973" s="43">
        <v>0.66802783758060302</v>
      </c>
      <c r="J4973" s="43">
        <v>1.8594042851539507E-2</v>
      </c>
      <c r="K4973" s="43"/>
      <c r="L4973" s="43">
        <v>0.25140000000000001</v>
      </c>
      <c r="O4973" s="50"/>
    </row>
    <row r="4974" spans="2:15" x14ac:dyDescent="0.2">
      <c r="B4974">
        <f t="shared" si="285"/>
        <v>4959</v>
      </c>
      <c r="C4974" s="48">
        <f ca="1"/>
        <v>1.0330567635758183</v>
      </c>
      <c r="D4974" s="48">
        <f t="shared" ca="1" si="286"/>
        <v>0.7357496412248633</v>
      </c>
      <c r="E4974" s="48">
        <f t="shared" ca="1" si="287"/>
        <v>0</v>
      </c>
      <c r="F4974" s="17">
        <f t="shared" ca="1" si="288"/>
        <v>0</v>
      </c>
      <c r="H4974" s="17">
        <v>4959</v>
      </c>
      <c r="I4974" s="43">
        <v>0.66974224378723057</v>
      </c>
      <c r="J4974" s="43">
        <v>2.0037018718179388E-2</v>
      </c>
      <c r="K4974" s="43"/>
      <c r="L4974" s="43">
        <v>0.25679999999999997</v>
      </c>
      <c r="O4974" s="50"/>
    </row>
    <row r="4975" spans="2:15" x14ac:dyDescent="0.2">
      <c r="B4975">
        <f t="shared" si="285"/>
        <v>4960</v>
      </c>
      <c r="C4975" s="48">
        <f ca="1"/>
        <v>-0.28964224118468529</v>
      </c>
      <c r="D4975" s="48">
        <f t="shared" ca="1" si="286"/>
        <v>0.64579902681023149</v>
      </c>
      <c r="E4975" s="48">
        <f t="shared" ca="1" si="287"/>
        <v>0</v>
      </c>
      <c r="F4975" s="17">
        <f t="shared" ca="1" si="288"/>
        <v>0</v>
      </c>
      <c r="H4975" s="17">
        <v>4960</v>
      </c>
      <c r="I4975" s="43">
        <v>0.66932141933505185</v>
      </c>
      <c r="J4975" s="43">
        <v>1.9653837075281386E-2</v>
      </c>
      <c r="K4975" s="43"/>
      <c r="L4975" s="43">
        <v>0.25480000000000003</v>
      </c>
      <c r="O4975" s="50"/>
    </row>
    <row r="4976" spans="2:15" x14ac:dyDescent="0.2">
      <c r="B4976">
        <f t="shared" si="285"/>
        <v>4961</v>
      </c>
      <c r="C4976" s="48">
        <f ca="1"/>
        <v>-0.28606632343714672</v>
      </c>
      <c r="D4976" s="48">
        <f t="shared" ca="1" si="286"/>
        <v>0.646026737376316</v>
      </c>
      <c r="E4976" s="48">
        <f t="shared" ca="1" si="287"/>
        <v>0</v>
      </c>
      <c r="F4976" s="17">
        <f t="shared" ca="1" si="288"/>
        <v>0</v>
      </c>
      <c r="H4976" s="17">
        <v>4961</v>
      </c>
      <c r="I4976" s="43">
        <v>0.66917250580439536</v>
      </c>
      <c r="J4976" s="43">
        <v>1.9731076921326102E-2</v>
      </c>
      <c r="K4976" s="43"/>
      <c r="L4976" s="43">
        <v>0.25080000000000002</v>
      </c>
      <c r="O4976" s="50"/>
    </row>
    <row r="4977" spans="2:15" x14ac:dyDescent="0.2">
      <c r="B4977">
        <f t="shared" ref="B4977:B5015" si="289">B4976+1</f>
        <v>4962</v>
      </c>
      <c r="C4977" s="48">
        <f ca="1"/>
        <v>-3.2172154623365853E-2</v>
      </c>
      <c r="D4977" s="48">
        <f t="shared" ca="1" si="286"/>
        <v>0.6624013729369076</v>
      </c>
      <c r="E4977" s="48">
        <f t="shared" ca="1" si="287"/>
        <v>0</v>
      </c>
      <c r="F4977" s="17">
        <f t="shared" ca="1" si="288"/>
        <v>0</v>
      </c>
      <c r="H4977" s="17">
        <v>4962</v>
      </c>
      <c r="I4977" s="43">
        <v>0.66879928273496303</v>
      </c>
      <c r="J4977" s="43">
        <v>1.930950694320217E-2</v>
      </c>
      <c r="K4977" s="43"/>
      <c r="L4977" s="43">
        <v>0.24759999999999999</v>
      </c>
      <c r="O4977" s="50"/>
    </row>
    <row r="4978" spans="2:15" x14ac:dyDescent="0.2">
      <c r="B4978">
        <f t="shared" si="289"/>
        <v>4963</v>
      </c>
      <c r="C4978" s="48">
        <f ca="1"/>
        <v>-0.4269663697566467</v>
      </c>
      <c r="D4978" s="48">
        <f t="shared" ca="1" si="286"/>
        <v>0.63711483433123095</v>
      </c>
      <c r="E4978" s="48">
        <f t="shared" ca="1" si="287"/>
        <v>0</v>
      </c>
      <c r="F4978" s="17">
        <f t="shared" ca="1" si="288"/>
        <v>0</v>
      </c>
      <c r="H4978" s="17">
        <v>4963</v>
      </c>
      <c r="I4978" s="43">
        <v>0.6683703172427149</v>
      </c>
      <c r="J4978" s="43">
        <v>1.9006440925395249E-2</v>
      </c>
      <c r="K4978" s="43"/>
      <c r="L4978" s="43">
        <v>0.25419999999999998</v>
      </c>
      <c r="O4978" s="50"/>
    </row>
    <row r="4979" spans="2:15" x14ac:dyDescent="0.2">
      <c r="B4979">
        <f t="shared" si="289"/>
        <v>4964</v>
      </c>
      <c r="C4979" s="48">
        <f ca="1"/>
        <v>-0.49336953911640546</v>
      </c>
      <c r="D4979" s="48">
        <f t="shared" ca="1" si="286"/>
        <v>0.63295757168896016</v>
      </c>
      <c r="E4979" s="48">
        <f t="shared" ca="1" si="287"/>
        <v>0</v>
      </c>
      <c r="F4979" s="17">
        <f t="shared" ca="1" si="288"/>
        <v>0</v>
      </c>
      <c r="H4979" s="17">
        <v>4964</v>
      </c>
      <c r="I4979" s="43">
        <v>0.66984613459215925</v>
      </c>
      <c r="J4979" s="43">
        <v>2.0068958185183915E-2</v>
      </c>
      <c r="K4979" s="43"/>
      <c r="L4979" s="43">
        <v>0.25580000000000003</v>
      </c>
      <c r="O4979" s="50"/>
    </row>
    <row r="4980" spans="2:15" x14ac:dyDescent="0.2">
      <c r="B4980">
        <f t="shared" si="289"/>
        <v>4965</v>
      </c>
      <c r="C4980" s="48">
        <f ca="1"/>
        <v>-0.94162201246729693</v>
      </c>
      <c r="D4980" s="48">
        <f t="shared" ca="1" si="286"/>
        <v>0.60559492101955759</v>
      </c>
      <c r="E4980" s="48">
        <f t="shared" ca="1" si="287"/>
        <v>0</v>
      </c>
      <c r="F4980" s="17">
        <f t="shared" ca="1" si="288"/>
        <v>0</v>
      </c>
      <c r="H4980" s="17">
        <v>4965</v>
      </c>
      <c r="I4980" s="43">
        <v>0.67054190746563924</v>
      </c>
      <c r="J4980" s="43">
        <v>2.0283821731598033E-2</v>
      </c>
      <c r="K4980" s="43"/>
      <c r="L4980" s="43">
        <v>0.25440000000000002</v>
      </c>
      <c r="O4980" s="50"/>
    </row>
    <row r="4981" spans="2:15" x14ac:dyDescent="0.2">
      <c r="B4981">
        <f t="shared" si="289"/>
        <v>4966</v>
      </c>
      <c r="C4981" s="48">
        <f ca="1"/>
        <v>0.60909161661334243</v>
      </c>
      <c r="D4981" s="48">
        <f t="shared" ca="1" si="286"/>
        <v>0.7056308662233306</v>
      </c>
      <c r="E4981" s="48">
        <f t="shared" ca="1" si="287"/>
        <v>0</v>
      </c>
      <c r="F4981" s="17">
        <f t="shared" ca="1" si="288"/>
        <v>0</v>
      </c>
      <c r="H4981" s="17">
        <v>4966</v>
      </c>
      <c r="I4981" s="43">
        <v>0.66886531344717504</v>
      </c>
      <c r="J4981" s="43">
        <v>1.9423208142091281E-2</v>
      </c>
      <c r="K4981" s="43"/>
      <c r="L4981" s="43">
        <v>0.25019999999999998</v>
      </c>
      <c r="O4981" s="50"/>
    </row>
    <row r="4982" spans="2:15" x14ac:dyDescent="0.2">
      <c r="B4982">
        <f t="shared" si="289"/>
        <v>4967</v>
      </c>
      <c r="C4982" s="48">
        <f ca="1"/>
        <v>-3.6005677106926696E-2</v>
      </c>
      <c r="D4982" s="48">
        <f t="shared" ca="1" si="286"/>
        <v>0.66215107406413876</v>
      </c>
      <c r="E4982" s="48">
        <f t="shared" ca="1" si="287"/>
        <v>0</v>
      </c>
      <c r="F4982" s="17">
        <f t="shared" ca="1" si="288"/>
        <v>0</v>
      </c>
      <c r="H4982" s="17">
        <v>4967</v>
      </c>
      <c r="I4982" s="43">
        <v>0.66886712201181819</v>
      </c>
      <c r="J4982" s="43">
        <v>1.9474241417144052E-2</v>
      </c>
      <c r="K4982" s="43"/>
      <c r="L4982" s="43">
        <v>0.25059999999999999</v>
      </c>
      <c r="O4982" s="50"/>
    </row>
    <row r="4983" spans="2:15" x14ac:dyDescent="0.2">
      <c r="B4983">
        <f t="shared" si="289"/>
        <v>4968</v>
      </c>
      <c r="C4983" s="48">
        <f ca="1"/>
        <v>-1.1293015969467106</v>
      </c>
      <c r="D4983" s="48">
        <f t="shared" ca="1" si="286"/>
        <v>0.59449271379878188</v>
      </c>
      <c r="E4983" s="48">
        <f t="shared" ca="1" si="287"/>
        <v>0</v>
      </c>
      <c r="F4983" s="17">
        <f t="shared" ca="1" si="288"/>
        <v>0</v>
      </c>
      <c r="H4983" s="17">
        <v>4968</v>
      </c>
      <c r="I4983" s="43">
        <v>0.66806237454369444</v>
      </c>
      <c r="J4983" s="43">
        <v>1.8541713006914678E-2</v>
      </c>
      <c r="K4983" s="43"/>
      <c r="L4983" s="43">
        <v>0.24199999999999999</v>
      </c>
      <c r="O4983" s="50"/>
    </row>
    <row r="4984" spans="2:15" x14ac:dyDescent="0.2">
      <c r="B4984">
        <f t="shared" si="289"/>
        <v>4969</v>
      </c>
      <c r="C4984" s="48">
        <f ca="1"/>
        <v>-0.89099988862918944</v>
      </c>
      <c r="D4984" s="48">
        <f t="shared" ca="1" si="286"/>
        <v>0.60862482227897108</v>
      </c>
      <c r="E4984" s="48">
        <f t="shared" ca="1" si="287"/>
        <v>0</v>
      </c>
      <c r="F4984" s="17">
        <f t="shared" ca="1" si="288"/>
        <v>0</v>
      </c>
      <c r="H4984" s="17">
        <v>4969</v>
      </c>
      <c r="I4984" s="43">
        <v>0.66816518568265493</v>
      </c>
      <c r="J4984" s="43">
        <v>1.8815237519551067E-2</v>
      </c>
      <c r="K4984" s="43"/>
      <c r="L4984" s="43">
        <v>0.24379999999999999</v>
      </c>
      <c r="O4984" s="50"/>
    </row>
    <row r="4985" spans="2:15" x14ac:dyDescent="0.2">
      <c r="B4985">
        <f t="shared" si="289"/>
        <v>4970</v>
      </c>
      <c r="C4985" s="48">
        <f ca="1"/>
        <v>-1.9387001875168708</v>
      </c>
      <c r="D4985" s="48">
        <f t="shared" ca="1" si="286"/>
        <v>0.54889759880190025</v>
      </c>
      <c r="E4985" s="48">
        <f t="shared" ca="1" si="287"/>
        <v>0</v>
      </c>
      <c r="F4985" s="17">
        <f t="shared" ca="1" si="288"/>
        <v>0</v>
      </c>
      <c r="H4985" s="17">
        <v>4970</v>
      </c>
      <c r="I4985" s="43">
        <v>0.66796946556188208</v>
      </c>
      <c r="J4985" s="43">
        <v>1.8576736699399809E-2</v>
      </c>
      <c r="K4985" s="43"/>
      <c r="L4985" s="43">
        <v>0.24679999999999999</v>
      </c>
      <c r="O4985" s="50"/>
    </row>
    <row r="4986" spans="2:15" x14ac:dyDescent="0.2">
      <c r="B4986">
        <f t="shared" si="289"/>
        <v>4971</v>
      </c>
      <c r="C4986" s="48">
        <f ca="1"/>
        <v>1.268422461799591</v>
      </c>
      <c r="D4986" s="48">
        <f t="shared" ca="1" si="286"/>
        <v>0.75302167190326863</v>
      </c>
      <c r="E4986" s="48">
        <f t="shared" ca="1" si="287"/>
        <v>0</v>
      </c>
      <c r="F4986" s="17">
        <f t="shared" ca="1" si="288"/>
        <v>0</v>
      </c>
      <c r="H4986" s="17">
        <v>4971</v>
      </c>
      <c r="I4986" s="43">
        <v>0.66869833431671177</v>
      </c>
      <c r="J4986" s="43">
        <v>1.9380350420460969E-2</v>
      </c>
      <c r="K4986" s="43"/>
      <c r="L4986" s="43">
        <v>0.25480000000000003</v>
      </c>
      <c r="O4986" s="50"/>
    </row>
    <row r="4987" spans="2:15" x14ac:dyDescent="0.2">
      <c r="B4987">
        <f t="shared" si="289"/>
        <v>4972</v>
      </c>
      <c r="C4987" s="48">
        <f ca="1"/>
        <v>-1.5607035462353793</v>
      </c>
      <c r="D4987" s="48">
        <f t="shared" ca="1" si="286"/>
        <v>0.56973858533940203</v>
      </c>
      <c r="E4987" s="48">
        <f t="shared" ca="1" si="287"/>
        <v>0</v>
      </c>
      <c r="F4987" s="17">
        <f t="shared" ca="1" si="288"/>
        <v>0</v>
      </c>
      <c r="H4987" s="17">
        <v>4972</v>
      </c>
      <c r="I4987" s="43">
        <v>0.66779469587616269</v>
      </c>
      <c r="J4987" s="43">
        <v>1.8600420321911934E-2</v>
      </c>
      <c r="K4987" s="43"/>
      <c r="L4987" s="43">
        <v>0.25059999999999999</v>
      </c>
      <c r="O4987" s="50"/>
    </row>
    <row r="4988" spans="2:15" x14ac:dyDescent="0.2">
      <c r="B4988">
        <f t="shared" si="289"/>
        <v>4973</v>
      </c>
      <c r="C4988" s="48">
        <f ca="1"/>
        <v>-0.35367235319822138</v>
      </c>
      <c r="D4988" s="48">
        <f t="shared" ca="1" si="286"/>
        <v>0.64173521738762218</v>
      </c>
      <c r="E4988" s="48">
        <f t="shared" ca="1" si="287"/>
        <v>0</v>
      </c>
      <c r="F4988" s="17">
        <f t="shared" ca="1" si="288"/>
        <v>0</v>
      </c>
      <c r="H4988" s="17">
        <v>4973</v>
      </c>
      <c r="I4988" s="43">
        <v>0.66884695687242235</v>
      </c>
      <c r="J4988" s="43">
        <v>1.9227536585865623E-2</v>
      </c>
      <c r="K4988" s="43"/>
      <c r="L4988" s="43">
        <v>0.247</v>
      </c>
      <c r="O4988" s="50"/>
    </row>
    <row r="4989" spans="2:15" x14ac:dyDescent="0.2">
      <c r="B4989">
        <f t="shared" si="289"/>
        <v>4974</v>
      </c>
      <c r="C4989" s="48">
        <f ca="1"/>
        <v>7.902415350000952E-2</v>
      </c>
      <c r="D4989" s="48">
        <f t="shared" ca="1" si="286"/>
        <v>0.6697029383058124</v>
      </c>
      <c r="E4989" s="48">
        <f t="shared" ca="1" si="287"/>
        <v>0</v>
      </c>
      <c r="F4989" s="17">
        <f t="shared" ca="1" si="288"/>
        <v>0</v>
      </c>
      <c r="H4989" s="17">
        <v>4974</v>
      </c>
      <c r="I4989" s="43">
        <v>0.66960276667118701</v>
      </c>
      <c r="J4989" s="43">
        <v>2.0134154016074251E-2</v>
      </c>
      <c r="K4989" s="43"/>
      <c r="L4989" s="43">
        <v>0.25440000000000002</v>
      </c>
      <c r="O4989" s="50"/>
    </row>
    <row r="4990" spans="2:15" x14ac:dyDescent="0.2">
      <c r="B4990">
        <f t="shared" si="289"/>
        <v>4975</v>
      </c>
      <c r="C4990" s="48">
        <f ca="1"/>
        <v>-1.0055792034440874</v>
      </c>
      <c r="D4990" s="48">
        <f t="shared" ca="1" si="286"/>
        <v>0.60178842964580093</v>
      </c>
      <c r="E4990" s="48">
        <f t="shared" ca="1" si="287"/>
        <v>0</v>
      </c>
      <c r="F4990" s="17">
        <f t="shared" ca="1" si="288"/>
        <v>0</v>
      </c>
      <c r="H4990" s="17">
        <v>4975</v>
      </c>
      <c r="I4990" s="43">
        <v>0.66918736149272295</v>
      </c>
      <c r="J4990" s="43">
        <v>1.9220806029317063E-2</v>
      </c>
      <c r="K4990" s="43"/>
      <c r="L4990" s="43">
        <v>0.2402</v>
      </c>
      <c r="O4990" s="50"/>
    </row>
    <row r="4991" spans="2:15" x14ac:dyDescent="0.2">
      <c r="B4991">
        <f t="shared" si="289"/>
        <v>4976</v>
      </c>
      <c r="C4991" s="48">
        <f ca="1"/>
        <v>-0.11654471672169542</v>
      </c>
      <c r="D4991" s="48">
        <f t="shared" ca="1" si="286"/>
        <v>0.65691431954337487</v>
      </c>
      <c r="E4991" s="48">
        <f t="shared" ca="1" si="287"/>
        <v>0</v>
      </c>
      <c r="F4991" s="17">
        <f t="shared" ca="1" si="288"/>
        <v>0</v>
      </c>
      <c r="H4991" s="17">
        <v>4976</v>
      </c>
      <c r="I4991" s="43">
        <v>0.66735825309593988</v>
      </c>
      <c r="J4991" s="43">
        <v>1.788311465998688E-2</v>
      </c>
      <c r="K4991" s="43"/>
      <c r="L4991" s="43">
        <v>0.24640000000000001</v>
      </c>
      <c r="O4991" s="50"/>
    </row>
    <row r="4992" spans="2:15" x14ac:dyDescent="0.2">
      <c r="B4992">
        <f t="shared" si="289"/>
        <v>4977</v>
      </c>
      <c r="C4992" s="48">
        <f ca="1"/>
        <v>0.26097537810634619</v>
      </c>
      <c r="D4992" s="48">
        <f t="shared" ca="1" si="286"/>
        <v>0.68182453811589727</v>
      </c>
      <c r="E4992" s="48">
        <f t="shared" ca="1" si="287"/>
        <v>0</v>
      </c>
      <c r="F4992" s="17">
        <f t="shared" ca="1" si="288"/>
        <v>0</v>
      </c>
      <c r="H4992" s="17">
        <v>4977</v>
      </c>
      <c r="I4992" s="43">
        <v>0.66892373066712774</v>
      </c>
      <c r="J4992" s="43">
        <v>1.9175945287218988E-2</v>
      </c>
      <c r="K4992" s="43"/>
      <c r="L4992" s="43">
        <v>0.24959999999999999</v>
      </c>
      <c r="O4992" s="50"/>
    </row>
    <row r="4993" spans="2:15" x14ac:dyDescent="0.2">
      <c r="B4993">
        <f t="shared" si="289"/>
        <v>4978</v>
      </c>
      <c r="C4993" s="48">
        <f ca="1"/>
        <v>-0.52286377191077449</v>
      </c>
      <c r="D4993" s="48">
        <f t="shared" ca="1" si="286"/>
        <v>0.63111975511292129</v>
      </c>
      <c r="E4993" s="48">
        <f t="shared" ca="1" si="287"/>
        <v>0</v>
      </c>
      <c r="F4993" s="17">
        <f t="shared" ca="1" si="288"/>
        <v>0</v>
      </c>
      <c r="H4993" s="17">
        <v>4978</v>
      </c>
      <c r="I4993" s="43">
        <v>0.67037420978836404</v>
      </c>
      <c r="J4993" s="43">
        <v>2.0540319780985361E-2</v>
      </c>
      <c r="K4993" s="43"/>
      <c r="L4993" s="43">
        <v>0.26079999999999998</v>
      </c>
      <c r="O4993" s="50"/>
    </row>
    <row r="4994" spans="2:15" x14ac:dyDescent="0.2">
      <c r="B4994">
        <f t="shared" si="289"/>
        <v>4979</v>
      </c>
      <c r="C4994" s="48">
        <f ca="1"/>
        <v>-0.19394272533814913</v>
      </c>
      <c r="D4994" s="48">
        <f t="shared" ca="1" si="286"/>
        <v>0.65192082760106773</v>
      </c>
      <c r="E4994" s="48">
        <f t="shared" ca="1" si="287"/>
        <v>0</v>
      </c>
      <c r="F4994" s="17">
        <f t="shared" ca="1" si="288"/>
        <v>0</v>
      </c>
      <c r="H4994" s="17">
        <v>4979</v>
      </c>
      <c r="I4994" s="43">
        <v>0.6696680080033911</v>
      </c>
      <c r="J4994" s="43">
        <v>1.985787606145609E-2</v>
      </c>
      <c r="K4994" s="43"/>
      <c r="L4994" s="43">
        <v>0.25259999999999999</v>
      </c>
      <c r="O4994" s="50"/>
    </row>
    <row r="4995" spans="2:15" x14ac:dyDescent="0.2">
      <c r="B4995">
        <f t="shared" si="289"/>
        <v>4980</v>
      </c>
      <c r="C4995" s="48">
        <f ca="1"/>
        <v>-0.14962733655963917</v>
      </c>
      <c r="D4995" s="48">
        <f t="shared" ca="1" si="286"/>
        <v>0.65477526280890475</v>
      </c>
      <c r="E4995" s="48">
        <f t="shared" ca="1" si="287"/>
        <v>0</v>
      </c>
      <c r="F4995" s="17">
        <f t="shared" ca="1" si="288"/>
        <v>0</v>
      </c>
      <c r="H4995" s="17">
        <v>4980</v>
      </c>
      <c r="I4995" s="43">
        <v>0.66882260225322776</v>
      </c>
      <c r="J4995" s="43">
        <v>1.9050018284150809E-2</v>
      </c>
      <c r="K4995" s="43"/>
      <c r="L4995" s="43">
        <v>0.252</v>
      </c>
      <c r="O4995" s="50"/>
    </row>
    <row r="4996" spans="2:15" x14ac:dyDescent="0.2">
      <c r="B4996">
        <f t="shared" si="289"/>
        <v>4981</v>
      </c>
      <c r="C4996" s="48">
        <f ca="1"/>
        <v>7.7450142485244608E-2</v>
      </c>
      <c r="D4996" s="48">
        <f t="shared" ca="1" si="286"/>
        <v>0.66959902336462773</v>
      </c>
      <c r="E4996" s="48">
        <f t="shared" ca="1" si="287"/>
        <v>0</v>
      </c>
      <c r="F4996" s="17">
        <f t="shared" ca="1" si="288"/>
        <v>0</v>
      </c>
      <c r="H4996" s="17">
        <v>4981</v>
      </c>
      <c r="I4996" s="43">
        <v>0.6690408504536498</v>
      </c>
      <c r="J4996" s="43">
        <v>1.9547329614774928E-2</v>
      </c>
      <c r="K4996" s="43"/>
      <c r="L4996" s="43">
        <v>0.25159999999999999</v>
      </c>
      <c r="O4996" s="50"/>
    </row>
    <row r="4997" spans="2:15" x14ac:dyDescent="0.2">
      <c r="B4997">
        <f t="shared" si="289"/>
        <v>4982</v>
      </c>
      <c r="C4997" s="48">
        <f ca="1"/>
        <v>-0.70738388293159926</v>
      </c>
      <c r="D4997" s="48">
        <f t="shared" ca="1" si="286"/>
        <v>0.61974261819514054</v>
      </c>
      <c r="E4997" s="48">
        <f t="shared" ca="1" si="287"/>
        <v>0</v>
      </c>
      <c r="F4997" s="17">
        <f t="shared" ca="1" si="288"/>
        <v>0</v>
      </c>
      <c r="H4997" s="17">
        <v>4982</v>
      </c>
      <c r="I4997" s="43">
        <v>0.66898828857707726</v>
      </c>
      <c r="J4997" s="43">
        <v>1.9149986608312249E-2</v>
      </c>
      <c r="K4997" s="43"/>
      <c r="L4997" s="43">
        <v>0.24859999999999999</v>
      </c>
      <c r="O4997" s="50"/>
    </row>
    <row r="4998" spans="2:15" x14ac:dyDescent="0.2">
      <c r="B4998">
        <f t="shared" si="289"/>
        <v>4983</v>
      </c>
      <c r="C4998" s="48">
        <f ca="1"/>
        <v>-0.94610166509602533</v>
      </c>
      <c r="D4998" s="48">
        <f t="shared" ca="1" si="286"/>
        <v>0.60532752657123923</v>
      </c>
      <c r="E4998" s="48">
        <f t="shared" ca="1" si="287"/>
        <v>0</v>
      </c>
      <c r="F4998" s="17">
        <f t="shared" ca="1" si="288"/>
        <v>0</v>
      </c>
      <c r="H4998" s="17">
        <v>4983</v>
      </c>
      <c r="I4998" s="43">
        <v>0.66860904495456774</v>
      </c>
      <c r="J4998" s="43">
        <v>1.9387174093230094E-2</v>
      </c>
      <c r="K4998" s="43"/>
      <c r="L4998" s="43">
        <v>0.24859999999999999</v>
      </c>
      <c r="O4998" s="50"/>
    </row>
    <row r="4999" spans="2:15" x14ac:dyDescent="0.2">
      <c r="B4999">
        <f t="shared" si="289"/>
        <v>4984</v>
      </c>
      <c r="C4999" s="48">
        <f ca="1"/>
        <v>0.47599001775664801</v>
      </c>
      <c r="D4999" s="48">
        <f t="shared" ca="1" si="286"/>
        <v>0.6964319589745368</v>
      </c>
      <c r="E4999" s="48">
        <f t="shared" ca="1" si="287"/>
        <v>0</v>
      </c>
      <c r="F4999" s="17">
        <f t="shared" ca="1" si="288"/>
        <v>0</v>
      </c>
      <c r="H4999" s="17">
        <v>4984</v>
      </c>
      <c r="I4999" s="43">
        <v>0.66934779635808506</v>
      </c>
      <c r="J4999" s="43">
        <v>1.943915393360263E-2</v>
      </c>
      <c r="K4999" s="43"/>
      <c r="L4999" s="43">
        <v>0.251</v>
      </c>
      <c r="O4999" s="50"/>
    </row>
    <row r="5000" spans="2:15" x14ac:dyDescent="0.2">
      <c r="B5000">
        <f t="shared" si="289"/>
        <v>4985</v>
      </c>
      <c r="C5000" s="48">
        <f ca="1"/>
        <v>-1.0577444816892982</v>
      </c>
      <c r="D5000" s="48">
        <f t="shared" ca="1" si="286"/>
        <v>0.59870147103419991</v>
      </c>
      <c r="E5000" s="48">
        <f t="shared" ca="1" si="287"/>
        <v>0</v>
      </c>
      <c r="F5000" s="17">
        <f t="shared" ca="1" si="288"/>
        <v>0</v>
      </c>
      <c r="H5000" s="17">
        <v>4985</v>
      </c>
      <c r="I5000" s="43">
        <v>0.66916540323033358</v>
      </c>
      <c r="J5000" s="43">
        <v>1.9518005149952052E-2</v>
      </c>
      <c r="K5000" s="43"/>
      <c r="L5000" s="43">
        <v>0.25779999999999997</v>
      </c>
      <c r="O5000" s="50"/>
    </row>
    <row r="5001" spans="2:15" x14ac:dyDescent="0.2">
      <c r="B5001">
        <f t="shared" si="289"/>
        <v>4986</v>
      </c>
      <c r="C5001" s="48">
        <f ca="1"/>
        <v>0.26118923065788308</v>
      </c>
      <c r="D5001" s="48">
        <f t="shared" ca="1" si="286"/>
        <v>0.68183891329823187</v>
      </c>
      <c r="E5001" s="48">
        <f t="shared" ca="1" si="287"/>
        <v>0</v>
      </c>
      <c r="F5001" s="17">
        <f t="shared" ca="1" si="288"/>
        <v>0</v>
      </c>
      <c r="H5001" s="17">
        <v>4986</v>
      </c>
      <c r="I5001" s="43">
        <v>0.66854578445847068</v>
      </c>
      <c r="J5001" s="43">
        <v>1.9272821524622383E-2</v>
      </c>
      <c r="K5001" s="43"/>
      <c r="L5001" s="43">
        <v>0.25519999999999998</v>
      </c>
      <c r="O5001" s="50"/>
    </row>
    <row r="5002" spans="2:15" x14ac:dyDescent="0.2">
      <c r="B5002">
        <f t="shared" si="289"/>
        <v>4987</v>
      </c>
      <c r="C5002" s="48">
        <f ca="1"/>
        <v>-0.1109281368101276</v>
      </c>
      <c r="D5002" s="48">
        <f t="shared" ca="1" si="286"/>
        <v>0.65727816975926356</v>
      </c>
      <c r="E5002" s="48">
        <f t="shared" ca="1" si="287"/>
        <v>0</v>
      </c>
      <c r="F5002" s="17">
        <f t="shared" ca="1" si="288"/>
        <v>0</v>
      </c>
      <c r="H5002" s="17">
        <v>4987</v>
      </c>
      <c r="I5002" s="43">
        <v>0.66827742197075424</v>
      </c>
      <c r="J5002" s="43">
        <v>1.875815751876117E-2</v>
      </c>
      <c r="K5002" s="43"/>
      <c r="L5002" s="43">
        <v>0.24560000000000001</v>
      </c>
      <c r="O5002" s="50"/>
    </row>
    <row r="5003" spans="2:15" x14ac:dyDescent="0.2">
      <c r="B5003">
        <f t="shared" si="289"/>
        <v>4988</v>
      </c>
      <c r="C5003" s="48">
        <f ca="1"/>
        <v>0.74938020894104496</v>
      </c>
      <c r="D5003" s="48">
        <f t="shared" ca="1" si="286"/>
        <v>0.71545803482194115</v>
      </c>
      <c r="E5003" s="48">
        <f t="shared" ca="1" si="287"/>
        <v>0</v>
      </c>
      <c r="F5003" s="17">
        <f t="shared" ca="1" si="288"/>
        <v>0</v>
      </c>
      <c r="H5003" s="17">
        <v>4988</v>
      </c>
      <c r="I5003" s="43">
        <v>0.67075744008019</v>
      </c>
      <c r="J5003" s="43">
        <v>2.0813192716208032E-2</v>
      </c>
      <c r="K5003" s="43"/>
      <c r="L5003" s="43">
        <v>0.26140000000000002</v>
      </c>
      <c r="O5003" s="50"/>
    </row>
    <row r="5004" spans="2:15" x14ac:dyDescent="0.2">
      <c r="B5004">
        <f t="shared" si="289"/>
        <v>4989</v>
      </c>
      <c r="C5004" s="48">
        <f ca="1"/>
        <v>-0.6027858031924882</v>
      </c>
      <c r="D5004" s="48">
        <f t="shared" ca="1" si="286"/>
        <v>0.62616650610517455</v>
      </c>
      <c r="E5004" s="48">
        <f t="shared" ca="1" si="287"/>
        <v>0</v>
      </c>
      <c r="F5004" s="17">
        <f t="shared" ca="1" si="288"/>
        <v>0</v>
      </c>
      <c r="H5004" s="17">
        <v>4989</v>
      </c>
      <c r="I5004" s="43">
        <v>0.6713896503345691</v>
      </c>
      <c r="J5004" s="43">
        <v>2.1235417085911843E-2</v>
      </c>
      <c r="K5004" s="43"/>
      <c r="L5004" s="43">
        <v>0.2636</v>
      </c>
      <c r="O5004" s="50"/>
    </row>
    <row r="5005" spans="2:15" x14ac:dyDescent="0.2">
      <c r="B5005">
        <f t="shared" si="289"/>
        <v>4990</v>
      </c>
      <c r="C5005" s="48">
        <f ca="1"/>
        <v>0.10454596981420781</v>
      </c>
      <c r="D5005" s="48">
        <f t="shared" ca="1" si="286"/>
        <v>0.67139012052220903</v>
      </c>
      <c r="E5005" s="48">
        <f t="shared" ca="1" si="287"/>
        <v>0</v>
      </c>
      <c r="F5005" s="17">
        <f t="shared" ca="1" si="288"/>
        <v>0</v>
      </c>
      <c r="H5005" s="17">
        <v>4990</v>
      </c>
      <c r="I5005" s="43">
        <v>0.66885575159995714</v>
      </c>
      <c r="J5005" s="43">
        <v>1.9100848707835082E-2</v>
      </c>
      <c r="K5005" s="43"/>
      <c r="L5005" s="43">
        <v>0.25259999999999999</v>
      </c>
      <c r="O5005" s="50"/>
    </row>
    <row r="5006" spans="2:15" x14ac:dyDescent="0.2">
      <c r="B5006">
        <f t="shared" si="289"/>
        <v>4991</v>
      </c>
      <c r="C5006" s="48">
        <f ca="1"/>
        <v>-2.2464371541951511</v>
      </c>
      <c r="D5006" s="48">
        <f t="shared" ca="1" si="286"/>
        <v>0.53249467210198564</v>
      </c>
      <c r="E5006" s="48">
        <f t="shared" ca="1" si="287"/>
        <v>0</v>
      </c>
      <c r="F5006" s="17">
        <f t="shared" ca="1" si="288"/>
        <v>0</v>
      </c>
      <c r="H5006" s="17">
        <v>4991</v>
      </c>
      <c r="I5006" s="43">
        <v>0.66935708038209007</v>
      </c>
      <c r="J5006" s="43">
        <v>1.9701899424321934E-2</v>
      </c>
      <c r="K5006" s="43"/>
      <c r="L5006" s="43">
        <v>0.24740000000000001</v>
      </c>
      <c r="O5006" s="50"/>
    </row>
    <row r="5007" spans="2:15" x14ac:dyDescent="0.2">
      <c r="B5007">
        <f t="shared" si="289"/>
        <v>4992</v>
      </c>
      <c r="C5007" s="48">
        <f ca="1"/>
        <v>-0.57675377857801058</v>
      </c>
      <c r="D5007" s="48">
        <f t="shared" ca="1" si="286"/>
        <v>0.62777558342262452</v>
      </c>
      <c r="E5007" s="48">
        <f t="shared" ca="1" si="287"/>
        <v>0</v>
      </c>
      <c r="F5007" s="17">
        <f t="shared" ca="1" si="288"/>
        <v>0</v>
      </c>
      <c r="H5007" s="17">
        <v>4992</v>
      </c>
      <c r="I5007" s="43">
        <v>0.66954438071371092</v>
      </c>
      <c r="J5007" s="43">
        <v>1.989082815125439E-2</v>
      </c>
      <c r="K5007" s="43"/>
      <c r="L5007" s="43">
        <v>0.25019999999999998</v>
      </c>
      <c r="O5007" s="50"/>
    </row>
    <row r="5008" spans="2:15" x14ac:dyDescent="0.2">
      <c r="B5008">
        <f t="shared" si="289"/>
        <v>4993</v>
      </c>
      <c r="C5008" s="48">
        <f ca="1"/>
        <v>0.42735744543363102</v>
      </c>
      <c r="D5008" s="48">
        <f t="shared" ref="D5008:D5015" ca="1" si="290">S0*EXP((μ-0.5*σ*σ)*T+σ*SQRT(T)*$C5008)</f>
        <v>0.69310086454368602</v>
      </c>
      <c r="E5008" s="48">
        <f t="shared" ref="E5008:E5015" ca="1" si="291">MAX(0,CP*(D5008-K))</f>
        <v>0</v>
      </c>
      <c r="F5008" s="17">
        <f t="shared" ref="F5008:F5015" ca="1" si="292">(CP*(D5008-K)&gt;0)*1</f>
        <v>0</v>
      </c>
      <c r="H5008" s="17">
        <v>4993</v>
      </c>
      <c r="I5008" s="43">
        <v>0.66950005642199173</v>
      </c>
      <c r="J5008" s="43">
        <v>1.9954499826472936E-2</v>
      </c>
      <c r="K5008" s="43"/>
      <c r="L5008" s="43">
        <v>0.25280000000000002</v>
      </c>
      <c r="O5008" s="50"/>
    </row>
    <row r="5009" spans="2:15" x14ac:dyDescent="0.2">
      <c r="B5009">
        <f t="shared" si="289"/>
        <v>4994</v>
      </c>
      <c r="C5009" s="48">
        <f ca="1"/>
        <v>-0.36974435525409421</v>
      </c>
      <c r="D5009" s="48">
        <f t="shared" ca="1" si="290"/>
        <v>0.64071919436442704</v>
      </c>
      <c r="E5009" s="48">
        <f t="shared" ca="1" si="291"/>
        <v>0</v>
      </c>
      <c r="F5009" s="17">
        <f t="shared" ca="1" si="292"/>
        <v>0</v>
      </c>
      <c r="H5009" s="17">
        <v>4994</v>
      </c>
      <c r="I5009" s="43">
        <v>0.6697489345906511</v>
      </c>
      <c r="J5009" s="43">
        <v>2.0059132128216126E-2</v>
      </c>
      <c r="K5009" s="43"/>
      <c r="L5009" s="43">
        <v>0.25900000000000001</v>
      </c>
      <c r="O5009" s="50"/>
    </row>
    <row r="5010" spans="2:15" x14ac:dyDescent="0.2">
      <c r="B5010">
        <f t="shared" si="289"/>
        <v>4995</v>
      </c>
      <c r="C5010" s="48">
        <f ca="1"/>
        <v>-0.90174039149282637</v>
      </c>
      <c r="D5010" s="48">
        <f t="shared" ca="1" si="290"/>
        <v>0.60798070331732101</v>
      </c>
      <c r="E5010" s="48">
        <f t="shared" ca="1" si="291"/>
        <v>0</v>
      </c>
      <c r="F5010" s="17">
        <f t="shared" ca="1" si="292"/>
        <v>0</v>
      </c>
      <c r="H5010" s="17">
        <v>4995</v>
      </c>
      <c r="I5010" s="43">
        <v>0.66796884754536723</v>
      </c>
      <c r="J5010" s="43">
        <v>1.8371705544517669E-2</v>
      </c>
      <c r="K5010" s="43"/>
      <c r="L5010" s="43">
        <v>0.24299999999999999</v>
      </c>
      <c r="O5010" s="50"/>
    </row>
    <row r="5011" spans="2:15" x14ac:dyDescent="0.2">
      <c r="B5011">
        <f t="shared" si="289"/>
        <v>4996</v>
      </c>
      <c r="C5011" s="48">
        <f ca="1"/>
        <v>-2.1473823206713205</v>
      </c>
      <c r="D5011" s="48">
        <f t="shared" ca="1" si="290"/>
        <v>0.53772025751853292</v>
      </c>
      <c r="E5011" s="48">
        <f t="shared" ca="1" si="291"/>
        <v>0</v>
      </c>
      <c r="F5011" s="17">
        <f t="shared" ca="1" si="292"/>
        <v>0</v>
      </c>
      <c r="H5011" s="17">
        <v>4996</v>
      </c>
      <c r="I5011" s="43">
        <v>0.66914961629688574</v>
      </c>
      <c r="J5011" s="43">
        <v>1.9675204795230584E-2</v>
      </c>
      <c r="K5011" s="43"/>
      <c r="L5011" s="43">
        <v>0.2472</v>
      </c>
      <c r="O5011" s="50"/>
    </row>
    <row r="5012" spans="2:15" x14ac:dyDescent="0.2">
      <c r="B5012">
        <f t="shared" si="289"/>
        <v>4997</v>
      </c>
      <c r="C5012" s="48">
        <f ca="1"/>
        <v>-2.1247922271009827</v>
      </c>
      <c r="D5012" s="48">
        <f t="shared" ca="1" si="290"/>
        <v>0.53891914892358972</v>
      </c>
      <c r="E5012" s="48">
        <f t="shared" ca="1" si="291"/>
        <v>0</v>
      </c>
      <c r="F5012" s="17">
        <f t="shared" ca="1" si="292"/>
        <v>0</v>
      </c>
      <c r="H5012" s="17">
        <v>4997</v>
      </c>
      <c r="I5012" s="43">
        <v>0.66738846915518357</v>
      </c>
      <c r="J5012" s="43">
        <v>1.8174032166321529E-2</v>
      </c>
      <c r="K5012" s="43"/>
      <c r="L5012" s="43">
        <v>0.24840000000000001</v>
      </c>
      <c r="O5012" s="50"/>
    </row>
    <row r="5013" spans="2:15" x14ac:dyDescent="0.2">
      <c r="B5013">
        <f t="shared" si="289"/>
        <v>4998</v>
      </c>
      <c r="C5013" s="48">
        <f ca="1"/>
        <v>0.6120139471753141</v>
      </c>
      <c r="D5013" s="48">
        <f t="shared" ca="1" si="290"/>
        <v>0.70583419141624792</v>
      </c>
      <c r="E5013" s="48">
        <f t="shared" ca="1" si="291"/>
        <v>0</v>
      </c>
      <c r="F5013" s="17">
        <f t="shared" ca="1" si="292"/>
        <v>0</v>
      </c>
      <c r="H5013" s="17">
        <v>4998</v>
      </c>
      <c r="I5013" s="43">
        <v>0.66925397191889235</v>
      </c>
      <c r="J5013" s="43">
        <v>1.9691213893072351E-2</v>
      </c>
      <c r="K5013" s="43"/>
      <c r="L5013" s="43">
        <v>0.24840000000000001</v>
      </c>
      <c r="O5013" s="50"/>
    </row>
    <row r="5014" spans="2:15" x14ac:dyDescent="0.2">
      <c r="B5014">
        <f t="shared" si="289"/>
        <v>4999</v>
      </c>
      <c r="C5014" s="48">
        <f ca="1"/>
        <v>0.60407929906954627</v>
      </c>
      <c r="D5014" s="48">
        <f t="shared" ca="1" si="290"/>
        <v>0.70528226366662405</v>
      </c>
      <c r="E5014" s="48">
        <f t="shared" ca="1" si="291"/>
        <v>0</v>
      </c>
      <c r="F5014" s="17">
        <f t="shared" ca="1" si="292"/>
        <v>0</v>
      </c>
      <c r="H5014" s="17">
        <v>4999</v>
      </c>
      <c r="I5014" s="43">
        <v>0.667248874852989</v>
      </c>
      <c r="J5014" s="43">
        <v>1.8252999103926353E-2</v>
      </c>
      <c r="K5014" s="43"/>
      <c r="L5014" s="43">
        <v>0.25259999999999999</v>
      </c>
      <c r="O5014" s="50"/>
    </row>
    <row r="5015" spans="2:15" x14ac:dyDescent="0.2">
      <c r="B5015">
        <f t="shared" si="289"/>
        <v>5000</v>
      </c>
      <c r="C5015" s="48">
        <f ca="1"/>
        <v>-1.7789067197435353</v>
      </c>
      <c r="D5015" s="48">
        <f t="shared" ca="1" si="290"/>
        <v>0.55761320145076365</v>
      </c>
      <c r="E5015" s="48">
        <f t="shared" ca="1" si="291"/>
        <v>0</v>
      </c>
      <c r="F5015" s="17">
        <f t="shared" ca="1" si="292"/>
        <v>0</v>
      </c>
      <c r="H5015" s="17">
        <v>5000</v>
      </c>
      <c r="I5015" s="43">
        <v>0.66823380218150441</v>
      </c>
      <c r="J5015" s="43">
        <v>1.8761315470625161E-2</v>
      </c>
      <c r="K5015" s="43"/>
      <c r="L5015" s="43">
        <v>0.2482</v>
      </c>
      <c r="O5015" s="50"/>
    </row>
  </sheetData>
  <mergeCells count="1">
    <mergeCell ref="E7:F7"/>
  </mergeCells>
  <pageMargins left="0.7" right="0.7" top="0.75" bottom="0.75" header="0.3" footer="0.3"/>
  <pageSetup paperSize="9" orientation="portrait" r:id="rId1"/>
  <ignoredErrors>
    <ignoredError sqref="L6 L8 K10:L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_Monte_Carlo">
                <anchor moveWithCells="1" sizeWithCells="1">
                  <from>
                    <xdr:col>14</xdr:col>
                    <xdr:colOff>85725</xdr:colOff>
                    <xdr:row>6</xdr:row>
                    <xdr:rowOff>85725</xdr:rowOff>
                  </from>
                  <to>
                    <xdr:col>16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B6DB7-8CF0-4EC1-9369-48AE5614B10A}">
  <sheetPr codeName="Sheet3"/>
  <dimension ref="A1:F2"/>
  <sheetViews>
    <sheetView workbookViewId="0">
      <selection activeCell="F1" sqref="F1"/>
    </sheetView>
  </sheetViews>
  <sheetFormatPr defaultRowHeight="12.75" x14ac:dyDescent="0.2"/>
  <cols>
    <col min="1" max="1" width="4.28515625" bestFit="1" customWidth="1"/>
    <col min="2" max="2" width="5.28515625" bestFit="1" customWidth="1"/>
    <col min="3" max="3" width="17.7109375" bestFit="1" customWidth="1"/>
    <col min="4" max="4" width="9.7109375" bestFit="1" customWidth="1"/>
    <col min="5" max="5" width="4.140625" bestFit="1" customWidth="1"/>
    <col min="6" max="6" width="20.140625" bestFit="1" customWidth="1"/>
  </cols>
  <sheetData>
    <row r="1" spans="1:6" x14ac:dyDescent="0.2">
      <c r="A1" t="s">
        <v>9</v>
      </c>
      <c r="B1" t="s">
        <v>54</v>
      </c>
      <c r="C1" t="s">
        <v>11</v>
      </c>
      <c r="D1" t="s">
        <v>13</v>
      </c>
      <c r="E1" t="s">
        <v>55</v>
      </c>
      <c r="F1" t="s">
        <v>100</v>
      </c>
    </row>
    <row r="2" spans="1:6" x14ac:dyDescent="0.2">
      <c r="A2" t="s">
        <v>10</v>
      </c>
      <c r="B2" t="s">
        <v>53</v>
      </c>
      <c r="C2" t="s">
        <v>32</v>
      </c>
      <c r="D2" t="s">
        <v>20</v>
      </c>
      <c r="E2" t="s">
        <v>56</v>
      </c>
      <c r="F2" t="s">
        <v>99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GK Pricer</vt:lpstr>
      <vt:lpstr>GK Bulk</vt:lpstr>
      <vt:lpstr>MonteCarlo</vt:lpstr>
      <vt:lpstr>Data Validation</vt:lpstr>
      <vt:lpstr>CP</vt:lpstr>
      <vt:lpstr>d1_</vt:lpstr>
      <vt:lpstr>d2_</vt:lpstr>
      <vt:lpstr>Domestic_Ccy_Notional</vt:lpstr>
      <vt:lpstr>F</vt:lpstr>
      <vt:lpstr>Foreign_Ccy_Notional</vt:lpstr>
      <vt:lpstr>H</vt:lpstr>
      <vt:lpstr>K</vt:lpstr>
      <vt:lpstr>Methodology</vt:lpstr>
      <vt:lpstr>Monte_Carlo_Runtime</vt:lpstr>
      <vt:lpstr>Notional_amount</vt:lpstr>
      <vt:lpstr>Notional_Ccy</vt:lpstr>
      <vt:lpstr>Number_Of_Refreshes</vt:lpstr>
      <vt:lpstr>q_</vt:lpstr>
      <vt:lpstr>r_</vt:lpstr>
      <vt:lpstr>r_d</vt:lpstr>
      <vt:lpstr>r_d_basis_adj</vt:lpstr>
      <vt:lpstr>r_f</vt:lpstr>
      <vt:lpstr>ResultCurrency</vt:lpstr>
      <vt:lpstr>ResultDomesticFXSpotRate</vt:lpstr>
      <vt:lpstr>ResultNotionalFXSpotRate</vt:lpstr>
      <vt:lpstr>S0</vt:lpstr>
      <vt:lpstr>T</vt:lpstr>
      <vt:lpstr>μ</vt:lpstr>
      <vt:lpstr>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2024-04-07T01:56:57Z</dcterms:created>
  <dcterms:modified xsi:type="dcterms:W3CDTF">2024-09-25T13:28:44Z</dcterms:modified>
</cp:coreProperties>
</file>